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ujiashi\Desktop\SmartSuite_Phase1\"/>
    </mc:Choice>
  </mc:AlternateContent>
  <xr:revisionPtr revIDLastSave="0" documentId="8_{71FB3990-59A9-46FD-BF85-85D4B63793AD}" xr6:coauthVersionLast="47" xr6:coauthVersionMax="47" xr10:uidLastSave="{00000000-0000-0000-0000-000000000000}"/>
  <bookViews>
    <workbookView xWindow="19090" yWindow="-110" windowWidth="38620" windowHeight="21100" xr2:uid="{00000000-000D-0000-FFFF-FFFF00000000}"/>
  </bookViews>
  <sheets>
    <sheet name="1.GEO MAU" sheetId="1" r:id="rId1"/>
    <sheet name="2.信源分析" sheetId="2" r:id="rId2"/>
    <sheet name="3. GEO input tracking" sheetId="3" r:id="rId3"/>
    <sheet name="3.1.GEO Input table" sheetId="4" r:id="rId4"/>
    <sheet name="3.2. GEO Input detail（CN+NA）" sheetId="5" r:id="rId5"/>
    <sheet name="4. GEO output table" sheetId="6" r:id="rId6"/>
    <sheet name="5.GEO Search volumn-Gemi 3.0" sheetId="7" r:id="rId7"/>
    <sheet name="6. 语义范围（详细）" sheetId="8" r:id="rId8"/>
    <sheet name="backup-1 友好预料模版" sheetId="9" r:id="rId9"/>
    <sheet name="backup-2.SEO核心关键词" sheetId="10" r:id="rId10"/>
    <sheet name="语义范围" sheetId="11" state="hidden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</externalReferences>
  <definedNames>
    <definedName name="____________________________________________________________________bla2" localSheetId="5" hidden="1">{"'vert'!$A$1:$T$117"}</definedName>
    <definedName name="____________________________________________________________________bla2" localSheetId="6" hidden="1">{"'vert'!$A$1:$T$117"}</definedName>
    <definedName name="____________________________________________________________________bla2" hidden="1">{"'vert'!$A$1:$T$117"}</definedName>
    <definedName name="____________________________________________________________________bla3" localSheetId="5" hidden="1">{"'vert'!$A$1:$T$117"}</definedName>
    <definedName name="____________________________________________________________________bla3" localSheetId="6" hidden="1">{"'vert'!$A$1:$T$117"}</definedName>
    <definedName name="____________________________________________________________________bla3" hidden="1">{"'vert'!$A$1:$T$117"}</definedName>
    <definedName name="____________________________________________________________________DE2" localSheetId="5" hidden="1">{"'vert'!$A$1:$T$117"}</definedName>
    <definedName name="____________________________________________________________________DE2" localSheetId="6" hidden="1">{"'vert'!$A$1:$T$117"}</definedName>
    <definedName name="____________________________________________________________________DE2" hidden="1">{"'vert'!$A$1:$T$117"}</definedName>
    <definedName name="___________________________________________________________________bla2" localSheetId="5" hidden="1">{"'vert'!$A$1:$T$117"}</definedName>
    <definedName name="___________________________________________________________________bla2" localSheetId="6" hidden="1">{"'vert'!$A$1:$T$117"}</definedName>
    <definedName name="___________________________________________________________________bla2" hidden="1">{"'vert'!$A$1:$T$117"}</definedName>
    <definedName name="___________________________________________________________________bla3" localSheetId="5" hidden="1">{"'vert'!$A$1:$T$117"}</definedName>
    <definedName name="___________________________________________________________________bla3" localSheetId="6" hidden="1">{"'vert'!$A$1:$T$117"}</definedName>
    <definedName name="___________________________________________________________________bla3" hidden="1">{"'vert'!$A$1:$T$117"}</definedName>
    <definedName name="___________________________________________________________________DE2" localSheetId="5" hidden="1">{"'vert'!$A$1:$T$117"}</definedName>
    <definedName name="___________________________________________________________________DE2" localSheetId="6" hidden="1">{"'vert'!$A$1:$T$117"}</definedName>
    <definedName name="___________________________________________________________________DE2" hidden="1">{"'vert'!$A$1:$T$117"}</definedName>
    <definedName name="__________________________________________________________________bla2" localSheetId="5" hidden="1">{"'vert'!$A$1:$T$117"}</definedName>
    <definedName name="__________________________________________________________________bla2" localSheetId="6" hidden="1">{"'vert'!$A$1:$T$117"}</definedName>
    <definedName name="__________________________________________________________________bla2" hidden="1">{"'vert'!$A$1:$T$117"}</definedName>
    <definedName name="__________________________________________________________________bla3" localSheetId="5" hidden="1">{"'vert'!$A$1:$T$117"}</definedName>
    <definedName name="__________________________________________________________________bla3" localSheetId="6" hidden="1">{"'vert'!$A$1:$T$117"}</definedName>
    <definedName name="__________________________________________________________________bla3" hidden="1">{"'vert'!$A$1:$T$117"}</definedName>
    <definedName name="__________________________________________________________________DE2" localSheetId="5" hidden="1">{"'vert'!$A$1:$T$117"}</definedName>
    <definedName name="__________________________________________________________________DE2" localSheetId="6" hidden="1">{"'vert'!$A$1:$T$117"}</definedName>
    <definedName name="__________________________________________________________________DE2" hidden="1">{"'vert'!$A$1:$T$117"}</definedName>
    <definedName name="_________________________________________________________________bla2" localSheetId="5" hidden="1">{"'vert'!$A$1:$T$117"}</definedName>
    <definedName name="_________________________________________________________________bla2" localSheetId="6" hidden="1">{"'vert'!$A$1:$T$117"}</definedName>
    <definedName name="_________________________________________________________________bla2" hidden="1">{"'vert'!$A$1:$T$117"}</definedName>
    <definedName name="_________________________________________________________________bla3" localSheetId="5" hidden="1">{"'vert'!$A$1:$T$117"}</definedName>
    <definedName name="_________________________________________________________________bla3" localSheetId="6" hidden="1">{"'vert'!$A$1:$T$117"}</definedName>
    <definedName name="_________________________________________________________________bla3" hidden="1">{"'vert'!$A$1:$T$117"}</definedName>
    <definedName name="_________________________________________________________________DE2" localSheetId="5" hidden="1">{"'vert'!$A$1:$T$117"}</definedName>
    <definedName name="_________________________________________________________________DE2" localSheetId="6" hidden="1">{"'vert'!$A$1:$T$117"}</definedName>
    <definedName name="_________________________________________________________________DE2" hidden="1">{"'vert'!$A$1:$T$117"}</definedName>
    <definedName name="________________________________________________________________bla2" localSheetId="5" hidden="1">{"'vert'!$A$1:$T$117"}</definedName>
    <definedName name="________________________________________________________________bla2" localSheetId="6" hidden="1">{"'vert'!$A$1:$T$117"}</definedName>
    <definedName name="________________________________________________________________bla2" hidden="1">{"'vert'!$A$1:$T$117"}</definedName>
    <definedName name="________________________________________________________________bla3" localSheetId="5" hidden="1">{"'vert'!$A$1:$T$117"}</definedName>
    <definedName name="________________________________________________________________bla3" localSheetId="6" hidden="1">{"'vert'!$A$1:$T$117"}</definedName>
    <definedName name="________________________________________________________________bla3" hidden="1">{"'vert'!$A$1:$T$117"}</definedName>
    <definedName name="________________________________________________________________DE2" localSheetId="5" hidden="1">{"'vert'!$A$1:$T$117"}</definedName>
    <definedName name="________________________________________________________________DE2" localSheetId="6" hidden="1">{"'vert'!$A$1:$T$117"}</definedName>
    <definedName name="________________________________________________________________DE2" hidden="1">{"'vert'!$A$1:$T$117"}</definedName>
    <definedName name="_______________________________________________________________bla2" localSheetId="5" hidden="1">{"'vert'!$A$1:$T$117"}</definedName>
    <definedName name="_______________________________________________________________bla2" localSheetId="6" hidden="1">{"'vert'!$A$1:$T$117"}</definedName>
    <definedName name="_______________________________________________________________bla2" hidden="1">{"'vert'!$A$1:$T$117"}</definedName>
    <definedName name="_______________________________________________________________bla3" localSheetId="5" hidden="1">{"'vert'!$A$1:$T$117"}</definedName>
    <definedName name="_______________________________________________________________bla3" localSheetId="6" hidden="1">{"'vert'!$A$1:$T$117"}</definedName>
    <definedName name="_______________________________________________________________bla3" hidden="1">{"'vert'!$A$1:$T$117"}</definedName>
    <definedName name="_______________________________________________________________DE2" localSheetId="5" hidden="1">{"'vert'!$A$1:$T$117"}</definedName>
    <definedName name="_______________________________________________________________DE2" localSheetId="6" hidden="1">{"'vert'!$A$1:$T$117"}</definedName>
    <definedName name="_______________________________________________________________DE2" hidden="1">{"'vert'!$A$1:$T$117"}</definedName>
    <definedName name="______________________________________________________________bla2" localSheetId="5" hidden="1">{"'vert'!$A$1:$T$117"}</definedName>
    <definedName name="______________________________________________________________bla2" localSheetId="6" hidden="1">{"'vert'!$A$1:$T$117"}</definedName>
    <definedName name="______________________________________________________________bla2" hidden="1">{"'vert'!$A$1:$T$117"}</definedName>
    <definedName name="______________________________________________________________bla3" localSheetId="5" hidden="1">{"'vert'!$A$1:$T$117"}</definedName>
    <definedName name="______________________________________________________________bla3" localSheetId="6" hidden="1">{"'vert'!$A$1:$T$117"}</definedName>
    <definedName name="______________________________________________________________bla3" hidden="1">{"'vert'!$A$1:$T$117"}</definedName>
    <definedName name="______________________________________________________________DE2" localSheetId="5" hidden="1">{"'vert'!$A$1:$T$117"}</definedName>
    <definedName name="______________________________________________________________DE2" localSheetId="6" hidden="1">{"'vert'!$A$1:$T$117"}</definedName>
    <definedName name="______________________________________________________________DE2" hidden="1">{"'vert'!$A$1:$T$117"}</definedName>
    <definedName name="_____________________________________________________________bla2" localSheetId="5" hidden="1">{"'vert'!$A$1:$T$117"}</definedName>
    <definedName name="_____________________________________________________________bla2" localSheetId="6" hidden="1">{"'vert'!$A$1:$T$117"}</definedName>
    <definedName name="_____________________________________________________________bla2" hidden="1">{"'vert'!$A$1:$T$117"}</definedName>
    <definedName name="_____________________________________________________________bla3" localSheetId="5" hidden="1">{"'vert'!$A$1:$T$117"}</definedName>
    <definedName name="_____________________________________________________________bla3" localSheetId="6" hidden="1">{"'vert'!$A$1:$T$117"}</definedName>
    <definedName name="_____________________________________________________________bla3" hidden="1">{"'vert'!$A$1:$T$117"}</definedName>
    <definedName name="_____________________________________________________________DE2" localSheetId="5" hidden="1">{"'vert'!$A$1:$T$117"}</definedName>
    <definedName name="_____________________________________________________________DE2" localSheetId="6" hidden="1">{"'vert'!$A$1:$T$117"}</definedName>
    <definedName name="_____________________________________________________________DE2" hidden="1">{"'vert'!$A$1:$T$117"}</definedName>
    <definedName name="____________________________________________________________bla2" localSheetId="5" hidden="1">{"'vert'!$A$1:$T$117"}</definedName>
    <definedName name="____________________________________________________________bla2" localSheetId="6" hidden="1">{"'vert'!$A$1:$T$117"}</definedName>
    <definedName name="____________________________________________________________bla2" hidden="1">{"'vert'!$A$1:$T$117"}</definedName>
    <definedName name="____________________________________________________________bla3" localSheetId="5" hidden="1">{"'vert'!$A$1:$T$117"}</definedName>
    <definedName name="____________________________________________________________bla3" localSheetId="6" hidden="1">{"'vert'!$A$1:$T$117"}</definedName>
    <definedName name="____________________________________________________________bla3" hidden="1">{"'vert'!$A$1:$T$117"}</definedName>
    <definedName name="____________________________________________________________DE2" localSheetId="5" hidden="1">{"'vert'!$A$1:$T$117"}</definedName>
    <definedName name="____________________________________________________________DE2" localSheetId="6" hidden="1">{"'vert'!$A$1:$T$117"}</definedName>
    <definedName name="____________________________________________________________DE2" hidden="1">{"'vert'!$A$1:$T$117"}</definedName>
    <definedName name="___________________________________________________________bla2" localSheetId="5" hidden="1">{"'vert'!$A$1:$T$117"}</definedName>
    <definedName name="___________________________________________________________bla2" localSheetId="6" hidden="1">{"'vert'!$A$1:$T$117"}</definedName>
    <definedName name="___________________________________________________________bla2" hidden="1">{"'vert'!$A$1:$T$117"}</definedName>
    <definedName name="___________________________________________________________bla3" localSheetId="5" hidden="1">{"'vert'!$A$1:$T$117"}</definedName>
    <definedName name="___________________________________________________________bla3" localSheetId="6" hidden="1">{"'vert'!$A$1:$T$117"}</definedName>
    <definedName name="___________________________________________________________bla3" hidden="1">{"'vert'!$A$1:$T$117"}</definedName>
    <definedName name="___________________________________________________________DE2" localSheetId="5" hidden="1">{"'vert'!$A$1:$T$117"}</definedName>
    <definedName name="___________________________________________________________DE2" localSheetId="6" hidden="1">{"'vert'!$A$1:$T$117"}</definedName>
    <definedName name="___________________________________________________________DE2" hidden="1">{"'vert'!$A$1:$T$117"}</definedName>
    <definedName name="__________________________________________________________bla2" localSheetId="5" hidden="1">{"'vert'!$A$1:$T$117"}</definedName>
    <definedName name="__________________________________________________________bla2" localSheetId="6" hidden="1">{"'vert'!$A$1:$T$117"}</definedName>
    <definedName name="__________________________________________________________bla2" hidden="1">{"'vert'!$A$1:$T$117"}</definedName>
    <definedName name="__________________________________________________________bla3" localSheetId="5" hidden="1">{"'vert'!$A$1:$T$117"}</definedName>
    <definedName name="__________________________________________________________bla3" localSheetId="6" hidden="1">{"'vert'!$A$1:$T$117"}</definedName>
    <definedName name="__________________________________________________________bla3" hidden="1">{"'vert'!$A$1:$T$117"}</definedName>
    <definedName name="__________________________________________________________DE2" localSheetId="5" hidden="1">{"'vert'!$A$1:$T$117"}</definedName>
    <definedName name="__________________________________________________________DE2" localSheetId="6" hidden="1">{"'vert'!$A$1:$T$117"}</definedName>
    <definedName name="__________________________________________________________DE2" hidden="1">{"'vert'!$A$1:$T$117"}</definedName>
    <definedName name="_________________________________________________________bla2" localSheetId="5" hidden="1">{"'vert'!$A$1:$T$117"}</definedName>
    <definedName name="_________________________________________________________bla2" localSheetId="6" hidden="1">{"'vert'!$A$1:$T$117"}</definedName>
    <definedName name="_________________________________________________________bla2" hidden="1">{"'vert'!$A$1:$T$117"}</definedName>
    <definedName name="_________________________________________________________bla3" localSheetId="5" hidden="1">{"'vert'!$A$1:$T$117"}</definedName>
    <definedName name="_________________________________________________________bla3" localSheetId="6" hidden="1">{"'vert'!$A$1:$T$117"}</definedName>
    <definedName name="_________________________________________________________bla3" hidden="1">{"'vert'!$A$1:$T$117"}</definedName>
    <definedName name="_________________________________________________________DE2" localSheetId="5" hidden="1">{"'vert'!$A$1:$T$117"}</definedName>
    <definedName name="_________________________________________________________DE2" localSheetId="6" hidden="1">{"'vert'!$A$1:$T$117"}</definedName>
    <definedName name="_________________________________________________________DE2" hidden="1">{"'vert'!$A$1:$T$117"}</definedName>
    <definedName name="________________________________________________________bla2" localSheetId="5" hidden="1">{"'vert'!$A$1:$T$117"}</definedName>
    <definedName name="________________________________________________________bla2" localSheetId="6" hidden="1">{"'vert'!$A$1:$T$117"}</definedName>
    <definedName name="________________________________________________________bla2" hidden="1">{"'vert'!$A$1:$T$117"}</definedName>
    <definedName name="________________________________________________________bla3" localSheetId="5" hidden="1">{"'vert'!$A$1:$T$117"}</definedName>
    <definedName name="________________________________________________________bla3" localSheetId="6" hidden="1">{"'vert'!$A$1:$T$117"}</definedName>
    <definedName name="________________________________________________________bla3" hidden="1">{"'vert'!$A$1:$T$117"}</definedName>
    <definedName name="________________________________________________________DE2" localSheetId="5" hidden="1">{"'vert'!$A$1:$T$117"}</definedName>
    <definedName name="________________________________________________________DE2" localSheetId="6" hidden="1">{"'vert'!$A$1:$T$117"}</definedName>
    <definedName name="________________________________________________________DE2" hidden="1">{"'vert'!$A$1:$T$117"}</definedName>
    <definedName name="_______________________________________________________bla2" localSheetId="5" hidden="1">{"'vert'!$A$1:$T$117"}</definedName>
    <definedName name="_______________________________________________________bla2" localSheetId="6" hidden="1">{"'vert'!$A$1:$T$117"}</definedName>
    <definedName name="_______________________________________________________bla2" hidden="1">{"'vert'!$A$1:$T$117"}</definedName>
    <definedName name="_______________________________________________________bla3" localSheetId="5" hidden="1">{"'vert'!$A$1:$T$117"}</definedName>
    <definedName name="_______________________________________________________bla3" localSheetId="6" hidden="1">{"'vert'!$A$1:$T$117"}</definedName>
    <definedName name="_______________________________________________________bla3" hidden="1">{"'vert'!$A$1:$T$117"}</definedName>
    <definedName name="_______________________________________________________DE2" localSheetId="5" hidden="1">{"'vert'!$A$1:$T$117"}</definedName>
    <definedName name="_______________________________________________________DE2" localSheetId="6" hidden="1">{"'vert'!$A$1:$T$117"}</definedName>
    <definedName name="_______________________________________________________DE2" hidden="1">{"'vert'!$A$1:$T$117"}</definedName>
    <definedName name="______________________________________________________bla2" localSheetId="5" hidden="1">{"'vert'!$A$1:$T$117"}</definedName>
    <definedName name="______________________________________________________bla2" localSheetId="6" hidden="1">{"'vert'!$A$1:$T$117"}</definedName>
    <definedName name="______________________________________________________bla2" hidden="1">{"'vert'!$A$1:$T$117"}</definedName>
    <definedName name="______________________________________________________bla3" localSheetId="5" hidden="1">{"'vert'!$A$1:$T$117"}</definedName>
    <definedName name="______________________________________________________bla3" localSheetId="6" hidden="1">{"'vert'!$A$1:$T$117"}</definedName>
    <definedName name="______________________________________________________bla3" hidden="1">{"'vert'!$A$1:$T$117"}</definedName>
    <definedName name="______________________________________________________DE2" localSheetId="5" hidden="1">{"'vert'!$A$1:$T$117"}</definedName>
    <definedName name="______________________________________________________DE2" localSheetId="6" hidden="1">{"'vert'!$A$1:$T$117"}</definedName>
    <definedName name="______________________________________________________DE2" hidden="1">{"'vert'!$A$1:$T$117"}</definedName>
    <definedName name="_____________________________________________________bla2" localSheetId="5" hidden="1">{"'vert'!$A$1:$T$117"}</definedName>
    <definedName name="_____________________________________________________bla2" localSheetId="6" hidden="1">{"'vert'!$A$1:$T$117"}</definedName>
    <definedName name="_____________________________________________________bla2" hidden="1">{"'vert'!$A$1:$T$117"}</definedName>
    <definedName name="_____________________________________________________bla3" localSheetId="5" hidden="1">{"'vert'!$A$1:$T$117"}</definedName>
    <definedName name="_____________________________________________________bla3" localSheetId="6" hidden="1">{"'vert'!$A$1:$T$117"}</definedName>
    <definedName name="_____________________________________________________bla3" hidden="1">{"'vert'!$A$1:$T$117"}</definedName>
    <definedName name="_____________________________________________________DE2" localSheetId="5" hidden="1">{"'vert'!$A$1:$T$117"}</definedName>
    <definedName name="_____________________________________________________DE2" localSheetId="6" hidden="1">{"'vert'!$A$1:$T$117"}</definedName>
    <definedName name="_____________________________________________________DE2" hidden="1">{"'vert'!$A$1:$T$117"}</definedName>
    <definedName name="____________________________________________________bla2" localSheetId="5" hidden="1">{"'vert'!$A$1:$T$117"}</definedName>
    <definedName name="____________________________________________________bla2" localSheetId="6" hidden="1">{"'vert'!$A$1:$T$117"}</definedName>
    <definedName name="____________________________________________________bla2" hidden="1">{"'vert'!$A$1:$T$117"}</definedName>
    <definedName name="____________________________________________________bla3" localSheetId="5" hidden="1">{"'vert'!$A$1:$T$117"}</definedName>
    <definedName name="____________________________________________________bla3" localSheetId="6" hidden="1">{"'vert'!$A$1:$T$117"}</definedName>
    <definedName name="____________________________________________________bla3" hidden="1">{"'vert'!$A$1:$T$117"}</definedName>
    <definedName name="____________________________________________________DE2" localSheetId="5" hidden="1">{"'vert'!$A$1:$T$117"}</definedName>
    <definedName name="____________________________________________________DE2" localSheetId="6" hidden="1">{"'vert'!$A$1:$T$117"}</definedName>
    <definedName name="____________________________________________________DE2" hidden="1">{"'vert'!$A$1:$T$117"}</definedName>
    <definedName name="___________________________________________________bla2" localSheetId="5" hidden="1">{"'vert'!$A$1:$T$117"}</definedName>
    <definedName name="___________________________________________________bla2" localSheetId="6" hidden="1">{"'vert'!$A$1:$T$117"}</definedName>
    <definedName name="___________________________________________________bla2" hidden="1">{"'vert'!$A$1:$T$117"}</definedName>
    <definedName name="___________________________________________________bla3" localSheetId="5" hidden="1">{"'vert'!$A$1:$T$117"}</definedName>
    <definedName name="___________________________________________________bla3" localSheetId="6" hidden="1">{"'vert'!$A$1:$T$117"}</definedName>
    <definedName name="___________________________________________________bla3" hidden="1">{"'vert'!$A$1:$T$117"}</definedName>
    <definedName name="___________________________________________________DE2" localSheetId="5" hidden="1">{"'vert'!$A$1:$T$117"}</definedName>
    <definedName name="___________________________________________________DE2" localSheetId="6" hidden="1">{"'vert'!$A$1:$T$117"}</definedName>
    <definedName name="___________________________________________________DE2" hidden="1">{"'vert'!$A$1:$T$117"}</definedName>
    <definedName name="__________________________________________________bla2" localSheetId="5" hidden="1">{"'vert'!$A$1:$T$117"}</definedName>
    <definedName name="__________________________________________________bla2" localSheetId="6" hidden="1">{"'vert'!$A$1:$T$117"}</definedName>
    <definedName name="__________________________________________________bla2" hidden="1">{"'vert'!$A$1:$T$117"}</definedName>
    <definedName name="__________________________________________________bla3" localSheetId="5" hidden="1">{"'vert'!$A$1:$T$117"}</definedName>
    <definedName name="__________________________________________________bla3" localSheetId="6" hidden="1">{"'vert'!$A$1:$T$117"}</definedName>
    <definedName name="__________________________________________________bla3" hidden="1">{"'vert'!$A$1:$T$117"}</definedName>
    <definedName name="__________________________________________________DE2" localSheetId="5" hidden="1">{"'vert'!$A$1:$T$117"}</definedName>
    <definedName name="__________________________________________________DE2" localSheetId="6" hidden="1">{"'vert'!$A$1:$T$117"}</definedName>
    <definedName name="__________________________________________________DE2" hidden="1">{"'vert'!$A$1:$T$117"}</definedName>
    <definedName name="_________________________________________________bla2" localSheetId="5" hidden="1">{"'vert'!$A$1:$T$117"}</definedName>
    <definedName name="_________________________________________________bla2" localSheetId="6" hidden="1">{"'vert'!$A$1:$T$117"}</definedName>
    <definedName name="_________________________________________________bla2" hidden="1">{"'vert'!$A$1:$T$117"}</definedName>
    <definedName name="_________________________________________________bla3" localSheetId="5" hidden="1">{"'vert'!$A$1:$T$117"}</definedName>
    <definedName name="_________________________________________________bla3" localSheetId="6" hidden="1">{"'vert'!$A$1:$T$117"}</definedName>
    <definedName name="_________________________________________________bla3" hidden="1">{"'vert'!$A$1:$T$117"}</definedName>
    <definedName name="_________________________________________________DE2" localSheetId="5" hidden="1">{"'vert'!$A$1:$T$117"}</definedName>
    <definedName name="_________________________________________________DE2" localSheetId="6" hidden="1">{"'vert'!$A$1:$T$117"}</definedName>
    <definedName name="_________________________________________________DE2" hidden="1">{"'vert'!$A$1:$T$117"}</definedName>
    <definedName name="________________________________________________bla2" localSheetId="5" hidden="1">{"'vert'!$A$1:$T$117"}</definedName>
    <definedName name="________________________________________________bla2" localSheetId="6" hidden="1">{"'vert'!$A$1:$T$117"}</definedName>
    <definedName name="________________________________________________bla2" hidden="1">{"'vert'!$A$1:$T$117"}</definedName>
    <definedName name="________________________________________________bla3" localSheetId="5" hidden="1">{"'vert'!$A$1:$T$117"}</definedName>
    <definedName name="________________________________________________bla3" localSheetId="6" hidden="1">{"'vert'!$A$1:$T$117"}</definedName>
    <definedName name="________________________________________________bla3" hidden="1">{"'vert'!$A$1:$T$117"}</definedName>
    <definedName name="________________________________________________DE2" localSheetId="5" hidden="1">{"'vert'!$A$1:$T$117"}</definedName>
    <definedName name="________________________________________________DE2" localSheetId="6" hidden="1">{"'vert'!$A$1:$T$117"}</definedName>
    <definedName name="________________________________________________DE2" hidden="1">{"'vert'!$A$1:$T$117"}</definedName>
    <definedName name="_______________________________________________bla2" localSheetId="5" hidden="1">{"'vert'!$A$1:$T$117"}</definedName>
    <definedName name="_______________________________________________bla2" localSheetId="6" hidden="1">{"'vert'!$A$1:$T$117"}</definedName>
    <definedName name="_______________________________________________bla2" hidden="1">{"'vert'!$A$1:$T$117"}</definedName>
    <definedName name="_______________________________________________bla3" localSheetId="5" hidden="1">{"'vert'!$A$1:$T$117"}</definedName>
    <definedName name="_______________________________________________bla3" localSheetId="6" hidden="1">{"'vert'!$A$1:$T$117"}</definedName>
    <definedName name="_______________________________________________bla3" hidden="1">{"'vert'!$A$1:$T$117"}</definedName>
    <definedName name="_______________________________________________DE2" localSheetId="5" hidden="1">{"'vert'!$A$1:$T$117"}</definedName>
    <definedName name="_______________________________________________DE2" localSheetId="6" hidden="1">{"'vert'!$A$1:$T$117"}</definedName>
    <definedName name="_______________________________________________DE2" hidden="1">{"'vert'!$A$1:$T$117"}</definedName>
    <definedName name="______________________________________________bla2" localSheetId="5" hidden="1">{"'vert'!$A$1:$T$117"}</definedName>
    <definedName name="______________________________________________bla2" localSheetId="6" hidden="1">{"'vert'!$A$1:$T$117"}</definedName>
    <definedName name="______________________________________________bla2" hidden="1">{"'vert'!$A$1:$T$117"}</definedName>
    <definedName name="______________________________________________bla3" localSheetId="5" hidden="1">{"'vert'!$A$1:$T$117"}</definedName>
    <definedName name="______________________________________________bla3" localSheetId="6" hidden="1">{"'vert'!$A$1:$T$117"}</definedName>
    <definedName name="______________________________________________bla3" hidden="1">{"'vert'!$A$1:$T$117"}</definedName>
    <definedName name="______________________________________________DE2" localSheetId="5" hidden="1">{"'vert'!$A$1:$T$117"}</definedName>
    <definedName name="______________________________________________DE2" localSheetId="6" hidden="1">{"'vert'!$A$1:$T$117"}</definedName>
    <definedName name="______________________________________________DE2" hidden="1">{"'vert'!$A$1:$T$117"}</definedName>
    <definedName name="_____________________________________________bla2" localSheetId="5" hidden="1">{"'vert'!$A$1:$T$117"}</definedName>
    <definedName name="_____________________________________________bla2" localSheetId="6" hidden="1">{"'vert'!$A$1:$T$117"}</definedName>
    <definedName name="_____________________________________________bla2" hidden="1">{"'vert'!$A$1:$T$117"}</definedName>
    <definedName name="_____________________________________________bla3" localSheetId="5" hidden="1">{"'vert'!$A$1:$T$117"}</definedName>
    <definedName name="_____________________________________________bla3" localSheetId="6" hidden="1">{"'vert'!$A$1:$T$117"}</definedName>
    <definedName name="_____________________________________________bla3" hidden="1">{"'vert'!$A$1:$T$117"}</definedName>
    <definedName name="_____________________________________________DE2" localSheetId="5" hidden="1">{"'vert'!$A$1:$T$117"}</definedName>
    <definedName name="_____________________________________________DE2" localSheetId="6" hidden="1">{"'vert'!$A$1:$T$117"}</definedName>
    <definedName name="_____________________________________________DE2" hidden="1">{"'vert'!$A$1:$T$117"}</definedName>
    <definedName name="____________________________________________bla2" localSheetId="5" hidden="1">{"'vert'!$A$1:$T$117"}</definedName>
    <definedName name="____________________________________________bla2" localSheetId="6" hidden="1">{"'vert'!$A$1:$T$117"}</definedName>
    <definedName name="____________________________________________bla2" hidden="1">{"'vert'!$A$1:$T$117"}</definedName>
    <definedName name="____________________________________________bla3" localSheetId="5" hidden="1">{"'vert'!$A$1:$T$117"}</definedName>
    <definedName name="____________________________________________bla3" localSheetId="6" hidden="1">{"'vert'!$A$1:$T$117"}</definedName>
    <definedName name="____________________________________________bla3" hidden="1">{"'vert'!$A$1:$T$117"}</definedName>
    <definedName name="____________________________________________DE2" localSheetId="5" hidden="1">{"'vert'!$A$1:$T$117"}</definedName>
    <definedName name="____________________________________________DE2" localSheetId="6" hidden="1">{"'vert'!$A$1:$T$117"}</definedName>
    <definedName name="____________________________________________DE2" hidden="1">{"'vert'!$A$1:$T$117"}</definedName>
    <definedName name="___________________________________________bla2" localSheetId="5" hidden="1">{"'vert'!$A$1:$T$117"}</definedName>
    <definedName name="___________________________________________bla2" localSheetId="6" hidden="1">{"'vert'!$A$1:$T$117"}</definedName>
    <definedName name="___________________________________________bla2" hidden="1">{"'vert'!$A$1:$T$117"}</definedName>
    <definedName name="___________________________________________bla3" localSheetId="5" hidden="1">{"'vert'!$A$1:$T$117"}</definedName>
    <definedName name="___________________________________________bla3" localSheetId="6" hidden="1">{"'vert'!$A$1:$T$117"}</definedName>
    <definedName name="___________________________________________bla3" hidden="1">{"'vert'!$A$1:$T$117"}</definedName>
    <definedName name="___________________________________________DE2" localSheetId="5" hidden="1">{"'vert'!$A$1:$T$117"}</definedName>
    <definedName name="___________________________________________DE2" localSheetId="6" hidden="1">{"'vert'!$A$1:$T$117"}</definedName>
    <definedName name="___________________________________________DE2" hidden="1">{"'vert'!$A$1:$T$117"}</definedName>
    <definedName name="__________________________________________bla2" localSheetId="5" hidden="1">{"'vert'!$A$1:$T$117"}</definedName>
    <definedName name="__________________________________________bla2" localSheetId="6" hidden="1">{"'vert'!$A$1:$T$117"}</definedName>
    <definedName name="__________________________________________bla2" hidden="1">{"'vert'!$A$1:$T$117"}</definedName>
    <definedName name="__________________________________________bla3" localSheetId="5" hidden="1">{"'vert'!$A$1:$T$117"}</definedName>
    <definedName name="__________________________________________bla3" localSheetId="6" hidden="1">{"'vert'!$A$1:$T$117"}</definedName>
    <definedName name="__________________________________________bla3" hidden="1">{"'vert'!$A$1:$T$117"}</definedName>
    <definedName name="__________________________________________DE2" localSheetId="5" hidden="1">{"'vert'!$A$1:$T$117"}</definedName>
    <definedName name="__________________________________________DE2" localSheetId="6" hidden="1">{"'vert'!$A$1:$T$117"}</definedName>
    <definedName name="__________________________________________DE2" hidden="1">{"'vert'!$A$1:$T$117"}</definedName>
    <definedName name="_________________________________________bla2" localSheetId="5" hidden="1">{"'vert'!$A$1:$T$117"}</definedName>
    <definedName name="_________________________________________bla2" localSheetId="6" hidden="1">{"'vert'!$A$1:$T$117"}</definedName>
    <definedName name="_________________________________________bla2" hidden="1">{"'vert'!$A$1:$T$117"}</definedName>
    <definedName name="_________________________________________bla3" localSheetId="5" hidden="1">{"'vert'!$A$1:$T$117"}</definedName>
    <definedName name="_________________________________________bla3" localSheetId="6" hidden="1">{"'vert'!$A$1:$T$117"}</definedName>
    <definedName name="_________________________________________bla3" hidden="1">{"'vert'!$A$1:$T$117"}</definedName>
    <definedName name="_________________________________________DE2" localSheetId="5" hidden="1">{"'vert'!$A$1:$T$117"}</definedName>
    <definedName name="_________________________________________DE2" localSheetId="6" hidden="1">{"'vert'!$A$1:$T$117"}</definedName>
    <definedName name="_________________________________________DE2" hidden="1">{"'vert'!$A$1:$T$117"}</definedName>
    <definedName name="________________________________________bla2" localSheetId="5" hidden="1">{"'vert'!$A$1:$T$117"}</definedName>
    <definedName name="________________________________________bla2" localSheetId="6" hidden="1">{"'vert'!$A$1:$T$117"}</definedName>
    <definedName name="________________________________________bla2" hidden="1">{"'vert'!$A$1:$T$117"}</definedName>
    <definedName name="________________________________________bla3" localSheetId="5" hidden="1">{"'vert'!$A$1:$T$117"}</definedName>
    <definedName name="________________________________________bla3" localSheetId="6" hidden="1">{"'vert'!$A$1:$T$117"}</definedName>
    <definedName name="________________________________________bla3" hidden="1">{"'vert'!$A$1:$T$117"}</definedName>
    <definedName name="________________________________________DE2" localSheetId="5" hidden="1">{"'vert'!$A$1:$T$117"}</definedName>
    <definedName name="________________________________________DE2" localSheetId="6" hidden="1">{"'vert'!$A$1:$T$117"}</definedName>
    <definedName name="________________________________________DE2" hidden="1">{"'vert'!$A$1:$T$117"}</definedName>
    <definedName name="_______________________________________bla2" localSheetId="5" hidden="1">{"'vert'!$A$1:$T$117"}</definedName>
    <definedName name="_______________________________________bla2" localSheetId="6" hidden="1">{"'vert'!$A$1:$T$117"}</definedName>
    <definedName name="_______________________________________bla2" hidden="1">{"'vert'!$A$1:$T$117"}</definedName>
    <definedName name="_______________________________________bla3" localSheetId="5" hidden="1">{"'vert'!$A$1:$T$117"}</definedName>
    <definedName name="_______________________________________bla3" localSheetId="6" hidden="1">{"'vert'!$A$1:$T$117"}</definedName>
    <definedName name="_______________________________________bla3" hidden="1">{"'vert'!$A$1:$T$117"}</definedName>
    <definedName name="_______________________________________DE2" localSheetId="5" hidden="1">{"'vert'!$A$1:$T$117"}</definedName>
    <definedName name="_______________________________________DE2" localSheetId="6" hidden="1">{"'vert'!$A$1:$T$117"}</definedName>
    <definedName name="_______________________________________DE2" hidden="1">{"'vert'!$A$1:$T$117"}</definedName>
    <definedName name="______________________________________bla2" localSheetId="5" hidden="1">{"'vert'!$A$1:$T$117"}</definedName>
    <definedName name="______________________________________bla2" localSheetId="6" hidden="1">{"'vert'!$A$1:$T$117"}</definedName>
    <definedName name="______________________________________bla2" hidden="1">{"'vert'!$A$1:$T$117"}</definedName>
    <definedName name="______________________________________bla2_2" localSheetId="5" hidden="1">{"'vert'!$A$1:$T$117"}</definedName>
    <definedName name="______________________________________bla2_2" localSheetId="6" hidden="1">{"'vert'!$A$1:$T$117"}</definedName>
    <definedName name="______________________________________bla2_2" hidden="1">{"'vert'!$A$1:$T$117"}</definedName>
    <definedName name="______________________________________bla3" localSheetId="5" hidden="1">{"'vert'!$A$1:$T$117"}</definedName>
    <definedName name="______________________________________bla3" localSheetId="6" hidden="1">{"'vert'!$A$1:$T$117"}</definedName>
    <definedName name="______________________________________bla3" hidden="1">{"'vert'!$A$1:$T$117"}</definedName>
    <definedName name="______________________________________bla3_2" localSheetId="5" hidden="1">{"'vert'!$A$1:$T$117"}</definedName>
    <definedName name="______________________________________bla3_2" localSheetId="6" hidden="1">{"'vert'!$A$1:$T$117"}</definedName>
    <definedName name="______________________________________bla3_2" hidden="1">{"'vert'!$A$1:$T$117"}</definedName>
    <definedName name="______________________________________DE2" localSheetId="5" hidden="1">{"'vert'!$A$1:$T$117"}</definedName>
    <definedName name="______________________________________DE2" localSheetId="6" hidden="1">{"'vert'!$A$1:$T$117"}</definedName>
    <definedName name="______________________________________DE2" hidden="1">{"'vert'!$A$1:$T$117"}</definedName>
    <definedName name="______________________________________DE2_2" localSheetId="5" hidden="1">{"'vert'!$A$1:$T$117"}</definedName>
    <definedName name="______________________________________DE2_2" localSheetId="6" hidden="1">{"'vert'!$A$1:$T$117"}</definedName>
    <definedName name="______________________________________DE2_2" hidden="1">{"'vert'!$A$1:$T$117"}</definedName>
    <definedName name="_____________________________________bla2" localSheetId="5" hidden="1">{"'vert'!$A$1:$T$117"}</definedName>
    <definedName name="_____________________________________bla2" localSheetId="6" hidden="1">{"'vert'!$A$1:$T$117"}</definedName>
    <definedName name="_____________________________________bla2" hidden="1">{"'vert'!$A$1:$T$117"}</definedName>
    <definedName name="_____________________________________bla3" localSheetId="5" hidden="1">{"'vert'!$A$1:$T$117"}</definedName>
    <definedName name="_____________________________________bla3" localSheetId="6" hidden="1">{"'vert'!$A$1:$T$117"}</definedName>
    <definedName name="_____________________________________bla3" hidden="1">{"'vert'!$A$1:$T$117"}</definedName>
    <definedName name="_____________________________________DE2" localSheetId="5" hidden="1">{"'vert'!$A$1:$T$117"}</definedName>
    <definedName name="_____________________________________DE2" localSheetId="6" hidden="1">{"'vert'!$A$1:$T$117"}</definedName>
    <definedName name="_____________________________________DE2" hidden="1">{"'vert'!$A$1:$T$117"}</definedName>
    <definedName name="____________________________________bla2" localSheetId="5" hidden="1">{"'vert'!$A$1:$T$117"}</definedName>
    <definedName name="____________________________________bla2" localSheetId="6" hidden="1">{"'vert'!$A$1:$T$117"}</definedName>
    <definedName name="____________________________________bla2" hidden="1">{"'vert'!$A$1:$T$117"}</definedName>
    <definedName name="____________________________________bla3" localSheetId="5" hidden="1">{"'vert'!$A$1:$T$117"}</definedName>
    <definedName name="____________________________________bla3" localSheetId="6" hidden="1">{"'vert'!$A$1:$T$117"}</definedName>
    <definedName name="____________________________________bla3" hidden="1">{"'vert'!$A$1:$T$117"}</definedName>
    <definedName name="____________________________________DE2" localSheetId="5" hidden="1">{"'vert'!$A$1:$T$117"}</definedName>
    <definedName name="____________________________________DE2" localSheetId="6" hidden="1">{"'vert'!$A$1:$T$117"}</definedName>
    <definedName name="____________________________________DE2" hidden="1">{"'vert'!$A$1:$T$117"}</definedName>
    <definedName name="___________________________________bla2" localSheetId="5" hidden="1">{"'vert'!$A$1:$T$117"}</definedName>
    <definedName name="___________________________________bla2" localSheetId="6" hidden="1">{"'vert'!$A$1:$T$117"}</definedName>
    <definedName name="___________________________________bla2" hidden="1">{"'vert'!$A$1:$T$117"}</definedName>
    <definedName name="___________________________________bla3" localSheetId="5" hidden="1">{"'vert'!$A$1:$T$117"}</definedName>
    <definedName name="___________________________________bla3" localSheetId="6" hidden="1">{"'vert'!$A$1:$T$117"}</definedName>
    <definedName name="___________________________________bla3" hidden="1">{"'vert'!$A$1:$T$117"}</definedName>
    <definedName name="___________________________________DE2" localSheetId="5" hidden="1">{"'vert'!$A$1:$T$117"}</definedName>
    <definedName name="___________________________________DE2" localSheetId="6" hidden="1">{"'vert'!$A$1:$T$117"}</definedName>
    <definedName name="___________________________________DE2" hidden="1">{"'vert'!$A$1:$T$117"}</definedName>
    <definedName name="__________________________________bla2" localSheetId="5" hidden="1">{"'vert'!$A$1:$T$117"}</definedName>
    <definedName name="__________________________________bla2" localSheetId="6" hidden="1">{"'vert'!$A$1:$T$117"}</definedName>
    <definedName name="__________________________________bla2" hidden="1">{"'vert'!$A$1:$T$117"}</definedName>
    <definedName name="__________________________________bla3" localSheetId="5" hidden="1">{"'vert'!$A$1:$T$117"}</definedName>
    <definedName name="__________________________________bla3" localSheetId="6" hidden="1">{"'vert'!$A$1:$T$117"}</definedName>
    <definedName name="__________________________________bla3" hidden="1">{"'vert'!$A$1:$T$117"}</definedName>
    <definedName name="__________________________________DE2" localSheetId="5" hidden="1">{"'vert'!$A$1:$T$117"}</definedName>
    <definedName name="__________________________________DE2" localSheetId="6" hidden="1">{"'vert'!$A$1:$T$117"}</definedName>
    <definedName name="__________________________________DE2" hidden="1">{"'vert'!$A$1:$T$117"}</definedName>
    <definedName name="_________________________________bla2" localSheetId="5" hidden="1">{"'vert'!$A$1:$T$117"}</definedName>
    <definedName name="_________________________________bla2" localSheetId="6" hidden="1">{"'vert'!$A$1:$T$117"}</definedName>
    <definedName name="_________________________________bla2" hidden="1">{"'vert'!$A$1:$T$117"}</definedName>
    <definedName name="_________________________________bla3" localSheetId="5" hidden="1">{"'vert'!$A$1:$T$117"}</definedName>
    <definedName name="_________________________________bla3" localSheetId="6" hidden="1">{"'vert'!$A$1:$T$117"}</definedName>
    <definedName name="_________________________________bla3" hidden="1">{"'vert'!$A$1:$T$117"}</definedName>
    <definedName name="_________________________________DE2" localSheetId="5" hidden="1">{"'vert'!$A$1:$T$117"}</definedName>
    <definedName name="_________________________________DE2" localSheetId="6" hidden="1">{"'vert'!$A$1:$T$117"}</definedName>
    <definedName name="_________________________________DE2" hidden="1">{"'vert'!$A$1:$T$117"}</definedName>
    <definedName name="________________________________bla2" localSheetId="5" hidden="1">{"'vert'!$A$1:$T$117"}</definedName>
    <definedName name="________________________________bla2" localSheetId="6" hidden="1">{"'vert'!$A$1:$T$117"}</definedName>
    <definedName name="________________________________bla2" hidden="1">{"'vert'!$A$1:$T$117"}</definedName>
    <definedName name="________________________________bla3" localSheetId="5" hidden="1">{"'vert'!$A$1:$T$117"}</definedName>
    <definedName name="________________________________bla3" localSheetId="6" hidden="1">{"'vert'!$A$1:$T$117"}</definedName>
    <definedName name="________________________________bla3" hidden="1">{"'vert'!$A$1:$T$117"}</definedName>
    <definedName name="________________________________DE2" localSheetId="5" hidden="1">{"'vert'!$A$1:$T$117"}</definedName>
    <definedName name="________________________________DE2" localSheetId="6" hidden="1">{"'vert'!$A$1:$T$117"}</definedName>
    <definedName name="________________________________DE2" hidden="1">{"'vert'!$A$1:$T$117"}</definedName>
    <definedName name="_______________________________bla2" localSheetId="5" hidden="1">{"'vert'!$A$1:$T$117"}</definedName>
    <definedName name="_______________________________bla2" localSheetId="6" hidden="1">{"'vert'!$A$1:$T$117"}</definedName>
    <definedName name="_______________________________bla2" hidden="1">{"'vert'!$A$1:$T$117"}</definedName>
    <definedName name="_______________________________bla3" localSheetId="5" hidden="1">{"'vert'!$A$1:$T$117"}</definedName>
    <definedName name="_______________________________bla3" localSheetId="6" hidden="1">{"'vert'!$A$1:$T$117"}</definedName>
    <definedName name="_______________________________bla3" hidden="1">{"'vert'!$A$1:$T$117"}</definedName>
    <definedName name="_______________________________DE2" localSheetId="5" hidden="1">{"'vert'!$A$1:$T$117"}</definedName>
    <definedName name="_______________________________DE2" localSheetId="6" hidden="1">{"'vert'!$A$1:$T$117"}</definedName>
    <definedName name="_______________________________DE2" hidden="1">{"'vert'!$A$1:$T$117"}</definedName>
    <definedName name="______________________________bla2" localSheetId="5" hidden="1">{"'vert'!$A$1:$T$117"}</definedName>
    <definedName name="______________________________bla2" localSheetId="6" hidden="1">{"'vert'!$A$1:$T$117"}</definedName>
    <definedName name="______________________________bla2" hidden="1">{"'vert'!$A$1:$T$117"}</definedName>
    <definedName name="______________________________bla3" localSheetId="5" hidden="1">{"'vert'!$A$1:$T$117"}</definedName>
    <definedName name="______________________________bla3" localSheetId="6" hidden="1">{"'vert'!$A$1:$T$117"}</definedName>
    <definedName name="______________________________bla3" hidden="1">{"'vert'!$A$1:$T$117"}</definedName>
    <definedName name="______________________________DE2" localSheetId="5" hidden="1">{"'vert'!$A$1:$T$117"}</definedName>
    <definedName name="______________________________DE2" localSheetId="6" hidden="1">{"'vert'!$A$1:$T$117"}</definedName>
    <definedName name="______________________________DE2" hidden="1">{"'vert'!$A$1:$T$117"}</definedName>
    <definedName name="_____________________________bla2" localSheetId="5" hidden="1">{"'vert'!$A$1:$T$117"}</definedName>
    <definedName name="_____________________________bla2" localSheetId="6" hidden="1">{"'vert'!$A$1:$T$117"}</definedName>
    <definedName name="_____________________________bla2" hidden="1">{"'vert'!$A$1:$T$117"}</definedName>
    <definedName name="_____________________________bla3" localSheetId="5" hidden="1">{"'vert'!$A$1:$T$117"}</definedName>
    <definedName name="_____________________________bla3" localSheetId="6" hidden="1">{"'vert'!$A$1:$T$117"}</definedName>
    <definedName name="_____________________________bla3" hidden="1">{"'vert'!$A$1:$T$117"}</definedName>
    <definedName name="_____________________________DE2" localSheetId="5" hidden="1">{"'vert'!$A$1:$T$117"}</definedName>
    <definedName name="_____________________________DE2" localSheetId="6" hidden="1">{"'vert'!$A$1:$T$117"}</definedName>
    <definedName name="_____________________________DE2" hidden="1">{"'vert'!$A$1:$T$117"}</definedName>
    <definedName name="____________________________bla2" localSheetId="5" hidden="1">{"'vert'!$A$1:$T$117"}</definedName>
    <definedName name="____________________________bla2" localSheetId="6" hidden="1">{"'vert'!$A$1:$T$117"}</definedName>
    <definedName name="____________________________bla2" hidden="1">{"'vert'!$A$1:$T$117"}</definedName>
    <definedName name="____________________________bla3" localSheetId="5" hidden="1">{"'vert'!$A$1:$T$117"}</definedName>
    <definedName name="____________________________bla3" localSheetId="6" hidden="1">{"'vert'!$A$1:$T$117"}</definedName>
    <definedName name="____________________________bla3" hidden="1">{"'vert'!$A$1:$T$117"}</definedName>
    <definedName name="____________________________DE2" localSheetId="5" hidden="1">{"'vert'!$A$1:$T$117"}</definedName>
    <definedName name="____________________________DE2" localSheetId="6" hidden="1">{"'vert'!$A$1:$T$117"}</definedName>
    <definedName name="____________________________DE2" hidden="1">{"'vert'!$A$1:$T$117"}</definedName>
    <definedName name="___________________________bla2" localSheetId="5" hidden="1">{"'vert'!$A$1:$T$117"}</definedName>
    <definedName name="___________________________bla2" localSheetId="6" hidden="1">{"'vert'!$A$1:$T$117"}</definedName>
    <definedName name="___________________________bla2" hidden="1">{"'vert'!$A$1:$T$117"}</definedName>
    <definedName name="___________________________bla3" localSheetId="5" hidden="1">{"'vert'!$A$1:$T$117"}</definedName>
    <definedName name="___________________________bla3" localSheetId="6" hidden="1">{"'vert'!$A$1:$T$117"}</definedName>
    <definedName name="___________________________bla3" hidden="1">{"'vert'!$A$1:$T$117"}</definedName>
    <definedName name="___________________________DE2" localSheetId="5" hidden="1">{"'vert'!$A$1:$T$117"}</definedName>
    <definedName name="___________________________DE2" localSheetId="6" hidden="1">{"'vert'!$A$1:$T$117"}</definedName>
    <definedName name="___________________________DE2" hidden="1">{"'vert'!$A$1:$T$117"}</definedName>
    <definedName name="__________________________bla2" localSheetId="5" hidden="1">{"'vert'!$A$1:$T$117"}</definedName>
    <definedName name="__________________________bla2" localSheetId="6" hidden="1">{"'vert'!$A$1:$T$117"}</definedName>
    <definedName name="__________________________bla2" hidden="1">{"'vert'!$A$1:$T$117"}</definedName>
    <definedName name="__________________________bla3" localSheetId="5" hidden="1">{"'vert'!$A$1:$T$117"}</definedName>
    <definedName name="__________________________bla3" localSheetId="6" hidden="1">{"'vert'!$A$1:$T$117"}</definedName>
    <definedName name="__________________________bla3" hidden="1">{"'vert'!$A$1:$T$117"}</definedName>
    <definedName name="__________________________DE2" localSheetId="5" hidden="1">{"'vert'!$A$1:$T$117"}</definedName>
    <definedName name="__________________________DE2" localSheetId="6" hidden="1">{"'vert'!$A$1:$T$117"}</definedName>
    <definedName name="__________________________DE2" hidden="1">{"'vert'!$A$1:$T$117"}</definedName>
    <definedName name="_________________________bla2" localSheetId="5" hidden="1">{"'vert'!$A$1:$T$117"}</definedName>
    <definedName name="_________________________bla2" localSheetId="6" hidden="1">{"'vert'!$A$1:$T$117"}</definedName>
    <definedName name="_________________________bla2" hidden="1">{"'vert'!$A$1:$T$117"}</definedName>
    <definedName name="_________________________bla3" localSheetId="5" hidden="1">{"'vert'!$A$1:$T$117"}</definedName>
    <definedName name="_________________________bla3" localSheetId="6" hidden="1">{"'vert'!$A$1:$T$117"}</definedName>
    <definedName name="_________________________bla3" hidden="1">{"'vert'!$A$1:$T$117"}</definedName>
    <definedName name="_________________________DE2" localSheetId="5" hidden="1">{"'vert'!$A$1:$T$117"}</definedName>
    <definedName name="_________________________DE2" localSheetId="6" hidden="1">{"'vert'!$A$1:$T$117"}</definedName>
    <definedName name="_________________________DE2" hidden="1">{"'vert'!$A$1:$T$117"}</definedName>
    <definedName name="________________________bla2" localSheetId="5" hidden="1">{"'vert'!$A$1:$T$117"}</definedName>
    <definedName name="________________________bla2" localSheetId="6" hidden="1">{"'vert'!$A$1:$T$117"}</definedName>
    <definedName name="________________________bla2" hidden="1">{"'vert'!$A$1:$T$117"}</definedName>
    <definedName name="________________________bla3" localSheetId="5" hidden="1">{"'vert'!$A$1:$T$117"}</definedName>
    <definedName name="________________________bla3" localSheetId="6" hidden="1">{"'vert'!$A$1:$T$117"}</definedName>
    <definedName name="________________________bla3" hidden="1">{"'vert'!$A$1:$T$117"}</definedName>
    <definedName name="________________________DE2" localSheetId="5" hidden="1">{"'vert'!$A$1:$T$117"}</definedName>
    <definedName name="________________________DE2" localSheetId="6" hidden="1">{"'vert'!$A$1:$T$117"}</definedName>
    <definedName name="________________________DE2" hidden="1">{"'vert'!$A$1:$T$117"}</definedName>
    <definedName name="_______________________bla2" localSheetId="5" hidden="1">{"'vert'!$A$1:$T$117"}</definedName>
    <definedName name="_______________________bla2" localSheetId="6" hidden="1">{"'vert'!$A$1:$T$117"}</definedName>
    <definedName name="_______________________bla2" hidden="1">{"'vert'!$A$1:$T$117"}</definedName>
    <definedName name="_______________________bla3" localSheetId="5" hidden="1">{"'vert'!$A$1:$T$117"}</definedName>
    <definedName name="_______________________bla3" localSheetId="6" hidden="1">{"'vert'!$A$1:$T$117"}</definedName>
    <definedName name="_______________________bla3" hidden="1">{"'vert'!$A$1:$T$117"}</definedName>
    <definedName name="_______________________DE2" localSheetId="5" hidden="1">{"'vert'!$A$1:$T$117"}</definedName>
    <definedName name="_______________________DE2" localSheetId="6" hidden="1">{"'vert'!$A$1:$T$117"}</definedName>
    <definedName name="_______________________DE2" hidden="1">{"'vert'!$A$1:$T$117"}</definedName>
    <definedName name="______________________bla2" localSheetId="5" hidden="1">{"'vert'!$A$1:$T$117"}</definedName>
    <definedName name="______________________bla2" localSheetId="6" hidden="1">{"'vert'!$A$1:$T$117"}</definedName>
    <definedName name="______________________bla2" hidden="1">{"'vert'!$A$1:$T$117"}</definedName>
    <definedName name="______________________bla3" localSheetId="5" hidden="1">{"'vert'!$A$1:$T$117"}</definedName>
    <definedName name="______________________bla3" localSheetId="6" hidden="1">{"'vert'!$A$1:$T$117"}</definedName>
    <definedName name="______________________bla3" hidden="1">{"'vert'!$A$1:$T$117"}</definedName>
    <definedName name="______________________DE2" localSheetId="5" hidden="1">{"'vert'!$A$1:$T$117"}</definedName>
    <definedName name="______________________DE2" localSheetId="6" hidden="1">{"'vert'!$A$1:$T$117"}</definedName>
    <definedName name="______________________DE2" hidden="1">{"'vert'!$A$1:$T$117"}</definedName>
    <definedName name="_____________________bla2" localSheetId="5" hidden="1">{"'vert'!$A$1:$T$117"}</definedName>
    <definedName name="_____________________bla2" localSheetId="6" hidden="1">{"'vert'!$A$1:$T$117"}</definedName>
    <definedName name="_____________________bla2" hidden="1">{"'vert'!$A$1:$T$117"}</definedName>
    <definedName name="_____________________bla3" localSheetId="5" hidden="1">{"'vert'!$A$1:$T$117"}</definedName>
    <definedName name="_____________________bla3" localSheetId="6" hidden="1">{"'vert'!$A$1:$T$117"}</definedName>
    <definedName name="_____________________bla3" hidden="1">{"'vert'!$A$1:$T$117"}</definedName>
    <definedName name="_____________________DE2" localSheetId="5" hidden="1">{"'vert'!$A$1:$T$117"}</definedName>
    <definedName name="_____________________DE2" localSheetId="6" hidden="1">{"'vert'!$A$1:$T$117"}</definedName>
    <definedName name="_____________________DE2" hidden="1">{"'vert'!$A$1:$T$117"}</definedName>
    <definedName name="____________________bla2" localSheetId="5" hidden="1">{"'vert'!$A$1:$T$117"}</definedName>
    <definedName name="____________________bla2" localSheetId="6" hidden="1">{"'vert'!$A$1:$T$117"}</definedName>
    <definedName name="____________________bla2" hidden="1">{"'vert'!$A$1:$T$117"}</definedName>
    <definedName name="____________________bla3" localSheetId="5" hidden="1">{"'vert'!$A$1:$T$117"}</definedName>
    <definedName name="____________________bla3" localSheetId="6" hidden="1">{"'vert'!$A$1:$T$117"}</definedName>
    <definedName name="____________________bla3" hidden="1">{"'vert'!$A$1:$T$117"}</definedName>
    <definedName name="____________________DE2" localSheetId="5" hidden="1">{"'vert'!$A$1:$T$117"}</definedName>
    <definedName name="____________________DE2" localSheetId="6" hidden="1">{"'vert'!$A$1:$T$117"}</definedName>
    <definedName name="____________________DE2" hidden="1">{"'vert'!$A$1:$T$117"}</definedName>
    <definedName name="___________________bla2" localSheetId="5" hidden="1">{"'vert'!$A$1:$T$117"}</definedName>
    <definedName name="___________________bla2" localSheetId="6" hidden="1">{"'vert'!$A$1:$T$117"}</definedName>
    <definedName name="___________________bla2" hidden="1">{"'vert'!$A$1:$T$117"}</definedName>
    <definedName name="___________________bla3" localSheetId="5" hidden="1">{"'vert'!$A$1:$T$117"}</definedName>
    <definedName name="___________________bla3" localSheetId="6" hidden="1">{"'vert'!$A$1:$T$117"}</definedName>
    <definedName name="___________________bla3" hidden="1">{"'vert'!$A$1:$T$117"}</definedName>
    <definedName name="___________________DE2" localSheetId="5" hidden="1">{"'vert'!$A$1:$T$117"}</definedName>
    <definedName name="___________________DE2" localSheetId="6" hidden="1">{"'vert'!$A$1:$T$117"}</definedName>
    <definedName name="___________________DE2" hidden="1">{"'vert'!$A$1:$T$117"}</definedName>
    <definedName name="__________________bla2" localSheetId="5" hidden="1">{"'vert'!$A$1:$T$117"}</definedName>
    <definedName name="__________________bla2" localSheetId="6" hidden="1">{"'vert'!$A$1:$T$117"}</definedName>
    <definedName name="__________________bla2" hidden="1">{"'vert'!$A$1:$T$117"}</definedName>
    <definedName name="__________________bla3" localSheetId="5" hidden="1">{"'vert'!$A$1:$T$117"}</definedName>
    <definedName name="__________________bla3" localSheetId="6" hidden="1">{"'vert'!$A$1:$T$117"}</definedName>
    <definedName name="__________________bla3" hidden="1">{"'vert'!$A$1:$T$117"}</definedName>
    <definedName name="__________________DE2" localSheetId="5" hidden="1">{"'vert'!$A$1:$T$117"}</definedName>
    <definedName name="__________________DE2" localSheetId="6" hidden="1">{"'vert'!$A$1:$T$117"}</definedName>
    <definedName name="__________________DE2" hidden="1">{"'vert'!$A$1:$T$117"}</definedName>
    <definedName name="_________________bla2" localSheetId="5" hidden="1">{"'vert'!$A$1:$T$117"}</definedName>
    <definedName name="_________________bla2" localSheetId="6" hidden="1">{"'vert'!$A$1:$T$117"}</definedName>
    <definedName name="_________________bla2" hidden="1">{"'vert'!$A$1:$T$117"}</definedName>
    <definedName name="_________________bla3" localSheetId="5" hidden="1">{"'vert'!$A$1:$T$117"}</definedName>
    <definedName name="_________________bla3" localSheetId="6" hidden="1">{"'vert'!$A$1:$T$117"}</definedName>
    <definedName name="_________________bla3" hidden="1">{"'vert'!$A$1:$T$117"}</definedName>
    <definedName name="_________________DE2" localSheetId="5" hidden="1">{"'vert'!$A$1:$T$117"}</definedName>
    <definedName name="_________________DE2" localSheetId="6" hidden="1">{"'vert'!$A$1:$T$117"}</definedName>
    <definedName name="_________________DE2" hidden="1">{"'vert'!$A$1:$T$117"}</definedName>
    <definedName name="________________bla2" localSheetId="5" hidden="1">{"'vert'!$A$1:$T$117"}</definedName>
    <definedName name="________________bla2" localSheetId="6" hidden="1">{"'vert'!$A$1:$T$117"}</definedName>
    <definedName name="________________bla2" hidden="1">{"'vert'!$A$1:$T$117"}</definedName>
    <definedName name="________________bla3" localSheetId="5" hidden="1">{"'vert'!$A$1:$T$117"}</definedName>
    <definedName name="________________bla3" localSheetId="6" hidden="1">{"'vert'!$A$1:$T$117"}</definedName>
    <definedName name="________________bla3" hidden="1">{"'vert'!$A$1:$T$117"}</definedName>
    <definedName name="________________DE2" localSheetId="5" hidden="1">{"'vert'!$A$1:$T$117"}</definedName>
    <definedName name="________________DE2" localSheetId="6" hidden="1">{"'vert'!$A$1:$T$117"}</definedName>
    <definedName name="________________DE2" hidden="1">{"'vert'!$A$1:$T$117"}</definedName>
    <definedName name="_______________bla2" localSheetId="5" hidden="1">{"'vert'!$A$1:$T$117"}</definedName>
    <definedName name="_______________bla2" localSheetId="6" hidden="1">{"'vert'!$A$1:$T$117"}</definedName>
    <definedName name="_______________bla2" hidden="1">{"'vert'!$A$1:$T$117"}</definedName>
    <definedName name="_______________bla3" localSheetId="5" hidden="1">{"'vert'!$A$1:$T$117"}</definedName>
    <definedName name="_______________bla3" localSheetId="6" hidden="1">{"'vert'!$A$1:$T$117"}</definedName>
    <definedName name="_______________bla3" hidden="1">{"'vert'!$A$1:$T$117"}</definedName>
    <definedName name="_______________DE2" localSheetId="5" hidden="1">{"'vert'!$A$1:$T$117"}</definedName>
    <definedName name="_______________DE2" localSheetId="6" hidden="1">{"'vert'!$A$1:$T$117"}</definedName>
    <definedName name="_______________DE2" hidden="1">{"'vert'!$A$1:$T$117"}</definedName>
    <definedName name="______________bla2" localSheetId="5" hidden="1">{"'vert'!$A$1:$T$117"}</definedName>
    <definedName name="______________bla2" localSheetId="6" hidden="1">{"'vert'!$A$1:$T$117"}</definedName>
    <definedName name="______________bla2" hidden="1">{"'vert'!$A$1:$T$117"}</definedName>
    <definedName name="______________bla3" localSheetId="5" hidden="1">{"'vert'!$A$1:$T$117"}</definedName>
    <definedName name="______________bla3" localSheetId="6" hidden="1">{"'vert'!$A$1:$T$117"}</definedName>
    <definedName name="______________bla3" hidden="1">{"'vert'!$A$1:$T$117"}</definedName>
    <definedName name="______________DE2" localSheetId="5" hidden="1">{"'vert'!$A$1:$T$117"}</definedName>
    <definedName name="______________DE2" localSheetId="6" hidden="1">{"'vert'!$A$1:$T$117"}</definedName>
    <definedName name="______________DE2" hidden="1">{"'vert'!$A$1:$T$117"}</definedName>
    <definedName name="_____________bla2" localSheetId="5" hidden="1">{"'vert'!$A$1:$T$117"}</definedName>
    <definedName name="_____________bla2" localSheetId="6" hidden="1">{"'vert'!$A$1:$T$117"}</definedName>
    <definedName name="_____________bla2" hidden="1">{"'vert'!$A$1:$T$117"}</definedName>
    <definedName name="_____________bla3" localSheetId="5" hidden="1">{"'vert'!$A$1:$T$117"}</definedName>
    <definedName name="_____________bla3" localSheetId="6" hidden="1">{"'vert'!$A$1:$T$117"}</definedName>
    <definedName name="_____________bla3" hidden="1">{"'vert'!$A$1:$T$117"}</definedName>
    <definedName name="_____________DE2" localSheetId="5" hidden="1">{"'vert'!$A$1:$T$117"}</definedName>
    <definedName name="_____________DE2" localSheetId="6" hidden="1">{"'vert'!$A$1:$T$117"}</definedName>
    <definedName name="_____________DE2" hidden="1">{"'vert'!$A$1:$T$117"}</definedName>
    <definedName name="____________bla2" localSheetId="5" hidden="1">{"'vert'!$A$1:$T$117"}</definedName>
    <definedName name="____________bla2" localSheetId="6" hidden="1">{"'vert'!$A$1:$T$117"}</definedName>
    <definedName name="____________bla2" hidden="1">{"'vert'!$A$1:$T$117"}</definedName>
    <definedName name="____________bla3" localSheetId="5" hidden="1">{"'vert'!$A$1:$T$117"}</definedName>
    <definedName name="____________bla3" localSheetId="6" hidden="1">{"'vert'!$A$1:$T$117"}</definedName>
    <definedName name="____________bla3" hidden="1">{"'vert'!$A$1:$T$117"}</definedName>
    <definedName name="____________DE2" localSheetId="5" hidden="1">{"'vert'!$A$1:$T$117"}</definedName>
    <definedName name="____________DE2" localSheetId="6" hidden="1">{"'vert'!$A$1:$T$117"}</definedName>
    <definedName name="____________DE2" hidden="1">{"'vert'!$A$1:$T$117"}</definedName>
    <definedName name="___________bla2" localSheetId="5" hidden="1">{"'vert'!$A$1:$T$117"}</definedName>
    <definedName name="___________bla2" localSheetId="6" hidden="1">{"'vert'!$A$1:$T$117"}</definedName>
    <definedName name="___________bla2" hidden="1">{"'vert'!$A$1:$T$117"}</definedName>
    <definedName name="___________bla3" localSheetId="5" hidden="1">{"'vert'!$A$1:$T$117"}</definedName>
    <definedName name="___________bla3" localSheetId="6" hidden="1">{"'vert'!$A$1:$T$117"}</definedName>
    <definedName name="___________bla3" hidden="1">{"'vert'!$A$1:$T$117"}</definedName>
    <definedName name="___________DE2" localSheetId="5" hidden="1">{"'vert'!$A$1:$T$117"}</definedName>
    <definedName name="___________DE2" localSheetId="6" hidden="1">{"'vert'!$A$1:$T$117"}</definedName>
    <definedName name="___________DE2" hidden="1">{"'vert'!$A$1:$T$117"}</definedName>
    <definedName name="__________bla2" localSheetId="5" hidden="1">{"'vert'!$A$1:$T$117"}</definedName>
    <definedName name="__________bla2" localSheetId="6" hidden="1">{"'vert'!$A$1:$T$117"}</definedName>
    <definedName name="__________bla2" hidden="1">{"'vert'!$A$1:$T$117"}</definedName>
    <definedName name="__________bla3" localSheetId="5" hidden="1">{"'vert'!$A$1:$T$117"}</definedName>
    <definedName name="__________bla3" localSheetId="6" hidden="1">{"'vert'!$A$1:$T$117"}</definedName>
    <definedName name="__________bla3" hidden="1">{"'vert'!$A$1:$T$117"}</definedName>
    <definedName name="__________DE2" localSheetId="5" hidden="1">{"'vert'!$A$1:$T$117"}</definedName>
    <definedName name="__________DE2" localSheetId="6" hidden="1">{"'vert'!$A$1:$T$117"}</definedName>
    <definedName name="__________DE2" hidden="1">{"'vert'!$A$1:$T$117"}</definedName>
    <definedName name="__________huh3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_____huh3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_____huh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____bla2" localSheetId="5" hidden="1">{"'vert'!$A$1:$T$117"}</definedName>
    <definedName name="_________bla2" localSheetId="6" hidden="1">{"'vert'!$A$1:$T$117"}</definedName>
    <definedName name="_________bla2" hidden="1">{"'vert'!$A$1:$T$117"}</definedName>
    <definedName name="_________bla3" localSheetId="5" hidden="1">{"'vert'!$A$1:$T$117"}</definedName>
    <definedName name="_________bla3" localSheetId="6" hidden="1">{"'vert'!$A$1:$T$117"}</definedName>
    <definedName name="_________bla3" hidden="1">{"'vert'!$A$1:$T$117"}</definedName>
    <definedName name="_________DE2" localSheetId="5" hidden="1">{"'vert'!$A$1:$T$117"}</definedName>
    <definedName name="_________DE2" localSheetId="6" hidden="1">{"'vert'!$A$1:$T$117"}</definedName>
    <definedName name="_________DE2" hidden="1">{"'vert'!$A$1:$T$117"}</definedName>
    <definedName name="_________huh3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____huh3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____huh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___bla2" localSheetId="5" hidden="1">{"'vert'!$A$1:$T$117"}</definedName>
    <definedName name="________bla2" localSheetId="6" hidden="1">{"'vert'!$A$1:$T$117"}</definedName>
    <definedName name="________bla2" hidden="1">{"'vert'!$A$1:$T$117"}</definedName>
    <definedName name="________bla3" localSheetId="5" hidden="1">{"'vert'!$A$1:$T$117"}</definedName>
    <definedName name="________bla3" localSheetId="6" hidden="1">{"'vert'!$A$1:$T$117"}</definedName>
    <definedName name="________bla3" hidden="1">{"'vert'!$A$1:$T$117"}</definedName>
    <definedName name="________DE2" localSheetId="5" hidden="1">{"'vert'!$A$1:$T$117"}</definedName>
    <definedName name="________DE2" localSheetId="6" hidden="1">{"'vert'!$A$1:$T$117"}</definedName>
    <definedName name="________DE2" hidden="1">{"'vert'!$A$1:$T$117"}</definedName>
    <definedName name="________huh3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___huh3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___huh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__bla2" localSheetId="5" hidden="1">{"'vert'!$A$1:$T$117"}</definedName>
    <definedName name="_______bla2" localSheetId="6" hidden="1">{"'vert'!$A$1:$T$117"}</definedName>
    <definedName name="_______bla2" hidden="1">{"'vert'!$A$1:$T$117"}</definedName>
    <definedName name="_______bla3" localSheetId="5" hidden="1">{"'vert'!$A$1:$T$117"}</definedName>
    <definedName name="_______bla3" localSheetId="6" hidden="1">{"'vert'!$A$1:$T$117"}</definedName>
    <definedName name="_______bla3" hidden="1">{"'vert'!$A$1:$T$117"}</definedName>
    <definedName name="_______DE2" localSheetId="5" hidden="1">{"'vert'!$A$1:$T$117"}</definedName>
    <definedName name="_______DE2" localSheetId="6" hidden="1">{"'vert'!$A$1:$T$117"}</definedName>
    <definedName name="_______DE2" hidden="1">{"'vert'!$A$1:$T$117"}</definedName>
    <definedName name="______bla2" localSheetId="5" hidden="1">{"'vert'!$A$1:$T$117"}</definedName>
    <definedName name="______bla2" localSheetId="6" hidden="1">{"'vert'!$A$1:$T$117"}</definedName>
    <definedName name="______bla2" hidden="1">{"'vert'!$A$1:$T$117"}</definedName>
    <definedName name="______bla2_1" localSheetId="5" hidden="1">{"'vert'!$A$1:$T$117"}</definedName>
    <definedName name="______bla2_1" localSheetId="6" hidden="1">{"'vert'!$A$1:$T$117"}</definedName>
    <definedName name="______bla2_1" hidden="1">{"'vert'!$A$1:$T$117"}</definedName>
    <definedName name="______bla2_1_1" localSheetId="5" hidden="1">{"'vert'!$A$1:$T$117"}</definedName>
    <definedName name="______bla2_1_1" localSheetId="6" hidden="1">{"'vert'!$A$1:$T$117"}</definedName>
    <definedName name="______bla2_1_1" hidden="1">{"'vert'!$A$1:$T$117"}</definedName>
    <definedName name="______bla2_1_2" localSheetId="5" hidden="1">{"'vert'!$A$1:$T$117"}</definedName>
    <definedName name="______bla2_1_2" localSheetId="6" hidden="1">{"'vert'!$A$1:$T$117"}</definedName>
    <definedName name="______bla2_1_2" hidden="1">{"'vert'!$A$1:$T$117"}</definedName>
    <definedName name="______bla2_2" localSheetId="5" hidden="1">{"'vert'!$A$1:$T$117"}</definedName>
    <definedName name="______bla2_2" localSheetId="6" hidden="1">{"'vert'!$A$1:$T$117"}</definedName>
    <definedName name="______bla2_2" hidden="1">{"'vert'!$A$1:$T$117"}</definedName>
    <definedName name="______bla2_3" localSheetId="5" hidden="1">{"'vert'!$A$1:$T$117"}</definedName>
    <definedName name="______bla2_3" localSheetId="6" hidden="1">{"'vert'!$A$1:$T$117"}</definedName>
    <definedName name="______bla2_3" hidden="1">{"'vert'!$A$1:$T$117"}</definedName>
    <definedName name="______bla3" localSheetId="5" hidden="1">{"'vert'!$A$1:$T$117"}</definedName>
    <definedName name="______bla3" localSheetId="6" hidden="1">{"'vert'!$A$1:$T$117"}</definedName>
    <definedName name="______bla3" hidden="1">{"'vert'!$A$1:$T$117"}</definedName>
    <definedName name="______bla3_1" localSheetId="5" hidden="1">{"'vert'!$A$1:$T$117"}</definedName>
    <definedName name="______bla3_1" localSheetId="6" hidden="1">{"'vert'!$A$1:$T$117"}</definedName>
    <definedName name="______bla3_1" hidden="1">{"'vert'!$A$1:$T$117"}</definedName>
    <definedName name="______bla3_1_1" localSheetId="5" hidden="1">{"'vert'!$A$1:$T$117"}</definedName>
    <definedName name="______bla3_1_1" localSheetId="6" hidden="1">{"'vert'!$A$1:$T$117"}</definedName>
    <definedName name="______bla3_1_1" hidden="1">{"'vert'!$A$1:$T$117"}</definedName>
    <definedName name="______bla3_1_2" localSheetId="5" hidden="1">{"'vert'!$A$1:$T$117"}</definedName>
    <definedName name="______bla3_1_2" localSheetId="6" hidden="1">{"'vert'!$A$1:$T$117"}</definedName>
    <definedName name="______bla3_1_2" hidden="1">{"'vert'!$A$1:$T$117"}</definedName>
    <definedName name="______bla3_2" localSheetId="5" hidden="1">{"'vert'!$A$1:$T$117"}</definedName>
    <definedName name="______bla3_2" localSheetId="6" hidden="1">{"'vert'!$A$1:$T$117"}</definedName>
    <definedName name="______bla3_2" hidden="1">{"'vert'!$A$1:$T$117"}</definedName>
    <definedName name="______bla3_3" localSheetId="5" hidden="1">{"'vert'!$A$1:$T$117"}</definedName>
    <definedName name="______bla3_3" localSheetId="6" hidden="1">{"'vert'!$A$1:$T$117"}</definedName>
    <definedName name="______bla3_3" hidden="1">{"'vert'!$A$1:$T$117"}</definedName>
    <definedName name="______DE2" localSheetId="5" hidden="1">{"'vert'!$A$1:$T$117"}</definedName>
    <definedName name="______DE2" localSheetId="6" hidden="1">{"'vert'!$A$1:$T$117"}</definedName>
    <definedName name="______DE2" hidden="1">{"'vert'!$A$1:$T$117"}</definedName>
    <definedName name="______DE2_1" localSheetId="5" hidden="1">{"'vert'!$A$1:$T$117"}</definedName>
    <definedName name="______DE2_1" localSheetId="6" hidden="1">{"'vert'!$A$1:$T$117"}</definedName>
    <definedName name="______DE2_1" hidden="1">{"'vert'!$A$1:$T$117"}</definedName>
    <definedName name="______DE2_1_1" localSheetId="5" hidden="1">{"'vert'!$A$1:$T$117"}</definedName>
    <definedName name="______DE2_1_1" localSheetId="6" hidden="1">{"'vert'!$A$1:$T$117"}</definedName>
    <definedName name="______DE2_1_1" hidden="1">{"'vert'!$A$1:$T$117"}</definedName>
    <definedName name="______DE2_1_2" localSheetId="5" hidden="1">{"'vert'!$A$1:$T$117"}</definedName>
    <definedName name="______DE2_1_2" localSheetId="6" hidden="1">{"'vert'!$A$1:$T$117"}</definedName>
    <definedName name="______DE2_1_2" hidden="1">{"'vert'!$A$1:$T$117"}</definedName>
    <definedName name="______DE2_2" localSheetId="5" hidden="1">{"'vert'!$A$1:$T$117"}</definedName>
    <definedName name="______DE2_2" localSheetId="6" hidden="1">{"'vert'!$A$1:$T$117"}</definedName>
    <definedName name="______DE2_2" hidden="1">{"'vert'!$A$1:$T$117"}</definedName>
    <definedName name="______DE2_3" localSheetId="5" hidden="1">{"'vert'!$A$1:$T$117"}</definedName>
    <definedName name="______DE2_3" localSheetId="6" hidden="1">{"'vert'!$A$1:$T$117"}</definedName>
    <definedName name="______DE2_3" hidden="1">{"'vert'!$A$1:$T$117"}</definedName>
    <definedName name="______huh3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_huh3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_huh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a1" localSheetId="5" hidden="1">{"'vert'!$A$1:$T$117"}</definedName>
    <definedName name="_____a1" localSheetId="6" hidden="1">{"'vert'!$A$1:$T$117"}</definedName>
    <definedName name="_____a1" hidden="1">{"'vert'!$A$1:$T$117"}</definedName>
    <definedName name="_____a1_1" localSheetId="5" hidden="1">{"'vert'!$A$1:$T$117"}</definedName>
    <definedName name="_____a1_1" localSheetId="6" hidden="1">{"'vert'!$A$1:$T$117"}</definedName>
    <definedName name="_____a1_1" hidden="1">{"'vert'!$A$1:$T$117"}</definedName>
    <definedName name="_____a1_1_1" localSheetId="5" hidden="1">{"'vert'!$A$1:$T$117"}</definedName>
    <definedName name="_____a1_1_1" localSheetId="6" hidden="1">{"'vert'!$A$1:$T$117"}</definedName>
    <definedName name="_____a1_1_1" hidden="1">{"'vert'!$A$1:$T$117"}</definedName>
    <definedName name="_____a1_1_2" localSheetId="5" hidden="1">{"'vert'!$A$1:$T$117"}</definedName>
    <definedName name="_____a1_1_2" localSheetId="6" hidden="1">{"'vert'!$A$1:$T$117"}</definedName>
    <definedName name="_____a1_1_2" hidden="1">{"'vert'!$A$1:$T$117"}</definedName>
    <definedName name="_____a1_2" localSheetId="5" hidden="1">{"'vert'!$A$1:$T$117"}</definedName>
    <definedName name="_____a1_2" localSheetId="6" hidden="1">{"'vert'!$A$1:$T$117"}</definedName>
    <definedName name="_____a1_2" hidden="1">{"'vert'!$A$1:$T$117"}</definedName>
    <definedName name="_____a1_3" localSheetId="5" hidden="1">{"'vert'!$A$1:$T$117"}</definedName>
    <definedName name="_____a1_3" localSheetId="6" hidden="1">{"'vert'!$A$1:$T$117"}</definedName>
    <definedName name="_____a1_3" hidden="1">{"'vert'!$A$1:$T$117"}</definedName>
    <definedName name="_____a101" localSheetId="5" hidden="1">{"'vert'!$A$1:$T$117"}</definedName>
    <definedName name="_____a101" localSheetId="6" hidden="1">{"'vert'!$A$1:$T$117"}</definedName>
    <definedName name="_____a101" hidden="1">{"'vert'!$A$1:$T$117"}</definedName>
    <definedName name="_____a101_1" localSheetId="5" hidden="1">{"'vert'!$A$1:$T$117"}</definedName>
    <definedName name="_____a101_1" localSheetId="6" hidden="1">{"'vert'!$A$1:$T$117"}</definedName>
    <definedName name="_____a101_1" hidden="1">{"'vert'!$A$1:$T$117"}</definedName>
    <definedName name="_____a101_1_1" localSheetId="5" hidden="1">{"'vert'!$A$1:$T$117"}</definedName>
    <definedName name="_____a101_1_1" localSheetId="6" hidden="1">{"'vert'!$A$1:$T$117"}</definedName>
    <definedName name="_____a101_1_1" hidden="1">{"'vert'!$A$1:$T$117"}</definedName>
    <definedName name="_____a101_1_2" localSheetId="5" hidden="1">{"'vert'!$A$1:$T$117"}</definedName>
    <definedName name="_____a101_1_2" localSheetId="6" hidden="1">{"'vert'!$A$1:$T$117"}</definedName>
    <definedName name="_____a101_1_2" hidden="1">{"'vert'!$A$1:$T$117"}</definedName>
    <definedName name="_____a101_2" localSheetId="5" hidden="1">{"'vert'!$A$1:$T$117"}</definedName>
    <definedName name="_____a101_2" localSheetId="6" hidden="1">{"'vert'!$A$1:$T$117"}</definedName>
    <definedName name="_____a101_2" hidden="1">{"'vert'!$A$1:$T$117"}</definedName>
    <definedName name="_____a101_3" localSheetId="5" hidden="1">{"'vert'!$A$1:$T$117"}</definedName>
    <definedName name="_____a101_3" localSheetId="6" hidden="1">{"'vert'!$A$1:$T$117"}</definedName>
    <definedName name="_____a101_3" hidden="1">{"'vert'!$A$1:$T$117"}</definedName>
    <definedName name="_____a102" localSheetId="5" hidden="1">{"'vert'!$A$1:$T$117"}</definedName>
    <definedName name="_____a102" localSheetId="6" hidden="1">{"'vert'!$A$1:$T$117"}</definedName>
    <definedName name="_____a102" hidden="1">{"'vert'!$A$1:$T$117"}</definedName>
    <definedName name="_____a102_1" localSheetId="5" hidden="1">{"'vert'!$A$1:$T$117"}</definedName>
    <definedName name="_____a102_1" localSheetId="6" hidden="1">{"'vert'!$A$1:$T$117"}</definedName>
    <definedName name="_____a102_1" hidden="1">{"'vert'!$A$1:$T$117"}</definedName>
    <definedName name="_____a102_1_1" localSheetId="5" hidden="1">{"'vert'!$A$1:$T$117"}</definedName>
    <definedName name="_____a102_1_1" localSheetId="6" hidden="1">{"'vert'!$A$1:$T$117"}</definedName>
    <definedName name="_____a102_1_1" hidden="1">{"'vert'!$A$1:$T$117"}</definedName>
    <definedName name="_____a102_1_2" localSheetId="5" hidden="1">{"'vert'!$A$1:$T$117"}</definedName>
    <definedName name="_____a102_1_2" localSheetId="6" hidden="1">{"'vert'!$A$1:$T$117"}</definedName>
    <definedName name="_____a102_1_2" hidden="1">{"'vert'!$A$1:$T$117"}</definedName>
    <definedName name="_____a102_2" localSheetId="5" hidden="1">{"'vert'!$A$1:$T$117"}</definedName>
    <definedName name="_____a102_2" localSheetId="6" hidden="1">{"'vert'!$A$1:$T$117"}</definedName>
    <definedName name="_____a102_2" hidden="1">{"'vert'!$A$1:$T$117"}</definedName>
    <definedName name="_____a102_3" localSheetId="5" hidden="1">{"'vert'!$A$1:$T$117"}</definedName>
    <definedName name="_____a102_3" localSheetId="6" hidden="1">{"'vert'!$A$1:$T$117"}</definedName>
    <definedName name="_____a102_3" hidden="1">{"'vert'!$A$1:$T$117"}</definedName>
    <definedName name="_____a103" localSheetId="5" hidden="1">{"'vert'!$A$1:$T$117"}</definedName>
    <definedName name="_____a103" localSheetId="6" hidden="1">{"'vert'!$A$1:$T$117"}</definedName>
    <definedName name="_____a103" hidden="1">{"'vert'!$A$1:$T$117"}</definedName>
    <definedName name="_____a103_1" localSheetId="5" hidden="1">{"'vert'!$A$1:$T$117"}</definedName>
    <definedName name="_____a103_1" localSheetId="6" hidden="1">{"'vert'!$A$1:$T$117"}</definedName>
    <definedName name="_____a103_1" hidden="1">{"'vert'!$A$1:$T$117"}</definedName>
    <definedName name="_____a103_1_1" localSheetId="5" hidden="1">{"'vert'!$A$1:$T$117"}</definedName>
    <definedName name="_____a103_1_1" localSheetId="6" hidden="1">{"'vert'!$A$1:$T$117"}</definedName>
    <definedName name="_____a103_1_1" hidden="1">{"'vert'!$A$1:$T$117"}</definedName>
    <definedName name="_____a103_1_2" localSheetId="5" hidden="1">{"'vert'!$A$1:$T$117"}</definedName>
    <definedName name="_____a103_1_2" localSheetId="6" hidden="1">{"'vert'!$A$1:$T$117"}</definedName>
    <definedName name="_____a103_1_2" hidden="1">{"'vert'!$A$1:$T$117"}</definedName>
    <definedName name="_____a103_2" localSheetId="5" hidden="1">{"'vert'!$A$1:$T$117"}</definedName>
    <definedName name="_____a103_2" localSheetId="6" hidden="1">{"'vert'!$A$1:$T$117"}</definedName>
    <definedName name="_____a103_2" hidden="1">{"'vert'!$A$1:$T$117"}</definedName>
    <definedName name="_____a103_3" localSheetId="5" hidden="1">{"'vert'!$A$1:$T$117"}</definedName>
    <definedName name="_____a103_3" localSheetId="6" hidden="1">{"'vert'!$A$1:$T$117"}</definedName>
    <definedName name="_____a103_3" hidden="1">{"'vert'!$A$1:$T$117"}</definedName>
    <definedName name="_____a104" localSheetId="5" hidden="1">{"'vert'!$A$1:$T$117"}</definedName>
    <definedName name="_____a104" localSheetId="6" hidden="1">{"'vert'!$A$1:$T$117"}</definedName>
    <definedName name="_____a104" hidden="1">{"'vert'!$A$1:$T$117"}</definedName>
    <definedName name="_____a104_1" localSheetId="5" hidden="1">{"'vert'!$A$1:$T$117"}</definedName>
    <definedName name="_____a104_1" localSheetId="6" hidden="1">{"'vert'!$A$1:$T$117"}</definedName>
    <definedName name="_____a104_1" hidden="1">{"'vert'!$A$1:$T$117"}</definedName>
    <definedName name="_____a104_1_1" localSheetId="5" hidden="1">{"'vert'!$A$1:$T$117"}</definedName>
    <definedName name="_____a104_1_1" localSheetId="6" hidden="1">{"'vert'!$A$1:$T$117"}</definedName>
    <definedName name="_____a104_1_1" hidden="1">{"'vert'!$A$1:$T$117"}</definedName>
    <definedName name="_____a104_1_2" localSheetId="5" hidden="1">{"'vert'!$A$1:$T$117"}</definedName>
    <definedName name="_____a104_1_2" localSheetId="6" hidden="1">{"'vert'!$A$1:$T$117"}</definedName>
    <definedName name="_____a104_1_2" hidden="1">{"'vert'!$A$1:$T$117"}</definedName>
    <definedName name="_____a104_2" localSheetId="5" hidden="1">{"'vert'!$A$1:$T$117"}</definedName>
    <definedName name="_____a104_2" localSheetId="6" hidden="1">{"'vert'!$A$1:$T$117"}</definedName>
    <definedName name="_____a104_2" hidden="1">{"'vert'!$A$1:$T$117"}</definedName>
    <definedName name="_____a104_3" localSheetId="5" hidden="1">{"'vert'!$A$1:$T$117"}</definedName>
    <definedName name="_____a104_3" localSheetId="6" hidden="1">{"'vert'!$A$1:$T$117"}</definedName>
    <definedName name="_____a104_3" hidden="1">{"'vert'!$A$1:$T$117"}</definedName>
    <definedName name="_____a105" localSheetId="5" hidden="1">{"'vert'!$A$1:$T$117"}</definedName>
    <definedName name="_____a105" localSheetId="6" hidden="1">{"'vert'!$A$1:$T$117"}</definedName>
    <definedName name="_____a105" hidden="1">{"'vert'!$A$1:$T$117"}</definedName>
    <definedName name="_____a105_1" localSheetId="5" hidden="1">{"'vert'!$A$1:$T$117"}</definedName>
    <definedName name="_____a105_1" localSheetId="6" hidden="1">{"'vert'!$A$1:$T$117"}</definedName>
    <definedName name="_____a105_1" hidden="1">{"'vert'!$A$1:$T$117"}</definedName>
    <definedName name="_____a105_1_1" localSheetId="5" hidden="1">{"'vert'!$A$1:$T$117"}</definedName>
    <definedName name="_____a105_1_1" localSheetId="6" hidden="1">{"'vert'!$A$1:$T$117"}</definedName>
    <definedName name="_____a105_1_1" hidden="1">{"'vert'!$A$1:$T$117"}</definedName>
    <definedName name="_____a105_1_2" localSheetId="5" hidden="1">{"'vert'!$A$1:$T$117"}</definedName>
    <definedName name="_____a105_1_2" localSheetId="6" hidden="1">{"'vert'!$A$1:$T$117"}</definedName>
    <definedName name="_____a105_1_2" hidden="1">{"'vert'!$A$1:$T$117"}</definedName>
    <definedName name="_____a105_2" localSheetId="5" hidden="1">{"'vert'!$A$1:$T$117"}</definedName>
    <definedName name="_____a105_2" localSheetId="6" hidden="1">{"'vert'!$A$1:$T$117"}</definedName>
    <definedName name="_____a105_2" hidden="1">{"'vert'!$A$1:$T$117"}</definedName>
    <definedName name="_____a105_3" localSheetId="5" hidden="1">{"'vert'!$A$1:$T$117"}</definedName>
    <definedName name="_____a105_3" localSheetId="6" hidden="1">{"'vert'!$A$1:$T$117"}</definedName>
    <definedName name="_____a105_3" hidden="1">{"'vert'!$A$1:$T$117"}</definedName>
    <definedName name="_____a106" localSheetId="5" hidden="1">{"'vert'!$A$1:$T$117"}</definedName>
    <definedName name="_____a106" localSheetId="6" hidden="1">{"'vert'!$A$1:$T$117"}</definedName>
    <definedName name="_____a106" hidden="1">{"'vert'!$A$1:$T$117"}</definedName>
    <definedName name="_____a106_1" localSheetId="5" hidden="1">{"'vert'!$A$1:$T$117"}</definedName>
    <definedName name="_____a106_1" localSheetId="6" hidden="1">{"'vert'!$A$1:$T$117"}</definedName>
    <definedName name="_____a106_1" hidden="1">{"'vert'!$A$1:$T$117"}</definedName>
    <definedName name="_____a106_1_1" localSheetId="5" hidden="1">{"'vert'!$A$1:$T$117"}</definedName>
    <definedName name="_____a106_1_1" localSheetId="6" hidden="1">{"'vert'!$A$1:$T$117"}</definedName>
    <definedName name="_____a106_1_1" hidden="1">{"'vert'!$A$1:$T$117"}</definedName>
    <definedName name="_____a106_1_2" localSheetId="5" hidden="1">{"'vert'!$A$1:$T$117"}</definedName>
    <definedName name="_____a106_1_2" localSheetId="6" hidden="1">{"'vert'!$A$1:$T$117"}</definedName>
    <definedName name="_____a106_1_2" hidden="1">{"'vert'!$A$1:$T$117"}</definedName>
    <definedName name="_____a106_2" localSheetId="5" hidden="1">{"'vert'!$A$1:$T$117"}</definedName>
    <definedName name="_____a106_2" localSheetId="6" hidden="1">{"'vert'!$A$1:$T$117"}</definedName>
    <definedName name="_____a106_2" hidden="1">{"'vert'!$A$1:$T$117"}</definedName>
    <definedName name="_____a106_3" localSheetId="5" hidden="1">{"'vert'!$A$1:$T$117"}</definedName>
    <definedName name="_____a106_3" localSheetId="6" hidden="1">{"'vert'!$A$1:$T$117"}</definedName>
    <definedName name="_____a106_3" hidden="1">{"'vert'!$A$1:$T$117"}</definedName>
    <definedName name="_____a107" localSheetId="5" hidden="1">{"'vert'!$A$1:$T$117"}</definedName>
    <definedName name="_____a107" localSheetId="6" hidden="1">{"'vert'!$A$1:$T$117"}</definedName>
    <definedName name="_____a107" hidden="1">{"'vert'!$A$1:$T$117"}</definedName>
    <definedName name="_____a107_1" localSheetId="5" hidden="1">{"'vert'!$A$1:$T$117"}</definedName>
    <definedName name="_____a107_1" localSheetId="6" hidden="1">{"'vert'!$A$1:$T$117"}</definedName>
    <definedName name="_____a107_1" hidden="1">{"'vert'!$A$1:$T$117"}</definedName>
    <definedName name="_____a107_1_1" localSheetId="5" hidden="1">{"'vert'!$A$1:$T$117"}</definedName>
    <definedName name="_____a107_1_1" localSheetId="6" hidden="1">{"'vert'!$A$1:$T$117"}</definedName>
    <definedName name="_____a107_1_1" hidden="1">{"'vert'!$A$1:$T$117"}</definedName>
    <definedName name="_____a107_1_2" localSheetId="5" hidden="1">{"'vert'!$A$1:$T$117"}</definedName>
    <definedName name="_____a107_1_2" localSheetId="6" hidden="1">{"'vert'!$A$1:$T$117"}</definedName>
    <definedName name="_____a107_1_2" hidden="1">{"'vert'!$A$1:$T$117"}</definedName>
    <definedName name="_____a107_2" localSheetId="5" hidden="1">{"'vert'!$A$1:$T$117"}</definedName>
    <definedName name="_____a107_2" localSheetId="6" hidden="1">{"'vert'!$A$1:$T$117"}</definedName>
    <definedName name="_____a107_2" hidden="1">{"'vert'!$A$1:$T$117"}</definedName>
    <definedName name="_____a107_3" localSheetId="5" hidden="1">{"'vert'!$A$1:$T$117"}</definedName>
    <definedName name="_____a107_3" localSheetId="6" hidden="1">{"'vert'!$A$1:$T$117"}</definedName>
    <definedName name="_____a107_3" hidden="1">{"'vert'!$A$1:$T$117"}</definedName>
    <definedName name="_____a108" localSheetId="5" hidden="1">{"'vert'!$A$1:$T$117"}</definedName>
    <definedName name="_____a108" localSheetId="6" hidden="1">{"'vert'!$A$1:$T$117"}</definedName>
    <definedName name="_____a108" hidden="1">{"'vert'!$A$1:$T$117"}</definedName>
    <definedName name="_____a108_1" localSheetId="5" hidden="1">{"'vert'!$A$1:$T$117"}</definedName>
    <definedName name="_____a108_1" localSheetId="6" hidden="1">{"'vert'!$A$1:$T$117"}</definedName>
    <definedName name="_____a108_1" hidden="1">{"'vert'!$A$1:$T$117"}</definedName>
    <definedName name="_____a108_1_1" localSheetId="5" hidden="1">{"'vert'!$A$1:$T$117"}</definedName>
    <definedName name="_____a108_1_1" localSheetId="6" hidden="1">{"'vert'!$A$1:$T$117"}</definedName>
    <definedName name="_____a108_1_1" hidden="1">{"'vert'!$A$1:$T$117"}</definedName>
    <definedName name="_____a108_1_2" localSheetId="5" hidden="1">{"'vert'!$A$1:$T$117"}</definedName>
    <definedName name="_____a108_1_2" localSheetId="6" hidden="1">{"'vert'!$A$1:$T$117"}</definedName>
    <definedName name="_____a108_1_2" hidden="1">{"'vert'!$A$1:$T$117"}</definedName>
    <definedName name="_____a108_2" localSheetId="5" hidden="1">{"'vert'!$A$1:$T$117"}</definedName>
    <definedName name="_____a108_2" localSheetId="6" hidden="1">{"'vert'!$A$1:$T$117"}</definedName>
    <definedName name="_____a108_2" hidden="1">{"'vert'!$A$1:$T$117"}</definedName>
    <definedName name="_____a108_3" localSheetId="5" hidden="1">{"'vert'!$A$1:$T$117"}</definedName>
    <definedName name="_____a108_3" localSheetId="6" hidden="1">{"'vert'!$A$1:$T$117"}</definedName>
    <definedName name="_____a108_3" hidden="1">{"'vert'!$A$1:$T$117"}</definedName>
    <definedName name="_____a109" localSheetId="5" hidden="1">{"'vert'!$A$1:$T$117"}</definedName>
    <definedName name="_____a109" localSheetId="6" hidden="1">{"'vert'!$A$1:$T$117"}</definedName>
    <definedName name="_____a109" hidden="1">{"'vert'!$A$1:$T$117"}</definedName>
    <definedName name="_____a109_1" localSheetId="5" hidden="1">{"'vert'!$A$1:$T$117"}</definedName>
    <definedName name="_____a109_1" localSheetId="6" hidden="1">{"'vert'!$A$1:$T$117"}</definedName>
    <definedName name="_____a109_1" hidden="1">{"'vert'!$A$1:$T$117"}</definedName>
    <definedName name="_____a109_1_1" localSheetId="5" hidden="1">{"'vert'!$A$1:$T$117"}</definedName>
    <definedName name="_____a109_1_1" localSheetId="6" hidden="1">{"'vert'!$A$1:$T$117"}</definedName>
    <definedName name="_____a109_1_1" hidden="1">{"'vert'!$A$1:$T$117"}</definedName>
    <definedName name="_____a109_1_2" localSheetId="5" hidden="1">{"'vert'!$A$1:$T$117"}</definedName>
    <definedName name="_____a109_1_2" localSheetId="6" hidden="1">{"'vert'!$A$1:$T$117"}</definedName>
    <definedName name="_____a109_1_2" hidden="1">{"'vert'!$A$1:$T$117"}</definedName>
    <definedName name="_____a109_2" localSheetId="5" hidden="1">{"'vert'!$A$1:$T$117"}</definedName>
    <definedName name="_____a109_2" localSheetId="6" hidden="1">{"'vert'!$A$1:$T$117"}</definedName>
    <definedName name="_____a109_2" hidden="1">{"'vert'!$A$1:$T$117"}</definedName>
    <definedName name="_____a109_3" localSheetId="5" hidden="1">{"'vert'!$A$1:$T$117"}</definedName>
    <definedName name="_____a109_3" localSheetId="6" hidden="1">{"'vert'!$A$1:$T$117"}</definedName>
    <definedName name="_____a109_3" hidden="1">{"'vert'!$A$1:$T$117"}</definedName>
    <definedName name="_____a11" localSheetId="5" hidden="1">{"'vert'!$A$1:$T$117"}</definedName>
    <definedName name="_____a11" localSheetId="6" hidden="1">{"'vert'!$A$1:$T$117"}</definedName>
    <definedName name="_____a11" hidden="1">{"'vert'!$A$1:$T$117"}</definedName>
    <definedName name="_____a11_1" localSheetId="5" hidden="1">{"'vert'!$A$1:$T$117"}</definedName>
    <definedName name="_____a11_1" localSheetId="6" hidden="1">{"'vert'!$A$1:$T$117"}</definedName>
    <definedName name="_____a11_1" hidden="1">{"'vert'!$A$1:$T$117"}</definedName>
    <definedName name="_____a11_1_1" localSheetId="5" hidden="1">{"'vert'!$A$1:$T$117"}</definedName>
    <definedName name="_____a11_1_1" localSheetId="6" hidden="1">{"'vert'!$A$1:$T$117"}</definedName>
    <definedName name="_____a11_1_1" hidden="1">{"'vert'!$A$1:$T$117"}</definedName>
    <definedName name="_____a11_1_2" localSheetId="5" hidden="1">{"'vert'!$A$1:$T$117"}</definedName>
    <definedName name="_____a11_1_2" localSheetId="6" hidden="1">{"'vert'!$A$1:$T$117"}</definedName>
    <definedName name="_____a11_1_2" hidden="1">{"'vert'!$A$1:$T$117"}</definedName>
    <definedName name="_____a11_2" localSheetId="5" hidden="1">{"'vert'!$A$1:$T$117"}</definedName>
    <definedName name="_____a11_2" localSheetId="6" hidden="1">{"'vert'!$A$1:$T$117"}</definedName>
    <definedName name="_____a11_2" hidden="1">{"'vert'!$A$1:$T$117"}</definedName>
    <definedName name="_____a11_3" localSheetId="5" hidden="1">{"'vert'!$A$1:$T$117"}</definedName>
    <definedName name="_____a11_3" localSheetId="6" hidden="1">{"'vert'!$A$1:$T$117"}</definedName>
    <definedName name="_____a11_3" hidden="1">{"'vert'!$A$1:$T$117"}</definedName>
    <definedName name="_____a110" localSheetId="5" hidden="1">{"'vert'!$A$1:$T$117"}</definedName>
    <definedName name="_____a110" localSheetId="6" hidden="1">{"'vert'!$A$1:$T$117"}</definedName>
    <definedName name="_____a110" hidden="1">{"'vert'!$A$1:$T$117"}</definedName>
    <definedName name="_____a110_1" localSheetId="5" hidden="1">{"'vert'!$A$1:$T$117"}</definedName>
    <definedName name="_____a110_1" localSheetId="6" hidden="1">{"'vert'!$A$1:$T$117"}</definedName>
    <definedName name="_____a110_1" hidden="1">{"'vert'!$A$1:$T$117"}</definedName>
    <definedName name="_____a110_1_1" localSheetId="5" hidden="1">{"'vert'!$A$1:$T$117"}</definedName>
    <definedName name="_____a110_1_1" localSheetId="6" hidden="1">{"'vert'!$A$1:$T$117"}</definedName>
    <definedName name="_____a110_1_1" hidden="1">{"'vert'!$A$1:$T$117"}</definedName>
    <definedName name="_____a110_1_2" localSheetId="5" hidden="1">{"'vert'!$A$1:$T$117"}</definedName>
    <definedName name="_____a110_1_2" localSheetId="6" hidden="1">{"'vert'!$A$1:$T$117"}</definedName>
    <definedName name="_____a110_1_2" hidden="1">{"'vert'!$A$1:$T$117"}</definedName>
    <definedName name="_____a110_2" localSheetId="5" hidden="1">{"'vert'!$A$1:$T$117"}</definedName>
    <definedName name="_____a110_2" localSheetId="6" hidden="1">{"'vert'!$A$1:$T$117"}</definedName>
    <definedName name="_____a110_2" hidden="1">{"'vert'!$A$1:$T$117"}</definedName>
    <definedName name="_____a110_3" localSheetId="5" hidden="1">{"'vert'!$A$1:$T$117"}</definedName>
    <definedName name="_____a110_3" localSheetId="6" hidden="1">{"'vert'!$A$1:$T$117"}</definedName>
    <definedName name="_____a110_3" hidden="1">{"'vert'!$A$1:$T$117"}</definedName>
    <definedName name="_____a111" localSheetId="5" hidden="1">{"'vert'!$A$1:$T$117"}</definedName>
    <definedName name="_____a111" localSheetId="6" hidden="1">{"'vert'!$A$1:$T$117"}</definedName>
    <definedName name="_____a111" hidden="1">{"'vert'!$A$1:$T$117"}</definedName>
    <definedName name="_____a111_1" localSheetId="5" hidden="1">{"'vert'!$A$1:$T$117"}</definedName>
    <definedName name="_____a111_1" localSheetId="6" hidden="1">{"'vert'!$A$1:$T$117"}</definedName>
    <definedName name="_____a111_1" hidden="1">{"'vert'!$A$1:$T$117"}</definedName>
    <definedName name="_____a111_1_1" localSheetId="5" hidden="1">{"'vert'!$A$1:$T$117"}</definedName>
    <definedName name="_____a111_1_1" localSheetId="6" hidden="1">{"'vert'!$A$1:$T$117"}</definedName>
    <definedName name="_____a111_1_1" hidden="1">{"'vert'!$A$1:$T$117"}</definedName>
    <definedName name="_____a111_1_2" localSheetId="5" hidden="1">{"'vert'!$A$1:$T$117"}</definedName>
    <definedName name="_____a111_1_2" localSheetId="6" hidden="1">{"'vert'!$A$1:$T$117"}</definedName>
    <definedName name="_____a111_1_2" hidden="1">{"'vert'!$A$1:$T$117"}</definedName>
    <definedName name="_____a111_2" localSheetId="5" hidden="1">{"'vert'!$A$1:$T$117"}</definedName>
    <definedName name="_____a111_2" localSheetId="6" hidden="1">{"'vert'!$A$1:$T$117"}</definedName>
    <definedName name="_____a111_2" hidden="1">{"'vert'!$A$1:$T$117"}</definedName>
    <definedName name="_____a111_3" localSheetId="5" hidden="1">{"'vert'!$A$1:$T$117"}</definedName>
    <definedName name="_____a111_3" localSheetId="6" hidden="1">{"'vert'!$A$1:$T$117"}</definedName>
    <definedName name="_____a111_3" hidden="1">{"'vert'!$A$1:$T$117"}</definedName>
    <definedName name="_____a112" localSheetId="5" hidden="1">{"'vert'!$A$1:$T$117"}</definedName>
    <definedName name="_____a112" localSheetId="6" hidden="1">{"'vert'!$A$1:$T$117"}</definedName>
    <definedName name="_____a112" hidden="1">{"'vert'!$A$1:$T$117"}</definedName>
    <definedName name="_____a112_1" localSheetId="5" hidden="1">{"'vert'!$A$1:$T$117"}</definedName>
    <definedName name="_____a112_1" localSheetId="6" hidden="1">{"'vert'!$A$1:$T$117"}</definedName>
    <definedName name="_____a112_1" hidden="1">{"'vert'!$A$1:$T$117"}</definedName>
    <definedName name="_____a112_1_1" localSheetId="5" hidden="1">{"'vert'!$A$1:$T$117"}</definedName>
    <definedName name="_____a112_1_1" localSheetId="6" hidden="1">{"'vert'!$A$1:$T$117"}</definedName>
    <definedName name="_____a112_1_1" hidden="1">{"'vert'!$A$1:$T$117"}</definedName>
    <definedName name="_____a112_1_2" localSheetId="5" hidden="1">{"'vert'!$A$1:$T$117"}</definedName>
    <definedName name="_____a112_1_2" localSheetId="6" hidden="1">{"'vert'!$A$1:$T$117"}</definedName>
    <definedName name="_____a112_1_2" hidden="1">{"'vert'!$A$1:$T$117"}</definedName>
    <definedName name="_____a112_2" localSheetId="5" hidden="1">{"'vert'!$A$1:$T$117"}</definedName>
    <definedName name="_____a112_2" localSheetId="6" hidden="1">{"'vert'!$A$1:$T$117"}</definedName>
    <definedName name="_____a112_2" hidden="1">{"'vert'!$A$1:$T$117"}</definedName>
    <definedName name="_____a112_3" localSheetId="5" hidden="1">{"'vert'!$A$1:$T$117"}</definedName>
    <definedName name="_____a112_3" localSheetId="6" hidden="1">{"'vert'!$A$1:$T$117"}</definedName>
    <definedName name="_____a112_3" hidden="1">{"'vert'!$A$1:$T$117"}</definedName>
    <definedName name="_____a113" localSheetId="5" hidden="1">{"'vert'!$A$1:$T$117"}</definedName>
    <definedName name="_____a113" localSheetId="6" hidden="1">{"'vert'!$A$1:$T$117"}</definedName>
    <definedName name="_____a113" hidden="1">{"'vert'!$A$1:$T$117"}</definedName>
    <definedName name="_____a113_1" localSheetId="5" hidden="1">{"'vert'!$A$1:$T$117"}</definedName>
    <definedName name="_____a113_1" localSheetId="6" hidden="1">{"'vert'!$A$1:$T$117"}</definedName>
    <definedName name="_____a113_1" hidden="1">{"'vert'!$A$1:$T$117"}</definedName>
    <definedName name="_____a113_1_1" localSheetId="5" hidden="1">{"'vert'!$A$1:$T$117"}</definedName>
    <definedName name="_____a113_1_1" localSheetId="6" hidden="1">{"'vert'!$A$1:$T$117"}</definedName>
    <definedName name="_____a113_1_1" hidden="1">{"'vert'!$A$1:$T$117"}</definedName>
    <definedName name="_____a113_1_2" localSheetId="5" hidden="1">{"'vert'!$A$1:$T$117"}</definedName>
    <definedName name="_____a113_1_2" localSheetId="6" hidden="1">{"'vert'!$A$1:$T$117"}</definedName>
    <definedName name="_____a113_1_2" hidden="1">{"'vert'!$A$1:$T$117"}</definedName>
    <definedName name="_____a113_2" localSheetId="5" hidden="1">{"'vert'!$A$1:$T$117"}</definedName>
    <definedName name="_____a113_2" localSheetId="6" hidden="1">{"'vert'!$A$1:$T$117"}</definedName>
    <definedName name="_____a113_2" hidden="1">{"'vert'!$A$1:$T$117"}</definedName>
    <definedName name="_____a113_3" localSheetId="5" hidden="1">{"'vert'!$A$1:$T$117"}</definedName>
    <definedName name="_____a113_3" localSheetId="6" hidden="1">{"'vert'!$A$1:$T$117"}</definedName>
    <definedName name="_____a113_3" hidden="1">{"'vert'!$A$1:$T$117"}</definedName>
    <definedName name="_____a114" localSheetId="5" hidden="1">{"'vert'!$A$1:$T$117"}</definedName>
    <definedName name="_____a114" localSheetId="6" hidden="1">{"'vert'!$A$1:$T$117"}</definedName>
    <definedName name="_____a114" hidden="1">{"'vert'!$A$1:$T$117"}</definedName>
    <definedName name="_____a114_1" localSheetId="5" hidden="1">{"'vert'!$A$1:$T$117"}</definedName>
    <definedName name="_____a114_1" localSheetId="6" hidden="1">{"'vert'!$A$1:$T$117"}</definedName>
    <definedName name="_____a114_1" hidden="1">{"'vert'!$A$1:$T$117"}</definedName>
    <definedName name="_____a114_1_1" localSheetId="5" hidden="1">{"'vert'!$A$1:$T$117"}</definedName>
    <definedName name="_____a114_1_1" localSheetId="6" hidden="1">{"'vert'!$A$1:$T$117"}</definedName>
    <definedName name="_____a114_1_1" hidden="1">{"'vert'!$A$1:$T$117"}</definedName>
    <definedName name="_____a114_1_2" localSheetId="5" hidden="1">{"'vert'!$A$1:$T$117"}</definedName>
    <definedName name="_____a114_1_2" localSheetId="6" hidden="1">{"'vert'!$A$1:$T$117"}</definedName>
    <definedName name="_____a114_1_2" hidden="1">{"'vert'!$A$1:$T$117"}</definedName>
    <definedName name="_____a114_2" localSheetId="5" hidden="1">{"'vert'!$A$1:$T$117"}</definedName>
    <definedName name="_____a114_2" localSheetId="6" hidden="1">{"'vert'!$A$1:$T$117"}</definedName>
    <definedName name="_____a114_2" hidden="1">{"'vert'!$A$1:$T$117"}</definedName>
    <definedName name="_____a114_3" localSheetId="5" hidden="1">{"'vert'!$A$1:$T$117"}</definedName>
    <definedName name="_____a114_3" localSheetId="6" hidden="1">{"'vert'!$A$1:$T$117"}</definedName>
    <definedName name="_____a114_3" hidden="1">{"'vert'!$A$1:$T$117"}</definedName>
    <definedName name="_____a115" localSheetId="5" hidden="1">{"'vert'!$A$1:$T$117"}</definedName>
    <definedName name="_____a115" localSheetId="6" hidden="1">{"'vert'!$A$1:$T$117"}</definedName>
    <definedName name="_____a115" hidden="1">{"'vert'!$A$1:$T$117"}</definedName>
    <definedName name="_____a115_1" localSheetId="5" hidden="1">{"'vert'!$A$1:$T$117"}</definedName>
    <definedName name="_____a115_1" localSheetId="6" hidden="1">{"'vert'!$A$1:$T$117"}</definedName>
    <definedName name="_____a115_1" hidden="1">{"'vert'!$A$1:$T$117"}</definedName>
    <definedName name="_____a115_1_1" localSheetId="5" hidden="1">{"'vert'!$A$1:$T$117"}</definedName>
    <definedName name="_____a115_1_1" localSheetId="6" hidden="1">{"'vert'!$A$1:$T$117"}</definedName>
    <definedName name="_____a115_1_1" hidden="1">{"'vert'!$A$1:$T$117"}</definedName>
    <definedName name="_____a115_1_2" localSheetId="5" hidden="1">{"'vert'!$A$1:$T$117"}</definedName>
    <definedName name="_____a115_1_2" localSheetId="6" hidden="1">{"'vert'!$A$1:$T$117"}</definedName>
    <definedName name="_____a115_1_2" hidden="1">{"'vert'!$A$1:$T$117"}</definedName>
    <definedName name="_____a115_2" localSheetId="5" hidden="1">{"'vert'!$A$1:$T$117"}</definedName>
    <definedName name="_____a115_2" localSheetId="6" hidden="1">{"'vert'!$A$1:$T$117"}</definedName>
    <definedName name="_____a115_2" hidden="1">{"'vert'!$A$1:$T$117"}</definedName>
    <definedName name="_____a115_3" localSheetId="5" hidden="1">{"'vert'!$A$1:$T$117"}</definedName>
    <definedName name="_____a115_3" localSheetId="6" hidden="1">{"'vert'!$A$1:$T$117"}</definedName>
    <definedName name="_____a115_3" hidden="1">{"'vert'!$A$1:$T$117"}</definedName>
    <definedName name="_____a116" localSheetId="5" hidden="1">{"'vert'!$A$1:$T$117"}</definedName>
    <definedName name="_____a116" localSheetId="6" hidden="1">{"'vert'!$A$1:$T$117"}</definedName>
    <definedName name="_____a116" hidden="1">{"'vert'!$A$1:$T$117"}</definedName>
    <definedName name="_____a116_1" localSheetId="5" hidden="1">{"'vert'!$A$1:$T$117"}</definedName>
    <definedName name="_____a116_1" localSheetId="6" hidden="1">{"'vert'!$A$1:$T$117"}</definedName>
    <definedName name="_____a116_1" hidden="1">{"'vert'!$A$1:$T$117"}</definedName>
    <definedName name="_____a116_1_1" localSheetId="5" hidden="1">{"'vert'!$A$1:$T$117"}</definedName>
    <definedName name="_____a116_1_1" localSheetId="6" hidden="1">{"'vert'!$A$1:$T$117"}</definedName>
    <definedName name="_____a116_1_1" hidden="1">{"'vert'!$A$1:$T$117"}</definedName>
    <definedName name="_____a116_1_2" localSheetId="5" hidden="1">{"'vert'!$A$1:$T$117"}</definedName>
    <definedName name="_____a116_1_2" localSheetId="6" hidden="1">{"'vert'!$A$1:$T$117"}</definedName>
    <definedName name="_____a116_1_2" hidden="1">{"'vert'!$A$1:$T$117"}</definedName>
    <definedName name="_____a116_2" localSheetId="5" hidden="1">{"'vert'!$A$1:$T$117"}</definedName>
    <definedName name="_____a116_2" localSheetId="6" hidden="1">{"'vert'!$A$1:$T$117"}</definedName>
    <definedName name="_____a116_2" hidden="1">{"'vert'!$A$1:$T$117"}</definedName>
    <definedName name="_____a116_3" localSheetId="5" hidden="1">{"'vert'!$A$1:$T$117"}</definedName>
    <definedName name="_____a116_3" localSheetId="6" hidden="1">{"'vert'!$A$1:$T$117"}</definedName>
    <definedName name="_____a116_3" hidden="1">{"'vert'!$A$1:$T$117"}</definedName>
    <definedName name="_____a117" localSheetId="5" hidden="1">{"'vert'!$A$1:$T$117"}</definedName>
    <definedName name="_____a117" localSheetId="6" hidden="1">{"'vert'!$A$1:$T$117"}</definedName>
    <definedName name="_____a117" hidden="1">{"'vert'!$A$1:$T$117"}</definedName>
    <definedName name="_____a117_1" localSheetId="5" hidden="1">{"'vert'!$A$1:$T$117"}</definedName>
    <definedName name="_____a117_1" localSheetId="6" hidden="1">{"'vert'!$A$1:$T$117"}</definedName>
    <definedName name="_____a117_1" hidden="1">{"'vert'!$A$1:$T$117"}</definedName>
    <definedName name="_____a117_1_1" localSheetId="5" hidden="1">{"'vert'!$A$1:$T$117"}</definedName>
    <definedName name="_____a117_1_1" localSheetId="6" hidden="1">{"'vert'!$A$1:$T$117"}</definedName>
    <definedName name="_____a117_1_1" hidden="1">{"'vert'!$A$1:$T$117"}</definedName>
    <definedName name="_____a117_1_2" localSheetId="5" hidden="1">{"'vert'!$A$1:$T$117"}</definedName>
    <definedName name="_____a117_1_2" localSheetId="6" hidden="1">{"'vert'!$A$1:$T$117"}</definedName>
    <definedName name="_____a117_1_2" hidden="1">{"'vert'!$A$1:$T$117"}</definedName>
    <definedName name="_____a117_2" localSheetId="5" hidden="1">{"'vert'!$A$1:$T$117"}</definedName>
    <definedName name="_____a117_2" localSheetId="6" hidden="1">{"'vert'!$A$1:$T$117"}</definedName>
    <definedName name="_____a117_2" hidden="1">{"'vert'!$A$1:$T$117"}</definedName>
    <definedName name="_____a117_3" localSheetId="5" hidden="1">{"'vert'!$A$1:$T$117"}</definedName>
    <definedName name="_____a117_3" localSheetId="6" hidden="1">{"'vert'!$A$1:$T$117"}</definedName>
    <definedName name="_____a117_3" hidden="1">{"'vert'!$A$1:$T$117"}</definedName>
    <definedName name="_____a118" localSheetId="5" hidden="1">{"'vert'!$A$1:$T$117"}</definedName>
    <definedName name="_____a118" localSheetId="6" hidden="1">{"'vert'!$A$1:$T$117"}</definedName>
    <definedName name="_____a118" hidden="1">{"'vert'!$A$1:$T$117"}</definedName>
    <definedName name="_____a118_1" localSheetId="5" hidden="1">{"'vert'!$A$1:$T$117"}</definedName>
    <definedName name="_____a118_1" localSheetId="6" hidden="1">{"'vert'!$A$1:$T$117"}</definedName>
    <definedName name="_____a118_1" hidden="1">{"'vert'!$A$1:$T$117"}</definedName>
    <definedName name="_____a118_1_1" localSheetId="5" hidden="1">{"'vert'!$A$1:$T$117"}</definedName>
    <definedName name="_____a118_1_1" localSheetId="6" hidden="1">{"'vert'!$A$1:$T$117"}</definedName>
    <definedName name="_____a118_1_1" hidden="1">{"'vert'!$A$1:$T$117"}</definedName>
    <definedName name="_____a118_1_2" localSheetId="5" hidden="1">{"'vert'!$A$1:$T$117"}</definedName>
    <definedName name="_____a118_1_2" localSheetId="6" hidden="1">{"'vert'!$A$1:$T$117"}</definedName>
    <definedName name="_____a118_1_2" hidden="1">{"'vert'!$A$1:$T$117"}</definedName>
    <definedName name="_____a118_2" localSheetId="5" hidden="1">{"'vert'!$A$1:$T$117"}</definedName>
    <definedName name="_____a118_2" localSheetId="6" hidden="1">{"'vert'!$A$1:$T$117"}</definedName>
    <definedName name="_____a118_2" hidden="1">{"'vert'!$A$1:$T$117"}</definedName>
    <definedName name="_____a118_3" localSheetId="5" hidden="1">{"'vert'!$A$1:$T$117"}</definedName>
    <definedName name="_____a118_3" localSheetId="6" hidden="1">{"'vert'!$A$1:$T$117"}</definedName>
    <definedName name="_____a118_3" hidden="1">{"'vert'!$A$1:$T$117"}</definedName>
    <definedName name="_____a119" localSheetId="5" hidden="1">{"'vert'!$A$1:$T$117"}</definedName>
    <definedName name="_____a119" localSheetId="6" hidden="1">{"'vert'!$A$1:$T$117"}</definedName>
    <definedName name="_____a119" hidden="1">{"'vert'!$A$1:$T$117"}</definedName>
    <definedName name="_____a119_1" localSheetId="5" hidden="1">{"'vert'!$A$1:$T$117"}</definedName>
    <definedName name="_____a119_1" localSheetId="6" hidden="1">{"'vert'!$A$1:$T$117"}</definedName>
    <definedName name="_____a119_1" hidden="1">{"'vert'!$A$1:$T$117"}</definedName>
    <definedName name="_____a119_1_1" localSheetId="5" hidden="1">{"'vert'!$A$1:$T$117"}</definedName>
    <definedName name="_____a119_1_1" localSheetId="6" hidden="1">{"'vert'!$A$1:$T$117"}</definedName>
    <definedName name="_____a119_1_1" hidden="1">{"'vert'!$A$1:$T$117"}</definedName>
    <definedName name="_____a119_1_2" localSheetId="5" hidden="1">{"'vert'!$A$1:$T$117"}</definedName>
    <definedName name="_____a119_1_2" localSheetId="6" hidden="1">{"'vert'!$A$1:$T$117"}</definedName>
    <definedName name="_____a119_1_2" hidden="1">{"'vert'!$A$1:$T$117"}</definedName>
    <definedName name="_____a119_2" localSheetId="5" hidden="1">{"'vert'!$A$1:$T$117"}</definedName>
    <definedName name="_____a119_2" localSheetId="6" hidden="1">{"'vert'!$A$1:$T$117"}</definedName>
    <definedName name="_____a119_2" hidden="1">{"'vert'!$A$1:$T$117"}</definedName>
    <definedName name="_____a119_3" localSheetId="5" hidden="1">{"'vert'!$A$1:$T$117"}</definedName>
    <definedName name="_____a119_3" localSheetId="6" hidden="1">{"'vert'!$A$1:$T$117"}</definedName>
    <definedName name="_____a119_3" hidden="1">{"'vert'!$A$1:$T$117"}</definedName>
    <definedName name="_____a120" localSheetId="5" hidden="1">{"'vert'!$A$1:$T$117"}</definedName>
    <definedName name="_____a120" localSheetId="6" hidden="1">{"'vert'!$A$1:$T$117"}</definedName>
    <definedName name="_____a120" hidden="1">{"'vert'!$A$1:$T$117"}</definedName>
    <definedName name="_____a120_1" localSheetId="5" hidden="1">{"'vert'!$A$1:$T$117"}</definedName>
    <definedName name="_____a120_1" localSheetId="6" hidden="1">{"'vert'!$A$1:$T$117"}</definedName>
    <definedName name="_____a120_1" hidden="1">{"'vert'!$A$1:$T$117"}</definedName>
    <definedName name="_____a120_1_1" localSheetId="5" hidden="1">{"'vert'!$A$1:$T$117"}</definedName>
    <definedName name="_____a120_1_1" localSheetId="6" hidden="1">{"'vert'!$A$1:$T$117"}</definedName>
    <definedName name="_____a120_1_1" hidden="1">{"'vert'!$A$1:$T$117"}</definedName>
    <definedName name="_____a120_1_2" localSheetId="5" hidden="1">{"'vert'!$A$1:$T$117"}</definedName>
    <definedName name="_____a120_1_2" localSheetId="6" hidden="1">{"'vert'!$A$1:$T$117"}</definedName>
    <definedName name="_____a120_1_2" hidden="1">{"'vert'!$A$1:$T$117"}</definedName>
    <definedName name="_____a120_2" localSheetId="5" hidden="1">{"'vert'!$A$1:$T$117"}</definedName>
    <definedName name="_____a120_2" localSheetId="6" hidden="1">{"'vert'!$A$1:$T$117"}</definedName>
    <definedName name="_____a120_2" hidden="1">{"'vert'!$A$1:$T$117"}</definedName>
    <definedName name="_____a120_3" localSheetId="5" hidden="1">{"'vert'!$A$1:$T$117"}</definedName>
    <definedName name="_____a120_3" localSheetId="6" hidden="1">{"'vert'!$A$1:$T$117"}</definedName>
    <definedName name="_____a120_3" hidden="1">{"'vert'!$A$1:$T$117"}</definedName>
    <definedName name="_____a121" localSheetId="5" hidden="1">{"'vert'!$A$1:$T$117"}</definedName>
    <definedName name="_____a121" localSheetId="6" hidden="1">{"'vert'!$A$1:$T$117"}</definedName>
    <definedName name="_____a121" hidden="1">{"'vert'!$A$1:$T$117"}</definedName>
    <definedName name="_____a121_1" localSheetId="5" hidden="1">{"'vert'!$A$1:$T$117"}</definedName>
    <definedName name="_____a121_1" localSheetId="6" hidden="1">{"'vert'!$A$1:$T$117"}</definedName>
    <definedName name="_____a121_1" hidden="1">{"'vert'!$A$1:$T$117"}</definedName>
    <definedName name="_____a121_1_1" localSheetId="5" hidden="1">{"'vert'!$A$1:$T$117"}</definedName>
    <definedName name="_____a121_1_1" localSheetId="6" hidden="1">{"'vert'!$A$1:$T$117"}</definedName>
    <definedName name="_____a121_1_1" hidden="1">{"'vert'!$A$1:$T$117"}</definedName>
    <definedName name="_____a121_1_2" localSheetId="5" hidden="1">{"'vert'!$A$1:$T$117"}</definedName>
    <definedName name="_____a121_1_2" localSheetId="6" hidden="1">{"'vert'!$A$1:$T$117"}</definedName>
    <definedName name="_____a121_1_2" hidden="1">{"'vert'!$A$1:$T$117"}</definedName>
    <definedName name="_____a121_2" localSheetId="5" hidden="1">{"'vert'!$A$1:$T$117"}</definedName>
    <definedName name="_____a121_2" localSheetId="6" hidden="1">{"'vert'!$A$1:$T$117"}</definedName>
    <definedName name="_____a121_2" hidden="1">{"'vert'!$A$1:$T$117"}</definedName>
    <definedName name="_____a121_3" localSheetId="5" hidden="1">{"'vert'!$A$1:$T$117"}</definedName>
    <definedName name="_____a121_3" localSheetId="6" hidden="1">{"'vert'!$A$1:$T$117"}</definedName>
    <definedName name="_____a121_3" hidden="1">{"'vert'!$A$1:$T$117"}</definedName>
    <definedName name="_____a122" localSheetId="5" hidden="1">{"'vert'!$A$1:$T$117"}</definedName>
    <definedName name="_____a122" localSheetId="6" hidden="1">{"'vert'!$A$1:$T$117"}</definedName>
    <definedName name="_____a122" hidden="1">{"'vert'!$A$1:$T$117"}</definedName>
    <definedName name="_____a122_1" localSheetId="5" hidden="1">{"'vert'!$A$1:$T$117"}</definedName>
    <definedName name="_____a122_1" localSheetId="6" hidden="1">{"'vert'!$A$1:$T$117"}</definedName>
    <definedName name="_____a122_1" hidden="1">{"'vert'!$A$1:$T$117"}</definedName>
    <definedName name="_____a122_1_1" localSheetId="5" hidden="1">{"'vert'!$A$1:$T$117"}</definedName>
    <definedName name="_____a122_1_1" localSheetId="6" hidden="1">{"'vert'!$A$1:$T$117"}</definedName>
    <definedName name="_____a122_1_1" hidden="1">{"'vert'!$A$1:$T$117"}</definedName>
    <definedName name="_____a122_1_2" localSheetId="5" hidden="1">{"'vert'!$A$1:$T$117"}</definedName>
    <definedName name="_____a122_1_2" localSheetId="6" hidden="1">{"'vert'!$A$1:$T$117"}</definedName>
    <definedName name="_____a122_1_2" hidden="1">{"'vert'!$A$1:$T$117"}</definedName>
    <definedName name="_____a122_2" localSheetId="5" hidden="1">{"'vert'!$A$1:$T$117"}</definedName>
    <definedName name="_____a122_2" localSheetId="6" hidden="1">{"'vert'!$A$1:$T$117"}</definedName>
    <definedName name="_____a122_2" hidden="1">{"'vert'!$A$1:$T$117"}</definedName>
    <definedName name="_____a122_3" localSheetId="5" hidden="1">{"'vert'!$A$1:$T$117"}</definedName>
    <definedName name="_____a122_3" localSheetId="6" hidden="1">{"'vert'!$A$1:$T$117"}</definedName>
    <definedName name="_____a122_3" hidden="1">{"'vert'!$A$1:$T$117"}</definedName>
    <definedName name="_____a123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a123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a12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a123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a123_1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a12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a123_1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a123_1_1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a123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a123_1_2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a123_1_2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a123_1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a123_2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a123_2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a123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a123_3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a123_3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a123_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a22" localSheetId="5" hidden="1">{"'vert'!$A$1:$T$117"}</definedName>
    <definedName name="_____a22" localSheetId="6" hidden="1">{"'vert'!$A$1:$T$117"}</definedName>
    <definedName name="_____a22" hidden="1">{"'vert'!$A$1:$T$117"}</definedName>
    <definedName name="_____a22_1" localSheetId="5" hidden="1">{"'vert'!$A$1:$T$117"}</definedName>
    <definedName name="_____a22_1" localSheetId="6" hidden="1">{"'vert'!$A$1:$T$117"}</definedName>
    <definedName name="_____a22_1" hidden="1">{"'vert'!$A$1:$T$117"}</definedName>
    <definedName name="_____a22_1_1" localSheetId="5" hidden="1">{"'vert'!$A$1:$T$117"}</definedName>
    <definedName name="_____a22_1_1" localSheetId="6" hidden="1">{"'vert'!$A$1:$T$117"}</definedName>
    <definedName name="_____a22_1_1" hidden="1">{"'vert'!$A$1:$T$117"}</definedName>
    <definedName name="_____a22_1_2" localSheetId="5" hidden="1">{"'vert'!$A$1:$T$117"}</definedName>
    <definedName name="_____a22_1_2" localSheetId="6" hidden="1">{"'vert'!$A$1:$T$117"}</definedName>
    <definedName name="_____a22_1_2" hidden="1">{"'vert'!$A$1:$T$117"}</definedName>
    <definedName name="_____a22_2" localSheetId="5" hidden="1">{"'vert'!$A$1:$T$117"}</definedName>
    <definedName name="_____a22_2" localSheetId="6" hidden="1">{"'vert'!$A$1:$T$117"}</definedName>
    <definedName name="_____a22_2" hidden="1">{"'vert'!$A$1:$T$117"}</definedName>
    <definedName name="_____a22_3" localSheetId="5" hidden="1">{"'vert'!$A$1:$T$117"}</definedName>
    <definedName name="_____a22_3" localSheetId="6" hidden="1">{"'vert'!$A$1:$T$117"}</definedName>
    <definedName name="_____a22_3" hidden="1">{"'vert'!$A$1:$T$117"}</definedName>
    <definedName name="_____a33" localSheetId="5" hidden="1">{"'vert'!$A$1:$T$117"}</definedName>
    <definedName name="_____a33" localSheetId="6" hidden="1">{"'vert'!$A$1:$T$117"}</definedName>
    <definedName name="_____a33" hidden="1">{"'vert'!$A$1:$T$117"}</definedName>
    <definedName name="_____a33_1" localSheetId="5" hidden="1">{"'vert'!$A$1:$T$117"}</definedName>
    <definedName name="_____a33_1" localSheetId="6" hidden="1">{"'vert'!$A$1:$T$117"}</definedName>
    <definedName name="_____a33_1" hidden="1">{"'vert'!$A$1:$T$117"}</definedName>
    <definedName name="_____a33_1_1" localSheetId="5" hidden="1">{"'vert'!$A$1:$T$117"}</definedName>
    <definedName name="_____a33_1_1" localSheetId="6" hidden="1">{"'vert'!$A$1:$T$117"}</definedName>
    <definedName name="_____a33_1_1" hidden="1">{"'vert'!$A$1:$T$117"}</definedName>
    <definedName name="_____a33_1_2" localSheetId="5" hidden="1">{"'vert'!$A$1:$T$117"}</definedName>
    <definedName name="_____a33_1_2" localSheetId="6" hidden="1">{"'vert'!$A$1:$T$117"}</definedName>
    <definedName name="_____a33_1_2" hidden="1">{"'vert'!$A$1:$T$117"}</definedName>
    <definedName name="_____a33_2" localSheetId="5" hidden="1">{"'vert'!$A$1:$T$117"}</definedName>
    <definedName name="_____a33_2" localSheetId="6" hidden="1">{"'vert'!$A$1:$T$117"}</definedName>
    <definedName name="_____a33_2" hidden="1">{"'vert'!$A$1:$T$117"}</definedName>
    <definedName name="_____a33_3" localSheetId="5" hidden="1">{"'vert'!$A$1:$T$117"}</definedName>
    <definedName name="_____a33_3" localSheetId="6" hidden="1">{"'vert'!$A$1:$T$117"}</definedName>
    <definedName name="_____a33_3" hidden="1">{"'vert'!$A$1:$T$117"}</definedName>
    <definedName name="_____a44" localSheetId="5" hidden="1">{"'vert'!$A$1:$T$117"}</definedName>
    <definedName name="_____a44" localSheetId="6" hidden="1">{"'vert'!$A$1:$T$117"}</definedName>
    <definedName name="_____a44" hidden="1">{"'vert'!$A$1:$T$117"}</definedName>
    <definedName name="_____a44_1" localSheetId="5" hidden="1">{"'vert'!$A$1:$T$117"}</definedName>
    <definedName name="_____a44_1" localSheetId="6" hidden="1">{"'vert'!$A$1:$T$117"}</definedName>
    <definedName name="_____a44_1" hidden="1">{"'vert'!$A$1:$T$117"}</definedName>
    <definedName name="_____a44_1_1" localSheetId="5" hidden="1">{"'vert'!$A$1:$T$117"}</definedName>
    <definedName name="_____a44_1_1" localSheetId="6" hidden="1">{"'vert'!$A$1:$T$117"}</definedName>
    <definedName name="_____a44_1_1" hidden="1">{"'vert'!$A$1:$T$117"}</definedName>
    <definedName name="_____a44_1_2" localSheetId="5" hidden="1">{"'vert'!$A$1:$T$117"}</definedName>
    <definedName name="_____a44_1_2" localSheetId="6" hidden="1">{"'vert'!$A$1:$T$117"}</definedName>
    <definedName name="_____a44_1_2" hidden="1">{"'vert'!$A$1:$T$117"}</definedName>
    <definedName name="_____a44_2" localSheetId="5" hidden="1">{"'vert'!$A$1:$T$117"}</definedName>
    <definedName name="_____a44_2" localSheetId="6" hidden="1">{"'vert'!$A$1:$T$117"}</definedName>
    <definedName name="_____a44_2" hidden="1">{"'vert'!$A$1:$T$117"}</definedName>
    <definedName name="_____a44_3" localSheetId="5" hidden="1">{"'vert'!$A$1:$T$117"}</definedName>
    <definedName name="_____a44_3" localSheetId="6" hidden="1">{"'vert'!$A$1:$T$117"}</definedName>
    <definedName name="_____a44_3" hidden="1">{"'vert'!$A$1:$T$117"}</definedName>
    <definedName name="_____a55" localSheetId="5" hidden="1">{"'vert'!$A$1:$T$117"}</definedName>
    <definedName name="_____a55" localSheetId="6" hidden="1">{"'vert'!$A$1:$T$117"}</definedName>
    <definedName name="_____a55" hidden="1">{"'vert'!$A$1:$T$117"}</definedName>
    <definedName name="_____a55_1" localSheetId="5" hidden="1">{"'vert'!$A$1:$T$117"}</definedName>
    <definedName name="_____a55_1" localSheetId="6" hidden="1">{"'vert'!$A$1:$T$117"}</definedName>
    <definedName name="_____a55_1" hidden="1">{"'vert'!$A$1:$T$117"}</definedName>
    <definedName name="_____a55_1_1" localSheetId="5" hidden="1">{"'vert'!$A$1:$T$117"}</definedName>
    <definedName name="_____a55_1_1" localSheetId="6" hidden="1">{"'vert'!$A$1:$T$117"}</definedName>
    <definedName name="_____a55_1_1" hidden="1">{"'vert'!$A$1:$T$117"}</definedName>
    <definedName name="_____a55_1_2" localSheetId="5" hidden="1">{"'vert'!$A$1:$T$117"}</definedName>
    <definedName name="_____a55_1_2" localSheetId="6" hidden="1">{"'vert'!$A$1:$T$117"}</definedName>
    <definedName name="_____a55_1_2" hidden="1">{"'vert'!$A$1:$T$117"}</definedName>
    <definedName name="_____a55_2" localSheetId="5" hidden="1">{"'vert'!$A$1:$T$117"}</definedName>
    <definedName name="_____a55_2" localSheetId="6" hidden="1">{"'vert'!$A$1:$T$117"}</definedName>
    <definedName name="_____a55_2" hidden="1">{"'vert'!$A$1:$T$117"}</definedName>
    <definedName name="_____a55_3" localSheetId="5" hidden="1">{"'vert'!$A$1:$T$117"}</definedName>
    <definedName name="_____a55_3" localSheetId="6" hidden="1">{"'vert'!$A$1:$T$117"}</definedName>
    <definedName name="_____a55_3" hidden="1">{"'vert'!$A$1:$T$117"}</definedName>
    <definedName name="_____a66" localSheetId="5" hidden="1">{"'vert'!$A$1:$T$117"}</definedName>
    <definedName name="_____a66" localSheetId="6" hidden="1">{"'vert'!$A$1:$T$117"}</definedName>
    <definedName name="_____a66" hidden="1">{"'vert'!$A$1:$T$117"}</definedName>
    <definedName name="_____a66_1" localSheetId="5" hidden="1">{"'vert'!$A$1:$T$117"}</definedName>
    <definedName name="_____a66_1" localSheetId="6" hidden="1">{"'vert'!$A$1:$T$117"}</definedName>
    <definedName name="_____a66_1" hidden="1">{"'vert'!$A$1:$T$117"}</definedName>
    <definedName name="_____a66_1_1" localSheetId="5" hidden="1">{"'vert'!$A$1:$T$117"}</definedName>
    <definedName name="_____a66_1_1" localSheetId="6" hidden="1">{"'vert'!$A$1:$T$117"}</definedName>
    <definedName name="_____a66_1_1" hidden="1">{"'vert'!$A$1:$T$117"}</definedName>
    <definedName name="_____a66_1_2" localSheetId="5" hidden="1">{"'vert'!$A$1:$T$117"}</definedName>
    <definedName name="_____a66_1_2" localSheetId="6" hidden="1">{"'vert'!$A$1:$T$117"}</definedName>
    <definedName name="_____a66_1_2" hidden="1">{"'vert'!$A$1:$T$117"}</definedName>
    <definedName name="_____a66_2" localSheetId="5" hidden="1">{"'vert'!$A$1:$T$117"}</definedName>
    <definedName name="_____a66_2" localSheetId="6" hidden="1">{"'vert'!$A$1:$T$117"}</definedName>
    <definedName name="_____a66_2" hidden="1">{"'vert'!$A$1:$T$117"}</definedName>
    <definedName name="_____a66_3" localSheetId="5" hidden="1">{"'vert'!$A$1:$T$117"}</definedName>
    <definedName name="_____a66_3" localSheetId="6" hidden="1">{"'vert'!$A$1:$T$117"}</definedName>
    <definedName name="_____a66_3" hidden="1">{"'vert'!$A$1:$T$117"}</definedName>
    <definedName name="_____a77" localSheetId="5" hidden="1">{"'vert'!$A$1:$T$117"}</definedName>
    <definedName name="_____a77" localSheetId="6" hidden="1">{"'vert'!$A$1:$T$117"}</definedName>
    <definedName name="_____a77" hidden="1">{"'vert'!$A$1:$T$117"}</definedName>
    <definedName name="_____a77_1" localSheetId="5" hidden="1">{"'vert'!$A$1:$T$117"}</definedName>
    <definedName name="_____a77_1" localSheetId="6" hidden="1">{"'vert'!$A$1:$T$117"}</definedName>
    <definedName name="_____a77_1" hidden="1">{"'vert'!$A$1:$T$117"}</definedName>
    <definedName name="_____a77_1_1" localSheetId="5" hidden="1">{"'vert'!$A$1:$T$117"}</definedName>
    <definedName name="_____a77_1_1" localSheetId="6" hidden="1">{"'vert'!$A$1:$T$117"}</definedName>
    <definedName name="_____a77_1_1" hidden="1">{"'vert'!$A$1:$T$117"}</definedName>
    <definedName name="_____a77_1_2" localSheetId="5" hidden="1">{"'vert'!$A$1:$T$117"}</definedName>
    <definedName name="_____a77_1_2" localSheetId="6" hidden="1">{"'vert'!$A$1:$T$117"}</definedName>
    <definedName name="_____a77_1_2" hidden="1">{"'vert'!$A$1:$T$117"}</definedName>
    <definedName name="_____a77_2" localSheetId="5" hidden="1">{"'vert'!$A$1:$T$117"}</definedName>
    <definedName name="_____a77_2" localSheetId="6" hidden="1">{"'vert'!$A$1:$T$117"}</definedName>
    <definedName name="_____a77_2" hidden="1">{"'vert'!$A$1:$T$117"}</definedName>
    <definedName name="_____a77_3" localSheetId="5" hidden="1">{"'vert'!$A$1:$T$117"}</definedName>
    <definedName name="_____a77_3" localSheetId="6" hidden="1">{"'vert'!$A$1:$T$117"}</definedName>
    <definedName name="_____a77_3" hidden="1">{"'vert'!$A$1:$T$117"}</definedName>
    <definedName name="_____a88" localSheetId="5" hidden="1">{"'vert'!$A$1:$T$117"}</definedName>
    <definedName name="_____a88" localSheetId="6" hidden="1">{"'vert'!$A$1:$T$117"}</definedName>
    <definedName name="_____a88" hidden="1">{"'vert'!$A$1:$T$117"}</definedName>
    <definedName name="_____a88_1" localSheetId="5" hidden="1">{"'vert'!$A$1:$T$117"}</definedName>
    <definedName name="_____a88_1" localSheetId="6" hidden="1">{"'vert'!$A$1:$T$117"}</definedName>
    <definedName name="_____a88_1" hidden="1">{"'vert'!$A$1:$T$117"}</definedName>
    <definedName name="_____a88_1_1" localSheetId="5" hidden="1">{"'vert'!$A$1:$T$117"}</definedName>
    <definedName name="_____a88_1_1" localSheetId="6" hidden="1">{"'vert'!$A$1:$T$117"}</definedName>
    <definedName name="_____a88_1_1" hidden="1">{"'vert'!$A$1:$T$117"}</definedName>
    <definedName name="_____a88_1_2" localSheetId="5" hidden="1">{"'vert'!$A$1:$T$117"}</definedName>
    <definedName name="_____a88_1_2" localSheetId="6" hidden="1">{"'vert'!$A$1:$T$117"}</definedName>
    <definedName name="_____a88_1_2" hidden="1">{"'vert'!$A$1:$T$117"}</definedName>
    <definedName name="_____a88_2" localSheetId="5" hidden="1">{"'vert'!$A$1:$T$117"}</definedName>
    <definedName name="_____a88_2" localSheetId="6" hidden="1">{"'vert'!$A$1:$T$117"}</definedName>
    <definedName name="_____a88_2" hidden="1">{"'vert'!$A$1:$T$117"}</definedName>
    <definedName name="_____a88_3" localSheetId="5" hidden="1">{"'vert'!$A$1:$T$117"}</definedName>
    <definedName name="_____a88_3" localSheetId="6" hidden="1">{"'vert'!$A$1:$T$117"}</definedName>
    <definedName name="_____a88_3" hidden="1">{"'vert'!$A$1:$T$117"}</definedName>
    <definedName name="_____a99" localSheetId="5" hidden="1">{"'vert'!$A$1:$T$117"}</definedName>
    <definedName name="_____a99" localSheetId="6" hidden="1">{"'vert'!$A$1:$T$117"}</definedName>
    <definedName name="_____a99" hidden="1">{"'vert'!$A$1:$T$117"}</definedName>
    <definedName name="_____a99_1" localSheetId="5" hidden="1">{"'vert'!$A$1:$T$117"}</definedName>
    <definedName name="_____a99_1" localSheetId="6" hidden="1">{"'vert'!$A$1:$T$117"}</definedName>
    <definedName name="_____a99_1" hidden="1">{"'vert'!$A$1:$T$117"}</definedName>
    <definedName name="_____a99_1_1" localSheetId="5" hidden="1">{"'vert'!$A$1:$T$117"}</definedName>
    <definedName name="_____a99_1_1" localSheetId="6" hidden="1">{"'vert'!$A$1:$T$117"}</definedName>
    <definedName name="_____a99_1_1" hidden="1">{"'vert'!$A$1:$T$117"}</definedName>
    <definedName name="_____a99_1_2" localSheetId="5" hidden="1">{"'vert'!$A$1:$T$117"}</definedName>
    <definedName name="_____a99_1_2" localSheetId="6" hidden="1">{"'vert'!$A$1:$T$117"}</definedName>
    <definedName name="_____a99_1_2" hidden="1">{"'vert'!$A$1:$T$117"}</definedName>
    <definedName name="_____a99_2" localSheetId="5" hidden="1">{"'vert'!$A$1:$T$117"}</definedName>
    <definedName name="_____a99_2" localSheetId="6" hidden="1">{"'vert'!$A$1:$T$117"}</definedName>
    <definedName name="_____a99_2" hidden="1">{"'vert'!$A$1:$T$117"}</definedName>
    <definedName name="_____a99_3" localSheetId="5" hidden="1">{"'vert'!$A$1:$T$117"}</definedName>
    <definedName name="_____a99_3" localSheetId="6" hidden="1">{"'vert'!$A$1:$T$117"}</definedName>
    <definedName name="_____a99_3" hidden="1">{"'vert'!$A$1:$T$117"}</definedName>
    <definedName name="_____bla2" localSheetId="5" hidden="1">{"'vert'!$A$1:$T$117"}</definedName>
    <definedName name="_____bla2" localSheetId="6" hidden="1">{"'vert'!$A$1:$T$117"}</definedName>
    <definedName name="_____bla2" hidden="1">{"'vert'!$A$1:$T$117"}</definedName>
    <definedName name="_____bla2_1" localSheetId="5" hidden="1">{"'vert'!$A$1:$T$117"}</definedName>
    <definedName name="_____bla2_1" localSheetId="6" hidden="1">{"'vert'!$A$1:$T$117"}</definedName>
    <definedName name="_____bla2_1" hidden="1">{"'vert'!$A$1:$T$117"}</definedName>
    <definedName name="_____bla2_1_1" localSheetId="5" hidden="1">{"'vert'!$A$1:$T$117"}</definedName>
    <definedName name="_____bla2_1_1" localSheetId="6" hidden="1">{"'vert'!$A$1:$T$117"}</definedName>
    <definedName name="_____bla2_1_1" hidden="1">{"'vert'!$A$1:$T$117"}</definedName>
    <definedName name="_____bla2_1_2" localSheetId="5" hidden="1">{"'vert'!$A$1:$T$117"}</definedName>
    <definedName name="_____bla2_1_2" localSheetId="6" hidden="1">{"'vert'!$A$1:$T$117"}</definedName>
    <definedName name="_____bla2_1_2" hidden="1">{"'vert'!$A$1:$T$117"}</definedName>
    <definedName name="_____bla2_2" localSheetId="5" hidden="1">{"'vert'!$A$1:$T$117"}</definedName>
    <definedName name="_____bla2_2" localSheetId="6" hidden="1">{"'vert'!$A$1:$T$117"}</definedName>
    <definedName name="_____bla2_2" hidden="1">{"'vert'!$A$1:$T$117"}</definedName>
    <definedName name="_____bla2_3" localSheetId="5" hidden="1">{"'vert'!$A$1:$T$117"}</definedName>
    <definedName name="_____bla2_3" localSheetId="6" hidden="1">{"'vert'!$A$1:$T$117"}</definedName>
    <definedName name="_____bla2_3" hidden="1">{"'vert'!$A$1:$T$117"}</definedName>
    <definedName name="_____bla3" localSheetId="5" hidden="1">{"'vert'!$A$1:$T$117"}</definedName>
    <definedName name="_____bla3" localSheetId="6" hidden="1">{"'vert'!$A$1:$T$117"}</definedName>
    <definedName name="_____bla3" hidden="1">{"'vert'!$A$1:$T$117"}</definedName>
    <definedName name="_____bla3_1" localSheetId="5" hidden="1">{"'vert'!$A$1:$T$117"}</definedName>
    <definedName name="_____bla3_1" localSheetId="6" hidden="1">{"'vert'!$A$1:$T$117"}</definedName>
    <definedName name="_____bla3_1" hidden="1">{"'vert'!$A$1:$T$117"}</definedName>
    <definedName name="_____bla3_1_1" localSheetId="5" hidden="1">{"'vert'!$A$1:$T$117"}</definedName>
    <definedName name="_____bla3_1_1" localSheetId="6" hidden="1">{"'vert'!$A$1:$T$117"}</definedName>
    <definedName name="_____bla3_1_1" hidden="1">{"'vert'!$A$1:$T$117"}</definedName>
    <definedName name="_____bla3_1_2" localSheetId="5" hidden="1">{"'vert'!$A$1:$T$117"}</definedName>
    <definedName name="_____bla3_1_2" localSheetId="6" hidden="1">{"'vert'!$A$1:$T$117"}</definedName>
    <definedName name="_____bla3_1_2" hidden="1">{"'vert'!$A$1:$T$117"}</definedName>
    <definedName name="_____bla3_2" localSheetId="5" hidden="1">{"'vert'!$A$1:$T$117"}</definedName>
    <definedName name="_____bla3_2" localSheetId="6" hidden="1">{"'vert'!$A$1:$T$117"}</definedName>
    <definedName name="_____bla3_2" hidden="1">{"'vert'!$A$1:$T$117"}</definedName>
    <definedName name="_____bla3_3" localSheetId="5" hidden="1">{"'vert'!$A$1:$T$117"}</definedName>
    <definedName name="_____bla3_3" localSheetId="6" hidden="1">{"'vert'!$A$1:$T$117"}</definedName>
    <definedName name="_____bla3_3" hidden="1">{"'vert'!$A$1:$T$117"}</definedName>
    <definedName name="_____dd2" localSheetId="5" hidden="1">{"'vert'!$A$1:$T$117"}</definedName>
    <definedName name="_____dd2" localSheetId="6" hidden="1">{"'vert'!$A$1:$T$117"}</definedName>
    <definedName name="_____dd2" hidden="1">{"'vert'!$A$1:$T$117"}</definedName>
    <definedName name="_____dd2_1" localSheetId="5" hidden="1">{"'vert'!$A$1:$T$117"}</definedName>
    <definedName name="_____dd2_1" localSheetId="6" hidden="1">{"'vert'!$A$1:$T$117"}</definedName>
    <definedName name="_____dd2_1" hidden="1">{"'vert'!$A$1:$T$117"}</definedName>
    <definedName name="_____dd2_1_1" localSheetId="5" hidden="1">{"'vert'!$A$1:$T$117"}</definedName>
    <definedName name="_____dd2_1_1" localSheetId="6" hidden="1">{"'vert'!$A$1:$T$117"}</definedName>
    <definedName name="_____dd2_1_1" hidden="1">{"'vert'!$A$1:$T$117"}</definedName>
    <definedName name="_____dd2_1_2" localSheetId="5" hidden="1">{"'vert'!$A$1:$T$117"}</definedName>
    <definedName name="_____dd2_1_2" localSheetId="6" hidden="1">{"'vert'!$A$1:$T$117"}</definedName>
    <definedName name="_____dd2_1_2" hidden="1">{"'vert'!$A$1:$T$117"}</definedName>
    <definedName name="_____dd2_2" localSheetId="5" hidden="1">{"'vert'!$A$1:$T$117"}</definedName>
    <definedName name="_____dd2_2" localSheetId="6" hidden="1">{"'vert'!$A$1:$T$117"}</definedName>
    <definedName name="_____dd2_2" hidden="1">{"'vert'!$A$1:$T$117"}</definedName>
    <definedName name="_____dd2_3" localSheetId="5" hidden="1">{"'vert'!$A$1:$T$117"}</definedName>
    <definedName name="_____dd2_3" localSheetId="6" hidden="1">{"'vert'!$A$1:$T$117"}</definedName>
    <definedName name="_____dd2_3" hidden="1">{"'vert'!$A$1:$T$117"}</definedName>
    <definedName name="_____DE2" localSheetId="5" hidden="1">{"'vert'!$A$1:$T$117"}</definedName>
    <definedName name="_____DE2" localSheetId="6" hidden="1">{"'vert'!$A$1:$T$117"}</definedName>
    <definedName name="_____DE2" hidden="1">{"'vert'!$A$1:$T$117"}</definedName>
    <definedName name="_____DE2_1" localSheetId="5" hidden="1">{"'vert'!$A$1:$T$117"}</definedName>
    <definedName name="_____DE2_1" localSheetId="6" hidden="1">{"'vert'!$A$1:$T$117"}</definedName>
    <definedName name="_____DE2_1" hidden="1">{"'vert'!$A$1:$T$117"}</definedName>
    <definedName name="_____DE2_1_1" localSheetId="5" hidden="1">{"'vert'!$A$1:$T$117"}</definedName>
    <definedName name="_____DE2_1_1" localSheetId="6" hidden="1">{"'vert'!$A$1:$T$117"}</definedName>
    <definedName name="_____DE2_1_1" hidden="1">{"'vert'!$A$1:$T$117"}</definedName>
    <definedName name="_____DE2_1_2" localSheetId="5" hidden="1">{"'vert'!$A$1:$T$117"}</definedName>
    <definedName name="_____DE2_1_2" localSheetId="6" hidden="1">{"'vert'!$A$1:$T$117"}</definedName>
    <definedName name="_____DE2_1_2" hidden="1">{"'vert'!$A$1:$T$117"}</definedName>
    <definedName name="_____DE2_2" localSheetId="5" hidden="1">{"'vert'!$A$1:$T$117"}</definedName>
    <definedName name="_____DE2_2" localSheetId="6" hidden="1">{"'vert'!$A$1:$T$117"}</definedName>
    <definedName name="_____DE2_2" hidden="1">{"'vert'!$A$1:$T$117"}</definedName>
    <definedName name="_____DE2_3" localSheetId="5" hidden="1">{"'vert'!$A$1:$T$117"}</definedName>
    <definedName name="_____DE2_3" localSheetId="6" hidden="1">{"'vert'!$A$1:$T$117"}</definedName>
    <definedName name="_____DE2_3" hidden="1">{"'vert'!$A$1:$T$117"}</definedName>
    <definedName name="_____huh3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huh3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huh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a1" localSheetId="5" hidden="1">{"'vert'!$A$1:$T$117"}</definedName>
    <definedName name="____a1" localSheetId="6" hidden="1">{"'vert'!$A$1:$T$117"}</definedName>
    <definedName name="____a1" hidden="1">{"'vert'!$A$1:$T$117"}</definedName>
    <definedName name="____a1_1" localSheetId="5" hidden="1">{"'vert'!$A$1:$T$117"}</definedName>
    <definedName name="____a1_1" localSheetId="6" hidden="1">{"'vert'!$A$1:$T$117"}</definedName>
    <definedName name="____a1_1" hidden="1">{"'vert'!$A$1:$T$117"}</definedName>
    <definedName name="____a1_1_1" localSheetId="5" hidden="1">{"'vert'!$A$1:$T$117"}</definedName>
    <definedName name="____a1_1_1" localSheetId="6" hidden="1">{"'vert'!$A$1:$T$117"}</definedName>
    <definedName name="____a1_1_1" hidden="1">{"'vert'!$A$1:$T$117"}</definedName>
    <definedName name="____a1_1_2" localSheetId="5" hidden="1">{"'vert'!$A$1:$T$117"}</definedName>
    <definedName name="____a1_1_2" localSheetId="6" hidden="1">{"'vert'!$A$1:$T$117"}</definedName>
    <definedName name="____a1_1_2" hidden="1">{"'vert'!$A$1:$T$117"}</definedName>
    <definedName name="____a1_2" localSheetId="5" hidden="1">{"'vert'!$A$1:$T$117"}</definedName>
    <definedName name="____a1_2" localSheetId="6" hidden="1">{"'vert'!$A$1:$T$117"}</definedName>
    <definedName name="____a1_2" hidden="1">{"'vert'!$A$1:$T$117"}</definedName>
    <definedName name="____a1_3" localSheetId="5" hidden="1">{"'vert'!$A$1:$T$117"}</definedName>
    <definedName name="____a1_3" localSheetId="6" hidden="1">{"'vert'!$A$1:$T$117"}</definedName>
    <definedName name="____a1_3" hidden="1">{"'vert'!$A$1:$T$117"}</definedName>
    <definedName name="____a101" localSheetId="5" hidden="1">{"'vert'!$A$1:$T$117"}</definedName>
    <definedName name="____a101" localSheetId="6" hidden="1">{"'vert'!$A$1:$T$117"}</definedName>
    <definedName name="____a101" hidden="1">{"'vert'!$A$1:$T$117"}</definedName>
    <definedName name="____a101_1" localSheetId="5" hidden="1">{"'vert'!$A$1:$T$117"}</definedName>
    <definedName name="____a101_1" localSheetId="6" hidden="1">{"'vert'!$A$1:$T$117"}</definedName>
    <definedName name="____a101_1" hidden="1">{"'vert'!$A$1:$T$117"}</definedName>
    <definedName name="____a101_1_1" localSheetId="5" hidden="1">{"'vert'!$A$1:$T$117"}</definedName>
    <definedName name="____a101_1_1" localSheetId="6" hidden="1">{"'vert'!$A$1:$T$117"}</definedName>
    <definedName name="____a101_1_1" hidden="1">{"'vert'!$A$1:$T$117"}</definedName>
    <definedName name="____a101_1_2" localSheetId="5" hidden="1">{"'vert'!$A$1:$T$117"}</definedName>
    <definedName name="____a101_1_2" localSheetId="6" hidden="1">{"'vert'!$A$1:$T$117"}</definedName>
    <definedName name="____a101_1_2" hidden="1">{"'vert'!$A$1:$T$117"}</definedName>
    <definedName name="____a101_2" localSheetId="5" hidden="1">{"'vert'!$A$1:$T$117"}</definedName>
    <definedName name="____a101_2" localSheetId="6" hidden="1">{"'vert'!$A$1:$T$117"}</definedName>
    <definedName name="____a101_2" hidden="1">{"'vert'!$A$1:$T$117"}</definedName>
    <definedName name="____a101_3" localSheetId="5" hidden="1">{"'vert'!$A$1:$T$117"}</definedName>
    <definedName name="____a101_3" localSheetId="6" hidden="1">{"'vert'!$A$1:$T$117"}</definedName>
    <definedName name="____a101_3" hidden="1">{"'vert'!$A$1:$T$117"}</definedName>
    <definedName name="____a102" localSheetId="5" hidden="1">{"'vert'!$A$1:$T$117"}</definedName>
    <definedName name="____a102" localSheetId="6" hidden="1">{"'vert'!$A$1:$T$117"}</definedName>
    <definedName name="____a102" hidden="1">{"'vert'!$A$1:$T$117"}</definedName>
    <definedName name="____a102_1" localSheetId="5" hidden="1">{"'vert'!$A$1:$T$117"}</definedName>
    <definedName name="____a102_1" localSheetId="6" hidden="1">{"'vert'!$A$1:$T$117"}</definedName>
    <definedName name="____a102_1" hidden="1">{"'vert'!$A$1:$T$117"}</definedName>
    <definedName name="____a102_1_1" localSheetId="5" hidden="1">{"'vert'!$A$1:$T$117"}</definedName>
    <definedName name="____a102_1_1" localSheetId="6" hidden="1">{"'vert'!$A$1:$T$117"}</definedName>
    <definedName name="____a102_1_1" hidden="1">{"'vert'!$A$1:$T$117"}</definedName>
    <definedName name="____a102_1_2" localSheetId="5" hidden="1">{"'vert'!$A$1:$T$117"}</definedName>
    <definedName name="____a102_1_2" localSheetId="6" hidden="1">{"'vert'!$A$1:$T$117"}</definedName>
    <definedName name="____a102_1_2" hidden="1">{"'vert'!$A$1:$T$117"}</definedName>
    <definedName name="____a102_2" localSheetId="5" hidden="1">{"'vert'!$A$1:$T$117"}</definedName>
    <definedName name="____a102_2" localSheetId="6" hidden="1">{"'vert'!$A$1:$T$117"}</definedName>
    <definedName name="____a102_2" hidden="1">{"'vert'!$A$1:$T$117"}</definedName>
    <definedName name="____a102_3" localSheetId="5" hidden="1">{"'vert'!$A$1:$T$117"}</definedName>
    <definedName name="____a102_3" localSheetId="6" hidden="1">{"'vert'!$A$1:$T$117"}</definedName>
    <definedName name="____a102_3" hidden="1">{"'vert'!$A$1:$T$117"}</definedName>
    <definedName name="____a103" localSheetId="5" hidden="1">{"'vert'!$A$1:$T$117"}</definedName>
    <definedName name="____a103" localSheetId="6" hidden="1">{"'vert'!$A$1:$T$117"}</definedName>
    <definedName name="____a103" hidden="1">{"'vert'!$A$1:$T$117"}</definedName>
    <definedName name="____a103_1" localSheetId="5" hidden="1">{"'vert'!$A$1:$T$117"}</definedName>
    <definedName name="____a103_1" localSheetId="6" hidden="1">{"'vert'!$A$1:$T$117"}</definedName>
    <definedName name="____a103_1" hidden="1">{"'vert'!$A$1:$T$117"}</definedName>
    <definedName name="____a103_1_1" localSheetId="5" hidden="1">{"'vert'!$A$1:$T$117"}</definedName>
    <definedName name="____a103_1_1" localSheetId="6" hidden="1">{"'vert'!$A$1:$T$117"}</definedName>
    <definedName name="____a103_1_1" hidden="1">{"'vert'!$A$1:$T$117"}</definedName>
    <definedName name="____a103_1_2" localSheetId="5" hidden="1">{"'vert'!$A$1:$T$117"}</definedName>
    <definedName name="____a103_1_2" localSheetId="6" hidden="1">{"'vert'!$A$1:$T$117"}</definedName>
    <definedName name="____a103_1_2" hidden="1">{"'vert'!$A$1:$T$117"}</definedName>
    <definedName name="____a103_2" localSheetId="5" hidden="1">{"'vert'!$A$1:$T$117"}</definedName>
    <definedName name="____a103_2" localSheetId="6" hidden="1">{"'vert'!$A$1:$T$117"}</definedName>
    <definedName name="____a103_2" hidden="1">{"'vert'!$A$1:$T$117"}</definedName>
    <definedName name="____a103_3" localSheetId="5" hidden="1">{"'vert'!$A$1:$T$117"}</definedName>
    <definedName name="____a103_3" localSheetId="6" hidden="1">{"'vert'!$A$1:$T$117"}</definedName>
    <definedName name="____a103_3" hidden="1">{"'vert'!$A$1:$T$117"}</definedName>
    <definedName name="____a104" localSheetId="5" hidden="1">{"'vert'!$A$1:$T$117"}</definedName>
    <definedName name="____a104" localSheetId="6" hidden="1">{"'vert'!$A$1:$T$117"}</definedName>
    <definedName name="____a104" hidden="1">{"'vert'!$A$1:$T$117"}</definedName>
    <definedName name="____a104_1" localSheetId="5" hidden="1">{"'vert'!$A$1:$T$117"}</definedName>
    <definedName name="____a104_1" localSheetId="6" hidden="1">{"'vert'!$A$1:$T$117"}</definedName>
    <definedName name="____a104_1" hidden="1">{"'vert'!$A$1:$T$117"}</definedName>
    <definedName name="____a104_1_1" localSheetId="5" hidden="1">{"'vert'!$A$1:$T$117"}</definedName>
    <definedName name="____a104_1_1" localSheetId="6" hidden="1">{"'vert'!$A$1:$T$117"}</definedName>
    <definedName name="____a104_1_1" hidden="1">{"'vert'!$A$1:$T$117"}</definedName>
    <definedName name="____a104_1_2" localSheetId="5" hidden="1">{"'vert'!$A$1:$T$117"}</definedName>
    <definedName name="____a104_1_2" localSheetId="6" hidden="1">{"'vert'!$A$1:$T$117"}</definedName>
    <definedName name="____a104_1_2" hidden="1">{"'vert'!$A$1:$T$117"}</definedName>
    <definedName name="____a104_2" localSheetId="5" hidden="1">{"'vert'!$A$1:$T$117"}</definedName>
    <definedName name="____a104_2" localSheetId="6" hidden="1">{"'vert'!$A$1:$T$117"}</definedName>
    <definedName name="____a104_2" hidden="1">{"'vert'!$A$1:$T$117"}</definedName>
    <definedName name="____a104_3" localSheetId="5" hidden="1">{"'vert'!$A$1:$T$117"}</definedName>
    <definedName name="____a104_3" localSheetId="6" hidden="1">{"'vert'!$A$1:$T$117"}</definedName>
    <definedName name="____a104_3" hidden="1">{"'vert'!$A$1:$T$117"}</definedName>
    <definedName name="____a105" localSheetId="5" hidden="1">{"'vert'!$A$1:$T$117"}</definedName>
    <definedName name="____a105" localSheetId="6" hidden="1">{"'vert'!$A$1:$T$117"}</definedName>
    <definedName name="____a105" hidden="1">{"'vert'!$A$1:$T$117"}</definedName>
    <definedName name="____a105_1" localSheetId="5" hidden="1">{"'vert'!$A$1:$T$117"}</definedName>
    <definedName name="____a105_1" localSheetId="6" hidden="1">{"'vert'!$A$1:$T$117"}</definedName>
    <definedName name="____a105_1" hidden="1">{"'vert'!$A$1:$T$117"}</definedName>
    <definedName name="____a105_1_1" localSheetId="5" hidden="1">{"'vert'!$A$1:$T$117"}</definedName>
    <definedName name="____a105_1_1" localSheetId="6" hidden="1">{"'vert'!$A$1:$T$117"}</definedName>
    <definedName name="____a105_1_1" hidden="1">{"'vert'!$A$1:$T$117"}</definedName>
    <definedName name="____a105_1_2" localSheetId="5" hidden="1">{"'vert'!$A$1:$T$117"}</definedName>
    <definedName name="____a105_1_2" localSheetId="6" hidden="1">{"'vert'!$A$1:$T$117"}</definedName>
    <definedName name="____a105_1_2" hidden="1">{"'vert'!$A$1:$T$117"}</definedName>
    <definedName name="____a105_2" localSheetId="5" hidden="1">{"'vert'!$A$1:$T$117"}</definedName>
    <definedName name="____a105_2" localSheetId="6" hidden="1">{"'vert'!$A$1:$T$117"}</definedName>
    <definedName name="____a105_2" hidden="1">{"'vert'!$A$1:$T$117"}</definedName>
    <definedName name="____a105_3" localSheetId="5" hidden="1">{"'vert'!$A$1:$T$117"}</definedName>
    <definedName name="____a105_3" localSheetId="6" hidden="1">{"'vert'!$A$1:$T$117"}</definedName>
    <definedName name="____a105_3" hidden="1">{"'vert'!$A$1:$T$117"}</definedName>
    <definedName name="____a106" localSheetId="5" hidden="1">{"'vert'!$A$1:$T$117"}</definedName>
    <definedName name="____a106" localSheetId="6" hidden="1">{"'vert'!$A$1:$T$117"}</definedName>
    <definedName name="____a106" hidden="1">{"'vert'!$A$1:$T$117"}</definedName>
    <definedName name="____a106_1" localSheetId="5" hidden="1">{"'vert'!$A$1:$T$117"}</definedName>
    <definedName name="____a106_1" localSheetId="6" hidden="1">{"'vert'!$A$1:$T$117"}</definedName>
    <definedName name="____a106_1" hidden="1">{"'vert'!$A$1:$T$117"}</definedName>
    <definedName name="____a106_1_1" localSheetId="5" hidden="1">{"'vert'!$A$1:$T$117"}</definedName>
    <definedName name="____a106_1_1" localSheetId="6" hidden="1">{"'vert'!$A$1:$T$117"}</definedName>
    <definedName name="____a106_1_1" hidden="1">{"'vert'!$A$1:$T$117"}</definedName>
    <definedName name="____a106_1_2" localSheetId="5" hidden="1">{"'vert'!$A$1:$T$117"}</definedName>
    <definedName name="____a106_1_2" localSheetId="6" hidden="1">{"'vert'!$A$1:$T$117"}</definedName>
    <definedName name="____a106_1_2" hidden="1">{"'vert'!$A$1:$T$117"}</definedName>
    <definedName name="____a106_2" localSheetId="5" hidden="1">{"'vert'!$A$1:$T$117"}</definedName>
    <definedName name="____a106_2" localSheetId="6" hidden="1">{"'vert'!$A$1:$T$117"}</definedName>
    <definedName name="____a106_2" hidden="1">{"'vert'!$A$1:$T$117"}</definedName>
    <definedName name="____a106_3" localSheetId="5" hidden="1">{"'vert'!$A$1:$T$117"}</definedName>
    <definedName name="____a106_3" localSheetId="6" hidden="1">{"'vert'!$A$1:$T$117"}</definedName>
    <definedName name="____a106_3" hidden="1">{"'vert'!$A$1:$T$117"}</definedName>
    <definedName name="____a107" localSheetId="5" hidden="1">{"'vert'!$A$1:$T$117"}</definedName>
    <definedName name="____a107" localSheetId="6" hidden="1">{"'vert'!$A$1:$T$117"}</definedName>
    <definedName name="____a107" hidden="1">{"'vert'!$A$1:$T$117"}</definedName>
    <definedName name="____a107_1" localSheetId="5" hidden="1">{"'vert'!$A$1:$T$117"}</definedName>
    <definedName name="____a107_1" localSheetId="6" hidden="1">{"'vert'!$A$1:$T$117"}</definedName>
    <definedName name="____a107_1" hidden="1">{"'vert'!$A$1:$T$117"}</definedName>
    <definedName name="____a107_1_1" localSheetId="5" hidden="1">{"'vert'!$A$1:$T$117"}</definedName>
    <definedName name="____a107_1_1" localSheetId="6" hidden="1">{"'vert'!$A$1:$T$117"}</definedName>
    <definedName name="____a107_1_1" hidden="1">{"'vert'!$A$1:$T$117"}</definedName>
    <definedName name="____a107_1_2" localSheetId="5" hidden="1">{"'vert'!$A$1:$T$117"}</definedName>
    <definedName name="____a107_1_2" localSheetId="6" hidden="1">{"'vert'!$A$1:$T$117"}</definedName>
    <definedName name="____a107_1_2" hidden="1">{"'vert'!$A$1:$T$117"}</definedName>
    <definedName name="____a107_2" localSheetId="5" hidden="1">{"'vert'!$A$1:$T$117"}</definedName>
    <definedName name="____a107_2" localSheetId="6" hidden="1">{"'vert'!$A$1:$T$117"}</definedName>
    <definedName name="____a107_2" hidden="1">{"'vert'!$A$1:$T$117"}</definedName>
    <definedName name="____a107_3" localSheetId="5" hidden="1">{"'vert'!$A$1:$T$117"}</definedName>
    <definedName name="____a107_3" localSheetId="6" hidden="1">{"'vert'!$A$1:$T$117"}</definedName>
    <definedName name="____a107_3" hidden="1">{"'vert'!$A$1:$T$117"}</definedName>
    <definedName name="____a108" localSheetId="5" hidden="1">{"'vert'!$A$1:$T$117"}</definedName>
    <definedName name="____a108" localSheetId="6" hidden="1">{"'vert'!$A$1:$T$117"}</definedName>
    <definedName name="____a108" hidden="1">{"'vert'!$A$1:$T$117"}</definedName>
    <definedName name="____a108_1" localSheetId="5" hidden="1">{"'vert'!$A$1:$T$117"}</definedName>
    <definedName name="____a108_1" localSheetId="6" hidden="1">{"'vert'!$A$1:$T$117"}</definedName>
    <definedName name="____a108_1" hidden="1">{"'vert'!$A$1:$T$117"}</definedName>
    <definedName name="____a108_1_1" localSheetId="5" hidden="1">{"'vert'!$A$1:$T$117"}</definedName>
    <definedName name="____a108_1_1" localSheetId="6" hidden="1">{"'vert'!$A$1:$T$117"}</definedName>
    <definedName name="____a108_1_1" hidden="1">{"'vert'!$A$1:$T$117"}</definedName>
    <definedName name="____a108_1_2" localSheetId="5" hidden="1">{"'vert'!$A$1:$T$117"}</definedName>
    <definedName name="____a108_1_2" localSheetId="6" hidden="1">{"'vert'!$A$1:$T$117"}</definedName>
    <definedName name="____a108_1_2" hidden="1">{"'vert'!$A$1:$T$117"}</definedName>
    <definedName name="____a108_2" localSheetId="5" hidden="1">{"'vert'!$A$1:$T$117"}</definedName>
    <definedName name="____a108_2" localSheetId="6" hidden="1">{"'vert'!$A$1:$T$117"}</definedName>
    <definedName name="____a108_2" hidden="1">{"'vert'!$A$1:$T$117"}</definedName>
    <definedName name="____a108_3" localSheetId="5" hidden="1">{"'vert'!$A$1:$T$117"}</definedName>
    <definedName name="____a108_3" localSheetId="6" hidden="1">{"'vert'!$A$1:$T$117"}</definedName>
    <definedName name="____a108_3" hidden="1">{"'vert'!$A$1:$T$117"}</definedName>
    <definedName name="____a109" localSheetId="5" hidden="1">{"'vert'!$A$1:$T$117"}</definedName>
    <definedName name="____a109" localSheetId="6" hidden="1">{"'vert'!$A$1:$T$117"}</definedName>
    <definedName name="____a109" hidden="1">{"'vert'!$A$1:$T$117"}</definedName>
    <definedName name="____a109_1" localSheetId="5" hidden="1">{"'vert'!$A$1:$T$117"}</definedName>
    <definedName name="____a109_1" localSheetId="6" hidden="1">{"'vert'!$A$1:$T$117"}</definedName>
    <definedName name="____a109_1" hidden="1">{"'vert'!$A$1:$T$117"}</definedName>
    <definedName name="____a109_1_1" localSheetId="5" hidden="1">{"'vert'!$A$1:$T$117"}</definedName>
    <definedName name="____a109_1_1" localSheetId="6" hidden="1">{"'vert'!$A$1:$T$117"}</definedName>
    <definedName name="____a109_1_1" hidden="1">{"'vert'!$A$1:$T$117"}</definedName>
    <definedName name="____a109_1_2" localSheetId="5" hidden="1">{"'vert'!$A$1:$T$117"}</definedName>
    <definedName name="____a109_1_2" localSheetId="6" hidden="1">{"'vert'!$A$1:$T$117"}</definedName>
    <definedName name="____a109_1_2" hidden="1">{"'vert'!$A$1:$T$117"}</definedName>
    <definedName name="____a109_2" localSheetId="5" hidden="1">{"'vert'!$A$1:$T$117"}</definedName>
    <definedName name="____a109_2" localSheetId="6" hidden="1">{"'vert'!$A$1:$T$117"}</definedName>
    <definedName name="____a109_2" hidden="1">{"'vert'!$A$1:$T$117"}</definedName>
    <definedName name="____a109_3" localSheetId="5" hidden="1">{"'vert'!$A$1:$T$117"}</definedName>
    <definedName name="____a109_3" localSheetId="6" hidden="1">{"'vert'!$A$1:$T$117"}</definedName>
    <definedName name="____a109_3" hidden="1">{"'vert'!$A$1:$T$117"}</definedName>
    <definedName name="____a11" localSheetId="5" hidden="1">{"'vert'!$A$1:$T$117"}</definedName>
    <definedName name="____a11" localSheetId="6" hidden="1">{"'vert'!$A$1:$T$117"}</definedName>
    <definedName name="____a11" hidden="1">{"'vert'!$A$1:$T$117"}</definedName>
    <definedName name="____a11_1" localSheetId="5" hidden="1">{"'vert'!$A$1:$T$117"}</definedName>
    <definedName name="____a11_1" localSheetId="6" hidden="1">{"'vert'!$A$1:$T$117"}</definedName>
    <definedName name="____a11_1" hidden="1">{"'vert'!$A$1:$T$117"}</definedName>
    <definedName name="____a11_1_1" localSheetId="5" hidden="1">{"'vert'!$A$1:$T$117"}</definedName>
    <definedName name="____a11_1_1" localSheetId="6" hidden="1">{"'vert'!$A$1:$T$117"}</definedName>
    <definedName name="____a11_1_1" hidden="1">{"'vert'!$A$1:$T$117"}</definedName>
    <definedName name="____a11_1_2" localSheetId="5" hidden="1">{"'vert'!$A$1:$T$117"}</definedName>
    <definedName name="____a11_1_2" localSheetId="6" hidden="1">{"'vert'!$A$1:$T$117"}</definedName>
    <definedName name="____a11_1_2" hidden="1">{"'vert'!$A$1:$T$117"}</definedName>
    <definedName name="____a11_2" localSheetId="5" hidden="1">{"'vert'!$A$1:$T$117"}</definedName>
    <definedName name="____a11_2" localSheetId="6" hidden="1">{"'vert'!$A$1:$T$117"}</definedName>
    <definedName name="____a11_2" hidden="1">{"'vert'!$A$1:$T$117"}</definedName>
    <definedName name="____a11_3" localSheetId="5" hidden="1">{"'vert'!$A$1:$T$117"}</definedName>
    <definedName name="____a11_3" localSheetId="6" hidden="1">{"'vert'!$A$1:$T$117"}</definedName>
    <definedName name="____a11_3" hidden="1">{"'vert'!$A$1:$T$117"}</definedName>
    <definedName name="____a110" localSheetId="5" hidden="1">{"'vert'!$A$1:$T$117"}</definedName>
    <definedName name="____a110" localSheetId="6" hidden="1">{"'vert'!$A$1:$T$117"}</definedName>
    <definedName name="____a110" hidden="1">{"'vert'!$A$1:$T$117"}</definedName>
    <definedName name="____a110_1" localSheetId="5" hidden="1">{"'vert'!$A$1:$T$117"}</definedName>
    <definedName name="____a110_1" localSheetId="6" hidden="1">{"'vert'!$A$1:$T$117"}</definedName>
    <definedName name="____a110_1" hidden="1">{"'vert'!$A$1:$T$117"}</definedName>
    <definedName name="____a110_1_1" localSheetId="5" hidden="1">{"'vert'!$A$1:$T$117"}</definedName>
    <definedName name="____a110_1_1" localSheetId="6" hidden="1">{"'vert'!$A$1:$T$117"}</definedName>
    <definedName name="____a110_1_1" hidden="1">{"'vert'!$A$1:$T$117"}</definedName>
    <definedName name="____a110_1_2" localSheetId="5" hidden="1">{"'vert'!$A$1:$T$117"}</definedName>
    <definedName name="____a110_1_2" localSheetId="6" hidden="1">{"'vert'!$A$1:$T$117"}</definedName>
    <definedName name="____a110_1_2" hidden="1">{"'vert'!$A$1:$T$117"}</definedName>
    <definedName name="____a110_2" localSheetId="5" hidden="1">{"'vert'!$A$1:$T$117"}</definedName>
    <definedName name="____a110_2" localSheetId="6" hidden="1">{"'vert'!$A$1:$T$117"}</definedName>
    <definedName name="____a110_2" hidden="1">{"'vert'!$A$1:$T$117"}</definedName>
    <definedName name="____a110_3" localSheetId="5" hidden="1">{"'vert'!$A$1:$T$117"}</definedName>
    <definedName name="____a110_3" localSheetId="6" hidden="1">{"'vert'!$A$1:$T$117"}</definedName>
    <definedName name="____a110_3" hidden="1">{"'vert'!$A$1:$T$117"}</definedName>
    <definedName name="____a111" localSheetId="5" hidden="1">{"'vert'!$A$1:$T$117"}</definedName>
    <definedName name="____a111" localSheetId="6" hidden="1">{"'vert'!$A$1:$T$117"}</definedName>
    <definedName name="____a111" hidden="1">{"'vert'!$A$1:$T$117"}</definedName>
    <definedName name="____a111_1" localSheetId="5" hidden="1">{"'vert'!$A$1:$T$117"}</definedName>
    <definedName name="____a111_1" localSheetId="6" hidden="1">{"'vert'!$A$1:$T$117"}</definedName>
    <definedName name="____a111_1" hidden="1">{"'vert'!$A$1:$T$117"}</definedName>
    <definedName name="____a111_1_1" localSheetId="5" hidden="1">{"'vert'!$A$1:$T$117"}</definedName>
    <definedName name="____a111_1_1" localSheetId="6" hidden="1">{"'vert'!$A$1:$T$117"}</definedName>
    <definedName name="____a111_1_1" hidden="1">{"'vert'!$A$1:$T$117"}</definedName>
    <definedName name="____a111_1_2" localSheetId="5" hidden="1">{"'vert'!$A$1:$T$117"}</definedName>
    <definedName name="____a111_1_2" localSheetId="6" hidden="1">{"'vert'!$A$1:$T$117"}</definedName>
    <definedName name="____a111_1_2" hidden="1">{"'vert'!$A$1:$T$117"}</definedName>
    <definedName name="____a111_2" localSheetId="5" hidden="1">{"'vert'!$A$1:$T$117"}</definedName>
    <definedName name="____a111_2" localSheetId="6" hidden="1">{"'vert'!$A$1:$T$117"}</definedName>
    <definedName name="____a111_2" hidden="1">{"'vert'!$A$1:$T$117"}</definedName>
    <definedName name="____a111_3" localSheetId="5" hidden="1">{"'vert'!$A$1:$T$117"}</definedName>
    <definedName name="____a111_3" localSheetId="6" hidden="1">{"'vert'!$A$1:$T$117"}</definedName>
    <definedName name="____a111_3" hidden="1">{"'vert'!$A$1:$T$117"}</definedName>
    <definedName name="____a112" localSheetId="5" hidden="1">{"'vert'!$A$1:$T$117"}</definedName>
    <definedName name="____a112" localSheetId="6" hidden="1">{"'vert'!$A$1:$T$117"}</definedName>
    <definedName name="____a112" hidden="1">{"'vert'!$A$1:$T$117"}</definedName>
    <definedName name="____a112_1" localSheetId="5" hidden="1">{"'vert'!$A$1:$T$117"}</definedName>
    <definedName name="____a112_1" localSheetId="6" hidden="1">{"'vert'!$A$1:$T$117"}</definedName>
    <definedName name="____a112_1" hidden="1">{"'vert'!$A$1:$T$117"}</definedName>
    <definedName name="____a112_1_1" localSheetId="5" hidden="1">{"'vert'!$A$1:$T$117"}</definedName>
    <definedName name="____a112_1_1" localSheetId="6" hidden="1">{"'vert'!$A$1:$T$117"}</definedName>
    <definedName name="____a112_1_1" hidden="1">{"'vert'!$A$1:$T$117"}</definedName>
    <definedName name="____a112_1_2" localSheetId="5" hidden="1">{"'vert'!$A$1:$T$117"}</definedName>
    <definedName name="____a112_1_2" localSheetId="6" hidden="1">{"'vert'!$A$1:$T$117"}</definedName>
    <definedName name="____a112_1_2" hidden="1">{"'vert'!$A$1:$T$117"}</definedName>
    <definedName name="____a112_2" localSheetId="5" hidden="1">{"'vert'!$A$1:$T$117"}</definedName>
    <definedName name="____a112_2" localSheetId="6" hidden="1">{"'vert'!$A$1:$T$117"}</definedName>
    <definedName name="____a112_2" hidden="1">{"'vert'!$A$1:$T$117"}</definedName>
    <definedName name="____a112_3" localSheetId="5" hidden="1">{"'vert'!$A$1:$T$117"}</definedName>
    <definedName name="____a112_3" localSheetId="6" hidden="1">{"'vert'!$A$1:$T$117"}</definedName>
    <definedName name="____a112_3" hidden="1">{"'vert'!$A$1:$T$117"}</definedName>
    <definedName name="____a113" localSheetId="5" hidden="1">{"'vert'!$A$1:$T$117"}</definedName>
    <definedName name="____a113" localSheetId="6" hidden="1">{"'vert'!$A$1:$T$117"}</definedName>
    <definedName name="____a113" hidden="1">{"'vert'!$A$1:$T$117"}</definedName>
    <definedName name="____a113_1" localSheetId="5" hidden="1">{"'vert'!$A$1:$T$117"}</definedName>
    <definedName name="____a113_1" localSheetId="6" hidden="1">{"'vert'!$A$1:$T$117"}</definedName>
    <definedName name="____a113_1" hidden="1">{"'vert'!$A$1:$T$117"}</definedName>
    <definedName name="____a113_1_1" localSheetId="5" hidden="1">{"'vert'!$A$1:$T$117"}</definedName>
    <definedName name="____a113_1_1" localSheetId="6" hidden="1">{"'vert'!$A$1:$T$117"}</definedName>
    <definedName name="____a113_1_1" hidden="1">{"'vert'!$A$1:$T$117"}</definedName>
    <definedName name="____a113_1_2" localSheetId="5" hidden="1">{"'vert'!$A$1:$T$117"}</definedName>
    <definedName name="____a113_1_2" localSheetId="6" hidden="1">{"'vert'!$A$1:$T$117"}</definedName>
    <definedName name="____a113_1_2" hidden="1">{"'vert'!$A$1:$T$117"}</definedName>
    <definedName name="____a113_2" localSheetId="5" hidden="1">{"'vert'!$A$1:$T$117"}</definedName>
    <definedName name="____a113_2" localSheetId="6" hidden="1">{"'vert'!$A$1:$T$117"}</definedName>
    <definedName name="____a113_2" hidden="1">{"'vert'!$A$1:$T$117"}</definedName>
    <definedName name="____a113_3" localSheetId="5" hidden="1">{"'vert'!$A$1:$T$117"}</definedName>
    <definedName name="____a113_3" localSheetId="6" hidden="1">{"'vert'!$A$1:$T$117"}</definedName>
    <definedName name="____a113_3" hidden="1">{"'vert'!$A$1:$T$117"}</definedName>
    <definedName name="____a114" localSheetId="5" hidden="1">{"'vert'!$A$1:$T$117"}</definedName>
    <definedName name="____a114" localSheetId="6" hidden="1">{"'vert'!$A$1:$T$117"}</definedName>
    <definedName name="____a114" hidden="1">{"'vert'!$A$1:$T$117"}</definedName>
    <definedName name="____a114_1" localSheetId="5" hidden="1">{"'vert'!$A$1:$T$117"}</definedName>
    <definedName name="____a114_1" localSheetId="6" hidden="1">{"'vert'!$A$1:$T$117"}</definedName>
    <definedName name="____a114_1" hidden="1">{"'vert'!$A$1:$T$117"}</definedName>
    <definedName name="____a114_1_1" localSheetId="5" hidden="1">{"'vert'!$A$1:$T$117"}</definedName>
    <definedName name="____a114_1_1" localSheetId="6" hidden="1">{"'vert'!$A$1:$T$117"}</definedName>
    <definedName name="____a114_1_1" hidden="1">{"'vert'!$A$1:$T$117"}</definedName>
    <definedName name="____a114_1_2" localSheetId="5" hidden="1">{"'vert'!$A$1:$T$117"}</definedName>
    <definedName name="____a114_1_2" localSheetId="6" hidden="1">{"'vert'!$A$1:$T$117"}</definedName>
    <definedName name="____a114_1_2" hidden="1">{"'vert'!$A$1:$T$117"}</definedName>
    <definedName name="____a114_2" localSheetId="5" hidden="1">{"'vert'!$A$1:$T$117"}</definedName>
    <definedName name="____a114_2" localSheetId="6" hidden="1">{"'vert'!$A$1:$T$117"}</definedName>
    <definedName name="____a114_2" hidden="1">{"'vert'!$A$1:$T$117"}</definedName>
    <definedName name="____a114_3" localSheetId="5" hidden="1">{"'vert'!$A$1:$T$117"}</definedName>
    <definedName name="____a114_3" localSheetId="6" hidden="1">{"'vert'!$A$1:$T$117"}</definedName>
    <definedName name="____a114_3" hidden="1">{"'vert'!$A$1:$T$117"}</definedName>
    <definedName name="____a115" localSheetId="5" hidden="1">{"'vert'!$A$1:$T$117"}</definedName>
    <definedName name="____a115" localSheetId="6" hidden="1">{"'vert'!$A$1:$T$117"}</definedName>
    <definedName name="____a115" hidden="1">{"'vert'!$A$1:$T$117"}</definedName>
    <definedName name="____a115_1" localSheetId="5" hidden="1">{"'vert'!$A$1:$T$117"}</definedName>
    <definedName name="____a115_1" localSheetId="6" hidden="1">{"'vert'!$A$1:$T$117"}</definedName>
    <definedName name="____a115_1" hidden="1">{"'vert'!$A$1:$T$117"}</definedName>
    <definedName name="____a115_1_1" localSheetId="5" hidden="1">{"'vert'!$A$1:$T$117"}</definedName>
    <definedName name="____a115_1_1" localSheetId="6" hidden="1">{"'vert'!$A$1:$T$117"}</definedName>
    <definedName name="____a115_1_1" hidden="1">{"'vert'!$A$1:$T$117"}</definedName>
    <definedName name="____a115_1_2" localSheetId="5" hidden="1">{"'vert'!$A$1:$T$117"}</definedName>
    <definedName name="____a115_1_2" localSheetId="6" hidden="1">{"'vert'!$A$1:$T$117"}</definedName>
    <definedName name="____a115_1_2" hidden="1">{"'vert'!$A$1:$T$117"}</definedName>
    <definedName name="____a115_2" localSheetId="5" hidden="1">{"'vert'!$A$1:$T$117"}</definedName>
    <definedName name="____a115_2" localSheetId="6" hidden="1">{"'vert'!$A$1:$T$117"}</definedName>
    <definedName name="____a115_2" hidden="1">{"'vert'!$A$1:$T$117"}</definedName>
    <definedName name="____a115_3" localSheetId="5" hidden="1">{"'vert'!$A$1:$T$117"}</definedName>
    <definedName name="____a115_3" localSheetId="6" hidden="1">{"'vert'!$A$1:$T$117"}</definedName>
    <definedName name="____a115_3" hidden="1">{"'vert'!$A$1:$T$117"}</definedName>
    <definedName name="____a116" localSheetId="5" hidden="1">{"'vert'!$A$1:$T$117"}</definedName>
    <definedName name="____a116" localSheetId="6" hidden="1">{"'vert'!$A$1:$T$117"}</definedName>
    <definedName name="____a116" hidden="1">{"'vert'!$A$1:$T$117"}</definedName>
    <definedName name="____a116_1" localSheetId="5" hidden="1">{"'vert'!$A$1:$T$117"}</definedName>
    <definedName name="____a116_1" localSheetId="6" hidden="1">{"'vert'!$A$1:$T$117"}</definedName>
    <definedName name="____a116_1" hidden="1">{"'vert'!$A$1:$T$117"}</definedName>
    <definedName name="____a116_1_1" localSheetId="5" hidden="1">{"'vert'!$A$1:$T$117"}</definedName>
    <definedName name="____a116_1_1" localSheetId="6" hidden="1">{"'vert'!$A$1:$T$117"}</definedName>
    <definedName name="____a116_1_1" hidden="1">{"'vert'!$A$1:$T$117"}</definedName>
    <definedName name="____a116_1_2" localSheetId="5" hidden="1">{"'vert'!$A$1:$T$117"}</definedName>
    <definedName name="____a116_1_2" localSheetId="6" hidden="1">{"'vert'!$A$1:$T$117"}</definedName>
    <definedName name="____a116_1_2" hidden="1">{"'vert'!$A$1:$T$117"}</definedName>
    <definedName name="____a116_2" localSheetId="5" hidden="1">{"'vert'!$A$1:$T$117"}</definedName>
    <definedName name="____a116_2" localSheetId="6" hidden="1">{"'vert'!$A$1:$T$117"}</definedName>
    <definedName name="____a116_2" hidden="1">{"'vert'!$A$1:$T$117"}</definedName>
    <definedName name="____a116_3" localSheetId="5" hidden="1">{"'vert'!$A$1:$T$117"}</definedName>
    <definedName name="____a116_3" localSheetId="6" hidden="1">{"'vert'!$A$1:$T$117"}</definedName>
    <definedName name="____a116_3" hidden="1">{"'vert'!$A$1:$T$117"}</definedName>
    <definedName name="____a117" localSheetId="5" hidden="1">{"'vert'!$A$1:$T$117"}</definedName>
    <definedName name="____a117" localSheetId="6" hidden="1">{"'vert'!$A$1:$T$117"}</definedName>
    <definedName name="____a117" hidden="1">{"'vert'!$A$1:$T$117"}</definedName>
    <definedName name="____a117_1" localSheetId="5" hidden="1">{"'vert'!$A$1:$T$117"}</definedName>
    <definedName name="____a117_1" localSheetId="6" hidden="1">{"'vert'!$A$1:$T$117"}</definedName>
    <definedName name="____a117_1" hidden="1">{"'vert'!$A$1:$T$117"}</definedName>
    <definedName name="____a117_1_1" localSheetId="5" hidden="1">{"'vert'!$A$1:$T$117"}</definedName>
    <definedName name="____a117_1_1" localSheetId="6" hidden="1">{"'vert'!$A$1:$T$117"}</definedName>
    <definedName name="____a117_1_1" hidden="1">{"'vert'!$A$1:$T$117"}</definedName>
    <definedName name="____a117_1_2" localSheetId="5" hidden="1">{"'vert'!$A$1:$T$117"}</definedName>
    <definedName name="____a117_1_2" localSheetId="6" hidden="1">{"'vert'!$A$1:$T$117"}</definedName>
    <definedName name="____a117_1_2" hidden="1">{"'vert'!$A$1:$T$117"}</definedName>
    <definedName name="____a117_2" localSheetId="5" hidden="1">{"'vert'!$A$1:$T$117"}</definedName>
    <definedName name="____a117_2" localSheetId="6" hidden="1">{"'vert'!$A$1:$T$117"}</definedName>
    <definedName name="____a117_2" hidden="1">{"'vert'!$A$1:$T$117"}</definedName>
    <definedName name="____a117_3" localSheetId="5" hidden="1">{"'vert'!$A$1:$T$117"}</definedName>
    <definedName name="____a117_3" localSheetId="6" hidden="1">{"'vert'!$A$1:$T$117"}</definedName>
    <definedName name="____a117_3" hidden="1">{"'vert'!$A$1:$T$117"}</definedName>
    <definedName name="____a118" localSheetId="5" hidden="1">{"'vert'!$A$1:$T$117"}</definedName>
    <definedName name="____a118" localSheetId="6" hidden="1">{"'vert'!$A$1:$T$117"}</definedName>
    <definedName name="____a118" hidden="1">{"'vert'!$A$1:$T$117"}</definedName>
    <definedName name="____a118_1" localSheetId="5" hidden="1">{"'vert'!$A$1:$T$117"}</definedName>
    <definedName name="____a118_1" localSheetId="6" hidden="1">{"'vert'!$A$1:$T$117"}</definedName>
    <definedName name="____a118_1" hidden="1">{"'vert'!$A$1:$T$117"}</definedName>
    <definedName name="____a118_1_1" localSheetId="5" hidden="1">{"'vert'!$A$1:$T$117"}</definedName>
    <definedName name="____a118_1_1" localSheetId="6" hidden="1">{"'vert'!$A$1:$T$117"}</definedName>
    <definedName name="____a118_1_1" hidden="1">{"'vert'!$A$1:$T$117"}</definedName>
    <definedName name="____a118_1_2" localSheetId="5" hidden="1">{"'vert'!$A$1:$T$117"}</definedName>
    <definedName name="____a118_1_2" localSheetId="6" hidden="1">{"'vert'!$A$1:$T$117"}</definedName>
    <definedName name="____a118_1_2" hidden="1">{"'vert'!$A$1:$T$117"}</definedName>
    <definedName name="____a118_2" localSheetId="5" hidden="1">{"'vert'!$A$1:$T$117"}</definedName>
    <definedName name="____a118_2" localSheetId="6" hidden="1">{"'vert'!$A$1:$T$117"}</definedName>
    <definedName name="____a118_2" hidden="1">{"'vert'!$A$1:$T$117"}</definedName>
    <definedName name="____a118_3" localSheetId="5" hidden="1">{"'vert'!$A$1:$T$117"}</definedName>
    <definedName name="____a118_3" localSheetId="6" hidden="1">{"'vert'!$A$1:$T$117"}</definedName>
    <definedName name="____a118_3" hidden="1">{"'vert'!$A$1:$T$117"}</definedName>
    <definedName name="____a119" localSheetId="5" hidden="1">{"'vert'!$A$1:$T$117"}</definedName>
    <definedName name="____a119" localSheetId="6" hidden="1">{"'vert'!$A$1:$T$117"}</definedName>
    <definedName name="____a119" hidden="1">{"'vert'!$A$1:$T$117"}</definedName>
    <definedName name="____a119_1" localSheetId="5" hidden="1">{"'vert'!$A$1:$T$117"}</definedName>
    <definedName name="____a119_1" localSheetId="6" hidden="1">{"'vert'!$A$1:$T$117"}</definedName>
    <definedName name="____a119_1" hidden="1">{"'vert'!$A$1:$T$117"}</definedName>
    <definedName name="____a119_1_1" localSheetId="5" hidden="1">{"'vert'!$A$1:$T$117"}</definedName>
    <definedName name="____a119_1_1" localSheetId="6" hidden="1">{"'vert'!$A$1:$T$117"}</definedName>
    <definedName name="____a119_1_1" hidden="1">{"'vert'!$A$1:$T$117"}</definedName>
    <definedName name="____a119_1_2" localSheetId="5" hidden="1">{"'vert'!$A$1:$T$117"}</definedName>
    <definedName name="____a119_1_2" localSheetId="6" hidden="1">{"'vert'!$A$1:$T$117"}</definedName>
    <definedName name="____a119_1_2" hidden="1">{"'vert'!$A$1:$T$117"}</definedName>
    <definedName name="____a119_2" localSheetId="5" hidden="1">{"'vert'!$A$1:$T$117"}</definedName>
    <definedName name="____a119_2" localSheetId="6" hidden="1">{"'vert'!$A$1:$T$117"}</definedName>
    <definedName name="____a119_2" hidden="1">{"'vert'!$A$1:$T$117"}</definedName>
    <definedName name="____a119_3" localSheetId="5" hidden="1">{"'vert'!$A$1:$T$117"}</definedName>
    <definedName name="____a119_3" localSheetId="6" hidden="1">{"'vert'!$A$1:$T$117"}</definedName>
    <definedName name="____a119_3" hidden="1">{"'vert'!$A$1:$T$117"}</definedName>
    <definedName name="____a120" localSheetId="5" hidden="1">{"'vert'!$A$1:$T$117"}</definedName>
    <definedName name="____a120" localSheetId="6" hidden="1">{"'vert'!$A$1:$T$117"}</definedName>
    <definedName name="____a120" hidden="1">{"'vert'!$A$1:$T$117"}</definedName>
    <definedName name="____a120_1" localSheetId="5" hidden="1">{"'vert'!$A$1:$T$117"}</definedName>
    <definedName name="____a120_1" localSheetId="6" hidden="1">{"'vert'!$A$1:$T$117"}</definedName>
    <definedName name="____a120_1" hidden="1">{"'vert'!$A$1:$T$117"}</definedName>
    <definedName name="____a120_1_1" localSheetId="5" hidden="1">{"'vert'!$A$1:$T$117"}</definedName>
    <definedName name="____a120_1_1" localSheetId="6" hidden="1">{"'vert'!$A$1:$T$117"}</definedName>
    <definedName name="____a120_1_1" hidden="1">{"'vert'!$A$1:$T$117"}</definedName>
    <definedName name="____a120_1_2" localSheetId="5" hidden="1">{"'vert'!$A$1:$T$117"}</definedName>
    <definedName name="____a120_1_2" localSheetId="6" hidden="1">{"'vert'!$A$1:$T$117"}</definedName>
    <definedName name="____a120_1_2" hidden="1">{"'vert'!$A$1:$T$117"}</definedName>
    <definedName name="____a120_2" localSheetId="5" hidden="1">{"'vert'!$A$1:$T$117"}</definedName>
    <definedName name="____a120_2" localSheetId="6" hidden="1">{"'vert'!$A$1:$T$117"}</definedName>
    <definedName name="____a120_2" hidden="1">{"'vert'!$A$1:$T$117"}</definedName>
    <definedName name="____a120_3" localSheetId="5" hidden="1">{"'vert'!$A$1:$T$117"}</definedName>
    <definedName name="____a120_3" localSheetId="6" hidden="1">{"'vert'!$A$1:$T$117"}</definedName>
    <definedName name="____a120_3" hidden="1">{"'vert'!$A$1:$T$117"}</definedName>
    <definedName name="____a121" localSheetId="5" hidden="1">{"'vert'!$A$1:$T$117"}</definedName>
    <definedName name="____a121" localSheetId="6" hidden="1">{"'vert'!$A$1:$T$117"}</definedName>
    <definedName name="____a121" hidden="1">{"'vert'!$A$1:$T$117"}</definedName>
    <definedName name="____a121_1" localSheetId="5" hidden="1">{"'vert'!$A$1:$T$117"}</definedName>
    <definedName name="____a121_1" localSheetId="6" hidden="1">{"'vert'!$A$1:$T$117"}</definedName>
    <definedName name="____a121_1" hidden="1">{"'vert'!$A$1:$T$117"}</definedName>
    <definedName name="____a121_1_1" localSheetId="5" hidden="1">{"'vert'!$A$1:$T$117"}</definedName>
    <definedName name="____a121_1_1" localSheetId="6" hidden="1">{"'vert'!$A$1:$T$117"}</definedName>
    <definedName name="____a121_1_1" hidden="1">{"'vert'!$A$1:$T$117"}</definedName>
    <definedName name="____a121_1_2" localSheetId="5" hidden="1">{"'vert'!$A$1:$T$117"}</definedName>
    <definedName name="____a121_1_2" localSheetId="6" hidden="1">{"'vert'!$A$1:$T$117"}</definedName>
    <definedName name="____a121_1_2" hidden="1">{"'vert'!$A$1:$T$117"}</definedName>
    <definedName name="____a121_2" localSheetId="5" hidden="1">{"'vert'!$A$1:$T$117"}</definedName>
    <definedName name="____a121_2" localSheetId="6" hidden="1">{"'vert'!$A$1:$T$117"}</definedName>
    <definedName name="____a121_2" hidden="1">{"'vert'!$A$1:$T$117"}</definedName>
    <definedName name="____a121_3" localSheetId="5" hidden="1">{"'vert'!$A$1:$T$117"}</definedName>
    <definedName name="____a121_3" localSheetId="6" hidden="1">{"'vert'!$A$1:$T$117"}</definedName>
    <definedName name="____a121_3" hidden="1">{"'vert'!$A$1:$T$117"}</definedName>
    <definedName name="____a122" localSheetId="5" hidden="1">{"'vert'!$A$1:$T$117"}</definedName>
    <definedName name="____a122" localSheetId="6" hidden="1">{"'vert'!$A$1:$T$117"}</definedName>
    <definedName name="____a122" hidden="1">{"'vert'!$A$1:$T$117"}</definedName>
    <definedName name="____a122_1" localSheetId="5" hidden="1">{"'vert'!$A$1:$T$117"}</definedName>
    <definedName name="____a122_1" localSheetId="6" hidden="1">{"'vert'!$A$1:$T$117"}</definedName>
    <definedName name="____a122_1" hidden="1">{"'vert'!$A$1:$T$117"}</definedName>
    <definedName name="____a122_1_1" localSheetId="5" hidden="1">{"'vert'!$A$1:$T$117"}</definedName>
    <definedName name="____a122_1_1" localSheetId="6" hidden="1">{"'vert'!$A$1:$T$117"}</definedName>
    <definedName name="____a122_1_1" hidden="1">{"'vert'!$A$1:$T$117"}</definedName>
    <definedName name="____a122_1_2" localSheetId="5" hidden="1">{"'vert'!$A$1:$T$117"}</definedName>
    <definedName name="____a122_1_2" localSheetId="6" hidden="1">{"'vert'!$A$1:$T$117"}</definedName>
    <definedName name="____a122_1_2" hidden="1">{"'vert'!$A$1:$T$117"}</definedName>
    <definedName name="____a122_2" localSheetId="5" hidden="1">{"'vert'!$A$1:$T$117"}</definedName>
    <definedName name="____a122_2" localSheetId="6" hidden="1">{"'vert'!$A$1:$T$117"}</definedName>
    <definedName name="____a122_2" hidden="1">{"'vert'!$A$1:$T$117"}</definedName>
    <definedName name="____a122_3" localSheetId="5" hidden="1">{"'vert'!$A$1:$T$117"}</definedName>
    <definedName name="____a122_3" localSheetId="6" hidden="1">{"'vert'!$A$1:$T$117"}</definedName>
    <definedName name="____a122_3" hidden="1">{"'vert'!$A$1:$T$117"}</definedName>
    <definedName name="____a123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a123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a12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a123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a123_1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a12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a123_1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a123_1_1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a123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a123_1_2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a123_1_2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a123_1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a123_2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a123_2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a123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a123_3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a123_3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a123_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a22" localSheetId="5" hidden="1">{"'vert'!$A$1:$T$117"}</definedName>
    <definedName name="____a22" localSheetId="6" hidden="1">{"'vert'!$A$1:$T$117"}</definedName>
    <definedName name="____a22" hidden="1">{"'vert'!$A$1:$T$117"}</definedName>
    <definedName name="____a22_1" localSheetId="5" hidden="1">{"'vert'!$A$1:$T$117"}</definedName>
    <definedName name="____a22_1" localSheetId="6" hidden="1">{"'vert'!$A$1:$T$117"}</definedName>
    <definedName name="____a22_1" hidden="1">{"'vert'!$A$1:$T$117"}</definedName>
    <definedName name="____a22_1_1" localSheetId="5" hidden="1">{"'vert'!$A$1:$T$117"}</definedName>
    <definedName name="____a22_1_1" localSheetId="6" hidden="1">{"'vert'!$A$1:$T$117"}</definedName>
    <definedName name="____a22_1_1" hidden="1">{"'vert'!$A$1:$T$117"}</definedName>
    <definedName name="____a22_1_2" localSheetId="5" hidden="1">{"'vert'!$A$1:$T$117"}</definedName>
    <definedName name="____a22_1_2" localSheetId="6" hidden="1">{"'vert'!$A$1:$T$117"}</definedName>
    <definedName name="____a22_1_2" hidden="1">{"'vert'!$A$1:$T$117"}</definedName>
    <definedName name="____a22_2" localSheetId="5" hidden="1">{"'vert'!$A$1:$T$117"}</definedName>
    <definedName name="____a22_2" localSheetId="6" hidden="1">{"'vert'!$A$1:$T$117"}</definedName>
    <definedName name="____a22_2" hidden="1">{"'vert'!$A$1:$T$117"}</definedName>
    <definedName name="____a22_3" localSheetId="5" hidden="1">{"'vert'!$A$1:$T$117"}</definedName>
    <definedName name="____a22_3" localSheetId="6" hidden="1">{"'vert'!$A$1:$T$117"}</definedName>
    <definedName name="____a22_3" hidden="1">{"'vert'!$A$1:$T$117"}</definedName>
    <definedName name="____a33" localSheetId="5" hidden="1">{"'vert'!$A$1:$T$117"}</definedName>
    <definedName name="____a33" localSheetId="6" hidden="1">{"'vert'!$A$1:$T$117"}</definedName>
    <definedName name="____a33" hidden="1">{"'vert'!$A$1:$T$117"}</definedName>
    <definedName name="____a33_1" localSheetId="5" hidden="1">{"'vert'!$A$1:$T$117"}</definedName>
    <definedName name="____a33_1" localSheetId="6" hidden="1">{"'vert'!$A$1:$T$117"}</definedName>
    <definedName name="____a33_1" hidden="1">{"'vert'!$A$1:$T$117"}</definedName>
    <definedName name="____a33_1_1" localSheetId="5" hidden="1">{"'vert'!$A$1:$T$117"}</definedName>
    <definedName name="____a33_1_1" localSheetId="6" hidden="1">{"'vert'!$A$1:$T$117"}</definedName>
    <definedName name="____a33_1_1" hidden="1">{"'vert'!$A$1:$T$117"}</definedName>
    <definedName name="____a33_1_2" localSheetId="5" hidden="1">{"'vert'!$A$1:$T$117"}</definedName>
    <definedName name="____a33_1_2" localSheetId="6" hidden="1">{"'vert'!$A$1:$T$117"}</definedName>
    <definedName name="____a33_1_2" hidden="1">{"'vert'!$A$1:$T$117"}</definedName>
    <definedName name="____a33_2" localSheetId="5" hidden="1">{"'vert'!$A$1:$T$117"}</definedName>
    <definedName name="____a33_2" localSheetId="6" hidden="1">{"'vert'!$A$1:$T$117"}</definedName>
    <definedName name="____a33_2" hidden="1">{"'vert'!$A$1:$T$117"}</definedName>
    <definedName name="____a33_3" localSheetId="5" hidden="1">{"'vert'!$A$1:$T$117"}</definedName>
    <definedName name="____a33_3" localSheetId="6" hidden="1">{"'vert'!$A$1:$T$117"}</definedName>
    <definedName name="____a33_3" hidden="1">{"'vert'!$A$1:$T$117"}</definedName>
    <definedName name="____a44" localSheetId="5" hidden="1">{"'vert'!$A$1:$T$117"}</definedName>
    <definedName name="____a44" localSheetId="6" hidden="1">{"'vert'!$A$1:$T$117"}</definedName>
    <definedName name="____a44" hidden="1">{"'vert'!$A$1:$T$117"}</definedName>
    <definedName name="____a44_1" localSheetId="5" hidden="1">{"'vert'!$A$1:$T$117"}</definedName>
    <definedName name="____a44_1" localSheetId="6" hidden="1">{"'vert'!$A$1:$T$117"}</definedName>
    <definedName name="____a44_1" hidden="1">{"'vert'!$A$1:$T$117"}</definedName>
    <definedName name="____a44_1_1" localSheetId="5" hidden="1">{"'vert'!$A$1:$T$117"}</definedName>
    <definedName name="____a44_1_1" localSheetId="6" hidden="1">{"'vert'!$A$1:$T$117"}</definedName>
    <definedName name="____a44_1_1" hidden="1">{"'vert'!$A$1:$T$117"}</definedName>
    <definedName name="____a44_1_2" localSheetId="5" hidden="1">{"'vert'!$A$1:$T$117"}</definedName>
    <definedName name="____a44_1_2" localSheetId="6" hidden="1">{"'vert'!$A$1:$T$117"}</definedName>
    <definedName name="____a44_1_2" hidden="1">{"'vert'!$A$1:$T$117"}</definedName>
    <definedName name="____a44_2" localSheetId="5" hidden="1">{"'vert'!$A$1:$T$117"}</definedName>
    <definedName name="____a44_2" localSheetId="6" hidden="1">{"'vert'!$A$1:$T$117"}</definedName>
    <definedName name="____a44_2" hidden="1">{"'vert'!$A$1:$T$117"}</definedName>
    <definedName name="____a44_3" localSheetId="5" hidden="1">{"'vert'!$A$1:$T$117"}</definedName>
    <definedName name="____a44_3" localSheetId="6" hidden="1">{"'vert'!$A$1:$T$117"}</definedName>
    <definedName name="____a44_3" hidden="1">{"'vert'!$A$1:$T$117"}</definedName>
    <definedName name="____a55" localSheetId="5" hidden="1">{"'vert'!$A$1:$T$117"}</definedName>
    <definedName name="____a55" localSheetId="6" hidden="1">{"'vert'!$A$1:$T$117"}</definedName>
    <definedName name="____a55" hidden="1">{"'vert'!$A$1:$T$117"}</definedName>
    <definedName name="____a55_1" localSheetId="5" hidden="1">{"'vert'!$A$1:$T$117"}</definedName>
    <definedName name="____a55_1" localSheetId="6" hidden="1">{"'vert'!$A$1:$T$117"}</definedName>
    <definedName name="____a55_1" hidden="1">{"'vert'!$A$1:$T$117"}</definedName>
    <definedName name="____a55_1_1" localSheetId="5" hidden="1">{"'vert'!$A$1:$T$117"}</definedName>
    <definedName name="____a55_1_1" localSheetId="6" hidden="1">{"'vert'!$A$1:$T$117"}</definedName>
    <definedName name="____a55_1_1" hidden="1">{"'vert'!$A$1:$T$117"}</definedName>
    <definedName name="____a55_1_2" localSheetId="5" hidden="1">{"'vert'!$A$1:$T$117"}</definedName>
    <definedName name="____a55_1_2" localSheetId="6" hidden="1">{"'vert'!$A$1:$T$117"}</definedName>
    <definedName name="____a55_1_2" hidden="1">{"'vert'!$A$1:$T$117"}</definedName>
    <definedName name="____a55_2" localSheetId="5" hidden="1">{"'vert'!$A$1:$T$117"}</definedName>
    <definedName name="____a55_2" localSheetId="6" hidden="1">{"'vert'!$A$1:$T$117"}</definedName>
    <definedName name="____a55_2" hidden="1">{"'vert'!$A$1:$T$117"}</definedName>
    <definedName name="____a55_3" localSheetId="5" hidden="1">{"'vert'!$A$1:$T$117"}</definedName>
    <definedName name="____a55_3" localSheetId="6" hidden="1">{"'vert'!$A$1:$T$117"}</definedName>
    <definedName name="____a55_3" hidden="1">{"'vert'!$A$1:$T$117"}</definedName>
    <definedName name="____a66" localSheetId="5" hidden="1">{"'vert'!$A$1:$T$117"}</definedName>
    <definedName name="____a66" localSheetId="6" hidden="1">{"'vert'!$A$1:$T$117"}</definedName>
    <definedName name="____a66" hidden="1">{"'vert'!$A$1:$T$117"}</definedName>
    <definedName name="____a66_1" localSheetId="5" hidden="1">{"'vert'!$A$1:$T$117"}</definedName>
    <definedName name="____a66_1" localSheetId="6" hidden="1">{"'vert'!$A$1:$T$117"}</definedName>
    <definedName name="____a66_1" hidden="1">{"'vert'!$A$1:$T$117"}</definedName>
    <definedName name="____a66_1_1" localSheetId="5" hidden="1">{"'vert'!$A$1:$T$117"}</definedName>
    <definedName name="____a66_1_1" localSheetId="6" hidden="1">{"'vert'!$A$1:$T$117"}</definedName>
    <definedName name="____a66_1_1" hidden="1">{"'vert'!$A$1:$T$117"}</definedName>
    <definedName name="____a66_1_2" localSheetId="5" hidden="1">{"'vert'!$A$1:$T$117"}</definedName>
    <definedName name="____a66_1_2" localSheetId="6" hidden="1">{"'vert'!$A$1:$T$117"}</definedName>
    <definedName name="____a66_1_2" hidden="1">{"'vert'!$A$1:$T$117"}</definedName>
    <definedName name="____a66_2" localSheetId="5" hidden="1">{"'vert'!$A$1:$T$117"}</definedName>
    <definedName name="____a66_2" localSheetId="6" hidden="1">{"'vert'!$A$1:$T$117"}</definedName>
    <definedName name="____a66_2" hidden="1">{"'vert'!$A$1:$T$117"}</definedName>
    <definedName name="____a66_3" localSheetId="5" hidden="1">{"'vert'!$A$1:$T$117"}</definedName>
    <definedName name="____a66_3" localSheetId="6" hidden="1">{"'vert'!$A$1:$T$117"}</definedName>
    <definedName name="____a66_3" hidden="1">{"'vert'!$A$1:$T$117"}</definedName>
    <definedName name="____a77" localSheetId="5" hidden="1">{"'vert'!$A$1:$T$117"}</definedName>
    <definedName name="____a77" localSheetId="6" hidden="1">{"'vert'!$A$1:$T$117"}</definedName>
    <definedName name="____a77" hidden="1">{"'vert'!$A$1:$T$117"}</definedName>
    <definedName name="____a77_1" localSheetId="5" hidden="1">{"'vert'!$A$1:$T$117"}</definedName>
    <definedName name="____a77_1" localSheetId="6" hidden="1">{"'vert'!$A$1:$T$117"}</definedName>
    <definedName name="____a77_1" hidden="1">{"'vert'!$A$1:$T$117"}</definedName>
    <definedName name="____a77_1_1" localSheetId="5" hidden="1">{"'vert'!$A$1:$T$117"}</definedName>
    <definedName name="____a77_1_1" localSheetId="6" hidden="1">{"'vert'!$A$1:$T$117"}</definedName>
    <definedName name="____a77_1_1" hidden="1">{"'vert'!$A$1:$T$117"}</definedName>
    <definedName name="____a77_1_2" localSheetId="5" hidden="1">{"'vert'!$A$1:$T$117"}</definedName>
    <definedName name="____a77_1_2" localSheetId="6" hidden="1">{"'vert'!$A$1:$T$117"}</definedName>
    <definedName name="____a77_1_2" hidden="1">{"'vert'!$A$1:$T$117"}</definedName>
    <definedName name="____a77_2" localSheetId="5" hidden="1">{"'vert'!$A$1:$T$117"}</definedName>
    <definedName name="____a77_2" localSheetId="6" hidden="1">{"'vert'!$A$1:$T$117"}</definedName>
    <definedName name="____a77_2" hidden="1">{"'vert'!$A$1:$T$117"}</definedName>
    <definedName name="____a77_3" localSheetId="5" hidden="1">{"'vert'!$A$1:$T$117"}</definedName>
    <definedName name="____a77_3" localSheetId="6" hidden="1">{"'vert'!$A$1:$T$117"}</definedName>
    <definedName name="____a77_3" hidden="1">{"'vert'!$A$1:$T$117"}</definedName>
    <definedName name="____a88" localSheetId="5" hidden="1">{"'vert'!$A$1:$T$117"}</definedName>
    <definedName name="____a88" localSheetId="6" hidden="1">{"'vert'!$A$1:$T$117"}</definedName>
    <definedName name="____a88" hidden="1">{"'vert'!$A$1:$T$117"}</definedName>
    <definedName name="____a88_1" localSheetId="5" hidden="1">{"'vert'!$A$1:$T$117"}</definedName>
    <definedName name="____a88_1" localSheetId="6" hidden="1">{"'vert'!$A$1:$T$117"}</definedName>
    <definedName name="____a88_1" hidden="1">{"'vert'!$A$1:$T$117"}</definedName>
    <definedName name="____a88_1_1" localSheetId="5" hidden="1">{"'vert'!$A$1:$T$117"}</definedName>
    <definedName name="____a88_1_1" localSheetId="6" hidden="1">{"'vert'!$A$1:$T$117"}</definedName>
    <definedName name="____a88_1_1" hidden="1">{"'vert'!$A$1:$T$117"}</definedName>
    <definedName name="____a88_1_2" localSheetId="5" hidden="1">{"'vert'!$A$1:$T$117"}</definedName>
    <definedName name="____a88_1_2" localSheetId="6" hidden="1">{"'vert'!$A$1:$T$117"}</definedName>
    <definedName name="____a88_1_2" hidden="1">{"'vert'!$A$1:$T$117"}</definedName>
    <definedName name="____a88_2" localSheetId="5" hidden="1">{"'vert'!$A$1:$T$117"}</definedName>
    <definedName name="____a88_2" localSheetId="6" hidden="1">{"'vert'!$A$1:$T$117"}</definedName>
    <definedName name="____a88_2" hidden="1">{"'vert'!$A$1:$T$117"}</definedName>
    <definedName name="____a88_3" localSheetId="5" hidden="1">{"'vert'!$A$1:$T$117"}</definedName>
    <definedName name="____a88_3" localSheetId="6" hidden="1">{"'vert'!$A$1:$T$117"}</definedName>
    <definedName name="____a88_3" hidden="1">{"'vert'!$A$1:$T$117"}</definedName>
    <definedName name="____a99" localSheetId="5" hidden="1">{"'vert'!$A$1:$T$117"}</definedName>
    <definedName name="____a99" localSheetId="6" hidden="1">{"'vert'!$A$1:$T$117"}</definedName>
    <definedName name="____a99" hidden="1">{"'vert'!$A$1:$T$117"}</definedName>
    <definedName name="____a99_1" localSheetId="5" hidden="1">{"'vert'!$A$1:$T$117"}</definedName>
    <definedName name="____a99_1" localSheetId="6" hidden="1">{"'vert'!$A$1:$T$117"}</definedName>
    <definedName name="____a99_1" hidden="1">{"'vert'!$A$1:$T$117"}</definedName>
    <definedName name="____a99_1_1" localSheetId="5" hidden="1">{"'vert'!$A$1:$T$117"}</definedName>
    <definedName name="____a99_1_1" localSheetId="6" hidden="1">{"'vert'!$A$1:$T$117"}</definedName>
    <definedName name="____a99_1_1" hidden="1">{"'vert'!$A$1:$T$117"}</definedName>
    <definedName name="____a99_1_2" localSheetId="5" hidden="1">{"'vert'!$A$1:$T$117"}</definedName>
    <definedName name="____a99_1_2" localSheetId="6" hidden="1">{"'vert'!$A$1:$T$117"}</definedName>
    <definedName name="____a99_1_2" hidden="1">{"'vert'!$A$1:$T$117"}</definedName>
    <definedName name="____a99_2" localSheetId="5" hidden="1">{"'vert'!$A$1:$T$117"}</definedName>
    <definedName name="____a99_2" localSheetId="6" hidden="1">{"'vert'!$A$1:$T$117"}</definedName>
    <definedName name="____a99_2" hidden="1">{"'vert'!$A$1:$T$117"}</definedName>
    <definedName name="____a99_3" localSheetId="5" hidden="1">{"'vert'!$A$1:$T$117"}</definedName>
    <definedName name="____a99_3" localSheetId="6" hidden="1">{"'vert'!$A$1:$T$117"}</definedName>
    <definedName name="____a99_3" hidden="1">{"'vert'!$A$1:$T$117"}</definedName>
    <definedName name="____bla2" localSheetId="5" hidden="1">{"'vert'!$A$1:$T$117"}</definedName>
    <definedName name="____bla2" localSheetId="6" hidden="1">{"'vert'!$A$1:$T$117"}</definedName>
    <definedName name="____bla2" hidden="1">{"'vert'!$A$1:$T$117"}</definedName>
    <definedName name="____bla2_1" localSheetId="5" hidden="1">{"'vert'!$A$1:$T$117"}</definedName>
    <definedName name="____bla2_1" localSheetId="6" hidden="1">{"'vert'!$A$1:$T$117"}</definedName>
    <definedName name="____bla2_1" hidden="1">{"'vert'!$A$1:$T$117"}</definedName>
    <definedName name="____bla2_1_1" localSheetId="5" hidden="1">{"'vert'!$A$1:$T$117"}</definedName>
    <definedName name="____bla2_1_1" localSheetId="6" hidden="1">{"'vert'!$A$1:$T$117"}</definedName>
    <definedName name="____bla2_1_1" hidden="1">{"'vert'!$A$1:$T$117"}</definedName>
    <definedName name="____bla2_1_2" localSheetId="5" hidden="1">{"'vert'!$A$1:$T$117"}</definedName>
    <definedName name="____bla2_1_2" localSheetId="6" hidden="1">{"'vert'!$A$1:$T$117"}</definedName>
    <definedName name="____bla2_1_2" hidden="1">{"'vert'!$A$1:$T$117"}</definedName>
    <definedName name="____bla2_2" localSheetId="5" hidden="1">{"'vert'!$A$1:$T$117"}</definedName>
    <definedName name="____bla2_2" localSheetId="6" hidden="1">{"'vert'!$A$1:$T$117"}</definedName>
    <definedName name="____bla2_2" hidden="1">{"'vert'!$A$1:$T$117"}</definedName>
    <definedName name="____bla2_3" localSheetId="5" hidden="1">{"'vert'!$A$1:$T$117"}</definedName>
    <definedName name="____bla2_3" localSheetId="6" hidden="1">{"'vert'!$A$1:$T$117"}</definedName>
    <definedName name="____bla2_3" hidden="1">{"'vert'!$A$1:$T$117"}</definedName>
    <definedName name="____bla3" localSheetId="5" hidden="1">{"'vert'!$A$1:$T$117"}</definedName>
    <definedName name="____bla3" localSheetId="6" hidden="1">{"'vert'!$A$1:$T$117"}</definedName>
    <definedName name="____bla3" hidden="1">{"'vert'!$A$1:$T$117"}</definedName>
    <definedName name="____bla3_1" localSheetId="5" hidden="1">{"'vert'!$A$1:$T$117"}</definedName>
    <definedName name="____bla3_1" localSheetId="6" hidden="1">{"'vert'!$A$1:$T$117"}</definedName>
    <definedName name="____bla3_1" hidden="1">{"'vert'!$A$1:$T$117"}</definedName>
    <definedName name="____bla3_1_1" localSheetId="5" hidden="1">{"'vert'!$A$1:$T$117"}</definedName>
    <definedName name="____bla3_1_1" localSheetId="6" hidden="1">{"'vert'!$A$1:$T$117"}</definedName>
    <definedName name="____bla3_1_1" hidden="1">{"'vert'!$A$1:$T$117"}</definedName>
    <definedName name="____bla3_1_2" localSheetId="5" hidden="1">{"'vert'!$A$1:$T$117"}</definedName>
    <definedName name="____bla3_1_2" localSheetId="6" hidden="1">{"'vert'!$A$1:$T$117"}</definedName>
    <definedName name="____bla3_1_2" hidden="1">{"'vert'!$A$1:$T$117"}</definedName>
    <definedName name="____bla3_2" localSheetId="5" hidden="1">{"'vert'!$A$1:$T$117"}</definedName>
    <definedName name="____bla3_2" localSheetId="6" hidden="1">{"'vert'!$A$1:$T$117"}</definedName>
    <definedName name="____bla3_2" hidden="1">{"'vert'!$A$1:$T$117"}</definedName>
    <definedName name="____bla3_3" localSheetId="5" hidden="1">{"'vert'!$A$1:$T$117"}</definedName>
    <definedName name="____bla3_3" localSheetId="6" hidden="1">{"'vert'!$A$1:$T$117"}</definedName>
    <definedName name="____bla3_3" hidden="1">{"'vert'!$A$1:$T$117"}</definedName>
    <definedName name="____dd2" localSheetId="5" hidden="1">{"'vert'!$A$1:$T$117"}</definedName>
    <definedName name="____dd2" localSheetId="6" hidden="1">{"'vert'!$A$1:$T$117"}</definedName>
    <definedName name="____dd2" hidden="1">{"'vert'!$A$1:$T$117"}</definedName>
    <definedName name="____dd2_1" localSheetId="5" hidden="1">{"'vert'!$A$1:$T$117"}</definedName>
    <definedName name="____dd2_1" localSheetId="6" hidden="1">{"'vert'!$A$1:$T$117"}</definedName>
    <definedName name="____dd2_1" hidden="1">{"'vert'!$A$1:$T$117"}</definedName>
    <definedName name="____dd2_1_1" localSheetId="5" hidden="1">{"'vert'!$A$1:$T$117"}</definedName>
    <definedName name="____dd2_1_1" localSheetId="6" hidden="1">{"'vert'!$A$1:$T$117"}</definedName>
    <definedName name="____dd2_1_1" hidden="1">{"'vert'!$A$1:$T$117"}</definedName>
    <definedName name="____dd2_1_2" localSheetId="5" hidden="1">{"'vert'!$A$1:$T$117"}</definedName>
    <definedName name="____dd2_1_2" localSheetId="6" hidden="1">{"'vert'!$A$1:$T$117"}</definedName>
    <definedName name="____dd2_1_2" hidden="1">{"'vert'!$A$1:$T$117"}</definedName>
    <definedName name="____dd2_2" localSheetId="5" hidden="1">{"'vert'!$A$1:$T$117"}</definedName>
    <definedName name="____dd2_2" localSheetId="6" hidden="1">{"'vert'!$A$1:$T$117"}</definedName>
    <definedName name="____dd2_2" hidden="1">{"'vert'!$A$1:$T$117"}</definedName>
    <definedName name="____dd2_3" localSheetId="5" hidden="1">{"'vert'!$A$1:$T$117"}</definedName>
    <definedName name="____dd2_3" localSheetId="6" hidden="1">{"'vert'!$A$1:$T$117"}</definedName>
    <definedName name="____dd2_3" hidden="1">{"'vert'!$A$1:$T$117"}</definedName>
    <definedName name="____DE2" localSheetId="5" hidden="1">{"'vert'!$A$1:$T$117"}</definedName>
    <definedName name="____DE2" localSheetId="6" hidden="1">{"'vert'!$A$1:$T$117"}</definedName>
    <definedName name="____DE2" hidden="1">{"'vert'!$A$1:$T$117"}</definedName>
    <definedName name="____DE2_1" localSheetId="5" hidden="1">{"'vert'!$A$1:$T$117"}</definedName>
    <definedName name="____DE2_1" localSheetId="6" hidden="1">{"'vert'!$A$1:$T$117"}</definedName>
    <definedName name="____DE2_1" hidden="1">{"'vert'!$A$1:$T$117"}</definedName>
    <definedName name="____DE2_1_1" localSheetId="5" hidden="1">{"'vert'!$A$1:$T$117"}</definedName>
    <definedName name="____DE2_1_1" localSheetId="6" hidden="1">{"'vert'!$A$1:$T$117"}</definedName>
    <definedName name="____DE2_1_1" hidden="1">{"'vert'!$A$1:$T$117"}</definedName>
    <definedName name="____DE2_1_2" localSheetId="5" hidden="1">{"'vert'!$A$1:$T$117"}</definedName>
    <definedName name="____DE2_1_2" localSheetId="6" hidden="1">{"'vert'!$A$1:$T$117"}</definedName>
    <definedName name="____DE2_1_2" hidden="1">{"'vert'!$A$1:$T$117"}</definedName>
    <definedName name="____DE2_2" localSheetId="5" hidden="1">{"'vert'!$A$1:$T$117"}</definedName>
    <definedName name="____DE2_2" localSheetId="6" hidden="1">{"'vert'!$A$1:$T$117"}</definedName>
    <definedName name="____DE2_2" hidden="1">{"'vert'!$A$1:$T$117"}</definedName>
    <definedName name="____DE2_3" localSheetId="5" hidden="1">{"'vert'!$A$1:$T$117"}</definedName>
    <definedName name="____DE2_3" localSheetId="6" hidden="1">{"'vert'!$A$1:$T$117"}</definedName>
    <definedName name="____DE2_3" hidden="1">{"'vert'!$A$1:$T$117"}</definedName>
    <definedName name="____huh3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huh3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huh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a1" localSheetId="5" hidden="1">{"'vert'!$A$1:$T$117"}</definedName>
    <definedName name="___a1" localSheetId="6" hidden="1">{"'vert'!$A$1:$T$117"}</definedName>
    <definedName name="___a1" hidden="1">{"'vert'!$A$1:$T$117"}</definedName>
    <definedName name="___a1_1" localSheetId="5" hidden="1">{"'vert'!$A$1:$T$117"}</definedName>
    <definedName name="___a1_1" localSheetId="6" hidden="1">{"'vert'!$A$1:$T$117"}</definedName>
    <definedName name="___a1_1" hidden="1">{"'vert'!$A$1:$T$117"}</definedName>
    <definedName name="___a1_1_1" localSheetId="5" hidden="1">{"'vert'!$A$1:$T$117"}</definedName>
    <definedName name="___a1_1_1" localSheetId="6" hidden="1">{"'vert'!$A$1:$T$117"}</definedName>
    <definedName name="___a1_1_1" hidden="1">{"'vert'!$A$1:$T$117"}</definedName>
    <definedName name="___a1_1_2" localSheetId="5" hidden="1">{"'vert'!$A$1:$T$117"}</definedName>
    <definedName name="___a1_1_2" localSheetId="6" hidden="1">{"'vert'!$A$1:$T$117"}</definedName>
    <definedName name="___a1_1_2" hidden="1">{"'vert'!$A$1:$T$117"}</definedName>
    <definedName name="___a1_2" localSheetId="5" hidden="1">{"'vert'!$A$1:$T$117"}</definedName>
    <definedName name="___a1_2" localSheetId="6" hidden="1">{"'vert'!$A$1:$T$117"}</definedName>
    <definedName name="___a1_2" hidden="1">{"'vert'!$A$1:$T$117"}</definedName>
    <definedName name="___a1_3" localSheetId="5" hidden="1">{"'vert'!$A$1:$T$117"}</definedName>
    <definedName name="___a1_3" localSheetId="6" hidden="1">{"'vert'!$A$1:$T$117"}</definedName>
    <definedName name="___a1_3" hidden="1">{"'vert'!$A$1:$T$117"}</definedName>
    <definedName name="___a101" localSheetId="5" hidden="1">{"'vert'!$A$1:$T$117"}</definedName>
    <definedName name="___a101" localSheetId="6" hidden="1">{"'vert'!$A$1:$T$117"}</definedName>
    <definedName name="___a101" hidden="1">{"'vert'!$A$1:$T$117"}</definedName>
    <definedName name="___a101_1" localSheetId="5" hidden="1">{"'vert'!$A$1:$T$117"}</definedName>
    <definedName name="___a101_1" localSheetId="6" hidden="1">{"'vert'!$A$1:$T$117"}</definedName>
    <definedName name="___a101_1" hidden="1">{"'vert'!$A$1:$T$117"}</definedName>
    <definedName name="___a101_1_1" localSheetId="5" hidden="1">{"'vert'!$A$1:$T$117"}</definedName>
    <definedName name="___a101_1_1" localSheetId="6" hidden="1">{"'vert'!$A$1:$T$117"}</definedName>
    <definedName name="___a101_1_1" hidden="1">{"'vert'!$A$1:$T$117"}</definedName>
    <definedName name="___a101_1_2" localSheetId="5" hidden="1">{"'vert'!$A$1:$T$117"}</definedName>
    <definedName name="___a101_1_2" localSheetId="6" hidden="1">{"'vert'!$A$1:$T$117"}</definedName>
    <definedName name="___a101_1_2" hidden="1">{"'vert'!$A$1:$T$117"}</definedName>
    <definedName name="___a101_2" localSheetId="5" hidden="1">{"'vert'!$A$1:$T$117"}</definedName>
    <definedName name="___a101_2" localSheetId="6" hidden="1">{"'vert'!$A$1:$T$117"}</definedName>
    <definedName name="___a101_2" hidden="1">{"'vert'!$A$1:$T$117"}</definedName>
    <definedName name="___a101_3" localSheetId="5" hidden="1">{"'vert'!$A$1:$T$117"}</definedName>
    <definedName name="___a101_3" localSheetId="6" hidden="1">{"'vert'!$A$1:$T$117"}</definedName>
    <definedName name="___a101_3" hidden="1">{"'vert'!$A$1:$T$117"}</definedName>
    <definedName name="___a102" localSheetId="5" hidden="1">{"'vert'!$A$1:$T$117"}</definedName>
    <definedName name="___a102" localSheetId="6" hidden="1">{"'vert'!$A$1:$T$117"}</definedName>
    <definedName name="___a102" hidden="1">{"'vert'!$A$1:$T$117"}</definedName>
    <definedName name="___a102_1" localSheetId="5" hidden="1">{"'vert'!$A$1:$T$117"}</definedName>
    <definedName name="___a102_1" localSheetId="6" hidden="1">{"'vert'!$A$1:$T$117"}</definedName>
    <definedName name="___a102_1" hidden="1">{"'vert'!$A$1:$T$117"}</definedName>
    <definedName name="___a102_1_1" localSheetId="5" hidden="1">{"'vert'!$A$1:$T$117"}</definedName>
    <definedName name="___a102_1_1" localSheetId="6" hidden="1">{"'vert'!$A$1:$T$117"}</definedName>
    <definedName name="___a102_1_1" hidden="1">{"'vert'!$A$1:$T$117"}</definedName>
    <definedName name="___a102_1_2" localSheetId="5" hidden="1">{"'vert'!$A$1:$T$117"}</definedName>
    <definedName name="___a102_1_2" localSheetId="6" hidden="1">{"'vert'!$A$1:$T$117"}</definedName>
    <definedName name="___a102_1_2" hidden="1">{"'vert'!$A$1:$T$117"}</definedName>
    <definedName name="___a102_2" localSheetId="5" hidden="1">{"'vert'!$A$1:$T$117"}</definedName>
    <definedName name="___a102_2" localSheetId="6" hidden="1">{"'vert'!$A$1:$T$117"}</definedName>
    <definedName name="___a102_2" hidden="1">{"'vert'!$A$1:$T$117"}</definedName>
    <definedName name="___a102_3" localSheetId="5" hidden="1">{"'vert'!$A$1:$T$117"}</definedName>
    <definedName name="___a102_3" localSheetId="6" hidden="1">{"'vert'!$A$1:$T$117"}</definedName>
    <definedName name="___a102_3" hidden="1">{"'vert'!$A$1:$T$117"}</definedName>
    <definedName name="___a103" localSheetId="5" hidden="1">{"'vert'!$A$1:$T$117"}</definedName>
    <definedName name="___a103" localSheetId="6" hidden="1">{"'vert'!$A$1:$T$117"}</definedName>
    <definedName name="___a103" hidden="1">{"'vert'!$A$1:$T$117"}</definedName>
    <definedName name="___a103_1" localSheetId="5" hidden="1">{"'vert'!$A$1:$T$117"}</definedName>
    <definedName name="___a103_1" localSheetId="6" hidden="1">{"'vert'!$A$1:$T$117"}</definedName>
    <definedName name="___a103_1" hidden="1">{"'vert'!$A$1:$T$117"}</definedName>
    <definedName name="___a103_1_1" localSheetId="5" hidden="1">{"'vert'!$A$1:$T$117"}</definedName>
    <definedName name="___a103_1_1" localSheetId="6" hidden="1">{"'vert'!$A$1:$T$117"}</definedName>
    <definedName name="___a103_1_1" hidden="1">{"'vert'!$A$1:$T$117"}</definedName>
    <definedName name="___a103_1_2" localSheetId="5" hidden="1">{"'vert'!$A$1:$T$117"}</definedName>
    <definedName name="___a103_1_2" localSheetId="6" hidden="1">{"'vert'!$A$1:$T$117"}</definedName>
    <definedName name="___a103_1_2" hidden="1">{"'vert'!$A$1:$T$117"}</definedName>
    <definedName name="___a103_2" localSheetId="5" hidden="1">{"'vert'!$A$1:$T$117"}</definedName>
    <definedName name="___a103_2" localSheetId="6" hidden="1">{"'vert'!$A$1:$T$117"}</definedName>
    <definedName name="___a103_2" hidden="1">{"'vert'!$A$1:$T$117"}</definedName>
    <definedName name="___a103_3" localSheetId="5" hidden="1">{"'vert'!$A$1:$T$117"}</definedName>
    <definedName name="___a103_3" localSheetId="6" hidden="1">{"'vert'!$A$1:$T$117"}</definedName>
    <definedName name="___a103_3" hidden="1">{"'vert'!$A$1:$T$117"}</definedName>
    <definedName name="___a104" localSheetId="5" hidden="1">{"'vert'!$A$1:$T$117"}</definedName>
    <definedName name="___a104" localSheetId="6" hidden="1">{"'vert'!$A$1:$T$117"}</definedName>
    <definedName name="___a104" hidden="1">{"'vert'!$A$1:$T$117"}</definedName>
    <definedName name="___a104_1" localSheetId="5" hidden="1">{"'vert'!$A$1:$T$117"}</definedName>
    <definedName name="___a104_1" localSheetId="6" hidden="1">{"'vert'!$A$1:$T$117"}</definedName>
    <definedName name="___a104_1" hidden="1">{"'vert'!$A$1:$T$117"}</definedName>
    <definedName name="___a104_1_1" localSheetId="5" hidden="1">{"'vert'!$A$1:$T$117"}</definedName>
    <definedName name="___a104_1_1" localSheetId="6" hidden="1">{"'vert'!$A$1:$T$117"}</definedName>
    <definedName name="___a104_1_1" hidden="1">{"'vert'!$A$1:$T$117"}</definedName>
    <definedName name="___a104_1_2" localSheetId="5" hidden="1">{"'vert'!$A$1:$T$117"}</definedName>
    <definedName name="___a104_1_2" localSheetId="6" hidden="1">{"'vert'!$A$1:$T$117"}</definedName>
    <definedName name="___a104_1_2" hidden="1">{"'vert'!$A$1:$T$117"}</definedName>
    <definedName name="___a104_2" localSheetId="5" hidden="1">{"'vert'!$A$1:$T$117"}</definedName>
    <definedName name="___a104_2" localSheetId="6" hidden="1">{"'vert'!$A$1:$T$117"}</definedName>
    <definedName name="___a104_2" hidden="1">{"'vert'!$A$1:$T$117"}</definedName>
    <definedName name="___a104_3" localSheetId="5" hidden="1">{"'vert'!$A$1:$T$117"}</definedName>
    <definedName name="___a104_3" localSheetId="6" hidden="1">{"'vert'!$A$1:$T$117"}</definedName>
    <definedName name="___a104_3" hidden="1">{"'vert'!$A$1:$T$117"}</definedName>
    <definedName name="___a105" localSheetId="5" hidden="1">{"'vert'!$A$1:$T$117"}</definedName>
    <definedName name="___a105" localSheetId="6" hidden="1">{"'vert'!$A$1:$T$117"}</definedName>
    <definedName name="___a105" hidden="1">{"'vert'!$A$1:$T$117"}</definedName>
    <definedName name="___a105_1" localSheetId="5" hidden="1">{"'vert'!$A$1:$T$117"}</definedName>
    <definedName name="___a105_1" localSheetId="6" hidden="1">{"'vert'!$A$1:$T$117"}</definedName>
    <definedName name="___a105_1" hidden="1">{"'vert'!$A$1:$T$117"}</definedName>
    <definedName name="___a105_1_1" localSheetId="5" hidden="1">{"'vert'!$A$1:$T$117"}</definedName>
    <definedName name="___a105_1_1" localSheetId="6" hidden="1">{"'vert'!$A$1:$T$117"}</definedName>
    <definedName name="___a105_1_1" hidden="1">{"'vert'!$A$1:$T$117"}</definedName>
    <definedName name="___a105_1_2" localSheetId="5" hidden="1">{"'vert'!$A$1:$T$117"}</definedName>
    <definedName name="___a105_1_2" localSheetId="6" hidden="1">{"'vert'!$A$1:$T$117"}</definedName>
    <definedName name="___a105_1_2" hidden="1">{"'vert'!$A$1:$T$117"}</definedName>
    <definedName name="___a105_2" localSheetId="5" hidden="1">{"'vert'!$A$1:$T$117"}</definedName>
    <definedName name="___a105_2" localSheetId="6" hidden="1">{"'vert'!$A$1:$T$117"}</definedName>
    <definedName name="___a105_2" hidden="1">{"'vert'!$A$1:$T$117"}</definedName>
    <definedName name="___a105_3" localSheetId="5" hidden="1">{"'vert'!$A$1:$T$117"}</definedName>
    <definedName name="___a105_3" localSheetId="6" hidden="1">{"'vert'!$A$1:$T$117"}</definedName>
    <definedName name="___a105_3" hidden="1">{"'vert'!$A$1:$T$117"}</definedName>
    <definedName name="___a106" localSheetId="5" hidden="1">{"'vert'!$A$1:$T$117"}</definedName>
    <definedName name="___a106" localSheetId="6" hidden="1">{"'vert'!$A$1:$T$117"}</definedName>
    <definedName name="___a106" hidden="1">{"'vert'!$A$1:$T$117"}</definedName>
    <definedName name="___a106_1" localSheetId="5" hidden="1">{"'vert'!$A$1:$T$117"}</definedName>
    <definedName name="___a106_1" localSheetId="6" hidden="1">{"'vert'!$A$1:$T$117"}</definedName>
    <definedName name="___a106_1" hidden="1">{"'vert'!$A$1:$T$117"}</definedName>
    <definedName name="___a106_1_1" localSheetId="5" hidden="1">{"'vert'!$A$1:$T$117"}</definedName>
    <definedName name="___a106_1_1" localSheetId="6" hidden="1">{"'vert'!$A$1:$T$117"}</definedName>
    <definedName name="___a106_1_1" hidden="1">{"'vert'!$A$1:$T$117"}</definedName>
    <definedName name="___a106_1_2" localSheetId="5" hidden="1">{"'vert'!$A$1:$T$117"}</definedName>
    <definedName name="___a106_1_2" localSheetId="6" hidden="1">{"'vert'!$A$1:$T$117"}</definedName>
    <definedName name="___a106_1_2" hidden="1">{"'vert'!$A$1:$T$117"}</definedName>
    <definedName name="___a106_2" localSheetId="5" hidden="1">{"'vert'!$A$1:$T$117"}</definedName>
    <definedName name="___a106_2" localSheetId="6" hidden="1">{"'vert'!$A$1:$T$117"}</definedName>
    <definedName name="___a106_2" hidden="1">{"'vert'!$A$1:$T$117"}</definedName>
    <definedName name="___a106_3" localSheetId="5" hidden="1">{"'vert'!$A$1:$T$117"}</definedName>
    <definedName name="___a106_3" localSheetId="6" hidden="1">{"'vert'!$A$1:$T$117"}</definedName>
    <definedName name="___a106_3" hidden="1">{"'vert'!$A$1:$T$117"}</definedName>
    <definedName name="___a107" localSheetId="5" hidden="1">{"'vert'!$A$1:$T$117"}</definedName>
    <definedName name="___a107" localSheetId="6" hidden="1">{"'vert'!$A$1:$T$117"}</definedName>
    <definedName name="___a107" hidden="1">{"'vert'!$A$1:$T$117"}</definedName>
    <definedName name="___a107_1" localSheetId="5" hidden="1">{"'vert'!$A$1:$T$117"}</definedName>
    <definedName name="___a107_1" localSheetId="6" hidden="1">{"'vert'!$A$1:$T$117"}</definedName>
    <definedName name="___a107_1" hidden="1">{"'vert'!$A$1:$T$117"}</definedName>
    <definedName name="___a107_1_1" localSheetId="5" hidden="1">{"'vert'!$A$1:$T$117"}</definedName>
    <definedName name="___a107_1_1" localSheetId="6" hidden="1">{"'vert'!$A$1:$T$117"}</definedName>
    <definedName name="___a107_1_1" hidden="1">{"'vert'!$A$1:$T$117"}</definedName>
    <definedName name="___a107_1_2" localSheetId="5" hidden="1">{"'vert'!$A$1:$T$117"}</definedName>
    <definedName name="___a107_1_2" localSheetId="6" hidden="1">{"'vert'!$A$1:$T$117"}</definedName>
    <definedName name="___a107_1_2" hidden="1">{"'vert'!$A$1:$T$117"}</definedName>
    <definedName name="___a107_2" localSheetId="5" hidden="1">{"'vert'!$A$1:$T$117"}</definedName>
    <definedName name="___a107_2" localSheetId="6" hidden="1">{"'vert'!$A$1:$T$117"}</definedName>
    <definedName name="___a107_2" hidden="1">{"'vert'!$A$1:$T$117"}</definedName>
    <definedName name="___a107_3" localSheetId="5" hidden="1">{"'vert'!$A$1:$T$117"}</definedName>
    <definedName name="___a107_3" localSheetId="6" hidden="1">{"'vert'!$A$1:$T$117"}</definedName>
    <definedName name="___a107_3" hidden="1">{"'vert'!$A$1:$T$117"}</definedName>
    <definedName name="___a108" localSheetId="5" hidden="1">{"'vert'!$A$1:$T$117"}</definedName>
    <definedName name="___a108" localSheetId="6" hidden="1">{"'vert'!$A$1:$T$117"}</definedName>
    <definedName name="___a108" hidden="1">{"'vert'!$A$1:$T$117"}</definedName>
    <definedName name="___a108_1" localSheetId="5" hidden="1">{"'vert'!$A$1:$T$117"}</definedName>
    <definedName name="___a108_1" localSheetId="6" hidden="1">{"'vert'!$A$1:$T$117"}</definedName>
    <definedName name="___a108_1" hidden="1">{"'vert'!$A$1:$T$117"}</definedName>
    <definedName name="___a108_1_1" localSheetId="5" hidden="1">{"'vert'!$A$1:$T$117"}</definedName>
    <definedName name="___a108_1_1" localSheetId="6" hidden="1">{"'vert'!$A$1:$T$117"}</definedName>
    <definedName name="___a108_1_1" hidden="1">{"'vert'!$A$1:$T$117"}</definedName>
    <definedName name="___a108_1_2" localSheetId="5" hidden="1">{"'vert'!$A$1:$T$117"}</definedName>
    <definedName name="___a108_1_2" localSheetId="6" hidden="1">{"'vert'!$A$1:$T$117"}</definedName>
    <definedName name="___a108_1_2" hidden="1">{"'vert'!$A$1:$T$117"}</definedName>
    <definedName name="___a108_2" localSheetId="5" hidden="1">{"'vert'!$A$1:$T$117"}</definedName>
    <definedName name="___a108_2" localSheetId="6" hidden="1">{"'vert'!$A$1:$T$117"}</definedName>
    <definedName name="___a108_2" hidden="1">{"'vert'!$A$1:$T$117"}</definedName>
    <definedName name="___a108_3" localSheetId="5" hidden="1">{"'vert'!$A$1:$T$117"}</definedName>
    <definedName name="___a108_3" localSheetId="6" hidden="1">{"'vert'!$A$1:$T$117"}</definedName>
    <definedName name="___a108_3" hidden="1">{"'vert'!$A$1:$T$117"}</definedName>
    <definedName name="___a109" localSheetId="5" hidden="1">{"'vert'!$A$1:$T$117"}</definedName>
    <definedName name="___a109" localSheetId="6" hidden="1">{"'vert'!$A$1:$T$117"}</definedName>
    <definedName name="___a109" hidden="1">{"'vert'!$A$1:$T$117"}</definedName>
    <definedName name="___a109_1" localSheetId="5" hidden="1">{"'vert'!$A$1:$T$117"}</definedName>
    <definedName name="___a109_1" localSheetId="6" hidden="1">{"'vert'!$A$1:$T$117"}</definedName>
    <definedName name="___a109_1" hidden="1">{"'vert'!$A$1:$T$117"}</definedName>
    <definedName name="___a109_1_1" localSheetId="5" hidden="1">{"'vert'!$A$1:$T$117"}</definedName>
    <definedName name="___a109_1_1" localSheetId="6" hidden="1">{"'vert'!$A$1:$T$117"}</definedName>
    <definedName name="___a109_1_1" hidden="1">{"'vert'!$A$1:$T$117"}</definedName>
    <definedName name="___a109_1_2" localSheetId="5" hidden="1">{"'vert'!$A$1:$T$117"}</definedName>
    <definedName name="___a109_1_2" localSheetId="6" hidden="1">{"'vert'!$A$1:$T$117"}</definedName>
    <definedName name="___a109_1_2" hidden="1">{"'vert'!$A$1:$T$117"}</definedName>
    <definedName name="___a109_2" localSheetId="5" hidden="1">{"'vert'!$A$1:$T$117"}</definedName>
    <definedName name="___a109_2" localSheetId="6" hidden="1">{"'vert'!$A$1:$T$117"}</definedName>
    <definedName name="___a109_2" hidden="1">{"'vert'!$A$1:$T$117"}</definedName>
    <definedName name="___a109_3" localSheetId="5" hidden="1">{"'vert'!$A$1:$T$117"}</definedName>
    <definedName name="___a109_3" localSheetId="6" hidden="1">{"'vert'!$A$1:$T$117"}</definedName>
    <definedName name="___a109_3" hidden="1">{"'vert'!$A$1:$T$117"}</definedName>
    <definedName name="___a11" localSheetId="5" hidden="1">{"'vert'!$A$1:$T$117"}</definedName>
    <definedName name="___a11" localSheetId="6" hidden="1">{"'vert'!$A$1:$T$117"}</definedName>
    <definedName name="___a11" hidden="1">{"'vert'!$A$1:$T$117"}</definedName>
    <definedName name="___a11_1" localSheetId="5" hidden="1">{"'vert'!$A$1:$T$117"}</definedName>
    <definedName name="___a11_1" localSheetId="6" hidden="1">{"'vert'!$A$1:$T$117"}</definedName>
    <definedName name="___a11_1" hidden="1">{"'vert'!$A$1:$T$117"}</definedName>
    <definedName name="___a11_1_1" localSheetId="5" hidden="1">{"'vert'!$A$1:$T$117"}</definedName>
    <definedName name="___a11_1_1" localSheetId="6" hidden="1">{"'vert'!$A$1:$T$117"}</definedName>
    <definedName name="___a11_1_1" hidden="1">{"'vert'!$A$1:$T$117"}</definedName>
    <definedName name="___a11_1_2" localSheetId="5" hidden="1">{"'vert'!$A$1:$T$117"}</definedName>
    <definedName name="___a11_1_2" localSheetId="6" hidden="1">{"'vert'!$A$1:$T$117"}</definedName>
    <definedName name="___a11_1_2" hidden="1">{"'vert'!$A$1:$T$117"}</definedName>
    <definedName name="___a11_2" localSheetId="5" hidden="1">{"'vert'!$A$1:$T$117"}</definedName>
    <definedName name="___a11_2" localSheetId="6" hidden="1">{"'vert'!$A$1:$T$117"}</definedName>
    <definedName name="___a11_2" hidden="1">{"'vert'!$A$1:$T$117"}</definedName>
    <definedName name="___a11_3" localSheetId="5" hidden="1">{"'vert'!$A$1:$T$117"}</definedName>
    <definedName name="___a11_3" localSheetId="6" hidden="1">{"'vert'!$A$1:$T$117"}</definedName>
    <definedName name="___a11_3" hidden="1">{"'vert'!$A$1:$T$117"}</definedName>
    <definedName name="___a110" localSheetId="5" hidden="1">{"'vert'!$A$1:$T$117"}</definedName>
    <definedName name="___a110" localSheetId="6" hidden="1">{"'vert'!$A$1:$T$117"}</definedName>
    <definedName name="___a110" hidden="1">{"'vert'!$A$1:$T$117"}</definedName>
    <definedName name="___a110_1" localSheetId="5" hidden="1">{"'vert'!$A$1:$T$117"}</definedName>
    <definedName name="___a110_1" localSheetId="6" hidden="1">{"'vert'!$A$1:$T$117"}</definedName>
    <definedName name="___a110_1" hidden="1">{"'vert'!$A$1:$T$117"}</definedName>
    <definedName name="___a110_1_1" localSheetId="5" hidden="1">{"'vert'!$A$1:$T$117"}</definedName>
    <definedName name="___a110_1_1" localSheetId="6" hidden="1">{"'vert'!$A$1:$T$117"}</definedName>
    <definedName name="___a110_1_1" hidden="1">{"'vert'!$A$1:$T$117"}</definedName>
    <definedName name="___a110_1_2" localSheetId="5" hidden="1">{"'vert'!$A$1:$T$117"}</definedName>
    <definedName name="___a110_1_2" localSheetId="6" hidden="1">{"'vert'!$A$1:$T$117"}</definedName>
    <definedName name="___a110_1_2" hidden="1">{"'vert'!$A$1:$T$117"}</definedName>
    <definedName name="___a110_2" localSheetId="5" hidden="1">{"'vert'!$A$1:$T$117"}</definedName>
    <definedName name="___a110_2" localSheetId="6" hidden="1">{"'vert'!$A$1:$T$117"}</definedName>
    <definedName name="___a110_2" hidden="1">{"'vert'!$A$1:$T$117"}</definedName>
    <definedName name="___a110_3" localSheetId="5" hidden="1">{"'vert'!$A$1:$T$117"}</definedName>
    <definedName name="___a110_3" localSheetId="6" hidden="1">{"'vert'!$A$1:$T$117"}</definedName>
    <definedName name="___a110_3" hidden="1">{"'vert'!$A$1:$T$117"}</definedName>
    <definedName name="___a111" localSheetId="5" hidden="1">{"'vert'!$A$1:$T$117"}</definedName>
    <definedName name="___a111" localSheetId="6" hidden="1">{"'vert'!$A$1:$T$117"}</definedName>
    <definedName name="___a111" hidden="1">{"'vert'!$A$1:$T$117"}</definedName>
    <definedName name="___a111_1" localSheetId="5" hidden="1">{"'vert'!$A$1:$T$117"}</definedName>
    <definedName name="___a111_1" localSheetId="6" hidden="1">{"'vert'!$A$1:$T$117"}</definedName>
    <definedName name="___a111_1" hidden="1">{"'vert'!$A$1:$T$117"}</definedName>
    <definedName name="___a111_1_1" localSheetId="5" hidden="1">{"'vert'!$A$1:$T$117"}</definedName>
    <definedName name="___a111_1_1" localSheetId="6" hidden="1">{"'vert'!$A$1:$T$117"}</definedName>
    <definedName name="___a111_1_1" hidden="1">{"'vert'!$A$1:$T$117"}</definedName>
    <definedName name="___a111_1_2" localSheetId="5" hidden="1">{"'vert'!$A$1:$T$117"}</definedName>
    <definedName name="___a111_1_2" localSheetId="6" hidden="1">{"'vert'!$A$1:$T$117"}</definedName>
    <definedName name="___a111_1_2" hidden="1">{"'vert'!$A$1:$T$117"}</definedName>
    <definedName name="___a111_2" localSheetId="5" hidden="1">{"'vert'!$A$1:$T$117"}</definedName>
    <definedName name="___a111_2" localSheetId="6" hidden="1">{"'vert'!$A$1:$T$117"}</definedName>
    <definedName name="___a111_2" hidden="1">{"'vert'!$A$1:$T$117"}</definedName>
    <definedName name="___a111_3" localSheetId="5" hidden="1">{"'vert'!$A$1:$T$117"}</definedName>
    <definedName name="___a111_3" localSheetId="6" hidden="1">{"'vert'!$A$1:$T$117"}</definedName>
    <definedName name="___a111_3" hidden="1">{"'vert'!$A$1:$T$117"}</definedName>
    <definedName name="___a112" localSheetId="5" hidden="1">{"'vert'!$A$1:$T$117"}</definedName>
    <definedName name="___a112" localSheetId="6" hidden="1">{"'vert'!$A$1:$T$117"}</definedName>
    <definedName name="___a112" hidden="1">{"'vert'!$A$1:$T$117"}</definedName>
    <definedName name="___a112_1" localSheetId="5" hidden="1">{"'vert'!$A$1:$T$117"}</definedName>
    <definedName name="___a112_1" localSheetId="6" hidden="1">{"'vert'!$A$1:$T$117"}</definedName>
    <definedName name="___a112_1" hidden="1">{"'vert'!$A$1:$T$117"}</definedName>
    <definedName name="___a112_1_1" localSheetId="5" hidden="1">{"'vert'!$A$1:$T$117"}</definedName>
    <definedName name="___a112_1_1" localSheetId="6" hidden="1">{"'vert'!$A$1:$T$117"}</definedName>
    <definedName name="___a112_1_1" hidden="1">{"'vert'!$A$1:$T$117"}</definedName>
    <definedName name="___a112_1_2" localSheetId="5" hidden="1">{"'vert'!$A$1:$T$117"}</definedName>
    <definedName name="___a112_1_2" localSheetId="6" hidden="1">{"'vert'!$A$1:$T$117"}</definedName>
    <definedName name="___a112_1_2" hidden="1">{"'vert'!$A$1:$T$117"}</definedName>
    <definedName name="___a112_2" localSheetId="5" hidden="1">{"'vert'!$A$1:$T$117"}</definedName>
    <definedName name="___a112_2" localSheetId="6" hidden="1">{"'vert'!$A$1:$T$117"}</definedName>
    <definedName name="___a112_2" hidden="1">{"'vert'!$A$1:$T$117"}</definedName>
    <definedName name="___a112_3" localSheetId="5" hidden="1">{"'vert'!$A$1:$T$117"}</definedName>
    <definedName name="___a112_3" localSheetId="6" hidden="1">{"'vert'!$A$1:$T$117"}</definedName>
    <definedName name="___a112_3" hidden="1">{"'vert'!$A$1:$T$117"}</definedName>
    <definedName name="___a113" localSheetId="5" hidden="1">{"'vert'!$A$1:$T$117"}</definedName>
    <definedName name="___a113" localSheetId="6" hidden="1">{"'vert'!$A$1:$T$117"}</definedName>
    <definedName name="___a113" hidden="1">{"'vert'!$A$1:$T$117"}</definedName>
    <definedName name="___a113_1" localSheetId="5" hidden="1">{"'vert'!$A$1:$T$117"}</definedName>
    <definedName name="___a113_1" localSheetId="6" hidden="1">{"'vert'!$A$1:$T$117"}</definedName>
    <definedName name="___a113_1" hidden="1">{"'vert'!$A$1:$T$117"}</definedName>
    <definedName name="___a113_1_1" localSheetId="5" hidden="1">{"'vert'!$A$1:$T$117"}</definedName>
    <definedName name="___a113_1_1" localSheetId="6" hidden="1">{"'vert'!$A$1:$T$117"}</definedName>
    <definedName name="___a113_1_1" hidden="1">{"'vert'!$A$1:$T$117"}</definedName>
    <definedName name="___a113_1_2" localSheetId="5" hidden="1">{"'vert'!$A$1:$T$117"}</definedName>
    <definedName name="___a113_1_2" localSheetId="6" hidden="1">{"'vert'!$A$1:$T$117"}</definedName>
    <definedName name="___a113_1_2" hidden="1">{"'vert'!$A$1:$T$117"}</definedName>
    <definedName name="___a113_2" localSheetId="5" hidden="1">{"'vert'!$A$1:$T$117"}</definedName>
    <definedName name="___a113_2" localSheetId="6" hidden="1">{"'vert'!$A$1:$T$117"}</definedName>
    <definedName name="___a113_2" hidden="1">{"'vert'!$A$1:$T$117"}</definedName>
    <definedName name="___a113_3" localSheetId="5" hidden="1">{"'vert'!$A$1:$T$117"}</definedName>
    <definedName name="___a113_3" localSheetId="6" hidden="1">{"'vert'!$A$1:$T$117"}</definedName>
    <definedName name="___a113_3" hidden="1">{"'vert'!$A$1:$T$117"}</definedName>
    <definedName name="___a114" localSheetId="5" hidden="1">{"'vert'!$A$1:$T$117"}</definedName>
    <definedName name="___a114" localSheetId="6" hidden="1">{"'vert'!$A$1:$T$117"}</definedName>
    <definedName name="___a114" hidden="1">{"'vert'!$A$1:$T$117"}</definedName>
    <definedName name="___a114_1" localSheetId="5" hidden="1">{"'vert'!$A$1:$T$117"}</definedName>
    <definedName name="___a114_1" localSheetId="6" hidden="1">{"'vert'!$A$1:$T$117"}</definedName>
    <definedName name="___a114_1" hidden="1">{"'vert'!$A$1:$T$117"}</definedName>
    <definedName name="___a114_1_1" localSheetId="5" hidden="1">{"'vert'!$A$1:$T$117"}</definedName>
    <definedName name="___a114_1_1" localSheetId="6" hidden="1">{"'vert'!$A$1:$T$117"}</definedName>
    <definedName name="___a114_1_1" hidden="1">{"'vert'!$A$1:$T$117"}</definedName>
    <definedName name="___a114_1_2" localSheetId="5" hidden="1">{"'vert'!$A$1:$T$117"}</definedName>
    <definedName name="___a114_1_2" localSheetId="6" hidden="1">{"'vert'!$A$1:$T$117"}</definedName>
    <definedName name="___a114_1_2" hidden="1">{"'vert'!$A$1:$T$117"}</definedName>
    <definedName name="___a114_2" localSheetId="5" hidden="1">{"'vert'!$A$1:$T$117"}</definedName>
    <definedName name="___a114_2" localSheetId="6" hidden="1">{"'vert'!$A$1:$T$117"}</definedName>
    <definedName name="___a114_2" hidden="1">{"'vert'!$A$1:$T$117"}</definedName>
    <definedName name="___a114_3" localSheetId="5" hidden="1">{"'vert'!$A$1:$T$117"}</definedName>
    <definedName name="___a114_3" localSheetId="6" hidden="1">{"'vert'!$A$1:$T$117"}</definedName>
    <definedName name="___a114_3" hidden="1">{"'vert'!$A$1:$T$117"}</definedName>
    <definedName name="___a115" localSheetId="5" hidden="1">{"'vert'!$A$1:$T$117"}</definedName>
    <definedName name="___a115" localSheetId="6" hidden="1">{"'vert'!$A$1:$T$117"}</definedName>
    <definedName name="___a115" hidden="1">{"'vert'!$A$1:$T$117"}</definedName>
    <definedName name="___a115_1" localSheetId="5" hidden="1">{"'vert'!$A$1:$T$117"}</definedName>
    <definedName name="___a115_1" localSheetId="6" hidden="1">{"'vert'!$A$1:$T$117"}</definedName>
    <definedName name="___a115_1" hidden="1">{"'vert'!$A$1:$T$117"}</definedName>
    <definedName name="___a115_1_1" localSheetId="5" hidden="1">{"'vert'!$A$1:$T$117"}</definedName>
    <definedName name="___a115_1_1" localSheetId="6" hidden="1">{"'vert'!$A$1:$T$117"}</definedName>
    <definedName name="___a115_1_1" hidden="1">{"'vert'!$A$1:$T$117"}</definedName>
    <definedName name="___a115_1_2" localSheetId="5" hidden="1">{"'vert'!$A$1:$T$117"}</definedName>
    <definedName name="___a115_1_2" localSheetId="6" hidden="1">{"'vert'!$A$1:$T$117"}</definedName>
    <definedName name="___a115_1_2" hidden="1">{"'vert'!$A$1:$T$117"}</definedName>
    <definedName name="___a115_2" localSheetId="5" hidden="1">{"'vert'!$A$1:$T$117"}</definedName>
    <definedName name="___a115_2" localSheetId="6" hidden="1">{"'vert'!$A$1:$T$117"}</definedName>
    <definedName name="___a115_2" hidden="1">{"'vert'!$A$1:$T$117"}</definedName>
    <definedName name="___a115_3" localSheetId="5" hidden="1">{"'vert'!$A$1:$T$117"}</definedName>
    <definedName name="___a115_3" localSheetId="6" hidden="1">{"'vert'!$A$1:$T$117"}</definedName>
    <definedName name="___a115_3" hidden="1">{"'vert'!$A$1:$T$117"}</definedName>
    <definedName name="___a116" localSheetId="5" hidden="1">{"'vert'!$A$1:$T$117"}</definedName>
    <definedName name="___a116" localSheetId="6" hidden="1">{"'vert'!$A$1:$T$117"}</definedName>
    <definedName name="___a116" hidden="1">{"'vert'!$A$1:$T$117"}</definedName>
    <definedName name="___a116_1" localSheetId="5" hidden="1">{"'vert'!$A$1:$T$117"}</definedName>
    <definedName name="___a116_1" localSheetId="6" hidden="1">{"'vert'!$A$1:$T$117"}</definedName>
    <definedName name="___a116_1" hidden="1">{"'vert'!$A$1:$T$117"}</definedName>
    <definedName name="___a116_1_1" localSheetId="5" hidden="1">{"'vert'!$A$1:$T$117"}</definedName>
    <definedName name="___a116_1_1" localSheetId="6" hidden="1">{"'vert'!$A$1:$T$117"}</definedName>
    <definedName name="___a116_1_1" hidden="1">{"'vert'!$A$1:$T$117"}</definedName>
    <definedName name="___a116_1_2" localSheetId="5" hidden="1">{"'vert'!$A$1:$T$117"}</definedName>
    <definedName name="___a116_1_2" localSheetId="6" hidden="1">{"'vert'!$A$1:$T$117"}</definedName>
    <definedName name="___a116_1_2" hidden="1">{"'vert'!$A$1:$T$117"}</definedName>
    <definedName name="___a116_2" localSheetId="5" hidden="1">{"'vert'!$A$1:$T$117"}</definedName>
    <definedName name="___a116_2" localSheetId="6" hidden="1">{"'vert'!$A$1:$T$117"}</definedName>
    <definedName name="___a116_2" hidden="1">{"'vert'!$A$1:$T$117"}</definedName>
    <definedName name="___a116_3" localSheetId="5" hidden="1">{"'vert'!$A$1:$T$117"}</definedName>
    <definedName name="___a116_3" localSheetId="6" hidden="1">{"'vert'!$A$1:$T$117"}</definedName>
    <definedName name="___a116_3" hidden="1">{"'vert'!$A$1:$T$117"}</definedName>
    <definedName name="___a117" localSheetId="5" hidden="1">{"'vert'!$A$1:$T$117"}</definedName>
    <definedName name="___a117" localSheetId="6" hidden="1">{"'vert'!$A$1:$T$117"}</definedName>
    <definedName name="___a117" hidden="1">{"'vert'!$A$1:$T$117"}</definedName>
    <definedName name="___a117_1" localSheetId="5" hidden="1">{"'vert'!$A$1:$T$117"}</definedName>
    <definedName name="___a117_1" localSheetId="6" hidden="1">{"'vert'!$A$1:$T$117"}</definedName>
    <definedName name="___a117_1" hidden="1">{"'vert'!$A$1:$T$117"}</definedName>
    <definedName name="___a117_1_1" localSheetId="5" hidden="1">{"'vert'!$A$1:$T$117"}</definedName>
    <definedName name="___a117_1_1" localSheetId="6" hidden="1">{"'vert'!$A$1:$T$117"}</definedName>
    <definedName name="___a117_1_1" hidden="1">{"'vert'!$A$1:$T$117"}</definedName>
    <definedName name="___a117_1_2" localSheetId="5" hidden="1">{"'vert'!$A$1:$T$117"}</definedName>
    <definedName name="___a117_1_2" localSheetId="6" hidden="1">{"'vert'!$A$1:$T$117"}</definedName>
    <definedName name="___a117_1_2" hidden="1">{"'vert'!$A$1:$T$117"}</definedName>
    <definedName name="___a117_2" localSheetId="5" hidden="1">{"'vert'!$A$1:$T$117"}</definedName>
    <definedName name="___a117_2" localSheetId="6" hidden="1">{"'vert'!$A$1:$T$117"}</definedName>
    <definedName name="___a117_2" hidden="1">{"'vert'!$A$1:$T$117"}</definedName>
    <definedName name="___a117_3" localSheetId="5" hidden="1">{"'vert'!$A$1:$T$117"}</definedName>
    <definedName name="___a117_3" localSheetId="6" hidden="1">{"'vert'!$A$1:$T$117"}</definedName>
    <definedName name="___a117_3" hidden="1">{"'vert'!$A$1:$T$117"}</definedName>
    <definedName name="___a118" localSheetId="5" hidden="1">{"'vert'!$A$1:$T$117"}</definedName>
    <definedName name="___a118" localSheetId="6" hidden="1">{"'vert'!$A$1:$T$117"}</definedName>
    <definedName name="___a118" hidden="1">{"'vert'!$A$1:$T$117"}</definedName>
    <definedName name="___a118_1" localSheetId="5" hidden="1">{"'vert'!$A$1:$T$117"}</definedName>
    <definedName name="___a118_1" localSheetId="6" hidden="1">{"'vert'!$A$1:$T$117"}</definedName>
    <definedName name="___a118_1" hidden="1">{"'vert'!$A$1:$T$117"}</definedName>
    <definedName name="___a118_1_1" localSheetId="5" hidden="1">{"'vert'!$A$1:$T$117"}</definedName>
    <definedName name="___a118_1_1" localSheetId="6" hidden="1">{"'vert'!$A$1:$T$117"}</definedName>
    <definedName name="___a118_1_1" hidden="1">{"'vert'!$A$1:$T$117"}</definedName>
    <definedName name="___a118_1_2" localSheetId="5" hidden="1">{"'vert'!$A$1:$T$117"}</definedName>
    <definedName name="___a118_1_2" localSheetId="6" hidden="1">{"'vert'!$A$1:$T$117"}</definedName>
    <definedName name="___a118_1_2" hidden="1">{"'vert'!$A$1:$T$117"}</definedName>
    <definedName name="___a118_2" localSheetId="5" hidden="1">{"'vert'!$A$1:$T$117"}</definedName>
    <definedName name="___a118_2" localSheetId="6" hidden="1">{"'vert'!$A$1:$T$117"}</definedName>
    <definedName name="___a118_2" hidden="1">{"'vert'!$A$1:$T$117"}</definedName>
    <definedName name="___a118_3" localSheetId="5" hidden="1">{"'vert'!$A$1:$T$117"}</definedName>
    <definedName name="___a118_3" localSheetId="6" hidden="1">{"'vert'!$A$1:$T$117"}</definedName>
    <definedName name="___a118_3" hidden="1">{"'vert'!$A$1:$T$117"}</definedName>
    <definedName name="___a119" localSheetId="5" hidden="1">{"'vert'!$A$1:$T$117"}</definedName>
    <definedName name="___a119" localSheetId="6" hidden="1">{"'vert'!$A$1:$T$117"}</definedName>
    <definedName name="___a119" hidden="1">{"'vert'!$A$1:$T$117"}</definedName>
    <definedName name="___a119_1" localSheetId="5" hidden="1">{"'vert'!$A$1:$T$117"}</definedName>
    <definedName name="___a119_1" localSheetId="6" hidden="1">{"'vert'!$A$1:$T$117"}</definedName>
    <definedName name="___a119_1" hidden="1">{"'vert'!$A$1:$T$117"}</definedName>
    <definedName name="___a119_1_1" localSheetId="5" hidden="1">{"'vert'!$A$1:$T$117"}</definedName>
    <definedName name="___a119_1_1" localSheetId="6" hidden="1">{"'vert'!$A$1:$T$117"}</definedName>
    <definedName name="___a119_1_1" hidden="1">{"'vert'!$A$1:$T$117"}</definedName>
    <definedName name="___a119_1_2" localSheetId="5" hidden="1">{"'vert'!$A$1:$T$117"}</definedName>
    <definedName name="___a119_1_2" localSheetId="6" hidden="1">{"'vert'!$A$1:$T$117"}</definedName>
    <definedName name="___a119_1_2" hidden="1">{"'vert'!$A$1:$T$117"}</definedName>
    <definedName name="___a119_2" localSheetId="5" hidden="1">{"'vert'!$A$1:$T$117"}</definedName>
    <definedName name="___a119_2" localSheetId="6" hidden="1">{"'vert'!$A$1:$T$117"}</definedName>
    <definedName name="___a119_2" hidden="1">{"'vert'!$A$1:$T$117"}</definedName>
    <definedName name="___a119_3" localSheetId="5" hidden="1">{"'vert'!$A$1:$T$117"}</definedName>
    <definedName name="___a119_3" localSheetId="6" hidden="1">{"'vert'!$A$1:$T$117"}</definedName>
    <definedName name="___a119_3" hidden="1">{"'vert'!$A$1:$T$117"}</definedName>
    <definedName name="___a120" localSheetId="5" hidden="1">{"'vert'!$A$1:$T$117"}</definedName>
    <definedName name="___a120" localSheetId="6" hidden="1">{"'vert'!$A$1:$T$117"}</definedName>
    <definedName name="___a120" hidden="1">{"'vert'!$A$1:$T$117"}</definedName>
    <definedName name="___a120_1" localSheetId="5" hidden="1">{"'vert'!$A$1:$T$117"}</definedName>
    <definedName name="___a120_1" localSheetId="6" hidden="1">{"'vert'!$A$1:$T$117"}</definedName>
    <definedName name="___a120_1" hidden="1">{"'vert'!$A$1:$T$117"}</definedName>
    <definedName name="___a120_1_1" localSheetId="5" hidden="1">{"'vert'!$A$1:$T$117"}</definedName>
    <definedName name="___a120_1_1" localSheetId="6" hidden="1">{"'vert'!$A$1:$T$117"}</definedName>
    <definedName name="___a120_1_1" hidden="1">{"'vert'!$A$1:$T$117"}</definedName>
    <definedName name="___a120_1_2" localSheetId="5" hidden="1">{"'vert'!$A$1:$T$117"}</definedName>
    <definedName name="___a120_1_2" localSheetId="6" hidden="1">{"'vert'!$A$1:$T$117"}</definedName>
    <definedName name="___a120_1_2" hidden="1">{"'vert'!$A$1:$T$117"}</definedName>
    <definedName name="___a120_2" localSheetId="5" hidden="1">{"'vert'!$A$1:$T$117"}</definedName>
    <definedName name="___a120_2" localSheetId="6" hidden="1">{"'vert'!$A$1:$T$117"}</definedName>
    <definedName name="___a120_2" hidden="1">{"'vert'!$A$1:$T$117"}</definedName>
    <definedName name="___a120_3" localSheetId="5" hidden="1">{"'vert'!$A$1:$T$117"}</definedName>
    <definedName name="___a120_3" localSheetId="6" hidden="1">{"'vert'!$A$1:$T$117"}</definedName>
    <definedName name="___a120_3" hidden="1">{"'vert'!$A$1:$T$117"}</definedName>
    <definedName name="___a121" localSheetId="5" hidden="1">{"'vert'!$A$1:$T$117"}</definedName>
    <definedName name="___a121" localSheetId="6" hidden="1">{"'vert'!$A$1:$T$117"}</definedName>
    <definedName name="___a121" hidden="1">{"'vert'!$A$1:$T$117"}</definedName>
    <definedName name="___a121_1" localSheetId="5" hidden="1">{"'vert'!$A$1:$T$117"}</definedName>
    <definedName name="___a121_1" localSheetId="6" hidden="1">{"'vert'!$A$1:$T$117"}</definedName>
    <definedName name="___a121_1" hidden="1">{"'vert'!$A$1:$T$117"}</definedName>
    <definedName name="___a121_1_1" localSheetId="5" hidden="1">{"'vert'!$A$1:$T$117"}</definedName>
    <definedName name="___a121_1_1" localSheetId="6" hidden="1">{"'vert'!$A$1:$T$117"}</definedName>
    <definedName name="___a121_1_1" hidden="1">{"'vert'!$A$1:$T$117"}</definedName>
    <definedName name="___a121_1_2" localSheetId="5" hidden="1">{"'vert'!$A$1:$T$117"}</definedName>
    <definedName name="___a121_1_2" localSheetId="6" hidden="1">{"'vert'!$A$1:$T$117"}</definedName>
    <definedName name="___a121_1_2" hidden="1">{"'vert'!$A$1:$T$117"}</definedName>
    <definedName name="___a121_2" localSheetId="5" hidden="1">{"'vert'!$A$1:$T$117"}</definedName>
    <definedName name="___a121_2" localSheetId="6" hidden="1">{"'vert'!$A$1:$T$117"}</definedName>
    <definedName name="___a121_2" hidden="1">{"'vert'!$A$1:$T$117"}</definedName>
    <definedName name="___a121_3" localSheetId="5" hidden="1">{"'vert'!$A$1:$T$117"}</definedName>
    <definedName name="___a121_3" localSheetId="6" hidden="1">{"'vert'!$A$1:$T$117"}</definedName>
    <definedName name="___a121_3" hidden="1">{"'vert'!$A$1:$T$117"}</definedName>
    <definedName name="___a122" localSheetId="5" hidden="1">{"'vert'!$A$1:$T$117"}</definedName>
    <definedName name="___a122" localSheetId="6" hidden="1">{"'vert'!$A$1:$T$117"}</definedName>
    <definedName name="___a122" hidden="1">{"'vert'!$A$1:$T$117"}</definedName>
    <definedName name="___a122_1" localSheetId="5" hidden="1">{"'vert'!$A$1:$T$117"}</definedName>
    <definedName name="___a122_1" localSheetId="6" hidden="1">{"'vert'!$A$1:$T$117"}</definedName>
    <definedName name="___a122_1" hidden="1">{"'vert'!$A$1:$T$117"}</definedName>
    <definedName name="___a122_1_1" localSheetId="5" hidden="1">{"'vert'!$A$1:$T$117"}</definedName>
    <definedName name="___a122_1_1" localSheetId="6" hidden="1">{"'vert'!$A$1:$T$117"}</definedName>
    <definedName name="___a122_1_1" hidden="1">{"'vert'!$A$1:$T$117"}</definedName>
    <definedName name="___a122_1_2" localSheetId="5" hidden="1">{"'vert'!$A$1:$T$117"}</definedName>
    <definedName name="___a122_1_2" localSheetId="6" hidden="1">{"'vert'!$A$1:$T$117"}</definedName>
    <definedName name="___a122_1_2" hidden="1">{"'vert'!$A$1:$T$117"}</definedName>
    <definedName name="___a122_2" localSheetId="5" hidden="1">{"'vert'!$A$1:$T$117"}</definedName>
    <definedName name="___a122_2" localSheetId="6" hidden="1">{"'vert'!$A$1:$T$117"}</definedName>
    <definedName name="___a122_2" hidden="1">{"'vert'!$A$1:$T$117"}</definedName>
    <definedName name="___a122_3" localSheetId="5" hidden="1">{"'vert'!$A$1:$T$117"}</definedName>
    <definedName name="___a122_3" localSheetId="6" hidden="1">{"'vert'!$A$1:$T$117"}</definedName>
    <definedName name="___a122_3" hidden="1">{"'vert'!$A$1:$T$117"}</definedName>
    <definedName name="___a123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a123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a12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a123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a123_1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a12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a123_1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a123_1_1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a123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a123_1_2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a123_1_2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a123_1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a123_2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a123_2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a123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a123_3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a123_3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a123_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a22" localSheetId="5" hidden="1">{"'vert'!$A$1:$T$117"}</definedName>
    <definedName name="___a22" localSheetId="6" hidden="1">{"'vert'!$A$1:$T$117"}</definedName>
    <definedName name="___a22" hidden="1">{"'vert'!$A$1:$T$117"}</definedName>
    <definedName name="___a22_1" localSheetId="5" hidden="1">{"'vert'!$A$1:$T$117"}</definedName>
    <definedName name="___a22_1" localSheetId="6" hidden="1">{"'vert'!$A$1:$T$117"}</definedName>
    <definedName name="___a22_1" hidden="1">{"'vert'!$A$1:$T$117"}</definedName>
    <definedName name="___a22_1_1" localSheetId="5" hidden="1">{"'vert'!$A$1:$T$117"}</definedName>
    <definedName name="___a22_1_1" localSheetId="6" hidden="1">{"'vert'!$A$1:$T$117"}</definedName>
    <definedName name="___a22_1_1" hidden="1">{"'vert'!$A$1:$T$117"}</definedName>
    <definedName name="___a22_1_2" localSheetId="5" hidden="1">{"'vert'!$A$1:$T$117"}</definedName>
    <definedName name="___a22_1_2" localSheetId="6" hidden="1">{"'vert'!$A$1:$T$117"}</definedName>
    <definedName name="___a22_1_2" hidden="1">{"'vert'!$A$1:$T$117"}</definedName>
    <definedName name="___a22_2" localSheetId="5" hidden="1">{"'vert'!$A$1:$T$117"}</definedName>
    <definedName name="___a22_2" localSheetId="6" hidden="1">{"'vert'!$A$1:$T$117"}</definedName>
    <definedName name="___a22_2" hidden="1">{"'vert'!$A$1:$T$117"}</definedName>
    <definedName name="___a22_3" localSheetId="5" hidden="1">{"'vert'!$A$1:$T$117"}</definedName>
    <definedName name="___a22_3" localSheetId="6" hidden="1">{"'vert'!$A$1:$T$117"}</definedName>
    <definedName name="___a22_3" hidden="1">{"'vert'!$A$1:$T$117"}</definedName>
    <definedName name="___a33" localSheetId="5" hidden="1">{"'vert'!$A$1:$T$117"}</definedName>
    <definedName name="___a33" localSheetId="6" hidden="1">{"'vert'!$A$1:$T$117"}</definedName>
    <definedName name="___a33" hidden="1">{"'vert'!$A$1:$T$117"}</definedName>
    <definedName name="___a33_1" localSheetId="5" hidden="1">{"'vert'!$A$1:$T$117"}</definedName>
    <definedName name="___a33_1" localSheetId="6" hidden="1">{"'vert'!$A$1:$T$117"}</definedName>
    <definedName name="___a33_1" hidden="1">{"'vert'!$A$1:$T$117"}</definedName>
    <definedName name="___a33_1_1" localSheetId="5" hidden="1">{"'vert'!$A$1:$T$117"}</definedName>
    <definedName name="___a33_1_1" localSheetId="6" hidden="1">{"'vert'!$A$1:$T$117"}</definedName>
    <definedName name="___a33_1_1" hidden="1">{"'vert'!$A$1:$T$117"}</definedName>
    <definedName name="___a33_1_2" localSheetId="5" hidden="1">{"'vert'!$A$1:$T$117"}</definedName>
    <definedName name="___a33_1_2" localSheetId="6" hidden="1">{"'vert'!$A$1:$T$117"}</definedName>
    <definedName name="___a33_1_2" hidden="1">{"'vert'!$A$1:$T$117"}</definedName>
    <definedName name="___a33_2" localSheetId="5" hidden="1">{"'vert'!$A$1:$T$117"}</definedName>
    <definedName name="___a33_2" localSheetId="6" hidden="1">{"'vert'!$A$1:$T$117"}</definedName>
    <definedName name="___a33_2" hidden="1">{"'vert'!$A$1:$T$117"}</definedName>
    <definedName name="___a33_3" localSheetId="5" hidden="1">{"'vert'!$A$1:$T$117"}</definedName>
    <definedName name="___a33_3" localSheetId="6" hidden="1">{"'vert'!$A$1:$T$117"}</definedName>
    <definedName name="___a33_3" hidden="1">{"'vert'!$A$1:$T$117"}</definedName>
    <definedName name="___a44" localSheetId="5" hidden="1">{"'vert'!$A$1:$T$117"}</definedName>
    <definedName name="___a44" localSheetId="6" hidden="1">{"'vert'!$A$1:$T$117"}</definedName>
    <definedName name="___a44" hidden="1">{"'vert'!$A$1:$T$117"}</definedName>
    <definedName name="___a44_1" localSheetId="5" hidden="1">{"'vert'!$A$1:$T$117"}</definedName>
    <definedName name="___a44_1" localSheetId="6" hidden="1">{"'vert'!$A$1:$T$117"}</definedName>
    <definedName name="___a44_1" hidden="1">{"'vert'!$A$1:$T$117"}</definedName>
    <definedName name="___a44_1_1" localSheetId="5" hidden="1">{"'vert'!$A$1:$T$117"}</definedName>
    <definedName name="___a44_1_1" localSheetId="6" hidden="1">{"'vert'!$A$1:$T$117"}</definedName>
    <definedName name="___a44_1_1" hidden="1">{"'vert'!$A$1:$T$117"}</definedName>
    <definedName name="___a44_1_2" localSheetId="5" hidden="1">{"'vert'!$A$1:$T$117"}</definedName>
    <definedName name="___a44_1_2" localSheetId="6" hidden="1">{"'vert'!$A$1:$T$117"}</definedName>
    <definedName name="___a44_1_2" hidden="1">{"'vert'!$A$1:$T$117"}</definedName>
    <definedName name="___a44_2" localSheetId="5" hidden="1">{"'vert'!$A$1:$T$117"}</definedName>
    <definedName name="___a44_2" localSheetId="6" hidden="1">{"'vert'!$A$1:$T$117"}</definedName>
    <definedName name="___a44_2" hidden="1">{"'vert'!$A$1:$T$117"}</definedName>
    <definedName name="___a44_3" localSheetId="5" hidden="1">{"'vert'!$A$1:$T$117"}</definedName>
    <definedName name="___a44_3" localSheetId="6" hidden="1">{"'vert'!$A$1:$T$117"}</definedName>
    <definedName name="___a44_3" hidden="1">{"'vert'!$A$1:$T$117"}</definedName>
    <definedName name="___a55" localSheetId="5" hidden="1">{"'vert'!$A$1:$T$117"}</definedName>
    <definedName name="___a55" localSheetId="6" hidden="1">{"'vert'!$A$1:$T$117"}</definedName>
    <definedName name="___a55" hidden="1">{"'vert'!$A$1:$T$117"}</definedName>
    <definedName name="___a55_1" localSheetId="5" hidden="1">{"'vert'!$A$1:$T$117"}</definedName>
    <definedName name="___a55_1" localSheetId="6" hidden="1">{"'vert'!$A$1:$T$117"}</definedName>
    <definedName name="___a55_1" hidden="1">{"'vert'!$A$1:$T$117"}</definedName>
    <definedName name="___a55_1_1" localSheetId="5" hidden="1">{"'vert'!$A$1:$T$117"}</definedName>
    <definedName name="___a55_1_1" localSheetId="6" hidden="1">{"'vert'!$A$1:$T$117"}</definedName>
    <definedName name="___a55_1_1" hidden="1">{"'vert'!$A$1:$T$117"}</definedName>
    <definedName name="___a55_1_2" localSheetId="5" hidden="1">{"'vert'!$A$1:$T$117"}</definedName>
    <definedName name="___a55_1_2" localSheetId="6" hidden="1">{"'vert'!$A$1:$T$117"}</definedName>
    <definedName name="___a55_1_2" hidden="1">{"'vert'!$A$1:$T$117"}</definedName>
    <definedName name="___a55_2" localSheetId="5" hidden="1">{"'vert'!$A$1:$T$117"}</definedName>
    <definedName name="___a55_2" localSheetId="6" hidden="1">{"'vert'!$A$1:$T$117"}</definedName>
    <definedName name="___a55_2" hidden="1">{"'vert'!$A$1:$T$117"}</definedName>
    <definedName name="___a55_3" localSheetId="5" hidden="1">{"'vert'!$A$1:$T$117"}</definedName>
    <definedName name="___a55_3" localSheetId="6" hidden="1">{"'vert'!$A$1:$T$117"}</definedName>
    <definedName name="___a55_3" hidden="1">{"'vert'!$A$1:$T$117"}</definedName>
    <definedName name="___a66" localSheetId="5" hidden="1">{"'vert'!$A$1:$T$117"}</definedName>
    <definedName name="___a66" localSheetId="6" hidden="1">{"'vert'!$A$1:$T$117"}</definedName>
    <definedName name="___a66" hidden="1">{"'vert'!$A$1:$T$117"}</definedName>
    <definedName name="___a66_1" localSheetId="5" hidden="1">{"'vert'!$A$1:$T$117"}</definedName>
    <definedName name="___a66_1" localSheetId="6" hidden="1">{"'vert'!$A$1:$T$117"}</definedName>
    <definedName name="___a66_1" hidden="1">{"'vert'!$A$1:$T$117"}</definedName>
    <definedName name="___a66_1_1" localSheetId="5" hidden="1">{"'vert'!$A$1:$T$117"}</definedName>
    <definedName name="___a66_1_1" localSheetId="6" hidden="1">{"'vert'!$A$1:$T$117"}</definedName>
    <definedName name="___a66_1_1" hidden="1">{"'vert'!$A$1:$T$117"}</definedName>
    <definedName name="___a66_1_2" localSheetId="5" hidden="1">{"'vert'!$A$1:$T$117"}</definedName>
    <definedName name="___a66_1_2" localSheetId="6" hidden="1">{"'vert'!$A$1:$T$117"}</definedName>
    <definedName name="___a66_1_2" hidden="1">{"'vert'!$A$1:$T$117"}</definedName>
    <definedName name="___a66_2" localSheetId="5" hidden="1">{"'vert'!$A$1:$T$117"}</definedName>
    <definedName name="___a66_2" localSheetId="6" hidden="1">{"'vert'!$A$1:$T$117"}</definedName>
    <definedName name="___a66_2" hidden="1">{"'vert'!$A$1:$T$117"}</definedName>
    <definedName name="___a66_3" localSheetId="5" hidden="1">{"'vert'!$A$1:$T$117"}</definedName>
    <definedName name="___a66_3" localSheetId="6" hidden="1">{"'vert'!$A$1:$T$117"}</definedName>
    <definedName name="___a66_3" hidden="1">{"'vert'!$A$1:$T$117"}</definedName>
    <definedName name="___a77" localSheetId="5" hidden="1">{"'vert'!$A$1:$T$117"}</definedName>
    <definedName name="___a77" localSheetId="6" hidden="1">{"'vert'!$A$1:$T$117"}</definedName>
    <definedName name="___a77" hidden="1">{"'vert'!$A$1:$T$117"}</definedName>
    <definedName name="___a77_1" localSheetId="5" hidden="1">{"'vert'!$A$1:$T$117"}</definedName>
    <definedName name="___a77_1" localSheetId="6" hidden="1">{"'vert'!$A$1:$T$117"}</definedName>
    <definedName name="___a77_1" hidden="1">{"'vert'!$A$1:$T$117"}</definedName>
    <definedName name="___a77_1_1" localSheetId="5" hidden="1">{"'vert'!$A$1:$T$117"}</definedName>
    <definedName name="___a77_1_1" localSheetId="6" hidden="1">{"'vert'!$A$1:$T$117"}</definedName>
    <definedName name="___a77_1_1" hidden="1">{"'vert'!$A$1:$T$117"}</definedName>
    <definedName name="___a77_1_2" localSheetId="5" hidden="1">{"'vert'!$A$1:$T$117"}</definedName>
    <definedName name="___a77_1_2" localSheetId="6" hidden="1">{"'vert'!$A$1:$T$117"}</definedName>
    <definedName name="___a77_1_2" hidden="1">{"'vert'!$A$1:$T$117"}</definedName>
    <definedName name="___a77_2" localSheetId="5" hidden="1">{"'vert'!$A$1:$T$117"}</definedName>
    <definedName name="___a77_2" localSheetId="6" hidden="1">{"'vert'!$A$1:$T$117"}</definedName>
    <definedName name="___a77_2" hidden="1">{"'vert'!$A$1:$T$117"}</definedName>
    <definedName name="___a77_3" localSheetId="5" hidden="1">{"'vert'!$A$1:$T$117"}</definedName>
    <definedName name="___a77_3" localSheetId="6" hidden="1">{"'vert'!$A$1:$T$117"}</definedName>
    <definedName name="___a77_3" hidden="1">{"'vert'!$A$1:$T$117"}</definedName>
    <definedName name="___a88" localSheetId="5" hidden="1">{"'vert'!$A$1:$T$117"}</definedName>
    <definedName name="___a88" localSheetId="6" hidden="1">{"'vert'!$A$1:$T$117"}</definedName>
    <definedName name="___a88" hidden="1">{"'vert'!$A$1:$T$117"}</definedName>
    <definedName name="___a88_1" localSheetId="5" hidden="1">{"'vert'!$A$1:$T$117"}</definedName>
    <definedName name="___a88_1" localSheetId="6" hidden="1">{"'vert'!$A$1:$T$117"}</definedName>
    <definedName name="___a88_1" hidden="1">{"'vert'!$A$1:$T$117"}</definedName>
    <definedName name="___a88_1_1" localSheetId="5" hidden="1">{"'vert'!$A$1:$T$117"}</definedName>
    <definedName name="___a88_1_1" localSheetId="6" hidden="1">{"'vert'!$A$1:$T$117"}</definedName>
    <definedName name="___a88_1_1" hidden="1">{"'vert'!$A$1:$T$117"}</definedName>
    <definedName name="___a88_1_2" localSheetId="5" hidden="1">{"'vert'!$A$1:$T$117"}</definedName>
    <definedName name="___a88_1_2" localSheetId="6" hidden="1">{"'vert'!$A$1:$T$117"}</definedName>
    <definedName name="___a88_1_2" hidden="1">{"'vert'!$A$1:$T$117"}</definedName>
    <definedName name="___a88_2" localSheetId="5" hidden="1">{"'vert'!$A$1:$T$117"}</definedName>
    <definedName name="___a88_2" localSheetId="6" hidden="1">{"'vert'!$A$1:$T$117"}</definedName>
    <definedName name="___a88_2" hidden="1">{"'vert'!$A$1:$T$117"}</definedName>
    <definedName name="___a88_3" localSheetId="5" hidden="1">{"'vert'!$A$1:$T$117"}</definedName>
    <definedName name="___a88_3" localSheetId="6" hidden="1">{"'vert'!$A$1:$T$117"}</definedName>
    <definedName name="___a88_3" hidden="1">{"'vert'!$A$1:$T$117"}</definedName>
    <definedName name="___a99" localSheetId="5" hidden="1">{"'vert'!$A$1:$T$117"}</definedName>
    <definedName name="___a99" localSheetId="6" hidden="1">{"'vert'!$A$1:$T$117"}</definedName>
    <definedName name="___a99" hidden="1">{"'vert'!$A$1:$T$117"}</definedName>
    <definedName name="___a99_1" localSheetId="5" hidden="1">{"'vert'!$A$1:$T$117"}</definedName>
    <definedName name="___a99_1" localSheetId="6" hidden="1">{"'vert'!$A$1:$T$117"}</definedName>
    <definedName name="___a99_1" hidden="1">{"'vert'!$A$1:$T$117"}</definedName>
    <definedName name="___a99_1_1" localSheetId="5" hidden="1">{"'vert'!$A$1:$T$117"}</definedName>
    <definedName name="___a99_1_1" localSheetId="6" hidden="1">{"'vert'!$A$1:$T$117"}</definedName>
    <definedName name="___a99_1_1" hidden="1">{"'vert'!$A$1:$T$117"}</definedName>
    <definedName name="___a99_1_2" localSheetId="5" hidden="1">{"'vert'!$A$1:$T$117"}</definedName>
    <definedName name="___a99_1_2" localSheetId="6" hidden="1">{"'vert'!$A$1:$T$117"}</definedName>
    <definedName name="___a99_1_2" hidden="1">{"'vert'!$A$1:$T$117"}</definedName>
    <definedName name="___a99_2" localSheetId="5" hidden="1">{"'vert'!$A$1:$T$117"}</definedName>
    <definedName name="___a99_2" localSheetId="6" hidden="1">{"'vert'!$A$1:$T$117"}</definedName>
    <definedName name="___a99_2" hidden="1">{"'vert'!$A$1:$T$117"}</definedName>
    <definedName name="___a99_3" localSheetId="5" hidden="1">{"'vert'!$A$1:$T$117"}</definedName>
    <definedName name="___a99_3" localSheetId="6" hidden="1">{"'vert'!$A$1:$T$117"}</definedName>
    <definedName name="___a99_3" hidden="1">{"'vert'!$A$1:$T$117"}</definedName>
    <definedName name="___bla2" localSheetId="5" hidden="1">{"'vert'!$A$1:$T$117"}</definedName>
    <definedName name="___bla2" localSheetId="6" hidden="1">{"'vert'!$A$1:$T$117"}</definedName>
    <definedName name="___bla2" hidden="1">{"'vert'!$A$1:$T$117"}</definedName>
    <definedName name="___bla2_1" localSheetId="5" hidden="1">{"'vert'!$A$1:$T$117"}</definedName>
    <definedName name="___bla2_1" localSheetId="6" hidden="1">{"'vert'!$A$1:$T$117"}</definedName>
    <definedName name="___bla2_1" hidden="1">{"'vert'!$A$1:$T$117"}</definedName>
    <definedName name="___bla2_1_1" localSheetId="5" hidden="1">{"'vert'!$A$1:$T$117"}</definedName>
    <definedName name="___bla2_1_1" localSheetId="6" hidden="1">{"'vert'!$A$1:$T$117"}</definedName>
    <definedName name="___bla2_1_1" hidden="1">{"'vert'!$A$1:$T$117"}</definedName>
    <definedName name="___bla2_1_2" localSheetId="5" hidden="1">{"'vert'!$A$1:$T$117"}</definedName>
    <definedName name="___bla2_1_2" localSheetId="6" hidden="1">{"'vert'!$A$1:$T$117"}</definedName>
    <definedName name="___bla2_1_2" hidden="1">{"'vert'!$A$1:$T$117"}</definedName>
    <definedName name="___bla2_2" localSheetId="5" hidden="1">{"'vert'!$A$1:$T$117"}</definedName>
    <definedName name="___bla2_2" localSheetId="6" hidden="1">{"'vert'!$A$1:$T$117"}</definedName>
    <definedName name="___bla2_2" hidden="1">{"'vert'!$A$1:$T$117"}</definedName>
    <definedName name="___bla2_3" localSheetId="5" hidden="1">{"'vert'!$A$1:$T$117"}</definedName>
    <definedName name="___bla2_3" localSheetId="6" hidden="1">{"'vert'!$A$1:$T$117"}</definedName>
    <definedName name="___bla2_3" hidden="1">{"'vert'!$A$1:$T$117"}</definedName>
    <definedName name="___bla3" localSheetId="5" hidden="1">{"'vert'!$A$1:$T$117"}</definedName>
    <definedName name="___bla3" localSheetId="6" hidden="1">{"'vert'!$A$1:$T$117"}</definedName>
    <definedName name="___bla3" hidden="1">{"'vert'!$A$1:$T$117"}</definedName>
    <definedName name="___bla3_1" localSheetId="5" hidden="1">{"'vert'!$A$1:$T$117"}</definedName>
    <definedName name="___bla3_1" localSheetId="6" hidden="1">{"'vert'!$A$1:$T$117"}</definedName>
    <definedName name="___bla3_1" hidden="1">{"'vert'!$A$1:$T$117"}</definedName>
    <definedName name="___bla3_1_1" localSheetId="5" hidden="1">{"'vert'!$A$1:$T$117"}</definedName>
    <definedName name="___bla3_1_1" localSheetId="6" hidden="1">{"'vert'!$A$1:$T$117"}</definedName>
    <definedName name="___bla3_1_1" hidden="1">{"'vert'!$A$1:$T$117"}</definedName>
    <definedName name="___bla3_1_2" localSheetId="5" hidden="1">{"'vert'!$A$1:$T$117"}</definedName>
    <definedName name="___bla3_1_2" localSheetId="6" hidden="1">{"'vert'!$A$1:$T$117"}</definedName>
    <definedName name="___bla3_1_2" hidden="1">{"'vert'!$A$1:$T$117"}</definedName>
    <definedName name="___bla3_2" localSheetId="5" hidden="1">{"'vert'!$A$1:$T$117"}</definedName>
    <definedName name="___bla3_2" localSheetId="6" hidden="1">{"'vert'!$A$1:$T$117"}</definedName>
    <definedName name="___bla3_2" hidden="1">{"'vert'!$A$1:$T$117"}</definedName>
    <definedName name="___bla3_3" localSheetId="5" hidden="1">{"'vert'!$A$1:$T$117"}</definedName>
    <definedName name="___bla3_3" localSheetId="6" hidden="1">{"'vert'!$A$1:$T$117"}</definedName>
    <definedName name="___bla3_3" hidden="1">{"'vert'!$A$1:$T$117"}</definedName>
    <definedName name="___dd2" localSheetId="5" hidden="1">{"'vert'!$A$1:$T$117"}</definedName>
    <definedName name="___dd2" localSheetId="6" hidden="1">{"'vert'!$A$1:$T$117"}</definedName>
    <definedName name="___dd2" hidden="1">{"'vert'!$A$1:$T$117"}</definedName>
    <definedName name="___dd2_1" localSheetId="5" hidden="1">{"'vert'!$A$1:$T$117"}</definedName>
    <definedName name="___dd2_1" localSheetId="6" hidden="1">{"'vert'!$A$1:$T$117"}</definedName>
    <definedName name="___dd2_1" hidden="1">{"'vert'!$A$1:$T$117"}</definedName>
    <definedName name="___dd2_1_1" localSheetId="5" hidden="1">{"'vert'!$A$1:$T$117"}</definedName>
    <definedName name="___dd2_1_1" localSheetId="6" hidden="1">{"'vert'!$A$1:$T$117"}</definedName>
    <definedName name="___dd2_1_1" hidden="1">{"'vert'!$A$1:$T$117"}</definedName>
    <definedName name="___dd2_1_2" localSheetId="5" hidden="1">{"'vert'!$A$1:$T$117"}</definedName>
    <definedName name="___dd2_1_2" localSheetId="6" hidden="1">{"'vert'!$A$1:$T$117"}</definedName>
    <definedName name="___dd2_1_2" hidden="1">{"'vert'!$A$1:$T$117"}</definedName>
    <definedName name="___dd2_2" localSheetId="5" hidden="1">{"'vert'!$A$1:$T$117"}</definedName>
    <definedName name="___dd2_2" localSheetId="6" hidden="1">{"'vert'!$A$1:$T$117"}</definedName>
    <definedName name="___dd2_2" hidden="1">{"'vert'!$A$1:$T$117"}</definedName>
    <definedName name="___dd2_3" localSheetId="5" hidden="1">{"'vert'!$A$1:$T$117"}</definedName>
    <definedName name="___dd2_3" localSheetId="6" hidden="1">{"'vert'!$A$1:$T$117"}</definedName>
    <definedName name="___dd2_3" hidden="1">{"'vert'!$A$1:$T$117"}</definedName>
    <definedName name="___DE2" localSheetId="5" hidden="1">{"'vert'!$A$1:$T$117"}</definedName>
    <definedName name="___DE2" localSheetId="6" hidden="1">{"'vert'!$A$1:$T$117"}</definedName>
    <definedName name="___DE2" hidden="1">{"'vert'!$A$1:$T$117"}</definedName>
    <definedName name="___DE2_1" localSheetId="5" hidden="1">{"'vert'!$A$1:$T$117"}</definedName>
    <definedName name="___DE2_1" localSheetId="6" hidden="1">{"'vert'!$A$1:$T$117"}</definedName>
    <definedName name="___DE2_1" hidden="1">{"'vert'!$A$1:$T$117"}</definedName>
    <definedName name="___DE2_1_1" localSheetId="5" hidden="1">{"'vert'!$A$1:$T$117"}</definedName>
    <definedName name="___DE2_1_1" localSheetId="6" hidden="1">{"'vert'!$A$1:$T$117"}</definedName>
    <definedName name="___DE2_1_1" hidden="1">{"'vert'!$A$1:$T$117"}</definedName>
    <definedName name="___DE2_1_2" localSheetId="5" hidden="1">{"'vert'!$A$1:$T$117"}</definedName>
    <definedName name="___DE2_1_2" localSheetId="6" hidden="1">{"'vert'!$A$1:$T$117"}</definedName>
    <definedName name="___DE2_1_2" hidden="1">{"'vert'!$A$1:$T$117"}</definedName>
    <definedName name="___DE2_2" localSheetId="5" hidden="1">{"'vert'!$A$1:$T$117"}</definedName>
    <definedName name="___DE2_2" localSheetId="6" hidden="1">{"'vert'!$A$1:$T$117"}</definedName>
    <definedName name="___DE2_2" hidden="1">{"'vert'!$A$1:$T$117"}</definedName>
    <definedName name="___DE2_3" localSheetId="5" hidden="1">{"'vert'!$A$1:$T$117"}</definedName>
    <definedName name="___DE2_3" localSheetId="6" hidden="1">{"'vert'!$A$1:$T$117"}</definedName>
    <definedName name="___DE2_3" hidden="1">{"'vert'!$A$1:$T$117"}</definedName>
    <definedName name="__123Graph_A" hidden="1">#REF!</definedName>
    <definedName name="__123Graph_ACOSTS" hidden="1">#REF!</definedName>
    <definedName name="__123Graph_ANPV" hidden="1">#REF!</definedName>
    <definedName name="__123Graph_BCOSTS" hidden="1">#REF!</definedName>
    <definedName name="__123Graph_BHOBKEN4H" hidden="1">#REF!</definedName>
    <definedName name="__123Graph_BHOBOKEN" hidden="1">#REF!</definedName>
    <definedName name="__a1" localSheetId="5" hidden="1">{"'vert'!$A$1:$T$117"}</definedName>
    <definedName name="__a1" localSheetId="6" hidden="1">{"'vert'!$A$1:$T$117"}</definedName>
    <definedName name="__a1" hidden="1">{"'vert'!$A$1:$T$117"}</definedName>
    <definedName name="__a1_1" localSheetId="5" hidden="1">{"'vert'!$A$1:$T$117"}</definedName>
    <definedName name="__a1_1" localSheetId="6" hidden="1">{"'vert'!$A$1:$T$117"}</definedName>
    <definedName name="__a1_1" hidden="1">{"'vert'!$A$1:$T$117"}</definedName>
    <definedName name="__a1_1_1" localSheetId="5" hidden="1">{"'vert'!$A$1:$T$117"}</definedName>
    <definedName name="__a1_1_1" localSheetId="6" hidden="1">{"'vert'!$A$1:$T$117"}</definedName>
    <definedName name="__a1_1_1" hidden="1">{"'vert'!$A$1:$T$117"}</definedName>
    <definedName name="__a1_1_2" localSheetId="5" hidden="1">{"'vert'!$A$1:$T$117"}</definedName>
    <definedName name="__a1_1_2" localSheetId="6" hidden="1">{"'vert'!$A$1:$T$117"}</definedName>
    <definedName name="__a1_1_2" hidden="1">{"'vert'!$A$1:$T$117"}</definedName>
    <definedName name="__a1_2" localSheetId="5" hidden="1">{"'vert'!$A$1:$T$117"}</definedName>
    <definedName name="__a1_2" localSheetId="6" hidden="1">{"'vert'!$A$1:$T$117"}</definedName>
    <definedName name="__a1_2" hidden="1">{"'vert'!$A$1:$T$117"}</definedName>
    <definedName name="__a1_3" localSheetId="5" hidden="1">{"'vert'!$A$1:$T$117"}</definedName>
    <definedName name="__a1_3" localSheetId="6" hidden="1">{"'vert'!$A$1:$T$117"}</definedName>
    <definedName name="__a1_3" hidden="1">{"'vert'!$A$1:$T$117"}</definedName>
    <definedName name="__a101" localSheetId="5" hidden="1">{"'vert'!$A$1:$T$117"}</definedName>
    <definedName name="__a101" localSheetId="6" hidden="1">{"'vert'!$A$1:$T$117"}</definedName>
    <definedName name="__a101" hidden="1">{"'vert'!$A$1:$T$117"}</definedName>
    <definedName name="__a101_1" localSheetId="5" hidden="1">{"'vert'!$A$1:$T$117"}</definedName>
    <definedName name="__a101_1" localSheetId="6" hidden="1">{"'vert'!$A$1:$T$117"}</definedName>
    <definedName name="__a101_1" hidden="1">{"'vert'!$A$1:$T$117"}</definedName>
    <definedName name="__a101_1_1" localSheetId="5" hidden="1">{"'vert'!$A$1:$T$117"}</definedName>
    <definedName name="__a101_1_1" localSheetId="6" hidden="1">{"'vert'!$A$1:$T$117"}</definedName>
    <definedName name="__a101_1_1" hidden="1">{"'vert'!$A$1:$T$117"}</definedName>
    <definedName name="__a101_1_2" localSheetId="5" hidden="1">{"'vert'!$A$1:$T$117"}</definedName>
    <definedName name="__a101_1_2" localSheetId="6" hidden="1">{"'vert'!$A$1:$T$117"}</definedName>
    <definedName name="__a101_1_2" hidden="1">{"'vert'!$A$1:$T$117"}</definedName>
    <definedName name="__a101_2" localSheetId="5" hidden="1">{"'vert'!$A$1:$T$117"}</definedName>
    <definedName name="__a101_2" localSheetId="6" hidden="1">{"'vert'!$A$1:$T$117"}</definedName>
    <definedName name="__a101_2" hidden="1">{"'vert'!$A$1:$T$117"}</definedName>
    <definedName name="__a101_3" localSheetId="5" hidden="1">{"'vert'!$A$1:$T$117"}</definedName>
    <definedName name="__a101_3" localSheetId="6" hidden="1">{"'vert'!$A$1:$T$117"}</definedName>
    <definedName name="__a101_3" hidden="1">{"'vert'!$A$1:$T$117"}</definedName>
    <definedName name="__a102" localSheetId="5" hidden="1">{"'vert'!$A$1:$T$117"}</definedName>
    <definedName name="__a102" localSheetId="6" hidden="1">{"'vert'!$A$1:$T$117"}</definedName>
    <definedName name="__a102" hidden="1">{"'vert'!$A$1:$T$117"}</definedName>
    <definedName name="__a102_1" localSheetId="5" hidden="1">{"'vert'!$A$1:$T$117"}</definedName>
    <definedName name="__a102_1" localSheetId="6" hidden="1">{"'vert'!$A$1:$T$117"}</definedName>
    <definedName name="__a102_1" hidden="1">{"'vert'!$A$1:$T$117"}</definedName>
    <definedName name="__a102_1_1" localSheetId="5" hidden="1">{"'vert'!$A$1:$T$117"}</definedName>
    <definedName name="__a102_1_1" localSheetId="6" hidden="1">{"'vert'!$A$1:$T$117"}</definedName>
    <definedName name="__a102_1_1" hidden="1">{"'vert'!$A$1:$T$117"}</definedName>
    <definedName name="__a102_1_2" localSheetId="5" hidden="1">{"'vert'!$A$1:$T$117"}</definedName>
    <definedName name="__a102_1_2" localSheetId="6" hidden="1">{"'vert'!$A$1:$T$117"}</definedName>
    <definedName name="__a102_1_2" hidden="1">{"'vert'!$A$1:$T$117"}</definedName>
    <definedName name="__a102_2" localSheetId="5" hidden="1">{"'vert'!$A$1:$T$117"}</definedName>
    <definedName name="__a102_2" localSheetId="6" hidden="1">{"'vert'!$A$1:$T$117"}</definedName>
    <definedName name="__a102_2" hidden="1">{"'vert'!$A$1:$T$117"}</definedName>
    <definedName name="__a102_3" localSheetId="5" hidden="1">{"'vert'!$A$1:$T$117"}</definedName>
    <definedName name="__a102_3" localSheetId="6" hidden="1">{"'vert'!$A$1:$T$117"}</definedName>
    <definedName name="__a102_3" hidden="1">{"'vert'!$A$1:$T$117"}</definedName>
    <definedName name="__a103" localSheetId="5" hidden="1">{"'vert'!$A$1:$T$117"}</definedName>
    <definedName name="__a103" localSheetId="6" hidden="1">{"'vert'!$A$1:$T$117"}</definedName>
    <definedName name="__a103" hidden="1">{"'vert'!$A$1:$T$117"}</definedName>
    <definedName name="__a103_1" localSheetId="5" hidden="1">{"'vert'!$A$1:$T$117"}</definedName>
    <definedName name="__a103_1" localSheetId="6" hidden="1">{"'vert'!$A$1:$T$117"}</definedName>
    <definedName name="__a103_1" hidden="1">{"'vert'!$A$1:$T$117"}</definedName>
    <definedName name="__a103_1_1" localSheetId="5" hidden="1">{"'vert'!$A$1:$T$117"}</definedName>
    <definedName name="__a103_1_1" localSheetId="6" hidden="1">{"'vert'!$A$1:$T$117"}</definedName>
    <definedName name="__a103_1_1" hidden="1">{"'vert'!$A$1:$T$117"}</definedName>
    <definedName name="__a103_1_2" localSheetId="5" hidden="1">{"'vert'!$A$1:$T$117"}</definedName>
    <definedName name="__a103_1_2" localSheetId="6" hidden="1">{"'vert'!$A$1:$T$117"}</definedName>
    <definedName name="__a103_1_2" hidden="1">{"'vert'!$A$1:$T$117"}</definedName>
    <definedName name="__a103_2" localSheetId="5" hidden="1">{"'vert'!$A$1:$T$117"}</definedName>
    <definedName name="__a103_2" localSheetId="6" hidden="1">{"'vert'!$A$1:$T$117"}</definedName>
    <definedName name="__a103_2" hidden="1">{"'vert'!$A$1:$T$117"}</definedName>
    <definedName name="__a103_3" localSheetId="5" hidden="1">{"'vert'!$A$1:$T$117"}</definedName>
    <definedName name="__a103_3" localSheetId="6" hidden="1">{"'vert'!$A$1:$T$117"}</definedName>
    <definedName name="__a103_3" hidden="1">{"'vert'!$A$1:$T$117"}</definedName>
    <definedName name="__a104" localSheetId="5" hidden="1">{"'vert'!$A$1:$T$117"}</definedName>
    <definedName name="__a104" localSheetId="6" hidden="1">{"'vert'!$A$1:$T$117"}</definedName>
    <definedName name="__a104" hidden="1">{"'vert'!$A$1:$T$117"}</definedName>
    <definedName name="__a104_1" localSheetId="5" hidden="1">{"'vert'!$A$1:$T$117"}</definedName>
    <definedName name="__a104_1" localSheetId="6" hidden="1">{"'vert'!$A$1:$T$117"}</definedName>
    <definedName name="__a104_1" hidden="1">{"'vert'!$A$1:$T$117"}</definedName>
    <definedName name="__a104_1_1" localSheetId="5" hidden="1">{"'vert'!$A$1:$T$117"}</definedName>
    <definedName name="__a104_1_1" localSheetId="6" hidden="1">{"'vert'!$A$1:$T$117"}</definedName>
    <definedName name="__a104_1_1" hidden="1">{"'vert'!$A$1:$T$117"}</definedName>
    <definedName name="__a104_1_2" localSheetId="5" hidden="1">{"'vert'!$A$1:$T$117"}</definedName>
    <definedName name="__a104_1_2" localSheetId="6" hidden="1">{"'vert'!$A$1:$T$117"}</definedName>
    <definedName name="__a104_1_2" hidden="1">{"'vert'!$A$1:$T$117"}</definedName>
    <definedName name="__a104_2" localSheetId="5" hidden="1">{"'vert'!$A$1:$T$117"}</definedName>
    <definedName name="__a104_2" localSheetId="6" hidden="1">{"'vert'!$A$1:$T$117"}</definedName>
    <definedName name="__a104_2" hidden="1">{"'vert'!$A$1:$T$117"}</definedName>
    <definedName name="__a104_3" localSheetId="5" hidden="1">{"'vert'!$A$1:$T$117"}</definedName>
    <definedName name="__a104_3" localSheetId="6" hidden="1">{"'vert'!$A$1:$T$117"}</definedName>
    <definedName name="__a104_3" hidden="1">{"'vert'!$A$1:$T$117"}</definedName>
    <definedName name="__a105" localSheetId="5" hidden="1">{"'vert'!$A$1:$T$117"}</definedName>
    <definedName name="__a105" localSheetId="6" hidden="1">{"'vert'!$A$1:$T$117"}</definedName>
    <definedName name="__a105" hidden="1">{"'vert'!$A$1:$T$117"}</definedName>
    <definedName name="__a105_1" localSheetId="5" hidden="1">{"'vert'!$A$1:$T$117"}</definedName>
    <definedName name="__a105_1" localSheetId="6" hidden="1">{"'vert'!$A$1:$T$117"}</definedName>
    <definedName name="__a105_1" hidden="1">{"'vert'!$A$1:$T$117"}</definedName>
    <definedName name="__a105_1_1" localSheetId="5" hidden="1">{"'vert'!$A$1:$T$117"}</definedName>
    <definedName name="__a105_1_1" localSheetId="6" hidden="1">{"'vert'!$A$1:$T$117"}</definedName>
    <definedName name="__a105_1_1" hidden="1">{"'vert'!$A$1:$T$117"}</definedName>
    <definedName name="__a105_1_2" localSheetId="5" hidden="1">{"'vert'!$A$1:$T$117"}</definedName>
    <definedName name="__a105_1_2" localSheetId="6" hidden="1">{"'vert'!$A$1:$T$117"}</definedName>
    <definedName name="__a105_1_2" hidden="1">{"'vert'!$A$1:$T$117"}</definedName>
    <definedName name="__a105_2" localSheetId="5" hidden="1">{"'vert'!$A$1:$T$117"}</definedName>
    <definedName name="__a105_2" localSheetId="6" hidden="1">{"'vert'!$A$1:$T$117"}</definedName>
    <definedName name="__a105_2" hidden="1">{"'vert'!$A$1:$T$117"}</definedName>
    <definedName name="__a105_3" localSheetId="5" hidden="1">{"'vert'!$A$1:$T$117"}</definedName>
    <definedName name="__a105_3" localSheetId="6" hidden="1">{"'vert'!$A$1:$T$117"}</definedName>
    <definedName name="__a105_3" hidden="1">{"'vert'!$A$1:$T$117"}</definedName>
    <definedName name="__a106" localSheetId="5" hidden="1">{"'vert'!$A$1:$T$117"}</definedName>
    <definedName name="__a106" localSheetId="6" hidden="1">{"'vert'!$A$1:$T$117"}</definedName>
    <definedName name="__a106" hidden="1">{"'vert'!$A$1:$T$117"}</definedName>
    <definedName name="__a106_1" localSheetId="5" hidden="1">{"'vert'!$A$1:$T$117"}</definedName>
    <definedName name="__a106_1" localSheetId="6" hidden="1">{"'vert'!$A$1:$T$117"}</definedName>
    <definedName name="__a106_1" hidden="1">{"'vert'!$A$1:$T$117"}</definedName>
    <definedName name="__a106_1_1" localSheetId="5" hidden="1">{"'vert'!$A$1:$T$117"}</definedName>
    <definedName name="__a106_1_1" localSheetId="6" hidden="1">{"'vert'!$A$1:$T$117"}</definedName>
    <definedName name="__a106_1_1" hidden="1">{"'vert'!$A$1:$T$117"}</definedName>
    <definedName name="__a106_1_2" localSheetId="5" hidden="1">{"'vert'!$A$1:$T$117"}</definedName>
    <definedName name="__a106_1_2" localSheetId="6" hidden="1">{"'vert'!$A$1:$T$117"}</definedName>
    <definedName name="__a106_1_2" hidden="1">{"'vert'!$A$1:$T$117"}</definedName>
    <definedName name="__a106_2" localSheetId="5" hidden="1">{"'vert'!$A$1:$T$117"}</definedName>
    <definedName name="__a106_2" localSheetId="6" hidden="1">{"'vert'!$A$1:$T$117"}</definedName>
    <definedName name="__a106_2" hidden="1">{"'vert'!$A$1:$T$117"}</definedName>
    <definedName name="__a106_3" localSheetId="5" hidden="1">{"'vert'!$A$1:$T$117"}</definedName>
    <definedName name="__a106_3" localSheetId="6" hidden="1">{"'vert'!$A$1:$T$117"}</definedName>
    <definedName name="__a106_3" hidden="1">{"'vert'!$A$1:$T$117"}</definedName>
    <definedName name="__a107" localSheetId="5" hidden="1">{"'vert'!$A$1:$T$117"}</definedName>
    <definedName name="__a107" localSheetId="6" hidden="1">{"'vert'!$A$1:$T$117"}</definedName>
    <definedName name="__a107" hidden="1">{"'vert'!$A$1:$T$117"}</definedName>
    <definedName name="__a107_1" localSheetId="5" hidden="1">{"'vert'!$A$1:$T$117"}</definedName>
    <definedName name="__a107_1" localSheetId="6" hidden="1">{"'vert'!$A$1:$T$117"}</definedName>
    <definedName name="__a107_1" hidden="1">{"'vert'!$A$1:$T$117"}</definedName>
    <definedName name="__a107_1_1" localSheetId="5" hidden="1">{"'vert'!$A$1:$T$117"}</definedName>
    <definedName name="__a107_1_1" localSheetId="6" hidden="1">{"'vert'!$A$1:$T$117"}</definedName>
    <definedName name="__a107_1_1" hidden="1">{"'vert'!$A$1:$T$117"}</definedName>
    <definedName name="__a107_1_2" localSheetId="5" hidden="1">{"'vert'!$A$1:$T$117"}</definedName>
    <definedName name="__a107_1_2" localSheetId="6" hidden="1">{"'vert'!$A$1:$T$117"}</definedName>
    <definedName name="__a107_1_2" hidden="1">{"'vert'!$A$1:$T$117"}</definedName>
    <definedName name="__a107_2" localSheetId="5" hidden="1">{"'vert'!$A$1:$T$117"}</definedName>
    <definedName name="__a107_2" localSheetId="6" hidden="1">{"'vert'!$A$1:$T$117"}</definedName>
    <definedName name="__a107_2" hidden="1">{"'vert'!$A$1:$T$117"}</definedName>
    <definedName name="__a107_3" localSheetId="5" hidden="1">{"'vert'!$A$1:$T$117"}</definedName>
    <definedName name="__a107_3" localSheetId="6" hidden="1">{"'vert'!$A$1:$T$117"}</definedName>
    <definedName name="__a107_3" hidden="1">{"'vert'!$A$1:$T$117"}</definedName>
    <definedName name="__a108" localSheetId="5" hidden="1">{"'vert'!$A$1:$T$117"}</definedName>
    <definedName name="__a108" localSheetId="6" hidden="1">{"'vert'!$A$1:$T$117"}</definedName>
    <definedName name="__a108" hidden="1">{"'vert'!$A$1:$T$117"}</definedName>
    <definedName name="__a108_1" localSheetId="5" hidden="1">{"'vert'!$A$1:$T$117"}</definedName>
    <definedName name="__a108_1" localSheetId="6" hidden="1">{"'vert'!$A$1:$T$117"}</definedName>
    <definedName name="__a108_1" hidden="1">{"'vert'!$A$1:$T$117"}</definedName>
    <definedName name="__a108_1_1" localSheetId="5" hidden="1">{"'vert'!$A$1:$T$117"}</definedName>
    <definedName name="__a108_1_1" localSheetId="6" hidden="1">{"'vert'!$A$1:$T$117"}</definedName>
    <definedName name="__a108_1_1" hidden="1">{"'vert'!$A$1:$T$117"}</definedName>
    <definedName name="__a108_1_2" localSheetId="5" hidden="1">{"'vert'!$A$1:$T$117"}</definedName>
    <definedName name="__a108_1_2" localSheetId="6" hidden="1">{"'vert'!$A$1:$T$117"}</definedName>
    <definedName name="__a108_1_2" hidden="1">{"'vert'!$A$1:$T$117"}</definedName>
    <definedName name="__a108_2" localSheetId="5" hidden="1">{"'vert'!$A$1:$T$117"}</definedName>
    <definedName name="__a108_2" localSheetId="6" hidden="1">{"'vert'!$A$1:$T$117"}</definedName>
    <definedName name="__a108_2" hidden="1">{"'vert'!$A$1:$T$117"}</definedName>
    <definedName name="__a108_3" localSheetId="5" hidden="1">{"'vert'!$A$1:$T$117"}</definedName>
    <definedName name="__a108_3" localSheetId="6" hidden="1">{"'vert'!$A$1:$T$117"}</definedName>
    <definedName name="__a108_3" hidden="1">{"'vert'!$A$1:$T$117"}</definedName>
    <definedName name="__a109" localSheetId="5" hidden="1">{"'vert'!$A$1:$T$117"}</definedName>
    <definedName name="__a109" localSheetId="6" hidden="1">{"'vert'!$A$1:$T$117"}</definedName>
    <definedName name="__a109" hidden="1">{"'vert'!$A$1:$T$117"}</definedName>
    <definedName name="__a109_1" localSheetId="5" hidden="1">{"'vert'!$A$1:$T$117"}</definedName>
    <definedName name="__a109_1" localSheetId="6" hidden="1">{"'vert'!$A$1:$T$117"}</definedName>
    <definedName name="__a109_1" hidden="1">{"'vert'!$A$1:$T$117"}</definedName>
    <definedName name="__a109_1_1" localSheetId="5" hidden="1">{"'vert'!$A$1:$T$117"}</definedName>
    <definedName name="__a109_1_1" localSheetId="6" hidden="1">{"'vert'!$A$1:$T$117"}</definedName>
    <definedName name="__a109_1_1" hidden="1">{"'vert'!$A$1:$T$117"}</definedName>
    <definedName name="__a109_1_2" localSheetId="5" hidden="1">{"'vert'!$A$1:$T$117"}</definedName>
    <definedName name="__a109_1_2" localSheetId="6" hidden="1">{"'vert'!$A$1:$T$117"}</definedName>
    <definedName name="__a109_1_2" hidden="1">{"'vert'!$A$1:$T$117"}</definedName>
    <definedName name="__a109_2" localSheetId="5" hidden="1">{"'vert'!$A$1:$T$117"}</definedName>
    <definedName name="__a109_2" localSheetId="6" hidden="1">{"'vert'!$A$1:$T$117"}</definedName>
    <definedName name="__a109_2" hidden="1">{"'vert'!$A$1:$T$117"}</definedName>
    <definedName name="__a109_3" localSheetId="5" hidden="1">{"'vert'!$A$1:$T$117"}</definedName>
    <definedName name="__a109_3" localSheetId="6" hidden="1">{"'vert'!$A$1:$T$117"}</definedName>
    <definedName name="__a109_3" hidden="1">{"'vert'!$A$1:$T$117"}</definedName>
    <definedName name="__a11" localSheetId="5" hidden="1">{"'vert'!$A$1:$T$117"}</definedName>
    <definedName name="__a11" localSheetId="6" hidden="1">{"'vert'!$A$1:$T$117"}</definedName>
    <definedName name="__a11" hidden="1">{"'vert'!$A$1:$T$117"}</definedName>
    <definedName name="__a11_1" localSheetId="5" hidden="1">{"'vert'!$A$1:$T$117"}</definedName>
    <definedName name="__a11_1" localSheetId="6" hidden="1">{"'vert'!$A$1:$T$117"}</definedName>
    <definedName name="__a11_1" hidden="1">{"'vert'!$A$1:$T$117"}</definedName>
    <definedName name="__a11_1_1" localSheetId="5" hidden="1">{"'vert'!$A$1:$T$117"}</definedName>
    <definedName name="__a11_1_1" localSheetId="6" hidden="1">{"'vert'!$A$1:$T$117"}</definedName>
    <definedName name="__a11_1_1" hidden="1">{"'vert'!$A$1:$T$117"}</definedName>
    <definedName name="__a11_1_2" localSheetId="5" hidden="1">{"'vert'!$A$1:$T$117"}</definedName>
    <definedName name="__a11_1_2" localSheetId="6" hidden="1">{"'vert'!$A$1:$T$117"}</definedName>
    <definedName name="__a11_1_2" hidden="1">{"'vert'!$A$1:$T$117"}</definedName>
    <definedName name="__a11_2" localSheetId="5" hidden="1">{"'vert'!$A$1:$T$117"}</definedName>
    <definedName name="__a11_2" localSheetId="6" hidden="1">{"'vert'!$A$1:$T$117"}</definedName>
    <definedName name="__a11_2" hidden="1">{"'vert'!$A$1:$T$117"}</definedName>
    <definedName name="__a11_3" localSheetId="5" hidden="1">{"'vert'!$A$1:$T$117"}</definedName>
    <definedName name="__a11_3" localSheetId="6" hidden="1">{"'vert'!$A$1:$T$117"}</definedName>
    <definedName name="__a11_3" hidden="1">{"'vert'!$A$1:$T$117"}</definedName>
    <definedName name="__a110" localSheetId="5" hidden="1">{"'vert'!$A$1:$T$117"}</definedName>
    <definedName name="__a110" localSheetId="6" hidden="1">{"'vert'!$A$1:$T$117"}</definedName>
    <definedName name="__a110" hidden="1">{"'vert'!$A$1:$T$117"}</definedName>
    <definedName name="__a110_1" localSheetId="5" hidden="1">{"'vert'!$A$1:$T$117"}</definedName>
    <definedName name="__a110_1" localSheetId="6" hidden="1">{"'vert'!$A$1:$T$117"}</definedName>
    <definedName name="__a110_1" hidden="1">{"'vert'!$A$1:$T$117"}</definedName>
    <definedName name="__a110_1_1" localSheetId="5" hidden="1">{"'vert'!$A$1:$T$117"}</definedName>
    <definedName name="__a110_1_1" localSheetId="6" hidden="1">{"'vert'!$A$1:$T$117"}</definedName>
    <definedName name="__a110_1_1" hidden="1">{"'vert'!$A$1:$T$117"}</definedName>
    <definedName name="__a110_1_2" localSheetId="5" hidden="1">{"'vert'!$A$1:$T$117"}</definedName>
    <definedName name="__a110_1_2" localSheetId="6" hidden="1">{"'vert'!$A$1:$T$117"}</definedName>
    <definedName name="__a110_1_2" hidden="1">{"'vert'!$A$1:$T$117"}</definedName>
    <definedName name="__a110_2" localSheetId="5" hidden="1">{"'vert'!$A$1:$T$117"}</definedName>
    <definedName name="__a110_2" localSheetId="6" hidden="1">{"'vert'!$A$1:$T$117"}</definedName>
    <definedName name="__a110_2" hidden="1">{"'vert'!$A$1:$T$117"}</definedName>
    <definedName name="__a110_3" localSheetId="5" hidden="1">{"'vert'!$A$1:$T$117"}</definedName>
    <definedName name="__a110_3" localSheetId="6" hidden="1">{"'vert'!$A$1:$T$117"}</definedName>
    <definedName name="__a110_3" hidden="1">{"'vert'!$A$1:$T$117"}</definedName>
    <definedName name="__a111" localSheetId="5" hidden="1">{"'vert'!$A$1:$T$117"}</definedName>
    <definedName name="__a111" localSheetId="6" hidden="1">{"'vert'!$A$1:$T$117"}</definedName>
    <definedName name="__a111" hidden="1">{"'vert'!$A$1:$T$117"}</definedName>
    <definedName name="__a111_1" localSheetId="5" hidden="1">{"'vert'!$A$1:$T$117"}</definedName>
    <definedName name="__a111_1" localSheetId="6" hidden="1">{"'vert'!$A$1:$T$117"}</definedName>
    <definedName name="__a111_1" hidden="1">{"'vert'!$A$1:$T$117"}</definedName>
    <definedName name="__a111_1_1" localSheetId="5" hidden="1">{"'vert'!$A$1:$T$117"}</definedName>
    <definedName name="__a111_1_1" localSheetId="6" hidden="1">{"'vert'!$A$1:$T$117"}</definedName>
    <definedName name="__a111_1_1" hidden="1">{"'vert'!$A$1:$T$117"}</definedName>
    <definedName name="__a111_1_2" localSheetId="5" hidden="1">{"'vert'!$A$1:$T$117"}</definedName>
    <definedName name="__a111_1_2" localSheetId="6" hidden="1">{"'vert'!$A$1:$T$117"}</definedName>
    <definedName name="__a111_1_2" hidden="1">{"'vert'!$A$1:$T$117"}</definedName>
    <definedName name="__a111_2" localSheetId="5" hidden="1">{"'vert'!$A$1:$T$117"}</definedName>
    <definedName name="__a111_2" localSheetId="6" hidden="1">{"'vert'!$A$1:$T$117"}</definedName>
    <definedName name="__a111_2" hidden="1">{"'vert'!$A$1:$T$117"}</definedName>
    <definedName name="__a111_3" localSheetId="5" hidden="1">{"'vert'!$A$1:$T$117"}</definedName>
    <definedName name="__a111_3" localSheetId="6" hidden="1">{"'vert'!$A$1:$T$117"}</definedName>
    <definedName name="__a111_3" hidden="1">{"'vert'!$A$1:$T$117"}</definedName>
    <definedName name="__a112" localSheetId="5" hidden="1">{"'vert'!$A$1:$T$117"}</definedName>
    <definedName name="__a112" localSheetId="6" hidden="1">{"'vert'!$A$1:$T$117"}</definedName>
    <definedName name="__a112" hidden="1">{"'vert'!$A$1:$T$117"}</definedName>
    <definedName name="__a112_1" localSheetId="5" hidden="1">{"'vert'!$A$1:$T$117"}</definedName>
    <definedName name="__a112_1" localSheetId="6" hidden="1">{"'vert'!$A$1:$T$117"}</definedName>
    <definedName name="__a112_1" hidden="1">{"'vert'!$A$1:$T$117"}</definedName>
    <definedName name="__a112_1_1" localSheetId="5" hidden="1">{"'vert'!$A$1:$T$117"}</definedName>
    <definedName name="__a112_1_1" localSheetId="6" hidden="1">{"'vert'!$A$1:$T$117"}</definedName>
    <definedName name="__a112_1_1" hidden="1">{"'vert'!$A$1:$T$117"}</definedName>
    <definedName name="__a112_1_2" localSheetId="5" hidden="1">{"'vert'!$A$1:$T$117"}</definedName>
    <definedName name="__a112_1_2" localSheetId="6" hidden="1">{"'vert'!$A$1:$T$117"}</definedName>
    <definedName name="__a112_1_2" hidden="1">{"'vert'!$A$1:$T$117"}</definedName>
    <definedName name="__a112_2" localSheetId="5" hidden="1">{"'vert'!$A$1:$T$117"}</definedName>
    <definedName name="__a112_2" localSheetId="6" hidden="1">{"'vert'!$A$1:$T$117"}</definedName>
    <definedName name="__a112_2" hidden="1">{"'vert'!$A$1:$T$117"}</definedName>
    <definedName name="__a112_3" localSheetId="5" hidden="1">{"'vert'!$A$1:$T$117"}</definedName>
    <definedName name="__a112_3" localSheetId="6" hidden="1">{"'vert'!$A$1:$T$117"}</definedName>
    <definedName name="__a112_3" hidden="1">{"'vert'!$A$1:$T$117"}</definedName>
    <definedName name="__a113" localSheetId="5" hidden="1">{"'vert'!$A$1:$T$117"}</definedName>
    <definedName name="__a113" localSheetId="6" hidden="1">{"'vert'!$A$1:$T$117"}</definedName>
    <definedName name="__a113" hidden="1">{"'vert'!$A$1:$T$117"}</definedName>
    <definedName name="__a113_1" localSheetId="5" hidden="1">{"'vert'!$A$1:$T$117"}</definedName>
    <definedName name="__a113_1" localSheetId="6" hidden="1">{"'vert'!$A$1:$T$117"}</definedName>
    <definedName name="__a113_1" hidden="1">{"'vert'!$A$1:$T$117"}</definedName>
    <definedName name="__a113_1_1" localSheetId="5" hidden="1">{"'vert'!$A$1:$T$117"}</definedName>
    <definedName name="__a113_1_1" localSheetId="6" hidden="1">{"'vert'!$A$1:$T$117"}</definedName>
    <definedName name="__a113_1_1" hidden="1">{"'vert'!$A$1:$T$117"}</definedName>
    <definedName name="__a113_1_2" localSheetId="5" hidden="1">{"'vert'!$A$1:$T$117"}</definedName>
    <definedName name="__a113_1_2" localSheetId="6" hidden="1">{"'vert'!$A$1:$T$117"}</definedName>
    <definedName name="__a113_1_2" hidden="1">{"'vert'!$A$1:$T$117"}</definedName>
    <definedName name="__a113_2" localSheetId="5" hidden="1">{"'vert'!$A$1:$T$117"}</definedName>
    <definedName name="__a113_2" localSheetId="6" hidden="1">{"'vert'!$A$1:$T$117"}</definedName>
    <definedName name="__a113_2" hidden="1">{"'vert'!$A$1:$T$117"}</definedName>
    <definedName name="__a113_3" localSheetId="5" hidden="1">{"'vert'!$A$1:$T$117"}</definedName>
    <definedName name="__a113_3" localSheetId="6" hidden="1">{"'vert'!$A$1:$T$117"}</definedName>
    <definedName name="__a113_3" hidden="1">{"'vert'!$A$1:$T$117"}</definedName>
    <definedName name="__a114" localSheetId="5" hidden="1">{"'vert'!$A$1:$T$117"}</definedName>
    <definedName name="__a114" localSheetId="6" hidden="1">{"'vert'!$A$1:$T$117"}</definedName>
    <definedName name="__a114" hidden="1">{"'vert'!$A$1:$T$117"}</definedName>
    <definedName name="__a114_1" localSheetId="5" hidden="1">{"'vert'!$A$1:$T$117"}</definedName>
    <definedName name="__a114_1" localSheetId="6" hidden="1">{"'vert'!$A$1:$T$117"}</definedName>
    <definedName name="__a114_1" hidden="1">{"'vert'!$A$1:$T$117"}</definedName>
    <definedName name="__a114_1_1" localSheetId="5" hidden="1">{"'vert'!$A$1:$T$117"}</definedName>
    <definedName name="__a114_1_1" localSheetId="6" hidden="1">{"'vert'!$A$1:$T$117"}</definedName>
    <definedName name="__a114_1_1" hidden="1">{"'vert'!$A$1:$T$117"}</definedName>
    <definedName name="__a114_1_2" localSheetId="5" hidden="1">{"'vert'!$A$1:$T$117"}</definedName>
    <definedName name="__a114_1_2" localSheetId="6" hidden="1">{"'vert'!$A$1:$T$117"}</definedName>
    <definedName name="__a114_1_2" hidden="1">{"'vert'!$A$1:$T$117"}</definedName>
    <definedName name="__a114_2" localSheetId="5" hidden="1">{"'vert'!$A$1:$T$117"}</definedName>
    <definedName name="__a114_2" localSheetId="6" hidden="1">{"'vert'!$A$1:$T$117"}</definedName>
    <definedName name="__a114_2" hidden="1">{"'vert'!$A$1:$T$117"}</definedName>
    <definedName name="__a114_3" localSheetId="5" hidden="1">{"'vert'!$A$1:$T$117"}</definedName>
    <definedName name="__a114_3" localSheetId="6" hidden="1">{"'vert'!$A$1:$T$117"}</definedName>
    <definedName name="__a114_3" hidden="1">{"'vert'!$A$1:$T$117"}</definedName>
    <definedName name="__a115" localSheetId="5" hidden="1">{"'vert'!$A$1:$T$117"}</definedName>
    <definedName name="__a115" localSheetId="6" hidden="1">{"'vert'!$A$1:$T$117"}</definedName>
    <definedName name="__a115" hidden="1">{"'vert'!$A$1:$T$117"}</definedName>
    <definedName name="__a115_1" localSheetId="5" hidden="1">{"'vert'!$A$1:$T$117"}</definedName>
    <definedName name="__a115_1" localSheetId="6" hidden="1">{"'vert'!$A$1:$T$117"}</definedName>
    <definedName name="__a115_1" hidden="1">{"'vert'!$A$1:$T$117"}</definedName>
    <definedName name="__a115_1_1" localSheetId="5" hidden="1">{"'vert'!$A$1:$T$117"}</definedName>
    <definedName name="__a115_1_1" localSheetId="6" hidden="1">{"'vert'!$A$1:$T$117"}</definedName>
    <definedName name="__a115_1_1" hidden="1">{"'vert'!$A$1:$T$117"}</definedName>
    <definedName name="__a115_1_2" localSheetId="5" hidden="1">{"'vert'!$A$1:$T$117"}</definedName>
    <definedName name="__a115_1_2" localSheetId="6" hidden="1">{"'vert'!$A$1:$T$117"}</definedName>
    <definedName name="__a115_1_2" hidden="1">{"'vert'!$A$1:$T$117"}</definedName>
    <definedName name="__a115_2" localSheetId="5" hidden="1">{"'vert'!$A$1:$T$117"}</definedName>
    <definedName name="__a115_2" localSheetId="6" hidden="1">{"'vert'!$A$1:$T$117"}</definedName>
    <definedName name="__a115_2" hidden="1">{"'vert'!$A$1:$T$117"}</definedName>
    <definedName name="__a115_3" localSheetId="5" hidden="1">{"'vert'!$A$1:$T$117"}</definedName>
    <definedName name="__a115_3" localSheetId="6" hidden="1">{"'vert'!$A$1:$T$117"}</definedName>
    <definedName name="__a115_3" hidden="1">{"'vert'!$A$1:$T$117"}</definedName>
    <definedName name="__a116" localSheetId="5" hidden="1">{"'vert'!$A$1:$T$117"}</definedName>
    <definedName name="__a116" localSheetId="6" hidden="1">{"'vert'!$A$1:$T$117"}</definedName>
    <definedName name="__a116" hidden="1">{"'vert'!$A$1:$T$117"}</definedName>
    <definedName name="__a116_1" localSheetId="5" hidden="1">{"'vert'!$A$1:$T$117"}</definedName>
    <definedName name="__a116_1" localSheetId="6" hidden="1">{"'vert'!$A$1:$T$117"}</definedName>
    <definedName name="__a116_1" hidden="1">{"'vert'!$A$1:$T$117"}</definedName>
    <definedName name="__a116_1_1" localSheetId="5" hidden="1">{"'vert'!$A$1:$T$117"}</definedName>
    <definedName name="__a116_1_1" localSheetId="6" hidden="1">{"'vert'!$A$1:$T$117"}</definedName>
    <definedName name="__a116_1_1" hidden="1">{"'vert'!$A$1:$T$117"}</definedName>
    <definedName name="__a116_1_2" localSheetId="5" hidden="1">{"'vert'!$A$1:$T$117"}</definedName>
    <definedName name="__a116_1_2" localSheetId="6" hidden="1">{"'vert'!$A$1:$T$117"}</definedName>
    <definedName name="__a116_1_2" hidden="1">{"'vert'!$A$1:$T$117"}</definedName>
    <definedName name="__a116_2" localSheetId="5" hidden="1">{"'vert'!$A$1:$T$117"}</definedName>
    <definedName name="__a116_2" localSheetId="6" hidden="1">{"'vert'!$A$1:$T$117"}</definedName>
    <definedName name="__a116_2" hidden="1">{"'vert'!$A$1:$T$117"}</definedName>
    <definedName name="__a116_3" localSheetId="5" hidden="1">{"'vert'!$A$1:$T$117"}</definedName>
    <definedName name="__a116_3" localSheetId="6" hidden="1">{"'vert'!$A$1:$T$117"}</definedName>
    <definedName name="__a116_3" hidden="1">{"'vert'!$A$1:$T$117"}</definedName>
    <definedName name="__a117" localSheetId="5" hidden="1">{"'vert'!$A$1:$T$117"}</definedName>
    <definedName name="__a117" localSheetId="6" hidden="1">{"'vert'!$A$1:$T$117"}</definedName>
    <definedName name="__a117" hidden="1">{"'vert'!$A$1:$T$117"}</definedName>
    <definedName name="__a117_1" localSheetId="5" hidden="1">{"'vert'!$A$1:$T$117"}</definedName>
    <definedName name="__a117_1" localSheetId="6" hidden="1">{"'vert'!$A$1:$T$117"}</definedName>
    <definedName name="__a117_1" hidden="1">{"'vert'!$A$1:$T$117"}</definedName>
    <definedName name="__a117_1_1" localSheetId="5" hidden="1">{"'vert'!$A$1:$T$117"}</definedName>
    <definedName name="__a117_1_1" localSheetId="6" hidden="1">{"'vert'!$A$1:$T$117"}</definedName>
    <definedName name="__a117_1_1" hidden="1">{"'vert'!$A$1:$T$117"}</definedName>
    <definedName name="__a117_1_2" localSheetId="5" hidden="1">{"'vert'!$A$1:$T$117"}</definedName>
    <definedName name="__a117_1_2" localSheetId="6" hidden="1">{"'vert'!$A$1:$T$117"}</definedName>
    <definedName name="__a117_1_2" hidden="1">{"'vert'!$A$1:$T$117"}</definedName>
    <definedName name="__a117_2" localSheetId="5" hidden="1">{"'vert'!$A$1:$T$117"}</definedName>
    <definedName name="__a117_2" localSheetId="6" hidden="1">{"'vert'!$A$1:$T$117"}</definedName>
    <definedName name="__a117_2" hidden="1">{"'vert'!$A$1:$T$117"}</definedName>
    <definedName name="__a117_3" localSheetId="5" hidden="1">{"'vert'!$A$1:$T$117"}</definedName>
    <definedName name="__a117_3" localSheetId="6" hidden="1">{"'vert'!$A$1:$T$117"}</definedName>
    <definedName name="__a117_3" hidden="1">{"'vert'!$A$1:$T$117"}</definedName>
    <definedName name="__a118" localSheetId="5" hidden="1">{"'vert'!$A$1:$T$117"}</definedName>
    <definedName name="__a118" localSheetId="6" hidden="1">{"'vert'!$A$1:$T$117"}</definedName>
    <definedName name="__a118" hidden="1">{"'vert'!$A$1:$T$117"}</definedName>
    <definedName name="__a118_1" localSheetId="5" hidden="1">{"'vert'!$A$1:$T$117"}</definedName>
    <definedName name="__a118_1" localSheetId="6" hidden="1">{"'vert'!$A$1:$T$117"}</definedName>
    <definedName name="__a118_1" hidden="1">{"'vert'!$A$1:$T$117"}</definedName>
    <definedName name="__a118_1_1" localSheetId="5" hidden="1">{"'vert'!$A$1:$T$117"}</definedName>
    <definedName name="__a118_1_1" localSheetId="6" hidden="1">{"'vert'!$A$1:$T$117"}</definedName>
    <definedName name="__a118_1_1" hidden="1">{"'vert'!$A$1:$T$117"}</definedName>
    <definedName name="__a118_1_2" localSheetId="5" hidden="1">{"'vert'!$A$1:$T$117"}</definedName>
    <definedName name="__a118_1_2" localSheetId="6" hidden="1">{"'vert'!$A$1:$T$117"}</definedName>
    <definedName name="__a118_1_2" hidden="1">{"'vert'!$A$1:$T$117"}</definedName>
    <definedName name="__a118_2" localSheetId="5" hidden="1">{"'vert'!$A$1:$T$117"}</definedName>
    <definedName name="__a118_2" localSheetId="6" hidden="1">{"'vert'!$A$1:$T$117"}</definedName>
    <definedName name="__a118_2" hidden="1">{"'vert'!$A$1:$T$117"}</definedName>
    <definedName name="__a118_3" localSheetId="5" hidden="1">{"'vert'!$A$1:$T$117"}</definedName>
    <definedName name="__a118_3" localSheetId="6" hidden="1">{"'vert'!$A$1:$T$117"}</definedName>
    <definedName name="__a118_3" hidden="1">{"'vert'!$A$1:$T$117"}</definedName>
    <definedName name="__a119" localSheetId="5" hidden="1">{"'vert'!$A$1:$T$117"}</definedName>
    <definedName name="__a119" localSheetId="6" hidden="1">{"'vert'!$A$1:$T$117"}</definedName>
    <definedName name="__a119" hidden="1">{"'vert'!$A$1:$T$117"}</definedName>
    <definedName name="__a119_1" localSheetId="5" hidden="1">{"'vert'!$A$1:$T$117"}</definedName>
    <definedName name="__a119_1" localSheetId="6" hidden="1">{"'vert'!$A$1:$T$117"}</definedName>
    <definedName name="__a119_1" hidden="1">{"'vert'!$A$1:$T$117"}</definedName>
    <definedName name="__a119_1_1" localSheetId="5" hidden="1">{"'vert'!$A$1:$T$117"}</definedName>
    <definedName name="__a119_1_1" localSheetId="6" hidden="1">{"'vert'!$A$1:$T$117"}</definedName>
    <definedName name="__a119_1_1" hidden="1">{"'vert'!$A$1:$T$117"}</definedName>
    <definedName name="__a119_1_2" localSheetId="5" hidden="1">{"'vert'!$A$1:$T$117"}</definedName>
    <definedName name="__a119_1_2" localSheetId="6" hidden="1">{"'vert'!$A$1:$T$117"}</definedName>
    <definedName name="__a119_1_2" hidden="1">{"'vert'!$A$1:$T$117"}</definedName>
    <definedName name="__a119_2" localSheetId="5" hidden="1">{"'vert'!$A$1:$T$117"}</definedName>
    <definedName name="__a119_2" localSheetId="6" hidden="1">{"'vert'!$A$1:$T$117"}</definedName>
    <definedName name="__a119_2" hidden="1">{"'vert'!$A$1:$T$117"}</definedName>
    <definedName name="__a119_3" localSheetId="5" hidden="1">{"'vert'!$A$1:$T$117"}</definedName>
    <definedName name="__a119_3" localSheetId="6" hidden="1">{"'vert'!$A$1:$T$117"}</definedName>
    <definedName name="__a119_3" hidden="1">{"'vert'!$A$1:$T$117"}</definedName>
    <definedName name="__a120" localSheetId="5" hidden="1">{"'vert'!$A$1:$T$117"}</definedName>
    <definedName name="__a120" localSheetId="6" hidden="1">{"'vert'!$A$1:$T$117"}</definedName>
    <definedName name="__a120" hidden="1">{"'vert'!$A$1:$T$117"}</definedName>
    <definedName name="__a120_1" localSheetId="5" hidden="1">{"'vert'!$A$1:$T$117"}</definedName>
    <definedName name="__a120_1" localSheetId="6" hidden="1">{"'vert'!$A$1:$T$117"}</definedName>
    <definedName name="__a120_1" hidden="1">{"'vert'!$A$1:$T$117"}</definedName>
    <definedName name="__a120_1_1" localSheetId="5" hidden="1">{"'vert'!$A$1:$T$117"}</definedName>
    <definedName name="__a120_1_1" localSheetId="6" hidden="1">{"'vert'!$A$1:$T$117"}</definedName>
    <definedName name="__a120_1_1" hidden="1">{"'vert'!$A$1:$T$117"}</definedName>
    <definedName name="__a120_1_2" localSheetId="5" hidden="1">{"'vert'!$A$1:$T$117"}</definedName>
    <definedName name="__a120_1_2" localSheetId="6" hidden="1">{"'vert'!$A$1:$T$117"}</definedName>
    <definedName name="__a120_1_2" hidden="1">{"'vert'!$A$1:$T$117"}</definedName>
    <definedName name="__a120_2" localSheetId="5" hidden="1">{"'vert'!$A$1:$T$117"}</definedName>
    <definedName name="__a120_2" localSheetId="6" hidden="1">{"'vert'!$A$1:$T$117"}</definedName>
    <definedName name="__a120_2" hidden="1">{"'vert'!$A$1:$T$117"}</definedName>
    <definedName name="__a120_3" localSheetId="5" hidden="1">{"'vert'!$A$1:$T$117"}</definedName>
    <definedName name="__a120_3" localSheetId="6" hidden="1">{"'vert'!$A$1:$T$117"}</definedName>
    <definedName name="__a120_3" hidden="1">{"'vert'!$A$1:$T$117"}</definedName>
    <definedName name="__a121" localSheetId="5" hidden="1">{"'vert'!$A$1:$T$117"}</definedName>
    <definedName name="__a121" localSheetId="6" hidden="1">{"'vert'!$A$1:$T$117"}</definedName>
    <definedName name="__a121" hidden="1">{"'vert'!$A$1:$T$117"}</definedName>
    <definedName name="__a121_1" localSheetId="5" hidden="1">{"'vert'!$A$1:$T$117"}</definedName>
    <definedName name="__a121_1" localSheetId="6" hidden="1">{"'vert'!$A$1:$T$117"}</definedName>
    <definedName name="__a121_1" hidden="1">{"'vert'!$A$1:$T$117"}</definedName>
    <definedName name="__a121_1_1" localSheetId="5" hidden="1">{"'vert'!$A$1:$T$117"}</definedName>
    <definedName name="__a121_1_1" localSheetId="6" hidden="1">{"'vert'!$A$1:$T$117"}</definedName>
    <definedName name="__a121_1_1" hidden="1">{"'vert'!$A$1:$T$117"}</definedName>
    <definedName name="__a121_1_2" localSheetId="5" hidden="1">{"'vert'!$A$1:$T$117"}</definedName>
    <definedName name="__a121_1_2" localSheetId="6" hidden="1">{"'vert'!$A$1:$T$117"}</definedName>
    <definedName name="__a121_1_2" hidden="1">{"'vert'!$A$1:$T$117"}</definedName>
    <definedName name="__a121_2" localSheetId="5" hidden="1">{"'vert'!$A$1:$T$117"}</definedName>
    <definedName name="__a121_2" localSheetId="6" hidden="1">{"'vert'!$A$1:$T$117"}</definedName>
    <definedName name="__a121_2" hidden="1">{"'vert'!$A$1:$T$117"}</definedName>
    <definedName name="__a121_3" localSheetId="5" hidden="1">{"'vert'!$A$1:$T$117"}</definedName>
    <definedName name="__a121_3" localSheetId="6" hidden="1">{"'vert'!$A$1:$T$117"}</definedName>
    <definedName name="__a121_3" hidden="1">{"'vert'!$A$1:$T$117"}</definedName>
    <definedName name="__a122" localSheetId="5" hidden="1">{"'vert'!$A$1:$T$117"}</definedName>
    <definedName name="__a122" localSheetId="6" hidden="1">{"'vert'!$A$1:$T$117"}</definedName>
    <definedName name="__a122" hidden="1">{"'vert'!$A$1:$T$117"}</definedName>
    <definedName name="__a122_1" localSheetId="5" hidden="1">{"'vert'!$A$1:$T$117"}</definedName>
    <definedName name="__a122_1" localSheetId="6" hidden="1">{"'vert'!$A$1:$T$117"}</definedName>
    <definedName name="__a122_1" hidden="1">{"'vert'!$A$1:$T$117"}</definedName>
    <definedName name="__a122_1_1" localSheetId="5" hidden="1">{"'vert'!$A$1:$T$117"}</definedName>
    <definedName name="__a122_1_1" localSheetId="6" hidden="1">{"'vert'!$A$1:$T$117"}</definedName>
    <definedName name="__a122_1_1" hidden="1">{"'vert'!$A$1:$T$117"}</definedName>
    <definedName name="__a122_1_2" localSheetId="5" hidden="1">{"'vert'!$A$1:$T$117"}</definedName>
    <definedName name="__a122_1_2" localSheetId="6" hidden="1">{"'vert'!$A$1:$T$117"}</definedName>
    <definedName name="__a122_1_2" hidden="1">{"'vert'!$A$1:$T$117"}</definedName>
    <definedName name="__a122_2" localSheetId="5" hidden="1">{"'vert'!$A$1:$T$117"}</definedName>
    <definedName name="__a122_2" localSheetId="6" hidden="1">{"'vert'!$A$1:$T$117"}</definedName>
    <definedName name="__a122_2" hidden="1">{"'vert'!$A$1:$T$117"}</definedName>
    <definedName name="__a122_3" localSheetId="5" hidden="1">{"'vert'!$A$1:$T$117"}</definedName>
    <definedName name="__a122_3" localSheetId="6" hidden="1">{"'vert'!$A$1:$T$117"}</definedName>
    <definedName name="__a122_3" hidden="1">{"'vert'!$A$1:$T$117"}</definedName>
    <definedName name="__a123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a123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a12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a123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a123_1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a12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a123_1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a123_1_1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a123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a123_1_2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a123_1_2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a123_1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a123_2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a123_2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a123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a123_3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a123_3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a123_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a22" localSheetId="5" hidden="1">{"'vert'!$A$1:$T$117"}</definedName>
    <definedName name="__a22" localSheetId="6" hidden="1">{"'vert'!$A$1:$T$117"}</definedName>
    <definedName name="__a22" hidden="1">{"'vert'!$A$1:$T$117"}</definedName>
    <definedName name="__a22_1" localSheetId="5" hidden="1">{"'vert'!$A$1:$T$117"}</definedName>
    <definedName name="__a22_1" localSheetId="6" hidden="1">{"'vert'!$A$1:$T$117"}</definedName>
    <definedName name="__a22_1" hidden="1">{"'vert'!$A$1:$T$117"}</definedName>
    <definedName name="__a22_1_1" localSheetId="5" hidden="1">{"'vert'!$A$1:$T$117"}</definedName>
    <definedName name="__a22_1_1" localSheetId="6" hidden="1">{"'vert'!$A$1:$T$117"}</definedName>
    <definedName name="__a22_1_1" hidden="1">{"'vert'!$A$1:$T$117"}</definedName>
    <definedName name="__a22_1_2" localSheetId="5" hidden="1">{"'vert'!$A$1:$T$117"}</definedName>
    <definedName name="__a22_1_2" localSheetId="6" hidden="1">{"'vert'!$A$1:$T$117"}</definedName>
    <definedName name="__a22_1_2" hidden="1">{"'vert'!$A$1:$T$117"}</definedName>
    <definedName name="__a22_2" localSheetId="5" hidden="1">{"'vert'!$A$1:$T$117"}</definedName>
    <definedName name="__a22_2" localSheetId="6" hidden="1">{"'vert'!$A$1:$T$117"}</definedName>
    <definedName name="__a22_2" hidden="1">{"'vert'!$A$1:$T$117"}</definedName>
    <definedName name="__a22_3" localSheetId="5" hidden="1">{"'vert'!$A$1:$T$117"}</definedName>
    <definedName name="__a22_3" localSheetId="6" hidden="1">{"'vert'!$A$1:$T$117"}</definedName>
    <definedName name="__a22_3" hidden="1">{"'vert'!$A$1:$T$117"}</definedName>
    <definedName name="__a33" localSheetId="5" hidden="1">{"'vert'!$A$1:$T$117"}</definedName>
    <definedName name="__a33" localSheetId="6" hidden="1">{"'vert'!$A$1:$T$117"}</definedName>
    <definedName name="__a33" hidden="1">{"'vert'!$A$1:$T$117"}</definedName>
    <definedName name="__a33_1" localSheetId="5" hidden="1">{"'vert'!$A$1:$T$117"}</definedName>
    <definedName name="__a33_1" localSheetId="6" hidden="1">{"'vert'!$A$1:$T$117"}</definedName>
    <definedName name="__a33_1" hidden="1">{"'vert'!$A$1:$T$117"}</definedName>
    <definedName name="__a33_1_1" localSheetId="5" hidden="1">{"'vert'!$A$1:$T$117"}</definedName>
    <definedName name="__a33_1_1" localSheetId="6" hidden="1">{"'vert'!$A$1:$T$117"}</definedName>
    <definedName name="__a33_1_1" hidden="1">{"'vert'!$A$1:$T$117"}</definedName>
    <definedName name="__a33_1_2" localSheetId="5" hidden="1">{"'vert'!$A$1:$T$117"}</definedName>
    <definedName name="__a33_1_2" localSheetId="6" hidden="1">{"'vert'!$A$1:$T$117"}</definedName>
    <definedName name="__a33_1_2" hidden="1">{"'vert'!$A$1:$T$117"}</definedName>
    <definedName name="__a33_2" localSheetId="5" hidden="1">{"'vert'!$A$1:$T$117"}</definedName>
    <definedName name="__a33_2" localSheetId="6" hidden="1">{"'vert'!$A$1:$T$117"}</definedName>
    <definedName name="__a33_2" hidden="1">{"'vert'!$A$1:$T$117"}</definedName>
    <definedName name="__a33_3" localSheetId="5" hidden="1">{"'vert'!$A$1:$T$117"}</definedName>
    <definedName name="__a33_3" localSheetId="6" hidden="1">{"'vert'!$A$1:$T$117"}</definedName>
    <definedName name="__a33_3" hidden="1">{"'vert'!$A$1:$T$117"}</definedName>
    <definedName name="__a44" localSheetId="5" hidden="1">{"'vert'!$A$1:$T$117"}</definedName>
    <definedName name="__a44" localSheetId="6" hidden="1">{"'vert'!$A$1:$T$117"}</definedName>
    <definedName name="__a44" hidden="1">{"'vert'!$A$1:$T$117"}</definedName>
    <definedName name="__a44_1" localSheetId="5" hidden="1">{"'vert'!$A$1:$T$117"}</definedName>
    <definedName name="__a44_1" localSheetId="6" hidden="1">{"'vert'!$A$1:$T$117"}</definedName>
    <definedName name="__a44_1" hidden="1">{"'vert'!$A$1:$T$117"}</definedName>
    <definedName name="__a44_1_1" localSheetId="5" hidden="1">{"'vert'!$A$1:$T$117"}</definedName>
    <definedName name="__a44_1_1" localSheetId="6" hidden="1">{"'vert'!$A$1:$T$117"}</definedName>
    <definedName name="__a44_1_1" hidden="1">{"'vert'!$A$1:$T$117"}</definedName>
    <definedName name="__a44_1_2" localSheetId="5" hidden="1">{"'vert'!$A$1:$T$117"}</definedName>
    <definedName name="__a44_1_2" localSheetId="6" hidden="1">{"'vert'!$A$1:$T$117"}</definedName>
    <definedName name="__a44_1_2" hidden="1">{"'vert'!$A$1:$T$117"}</definedName>
    <definedName name="__a44_2" localSheetId="5" hidden="1">{"'vert'!$A$1:$T$117"}</definedName>
    <definedName name="__a44_2" localSheetId="6" hidden="1">{"'vert'!$A$1:$T$117"}</definedName>
    <definedName name="__a44_2" hidden="1">{"'vert'!$A$1:$T$117"}</definedName>
    <definedName name="__a44_3" localSheetId="5" hidden="1">{"'vert'!$A$1:$T$117"}</definedName>
    <definedName name="__a44_3" localSheetId="6" hidden="1">{"'vert'!$A$1:$T$117"}</definedName>
    <definedName name="__a44_3" hidden="1">{"'vert'!$A$1:$T$117"}</definedName>
    <definedName name="__a55" localSheetId="5" hidden="1">{"'vert'!$A$1:$T$117"}</definedName>
    <definedName name="__a55" localSheetId="6" hidden="1">{"'vert'!$A$1:$T$117"}</definedName>
    <definedName name="__a55" hidden="1">{"'vert'!$A$1:$T$117"}</definedName>
    <definedName name="__a55_1" localSheetId="5" hidden="1">{"'vert'!$A$1:$T$117"}</definedName>
    <definedName name="__a55_1" localSheetId="6" hidden="1">{"'vert'!$A$1:$T$117"}</definedName>
    <definedName name="__a55_1" hidden="1">{"'vert'!$A$1:$T$117"}</definedName>
    <definedName name="__a55_1_1" localSheetId="5" hidden="1">{"'vert'!$A$1:$T$117"}</definedName>
    <definedName name="__a55_1_1" localSheetId="6" hidden="1">{"'vert'!$A$1:$T$117"}</definedName>
    <definedName name="__a55_1_1" hidden="1">{"'vert'!$A$1:$T$117"}</definedName>
    <definedName name="__a55_1_2" localSheetId="5" hidden="1">{"'vert'!$A$1:$T$117"}</definedName>
    <definedName name="__a55_1_2" localSheetId="6" hidden="1">{"'vert'!$A$1:$T$117"}</definedName>
    <definedName name="__a55_1_2" hidden="1">{"'vert'!$A$1:$T$117"}</definedName>
    <definedName name="__a55_2" localSheetId="5" hidden="1">{"'vert'!$A$1:$T$117"}</definedName>
    <definedName name="__a55_2" localSheetId="6" hidden="1">{"'vert'!$A$1:$T$117"}</definedName>
    <definedName name="__a55_2" hidden="1">{"'vert'!$A$1:$T$117"}</definedName>
    <definedName name="__a55_3" localSheetId="5" hidden="1">{"'vert'!$A$1:$T$117"}</definedName>
    <definedName name="__a55_3" localSheetId="6" hidden="1">{"'vert'!$A$1:$T$117"}</definedName>
    <definedName name="__a55_3" hidden="1">{"'vert'!$A$1:$T$117"}</definedName>
    <definedName name="__a66" localSheetId="5" hidden="1">{"'vert'!$A$1:$T$117"}</definedName>
    <definedName name="__a66" localSheetId="6" hidden="1">{"'vert'!$A$1:$T$117"}</definedName>
    <definedName name="__a66" hidden="1">{"'vert'!$A$1:$T$117"}</definedName>
    <definedName name="__a66_1" localSheetId="5" hidden="1">{"'vert'!$A$1:$T$117"}</definedName>
    <definedName name="__a66_1" localSheetId="6" hidden="1">{"'vert'!$A$1:$T$117"}</definedName>
    <definedName name="__a66_1" hidden="1">{"'vert'!$A$1:$T$117"}</definedName>
    <definedName name="__a66_1_1" localSheetId="5" hidden="1">{"'vert'!$A$1:$T$117"}</definedName>
    <definedName name="__a66_1_1" localSheetId="6" hidden="1">{"'vert'!$A$1:$T$117"}</definedName>
    <definedName name="__a66_1_1" hidden="1">{"'vert'!$A$1:$T$117"}</definedName>
    <definedName name="__a66_1_2" localSheetId="5" hidden="1">{"'vert'!$A$1:$T$117"}</definedName>
    <definedName name="__a66_1_2" localSheetId="6" hidden="1">{"'vert'!$A$1:$T$117"}</definedName>
    <definedName name="__a66_1_2" hidden="1">{"'vert'!$A$1:$T$117"}</definedName>
    <definedName name="__a66_2" localSheetId="5" hidden="1">{"'vert'!$A$1:$T$117"}</definedName>
    <definedName name="__a66_2" localSheetId="6" hidden="1">{"'vert'!$A$1:$T$117"}</definedName>
    <definedName name="__a66_2" hidden="1">{"'vert'!$A$1:$T$117"}</definedName>
    <definedName name="__a66_3" localSheetId="5" hidden="1">{"'vert'!$A$1:$T$117"}</definedName>
    <definedName name="__a66_3" localSheetId="6" hidden="1">{"'vert'!$A$1:$T$117"}</definedName>
    <definedName name="__a66_3" hidden="1">{"'vert'!$A$1:$T$117"}</definedName>
    <definedName name="__a77" localSheetId="5" hidden="1">{"'vert'!$A$1:$T$117"}</definedName>
    <definedName name="__a77" localSheetId="6" hidden="1">{"'vert'!$A$1:$T$117"}</definedName>
    <definedName name="__a77" hidden="1">{"'vert'!$A$1:$T$117"}</definedName>
    <definedName name="__a77_1" localSheetId="5" hidden="1">{"'vert'!$A$1:$T$117"}</definedName>
    <definedName name="__a77_1" localSheetId="6" hidden="1">{"'vert'!$A$1:$T$117"}</definedName>
    <definedName name="__a77_1" hidden="1">{"'vert'!$A$1:$T$117"}</definedName>
    <definedName name="__a77_1_1" localSheetId="5" hidden="1">{"'vert'!$A$1:$T$117"}</definedName>
    <definedName name="__a77_1_1" localSheetId="6" hidden="1">{"'vert'!$A$1:$T$117"}</definedName>
    <definedName name="__a77_1_1" hidden="1">{"'vert'!$A$1:$T$117"}</definedName>
    <definedName name="__a77_1_2" localSheetId="5" hidden="1">{"'vert'!$A$1:$T$117"}</definedName>
    <definedName name="__a77_1_2" localSheetId="6" hidden="1">{"'vert'!$A$1:$T$117"}</definedName>
    <definedName name="__a77_1_2" hidden="1">{"'vert'!$A$1:$T$117"}</definedName>
    <definedName name="__a77_2" localSheetId="5" hidden="1">{"'vert'!$A$1:$T$117"}</definedName>
    <definedName name="__a77_2" localSheetId="6" hidden="1">{"'vert'!$A$1:$T$117"}</definedName>
    <definedName name="__a77_2" hidden="1">{"'vert'!$A$1:$T$117"}</definedName>
    <definedName name="__a77_3" localSheetId="5" hidden="1">{"'vert'!$A$1:$T$117"}</definedName>
    <definedName name="__a77_3" localSheetId="6" hidden="1">{"'vert'!$A$1:$T$117"}</definedName>
    <definedName name="__a77_3" hidden="1">{"'vert'!$A$1:$T$117"}</definedName>
    <definedName name="__a88" localSheetId="5" hidden="1">{"'vert'!$A$1:$T$117"}</definedName>
    <definedName name="__a88" localSheetId="6" hidden="1">{"'vert'!$A$1:$T$117"}</definedName>
    <definedName name="__a88" hidden="1">{"'vert'!$A$1:$T$117"}</definedName>
    <definedName name="__a88_1" localSheetId="5" hidden="1">{"'vert'!$A$1:$T$117"}</definedName>
    <definedName name="__a88_1" localSheetId="6" hidden="1">{"'vert'!$A$1:$T$117"}</definedName>
    <definedName name="__a88_1" hidden="1">{"'vert'!$A$1:$T$117"}</definedName>
    <definedName name="__a88_1_1" localSheetId="5" hidden="1">{"'vert'!$A$1:$T$117"}</definedName>
    <definedName name="__a88_1_1" localSheetId="6" hidden="1">{"'vert'!$A$1:$T$117"}</definedName>
    <definedName name="__a88_1_1" hidden="1">{"'vert'!$A$1:$T$117"}</definedName>
    <definedName name="__a88_1_2" localSheetId="5" hidden="1">{"'vert'!$A$1:$T$117"}</definedName>
    <definedName name="__a88_1_2" localSheetId="6" hidden="1">{"'vert'!$A$1:$T$117"}</definedName>
    <definedName name="__a88_1_2" hidden="1">{"'vert'!$A$1:$T$117"}</definedName>
    <definedName name="__a88_2" localSheetId="5" hidden="1">{"'vert'!$A$1:$T$117"}</definedName>
    <definedName name="__a88_2" localSheetId="6" hidden="1">{"'vert'!$A$1:$T$117"}</definedName>
    <definedName name="__a88_2" hidden="1">{"'vert'!$A$1:$T$117"}</definedName>
    <definedName name="__a88_3" localSheetId="5" hidden="1">{"'vert'!$A$1:$T$117"}</definedName>
    <definedName name="__a88_3" localSheetId="6" hidden="1">{"'vert'!$A$1:$T$117"}</definedName>
    <definedName name="__a88_3" hidden="1">{"'vert'!$A$1:$T$117"}</definedName>
    <definedName name="__a99" localSheetId="5" hidden="1">{"'vert'!$A$1:$T$117"}</definedName>
    <definedName name="__a99" localSheetId="6" hidden="1">{"'vert'!$A$1:$T$117"}</definedName>
    <definedName name="__a99" hidden="1">{"'vert'!$A$1:$T$117"}</definedName>
    <definedName name="__a99_1" localSheetId="5" hidden="1">{"'vert'!$A$1:$T$117"}</definedName>
    <definedName name="__a99_1" localSheetId="6" hidden="1">{"'vert'!$A$1:$T$117"}</definedName>
    <definedName name="__a99_1" hidden="1">{"'vert'!$A$1:$T$117"}</definedName>
    <definedName name="__a99_1_1" localSheetId="5" hidden="1">{"'vert'!$A$1:$T$117"}</definedName>
    <definedName name="__a99_1_1" localSheetId="6" hidden="1">{"'vert'!$A$1:$T$117"}</definedName>
    <definedName name="__a99_1_1" hidden="1">{"'vert'!$A$1:$T$117"}</definedName>
    <definedName name="__a99_1_2" localSheetId="5" hidden="1">{"'vert'!$A$1:$T$117"}</definedName>
    <definedName name="__a99_1_2" localSheetId="6" hidden="1">{"'vert'!$A$1:$T$117"}</definedName>
    <definedName name="__a99_1_2" hidden="1">{"'vert'!$A$1:$T$117"}</definedName>
    <definedName name="__a99_2" localSheetId="5" hidden="1">{"'vert'!$A$1:$T$117"}</definedName>
    <definedName name="__a99_2" localSheetId="6" hidden="1">{"'vert'!$A$1:$T$117"}</definedName>
    <definedName name="__a99_2" hidden="1">{"'vert'!$A$1:$T$117"}</definedName>
    <definedName name="__a99_3" localSheetId="5" hidden="1">{"'vert'!$A$1:$T$117"}</definedName>
    <definedName name="__a99_3" localSheetId="6" hidden="1">{"'vert'!$A$1:$T$117"}</definedName>
    <definedName name="__a99_3" hidden="1">{"'vert'!$A$1:$T$117"}</definedName>
    <definedName name="__bla2" localSheetId="5" hidden="1">{"'vert'!$A$1:$T$117"}</definedName>
    <definedName name="__bla2" localSheetId="6" hidden="1">{"'vert'!$A$1:$T$117"}</definedName>
    <definedName name="__bla2" hidden="1">{"'vert'!$A$1:$T$117"}</definedName>
    <definedName name="__bla2_1" localSheetId="5" hidden="1">{"'vert'!$A$1:$T$117"}</definedName>
    <definedName name="__bla2_1" localSheetId="6" hidden="1">{"'vert'!$A$1:$T$117"}</definedName>
    <definedName name="__bla2_1" hidden="1">{"'vert'!$A$1:$T$117"}</definedName>
    <definedName name="__bla2_1_1" localSheetId="5" hidden="1">{"'vert'!$A$1:$T$117"}</definedName>
    <definedName name="__bla2_1_1" localSheetId="6" hidden="1">{"'vert'!$A$1:$T$117"}</definedName>
    <definedName name="__bla2_1_1" hidden="1">{"'vert'!$A$1:$T$117"}</definedName>
    <definedName name="__bla2_1_2" localSheetId="5" hidden="1">{"'vert'!$A$1:$T$117"}</definedName>
    <definedName name="__bla2_1_2" localSheetId="6" hidden="1">{"'vert'!$A$1:$T$117"}</definedName>
    <definedName name="__bla2_1_2" hidden="1">{"'vert'!$A$1:$T$117"}</definedName>
    <definedName name="__bla2_2" localSheetId="5" hidden="1">{"'vert'!$A$1:$T$117"}</definedName>
    <definedName name="__bla2_2" localSheetId="6" hidden="1">{"'vert'!$A$1:$T$117"}</definedName>
    <definedName name="__bla2_2" hidden="1">{"'vert'!$A$1:$T$117"}</definedName>
    <definedName name="__bla2_3" localSheetId="5" hidden="1">{"'vert'!$A$1:$T$117"}</definedName>
    <definedName name="__bla2_3" localSheetId="6" hidden="1">{"'vert'!$A$1:$T$117"}</definedName>
    <definedName name="__bla2_3" hidden="1">{"'vert'!$A$1:$T$117"}</definedName>
    <definedName name="__bla3" localSheetId="5" hidden="1">{"'vert'!$A$1:$T$117"}</definedName>
    <definedName name="__bla3" localSheetId="6" hidden="1">{"'vert'!$A$1:$T$117"}</definedName>
    <definedName name="__bla3" hidden="1">{"'vert'!$A$1:$T$117"}</definedName>
    <definedName name="__bla3_1" localSheetId="5" hidden="1">{"'vert'!$A$1:$T$117"}</definedName>
    <definedName name="__bla3_1" localSheetId="6" hidden="1">{"'vert'!$A$1:$T$117"}</definedName>
    <definedName name="__bla3_1" hidden="1">{"'vert'!$A$1:$T$117"}</definedName>
    <definedName name="__bla3_1_1" localSheetId="5" hidden="1">{"'vert'!$A$1:$T$117"}</definedName>
    <definedName name="__bla3_1_1" localSheetId="6" hidden="1">{"'vert'!$A$1:$T$117"}</definedName>
    <definedName name="__bla3_1_1" hidden="1">{"'vert'!$A$1:$T$117"}</definedName>
    <definedName name="__bla3_1_2" localSheetId="5" hidden="1">{"'vert'!$A$1:$T$117"}</definedName>
    <definedName name="__bla3_1_2" localSheetId="6" hidden="1">{"'vert'!$A$1:$T$117"}</definedName>
    <definedName name="__bla3_1_2" hidden="1">{"'vert'!$A$1:$T$117"}</definedName>
    <definedName name="__bla3_2" localSheetId="5" hidden="1">{"'vert'!$A$1:$T$117"}</definedName>
    <definedName name="__bla3_2" localSheetId="6" hidden="1">{"'vert'!$A$1:$T$117"}</definedName>
    <definedName name="__bla3_2" hidden="1">{"'vert'!$A$1:$T$117"}</definedName>
    <definedName name="__bla3_3" localSheetId="5" hidden="1">{"'vert'!$A$1:$T$117"}</definedName>
    <definedName name="__bla3_3" localSheetId="6" hidden="1">{"'vert'!$A$1:$T$117"}</definedName>
    <definedName name="__bla3_3" hidden="1">{"'vert'!$A$1:$T$117"}</definedName>
    <definedName name="__dd2" localSheetId="5" hidden="1">{"'vert'!$A$1:$T$117"}</definedName>
    <definedName name="__dd2" localSheetId="6" hidden="1">{"'vert'!$A$1:$T$117"}</definedName>
    <definedName name="__dd2" hidden="1">{"'vert'!$A$1:$T$117"}</definedName>
    <definedName name="__dd2_1" localSheetId="5" hidden="1">{"'vert'!$A$1:$T$117"}</definedName>
    <definedName name="__dd2_1" localSheetId="6" hidden="1">{"'vert'!$A$1:$T$117"}</definedName>
    <definedName name="__dd2_1" hidden="1">{"'vert'!$A$1:$T$117"}</definedName>
    <definedName name="__dd2_1_1" localSheetId="5" hidden="1">{"'vert'!$A$1:$T$117"}</definedName>
    <definedName name="__dd2_1_1" localSheetId="6" hidden="1">{"'vert'!$A$1:$T$117"}</definedName>
    <definedName name="__dd2_1_1" hidden="1">{"'vert'!$A$1:$T$117"}</definedName>
    <definedName name="__dd2_1_2" localSheetId="5" hidden="1">{"'vert'!$A$1:$T$117"}</definedName>
    <definedName name="__dd2_1_2" localSheetId="6" hidden="1">{"'vert'!$A$1:$T$117"}</definedName>
    <definedName name="__dd2_1_2" hidden="1">{"'vert'!$A$1:$T$117"}</definedName>
    <definedName name="__dd2_2" localSheetId="5" hidden="1">{"'vert'!$A$1:$T$117"}</definedName>
    <definedName name="__dd2_2" localSheetId="6" hidden="1">{"'vert'!$A$1:$T$117"}</definedName>
    <definedName name="__dd2_2" hidden="1">{"'vert'!$A$1:$T$117"}</definedName>
    <definedName name="__dd2_3" localSheetId="5" hidden="1">{"'vert'!$A$1:$T$117"}</definedName>
    <definedName name="__dd2_3" localSheetId="6" hidden="1">{"'vert'!$A$1:$T$117"}</definedName>
    <definedName name="__dd2_3" hidden="1">{"'vert'!$A$1:$T$117"}</definedName>
    <definedName name="__DE2" localSheetId="5" hidden="1">{"'vert'!$A$1:$T$117"}</definedName>
    <definedName name="__DE2" localSheetId="6" hidden="1">{"'vert'!$A$1:$T$117"}</definedName>
    <definedName name="__DE2" hidden="1">{"'vert'!$A$1:$T$117"}</definedName>
    <definedName name="__DE2_1" localSheetId="5" hidden="1">{"'vert'!$A$1:$T$117"}</definedName>
    <definedName name="__DE2_1" localSheetId="6" hidden="1">{"'vert'!$A$1:$T$117"}</definedName>
    <definedName name="__DE2_1" hidden="1">{"'vert'!$A$1:$T$117"}</definedName>
    <definedName name="__DE2_1_1" localSheetId="5" hidden="1">{"'vert'!$A$1:$T$117"}</definedName>
    <definedName name="__DE2_1_1" localSheetId="6" hidden="1">{"'vert'!$A$1:$T$117"}</definedName>
    <definedName name="__DE2_1_1" hidden="1">{"'vert'!$A$1:$T$117"}</definedName>
    <definedName name="__DE2_1_1_1" localSheetId="5" hidden="1">{"'vert'!$A$1:$T$117"}</definedName>
    <definedName name="__DE2_1_1_1" localSheetId="6" hidden="1">{"'vert'!$A$1:$T$117"}</definedName>
    <definedName name="__DE2_1_1_1" hidden="1">{"'vert'!$A$1:$T$117"}</definedName>
    <definedName name="__DE2_1_2" localSheetId="5" hidden="1">{"'vert'!$A$1:$T$117"}</definedName>
    <definedName name="__DE2_1_2" localSheetId="6" hidden="1">{"'vert'!$A$1:$T$117"}</definedName>
    <definedName name="__DE2_1_2" hidden="1">{"'vert'!$A$1:$T$117"}</definedName>
    <definedName name="__DE2_2" localSheetId="5" hidden="1">{"'vert'!$A$1:$T$117"}</definedName>
    <definedName name="__DE2_2" localSheetId="6" hidden="1">{"'vert'!$A$1:$T$117"}</definedName>
    <definedName name="__DE2_2" hidden="1">{"'vert'!$A$1:$T$117"}</definedName>
    <definedName name="__DE2_2_1" localSheetId="5" hidden="1">{"'vert'!$A$1:$T$117"}</definedName>
    <definedName name="__DE2_2_1" localSheetId="6" hidden="1">{"'vert'!$A$1:$T$117"}</definedName>
    <definedName name="__DE2_2_1" hidden="1">{"'vert'!$A$1:$T$117"}</definedName>
    <definedName name="__DE2_2_1_1" localSheetId="5" hidden="1">{"'vert'!$A$1:$T$117"}</definedName>
    <definedName name="__DE2_2_1_1" localSheetId="6" hidden="1">{"'vert'!$A$1:$T$117"}</definedName>
    <definedName name="__DE2_2_1_1" hidden="1">{"'vert'!$A$1:$T$117"}</definedName>
    <definedName name="__DE2_2_2" localSheetId="5" hidden="1">{"'vert'!$A$1:$T$117"}</definedName>
    <definedName name="__DE2_2_2" localSheetId="6" hidden="1">{"'vert'!$A$1:$T$117"}</definedName>
    <definedName name="__DE2_2_2" hidden="1">{"'vert'!$A$1:$T$117"}</definedName>
    <definedName name="__DE2_3" localSheetId="5" hidden="1">{"'vert'!$A$1:$T$117"}</definedName>
    <definedName name="__DE2_3" localSheetId="6" hidden="1">{"'vert'!$A$1:$T$117"}</definedName>
    <definedName name="__DE2_3" hidden="1">{"'vert'!$A$1:$T$117"}</definedName>
    <definedName name="__DE2_3_1" localSheetId="5" hidden="1">{"'vert'!$A$1:$T$117"}</definedName>
    <definedName name="__DE2_3_1" localSheetId="6" hidden="1">{"'vert'!$A$1:$T$117"}</definedName>
    <definedName name="__DE2_3_1" hidden="1">{"'vert'!$A$1:$T$117"}</definedName>
    <definedName name="__DE2_4" localSheetId="5" hidden="1">{"'vert'!$A$1:$T$117"}</definedName>
    <definedName name="__DE2_4" localSheetId="6" hidden="1">{"'vert'!$A$1:$T$117"}</definedName>
    <definedName name="__DE2_4" hidden="1">{"'vert'!$A$1:$T$117"}</definedName>
    <definedName name="__huh3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1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1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1_1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1_1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1_1_1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1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1_2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1_2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1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2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2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2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2_1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2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2_1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2_1_1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2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2_2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2_2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2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3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3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3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3_1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4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4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4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x1" localSheetId="5" hidden="1">{"'vert'!$A$1:$T$117"}</definedName>
    <definedName name="__x1" localSheetId="6" hidden="1">{"'vert'!$A$1:$T$117"}</definedName>
    <definedName name="__x1" hidden="1">{"'vert'!$A$1:$T$117"}</definedName>
    <definedName name="_1_123Grap" hidden="1">#REF!</definedName>
    <definedName name="_10_0__123Grap" hidden="1">#REF!</definedName>
    <definedName name="_11_0__123Grap" hidden="1">#REF!</definedName>
    <definedName name="_123Graph_ACOSTS_b" hidden="1">#REF!</definedName>
    <definedName name="_123Graph_BCOSTSS" hidden="1">#REF!</definedName>
    <definedName name="_14_0__123Graph_A" hidden="1">#REF!</definedName>
    <definedName name="_15_0__123Graph_A" hidden="1">#REF!</definedName>
    <definedName name="_18_0__123Graph_BEPS" hidden="1">#REF!</definedName>
    <definedName name="_19_0__123Graph_BEPS" hidden="1">#REF!</definedName>
    <definedName name="_2" localSheetId="5" hidden="1">{"'vert'!$A$1:$T$117"}</definedName>
    <definedName name="_2" localSheetId="6" hidden="1">{"'vert'!$A$1:$T$117"}</definedName>
    <definedName name="_2" hidden="1">{"'vert'!$A$1:$T$117"}</definedName>
    <definedName name="_2_123Graph_A" hidden="1">[13]CLOSE!#REF!</definedName>
    <definedName name="_22_0_0__123Graph_A" hidden="1">[13]CLOSE!#REF!</definedName>
    <definedName name="_23_0_0__123Graph_A" hidden="1">[13]CLOSE!#REF!</definedName>
    <definedName name="_26_0" hidden="1">[13]CLOSE!#REF!</definedName>
    <definedName name="_26_0_0__123Graph_BEPS" hidden="1">[13]CLOSE!#REF!</definedName>
    <definedName name="_27_0_0__123Graph_BEPS" hidden="1">[13]CLOSE!#REF!</definedName>
    <definedName name="_3_123Graph_A" hidden="1">#REF!</definedName>
    <definedName name="_38" hidden="1">#REF!</definedName>
    <definedName name="_4_123Graph_BEPS" hidden="1">[13]CLOSE!#REF!</definedName>
    <definedName name="_42" hidden="1">#REF!</definedName>
    <definedName name="_43" hidden="1">#REF!</definedName>
    <definedName name="_5_123Graph_BEPS" hidden="1">#REF!</definedName>
    <definedName name="_52" hidden="1">[13]CLOSE!#REF!</definedName>
    <definedName name="_56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56" localSheetId="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5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7__123Graph_BEPS_CF" hidden="1">#REF!</definedName>
    <definedName name="_a1" localSheetId="5" hidden="1">{"'vert'!$A$1:$T$117"}</definedName>
    <definedName name="_a1" localSheetId="6" hidden="1">{"'vert'!$A$1:$T$117"}</definedName>
    <definedName name="_a1" hidden="1">{"'vert'!$A$1:$T$117"}</definedName>
    <definedName name="_a1_1" localSheetId="5" hidden="1">{"'vert'!$A$1:$T$117"}</definedName>
    <definedName name="_a1_1" localSheetId="6" hidden="1">{"'vert'!$A$1:$T$117"}</definedName>
    <definedName name="_a1_1" hidden="1">{"'vert'!$A$1:$T$117"}</definedName>
    <definedName name="_a1_1_1" localSheetId="5" hidden="1">{"'vert'!$A$1:$T$117"}</definedName>
    <definedName name="_a1_1_1" localSheetId="6" hidden="1">{"'vert'!$A$1:$T$117"}</definedName>
    <definedName name="_a1_1_1" hidden="1">{"'vert'!$A$1:$T$117"}</definedName>
    <definedName name="_a1_1_2" localSheetId="5" hidden="1">{"'vert'!$A$1:$T$117"}</definedName>
    <definedName name="_a1_1_2" localSheetId="6" hidden="1">{"'vert'!$A$1:$T$117"}</definedName>
    <definedName name="_a1_1_2" hidden="1">{"'vert'!$A$1:$T$117"}</definedName>
    <definedName name="_a1_2" localSheetId="5" hidden="1">{"'vert'!$A$1:$T$117"}</definedName>
    <definedName name="_a1_2" localSheetId="6" hidden="1">{"'vert'!$A$1:$T$117"}</definedName>
    <definedName name="_a1_2" hidden="1">{"'vert'!$A$1:$T$117"}</definedName>
    <definedName name="_a1_3" localSheetId="5" hidden="1">{"'vert'!$A$1:$T$117"}</definedName>
    <definedName name="_a1_3" localSheetId="6" hidden="1">{"'vert'!$A$1:$T$117"}</definedName>
    <definedName name="_a1_3" hidden="1">{"'vert'!$A$1:$T$117"}</definedName>
    <definedName name="_a101" localSheetId="5" hidden="1">{"'vert'!$A$1:$T$117"}</definedName>
    <definedName name="_a101" localSheetId="6" hidden="1">{"'vert'!$A$1:$T$117"}</definedName>
    <definedName name="_a101" hidden="1">{"'vert'!$A$1:$T$117"}</definedName>
    <definedName name="_a101_1" localSheetId="5" hidden="1">{"'vert'!$A$1:$T$117"}</definedName>
    <definedName name="_a101_1" localSheetId="6" hidden="1">{"'vert'!$A$1:$T$117"}</definedName>
    <definedName name="_a101_1" hidden="1">{"'vert'!$A$1:$T$117"}</definedName>
    <definedName name="_a101_1_1" localSheetId="5" hidden="1">{"'vert'!$A$1:$T$117"}</definedName>
    <definedName name="_a101_1_1" localSheetId="6" hidden="1">{"'vert'!$A$1:$T$117"}</definedName>
    <definedName name="_a101_1_1" hidden="1">{"'vert'!$A$1:$T$117"}</definedName>
    <definedName name="_a101_1_2" localSheetId="5" hidden="1">{"'vert'!$A$1:$T$117"}</definedName>
    <definedName name="_a101_1_2" localSheetId="6" hidden="1">{"'vert'!$A$1:$T$117"}</definedName>
    <definedName name="_a101_1_2" hidden="1">{"'vert'!$A$1:$T$117"}</definedName>
    <definedName name="_a101_2" localSheetId="5" hidden="1">{"'vert'!$A$1:$T$117"}</definedName>
    <definedName name="_a101_2" localSheetId="6" hidden="1">{"'vert'!$A$1:$T$117"}</definedName>
    <definedName name="_a101_2" hidden="1">{"'vert'!$A$1:$T$117"}</definedName>
    <definedName name="_a101_3" localSheetId="5" hidden="1">{"'vert'!$A$1:$T$117"}</definedName>
    <definedName name="_a101_3" localSheetId="6" hidden="1">{"'vert'!$A$1:$T$117"}</definedName>
    <definedName name="_a101_3" hidden="1">{"'vert'!$A$1:$T$117"}</definedName>
    <definedName name="_a102" localSheetId="5" hidden="1">{"'vert'!$A$1:$T$117"}</definedName>
    <definedName name="_a102" localSheetId="6" hidden="1">{"'vert'!$A$1:$T$117"}</definedName>
    <definedName name="_a102" hidden="1">{"'vert'!$A$1:$T$117"}</definedName>
    <definedName name="_a102_1" localSheetId="5" hidden="1">{"'vert'!$A$1:$T$117"}</definedName>
    <definedName name="_a102_1" localSheetId="6" hidden="1">{"'vert'!$A$1:$T$117"}</definedName>
    <definedName name="_a102_1" hidden="1">{"'vert'!$A$1:$T$117"}</definedName>
    <definedName name="_a102_1_1" localSheetId="5" hidden="1">{"'vert'!$A$1:$T$117"}</definedName>
    <definedName name="_a102_1_1" localSheetId="6" hidden="1">{"'vert'!$A$1:$T$117"}</definedName>
    <definedName name="_a102_1_1" hidden="1">{"'vert'!$A$1:$T$117"}</definedName>
    <definedName name="_a102_1_2" localSheetId="5" hidden="1">{"'vert'!$A$1:$T$117"}</definedName>
    <definedName name="_a102_1_2" localSheetId="6" hidden="1">{"'vert'!$A$1:$T$117"}</definedName>
    <definedName name="_a102_1_2" hidden="1">{"'vert'!$A$1:$T$117"}</definedName>
    <definedName name="_a102_2" localSheetId="5" hidden="1">{"'vert'!$A$1:$T$117"}</definedName>
    <definedName name="_a102_2" localSheetId="6" hidden="1">{"'vert'!$A$1:$T$117"}</definedName>
    <definedName name="_a102_2" hidden="1">{"'vert'!$A$1:$T$117"}</definedName>
    <definedName name="_a102_3" localSheetId="5" hidden="1">{"'vert'!$A$1:$T$117"}</definedName>
    <definedName name="_a102_3" localSheetId="6" hidden="1">{"'vert'!$A$1:$T$117"}</definedName>
    <definedName name="_a102_3" hidden="1">{"'vert'!$A$1:$T$117"}</definedName>
    <definedName name="_a103" localSheetId="5" hidden="1">{"'vert'!$A$1:$T$117"}</definedName>
    <definedName name="_a103" localSheetId="6" hidden="1">{"'vert'!$A$1:$T$117"}</definedName>
    <definedName name="_a103" hidden="1">{"'vert'!$A$1:$T$117"}</definedName>
    <definedName name="_a103_1" localSheetId="5" hidden="1">{"'vert'!$A$1:$T$117"}</definedName>
    <definedName name="_a103_1" localSheetId="6" hidden="1">{"'vert'!$A$1:$T$117"}</definedName>
    <definedName name="_a103_1" hidden="1">{"'vert'!$A$1:$T$117"}</definedName>
    <definedName name="_a103_1_1" localSheetId="5" hidden="1">{"'vert'!$A$1:$T$117"}</definedName>
    <definedName name="_a103_1_1" localSheetId="6" hidden="1">{"'vert'!$A$1:$T$117"}</definedName>
    <definedName name="_a103_1_1" hidden="1">{"'vert'!$A$1:$T$117"}</definedName>
    <definedName name="_a103_1_2" localSheetId="5" hidden="1">{"'vert'!$A$1:$T$117"}</definedName>
    <definedName name="_a103_1_2" localSheetId="6" hidden="1">{"'vert'!$A$1:$T$117"}</definedName>
    <definedName name="_a103_1_2" hidden="1">{"'vert'!$A$1:$T$117"}</definedName>
    <definedName name="_a103_2" localSheetId="5" hidden="1">{"'vert'!$A$1:$T$117"}</definedName>
    <definedName name="_a103_2" localSheetId="6" hidden="1">{"'vert'!$A$1:$T$117"}</definedName>
    <definedName name="_a103_2" hidden="1">{"'vert'!$A$1:$T$117"}</definedName>
    <definedName name="_a103_3" localSheetId="5" hidden="1">{"'vert'!$A$1:$T$117"}</definedName>
    <definedName name="_a103_3" localSheetId="6" hidden="1">{"'vert'!$A$1:$T$117"}</definedName>
    <definedName name="_a103_3" hidden="1">{"'vert'!$A$1:$T$117"}</definedName>
    <definedName name="_a104" localSheetId="5" hidden="1">{"'vert'!$A$1:$T$117"}</definedName>
    <definedName name="_a104" localSheetId="6" hidden="1">{"'vert'!$A$1:$T$117"}</definedName>
    <definedName name="_a104" hidden="1">{"'vert'!$A$1:$T$117"}</definedName>
    <definedName name="_a104_1" localSheetId="5" hidden="1">{"'vert'!$A$1:$T$117"}</definedName>
    <definedName name="_a104_1" localSheetId="6" hidden="1">{"'vert'!$A$1:$T$117"}</definedName>
    <definedName name="_a104_1" hidden="1">{"'vert'!$A$1:$T$117"}</definedName>
    <definedName name="_a104_1_1" localSheetId="5" hidden="1">{"'vert'!$A$1:$T$117"}</definedName>
    <definedName name="_a104_1_1" localSheetId="6" hidden="1">{"'vert'!$A$1:$T$117"}</definedName>
    <definedName name="_a104_1_1" hidden="1">{"'vert'!$A$1:$T$117"}</definedName>
    <definedName name="_a104_1_2" localSheetId="5" hidden="1">{"'vert'!$A$1:$T$117"}</definedName>
    <definedName name="_a104_1_2" localSheetId="6" hidden="1">{"'vert'!$A$1:$T$117"}</definedName>
    <definedName name="_a104_1_2" hidden="1">{"'vert'!$A$1:$T$117"}</definedName>
    <definedName name="_a104_2" localSheetId="5" hidden="1">{"'vert'!$A$1:$T$117"}</definedName>
    <definedName name="_a104_2" localSheetId="6" hidden="1">{"'vert'!$A$1:$T$117"}</definedName>
    <definedName name="_a104_2" hidden="1">{"'vert'!$A$1:$T$117"}</definedName>
    <definedName name="_a104_3" localSheetId="5" hidden="1">{"'vert'!$A$1:$T$117"}</definedName>
    <definedName name="_a104_3" localSheetId="6" hidden="1">{"'vert'!$A$1:$T$117"}</definedName>
    <definedName name="_a104_3" hidden="1">{"'vert'!$A$1:$T$117"}</definedName>
    <definedName name="_a105" localSheetId="5" hidden="1">{"'vert'!$A$1:$T$117"}</definedName>
    <definedName name="_a105" localSheetId="6" hidden="1">{"'vert'!$A$1:$T$117"}</definedName>
    <definedName name="_a105" hidden="1">{"'vert'!$A$1:$T$117"}</definedName>
    <definedName name="_a105_1" localSheetId="5" hidden="1">{"'vert'!$A$1:$T$117"}</definedName>
    <definedName name="_a105_1" localSheetId="6" hidden="1">{"'vert'!$A$1:$T$117"}</definedName>
    <definedName name="_a105_1" hidden="1">{"'vert'!$A$1:$T$117"}</definedName>
    <definedName name="_a105_1_1" localSheetId="5" hidden="1">{"'vert'!$A$1:$T$117"}</definedName>
    <definedName name="_a105_1_1" localSheetId="6" hidden="1">{"'vert'!$A$1:$T$117"}</definedName>
    <definedName name="_a105_1_1" hidden="1">{"'vert'!$A$1:$T$117"}</definedName>
    <definedName name="_a105_1_2" localSheetId="5" hidden="1">{"'vert'!$A$1:$T$117"}</definedName>
    <definedName name="_a105_1_2" localSheetId="6" hidden="1">{"'vert'!$A$1:$T$117"}</definedName>
    <definedName name="_a105_1_2" hidden="1">{"'vert'!$A$1:$T$117"}</definedName>
    <definedName name="_a105_2" localSheetId="5" hidden="1">{"'vert'!$A$1:$T$117"}</definedName>
    <definedName name="_a105_2" localSheetId="6" hidden="1">{"'vert'!$A$1:$T$117"}</definedName>
    <definedName name="_a105_2" hidden="1">{"'vert'!$A$1:$T$117"}</definedName>
    <definedName name="_a105_3" localSheetId="5" hidden="1">{"'vert'!$A$1:$T$117"}</definedName>
    <definedName name="_a105_3" localSheetId="6" hidden="1">{"'vert'!$A$1:$T$117"}</definedName>
    <definedName name="_a105_3" hidden="1">{"'vert'!$A$1:$T$117"}</definedName>
    <definedName name="_a106" localSheetId="5" hidden="1">{"'vert'!$A$1:$T$117"}</definedName>
    <definedName name="_a106" localSheetId="6" hidden="1">{"'vert'!$A$1:$T$117"}</definedName>
    <definedName name="_a106" hidden="1">{"'vert'!$A$1:$T$117"}</definedName>
    <definedName name="_a106_1" localSheetId="5" hidden="1">{"'vert'!$A$1:$T$117"}</definedName>
    <definedName name="_a106_1" localSheetId="6" hidden="1">{"'vert'!$A$1:$T$117"}</definedName>
    <definedName name="_a106_1" hidden="1">{"'vert'!$A$1:$T$117"}</definedName>
    <definedName name="_a106_1_1" localSheetId="5" hidden="1">{"'vert'!$A$1:$T$117"}</definedName>
    <definedName name="_a106_1_1" localSheetId="6" hidden="1">{"'vert'!$A$1:$T$117"}</definedName>
    <definedName name="_a106_1_1" hidden="1">{"'vert'!$A$1:$T$117"}</definedName>
    <definedName name="_a106_1_2" localSheetId="5" hidden="1">{"'vert'!$A$1:$T$117"}</definedName>
    <definedName name="_a106_1_2" localSheetId="6" hidden="1">{"'vert'!$A$1:$T$117"}</definedName>
    <definedName name="_a106_1_2" hidden="1">{"'vert'!$A$1:$T$117"}</definedName>
    <definedName name="_a106_2" localSheetId="5" hidden="1">{"'vert'!$A$1:$T$117"}</definedName>
    <definedName name="_a106_2" localSheetId="6" hidden="1">{"'vert'!$A$1:$T$117"}</definedName>
    <definedName name="_a106_2" hidden="1">{"'vert'!$A$1:$T$117"}</definedName>
    <definedName name="_a106_3" localSheetId="5" hidden="1">{"'vert'!$A$1:$T$117"}</definedName>
    <definedName name="_a106_3" localSheetId="6" hidden="1">{"'vert'!$A$1:$T$117"}</definedName>
    <definedName name="_a106_3" hidden="1">{"'vert'!$A$1:$T$117"}</definedName>
    <definedName name="_a107" localSheetId="5" hidden="1">{"'vert'!$A$1:$T$117"}</definedName>
    <definedName name="_a107" localSheetId="6" hidden="1">{"'vert'!$A$1:$T$117"}</definedName>
    <definedName name="_a107" hidden="1">{"'vert'!$A$1:$T$117"}</definedName>
    <definedName name="_a107_1" localSheetId="5" hidden="1">{"'vert'!$A$1:$T$117"}</definedName>
    <definedName name="_a107_1" localSheetId="6" hidden="1">{"'vert'!$A$1:$T$117"}</definedName>
    <definedName name="_a107_1" hidden="1">{"'vert'!$A$1:$T$117"}</definedName>
    <definedName name="_a107_1_1" localSheetId="5" hidden="1">{"'vert'!$A$1:$T$117"}</definedName>
    <definedName name="_a107_1_1" localSheetId="6" hidden="1">{"'vert'!$A$1:$T$117"}</definedName>
    <definedName name="_a107_1_1" hidden="1">{"'vert'!$A$1:$T$117"}</definedName>
    <definedName name="_a107_1_2" localSheetId="5" hidden="1">{"'vert'!$A$1:$T$117"}</definedName>
    <definedName name="_a107_1_2" localSheetId="6" hidden="1">{"'vert'!$A$1:$T$117"}</definedName>
    <definedName name="_a107_1_2" hidden="1">{"'vert'!$A$1:$T$117"}</definedName>
    <definedName name="_a107_2" localSheetId="5" hidden="1">{"'vert'!$A$1:$T$117"}</definedName>
    <definedName name="_a107_2" localSheetId="6" hidden="1">{"'vert'!$A$1:$T$117"}</definedName>
    <definedName name="_a107_2" hidden="1">{"'vert'!$A$1:$T$117"}</definedName>
    <definedName name="_a107_3" localSheetId="5" hidden="1">{"'vert'!$A$1:$T$117"}</definedName>
    <definedName name="_a107_3" localSheetId="6" hidden="1">{"'vert'!$A$1:$T$117"}</definedName>
    <definedName name="_a107_3" hidden="1">{"'vert'!$A$1:$T$117"}</definedName>
    <definedName name="_a108" localSheetId="5" hidden="1">{"'vert'!$A$1:$T$117"}</definedName>
    <definedName name="_a108" localSheetId="6" hidden="1">{"'vert'!$A$1:$T$117"}</definedName>
    <definedName name="_a108" hidden="1">{"'vert'!$A$1:$T$117"}</definedName>
    <definedName name="_a108_1" localSheetId="5" hidden="1">{"'vert'!$A$1:$T$117"}</definedName>
    <definedName name="_a108_1" localSheetId="6" hidden="1">{"'vert'!$A$1:$T$117"}</definedName>
    <definedName name="_a108_1" hidden="1">{"'vert'!$A$1:$T$117"}</definedName>
    <definedName name="_a108_1_1" localSheetId="5" hidden="1">{"'vert'!$A$1:$T$117"}</definedName>
    <definedName name="_a108_1_1" localSheetId="6" hidden="1">{"'vert'!$A$1:$T$117"}</definedName>
    <definedName name="_a108_1_1" hidden="1">{"'vert'!$A$1:$T$117"}</definedName>
    <definedName name="_a108_1_2" localSheetId="5" hidden="1">{"'vert'!$A$1:$T$117"}</definedName>
    <definedName name="_a108_1_2" localSheetId="6" hidden="1">{"'vert'!$A$1:$T$117"}</definedName>
    <definedName name="_a108_1_2" hidden="1">{"'vert'!$A$1:$T$117"}</definedName>
    <definedName name="_a108_2" localSheetId="5" hidden="1">{"'vert'!$A$1:$T$117"}</definedName>
    <definedName name="_a108_2" localSheetId="6" hidden="1">{"'vert'!$A$1:$T$117"}</definedName>
    <definedName name="_a108_2" hidden="1">{"'vert'!$A$1:$T$117"}</definedName>
    <definedName name="_a108_3" localSheetId="5" hidden="1">{"'vert'!$A$1:$T$117"}</definedName>
    <definedName name="_a108_3" localSheetId="6" hidden="1">{"'vert'!$A$1:$T$117"}</definedName>
    <definedName name="_a108_3" hidden="1">{"'vert'!$A$1:$T$117"}</definedName>
    <definedName name="_a109" localSheetId="5" hidden="1">{"'vert'!$A$1:$T$117"}</definedName>
    <definedName name="_a109" localSheetId="6" hidden="1">{"'vert'!$A$1:$T$117"}</definedName>
    <definedName name="_a109" hidden="1">{"'vert'!$A$1:$T$117"}</definedName>
    <definedName name="_a109_1" localSheetId="5" hidden="1">{"'vert'!$A$1:$T$117"}</definedName>
    <definedName name="_a109_1" localSheetId="6" hidden="1">{"'vert'!$A$1:$T$117"}</definedName>
    <definedName name="_a109_1" hidden="1">{"'vert'!$A$1:$T$117"}</definedName>
    <definedName name="_a109_1_1" localSheetId="5" hidden="1">{"'vert'!$A$1:$T$117"}</definedName>
    <definedName name="_a109_1_1" localSheetId="6" hidden="1">{"'vert'!$A$1:$T$117"}</definedName>
    <definedName name="_a109_1_1" hidden="1">{"'vert'!$A$1:$T$117"}</definedName>
    <definedName name="_a109_1_2" localSheetId="5" hidden="1">{"'vert'!$A$1:$T$117"}</definedName>
    <definedName name="_a109_1_2" localSheetId="6" hidden="1">{"'vert'!$A$1:$T$117"}</definedName>
    <definedName name="_a109_1_2" hidden="1">{"'vert'!$A$1:$T$117"}</definedName>
    <definedName name="_a109_2" localSheetId="5" hidden="1">{"'vert'!$A$1:$T$117"}</definedName>
    <definedName name="_a109_2" localSheetId="6" hidden="1">{"'vert'!$A$1:$T$117"}</definedName>
    <definedName name="_a109_2" hidden="1">{"'vert'!$A$1:$T$117"}</definedName>
    <definedName name="_a109_3" localSheetId="5" hidden="1">{"'vert'!$A$1:$T$117"}</definedName>
    <definedName name="_a109_3" localSheetId="6" hidden="1">{"'vert'!$A$1:$T$117"}</definedName>
    <definedName name="_a109_3" hidden="1">{"'vert'!$A$1:$T$117"}</definedName>
    <definedName name="_a11" localSheetId="5" hidden="1">{"'vert'!$A$1:$T$117"}</definedName>
    <definedName name="_a11" localSheetId="6" hidden="1">{"'vert'!$A$1:$T$117"}</definedName>
    <definedName name="_a11" hidden="1">{"'vert'!$A$1:$T$117"}</definedName>
    <definedName name="_a11_1" localSheetId="5" hidden="1">{"'vert'!$A$1:$T$117"}</definedName>
    <definedName name="_a11_1" localSheetId="6" hidden="1">{"'vert'!$A$1:$T$117"}</definedName>
    <definedName name="_a11_1" hidden="1">{"'vert'!$A$1:$T$117"}</definedName>
    <definedName name="_a11_1_1" localSheetId="5" hidden="1">{"'vert'!$A$1:$T$117"}</definedName>
    <definedName name="_a11_1_1" localSheetId="6" hidden="1">{"'vert'!$A$1:$T$117"}</definedName>
    <definedName name="_a11_1_1" hidden="1">{"'vert'!$A$1:$T$117"}</definedName>
    <definedName name="_a11_1_2" localSheetId="5" hidden="1">{"'vert'!$A$1:$T$117"}</definedName>
    <definedName name="_a11_1_2" localSheetId="6" hidden="1">{"'vert'!$A$1:$T$117"}</definedName>
    <definedName name="_a11_1_2" hidden="1">{"'vert'!$A$1:$T$117"}</definedName>
    <definedName name="_a11_2" localSheetId="5" hidden="1">{"'vert'!$A$1:$T$117"}</definedName>
    <definedName name="_a11_2" localSheetId="6" hidden="1">{"'vert'!$A$1:$T$117"}</definedName>
    <definedName name="_a11_2" hidden="1">{"'vert'!$A$1:$T$117"}</definedName>
    <definedName name="_a11_3" localSheetId="5" hidden="1">{"'vert'!$A$1:$T$117"}</definedName>
    <definedName name="_a11_3" localSheetId="6" hidden="1">{"'vert'!$A$1:$T$117"}</definedName>
    <definedName name="_a11_3" hidden="1">{"'vert'!$A$1:$T$117"}</definedName>
    <definedName name="_a110" localSheetId="5" hidden="1">{"'vert'!$A$1:$T$117"}</definedName>
    <definedName name="_a110" localSheetId="6" hidden="1">{"'vert'!$A$1:$T$117"}</definedName>
    <definedName name="_a110" hidden="1">{"'vert'!$A$1:$T$117"}</definedName>
    <definedName name="_a110_1" localSheetId="5" hidden="1">{"'vert'!$A$1:$T$117"}</definedName>
    <definedName name="_a110_1" localSheetId="6" hidden="1">{"'vert'!$A$1:$T$117"}</definedName>
    <definedName name="_a110_1" hidden="1">{"'vert'!$A$1:$T$117"}</definedName>
    <definedName name="_a110_1_1" localSheetId="5" hidden="1">{"'vert'!$A$1:$T$117"}</definedName>
    <definedName name="_a110_1_1" localSheetId="6" hidden="1">{"'vert'!$A$1:$T$117"}</definedName>
    <definedName name="_a110_1_1" hidden="1">{"'vert'!$A$1:$T$117"}</definedName>
    <definedName name="_a110_1_2" localSheetId="5" hidden="1">{"'vert'!$A$1:$T$117"}</definedName>
    <definedName name="_a110_1_2" localSheetId="6" hidden="1">{"'vert'!$A$1:$T$117"}</definedName>
    <definedName name="_a110_1_2" hidden="1">{"'vert'!$A$1:$T$117"}</definedName>
    <definedName name="_a110_2" localSheetId="5" hidden="1">{"'vert'!$A$1:$T$117"}</definedName>
    <definedName name="_a110_2" localSheetId="6" hidden="1">{"'vert'!$A$1:$T$117"}</definedName>
    <definedName name="_a110_2" hidden="1">{"'vert'!$A$1:$T$117"}</definedName>
    <definedName name="_a110_3" localSheetId="5" hidden="1">{"'vert'!$A$1:$T$117"}</definedName>
    <definedName name="_a110_3" localSheetId="6" hidden="1">{"'vert'!$A$1:$T$117"}</definedName>
    <definedName name="_a110_3" hidden="1">{"'vert'!$A$1:$T$117"}</definedName>
    <definedName name="_a111" localSheetId="5" hidden="1">{"'vert'!$A$1:$T$117"}</definedName>
    <definedName name="_a111" localSheetId="6" hidden="1">{"'vert'!$A$1:$T$117"}</definedName>
    <definedName name="_a111" hidden="1">{"'vert'!$A$1:$T$117"}</definedName>
    <definedName name="_a111_1" localSheetId="5" hidden="1">{"'vert'!$A$1:$T$117"}</definedName>
    <definedName name="_a111_1" localSheetId="6" hidden="1">{"'vert'!$A$1:$T$117"}</definedName>
    <definedName name="_a111_1" hidden="1">{"'vert'!$A$1:$T$117"}</definedName>
    <definedName name="_a111_1_1" localSheetId="5" hidden="1">{"'vert'!$A$1:$T$117"}</definedName>
    <definedName name="_a111_1_1" localSheetId="6" hidden="1">{"'vert'!$A$1:$T$117"}</definedName>
    <definedName name="_a111_1_1" hidden="1">{"'vert'!$A$1:$T$117"}</definedName>
    <definedName name="_a111_1_2" localSheetId="5" hidden="1">{"'vert'!$A$1:$T$117"}</definedName>
    <definedName name="_a111_1_2" localSheetId="6" hidden="1">{"'vert'!$A$1:$T$117"}</definedName>
    <definedName name="_a111_1_2" hidden="1">{"'vert'!$A$1:$T$117"}</definedName>
    <definedName name="_a111_2" localSheetId="5" hidden="1">{"'vert'!$A$1:$T$117"}</definedName>
    <definedName name="_a111_2" localSheetId="6" hidden="1">{"'vert'!$A$1:$T$117"}</definedName>
    <definedName name="_a111_2" hidden="1">{"'vert'!$A$1:$T$117"}</definedName>
    <definedName name="_a111_3" localSheetId="5" hidden="1">{"'vert'!$A$1:$T$117"}</definedName>
    <definedName name="_a111_3" localSheetId="6" hidden="1">{"'vert'!$A$1:$T$117"}</definedName>
    <definedName name="_a111_3" hidden="1">{"'vert'!$A$1:$T$117"}</definedName>
    <definedName name="_a112" localSheetId="5" hidden="1">{"'vert'!$A$1:$T$117"}</definedName>
    <definedName name="_a112" localSheetId="6" hidden="1">{"'vert'!$A$1:$T$117"}</definedName>
    <definedName name="_a112" hidden="1">{"'vert'!$A$1:$T$117"}</definedName>
    <definedName name="_a112_1" localSheetId="5" hidden="1">{"'vert'!$A$1:$T$117"}</definedName>
    <definedName name="_a112_1" localSheetId="6" hidden="1">{"'vert'!$A$1:$T$117"}</definedName>
    <definedName name="_a112_1" hidden="1">{"'vert'!$A$1:$T$117"}</definedName>
    <definedName name="_a112_1_1" localSheetId="5" hidden="1">{"'vert'!$A$1:$T$117"}</definedName>
    <definedName name="_a112_1_1" localSheetId="6" hidden="1">{"'vert'!$A$1:$T$117"}</definedName>
    <definedName name="_a112_1_1" hidden="1">{"'vert'!$A$1:$T$117"}</definedName>
    <definedName name="_a112_1_2" localSheetId="5" hidden="1">{"'vert'!$A$1:$T$117"}</definedName>
    <definedName name="_a112_1_2" localSheetId="6" hidden="1">{"'vert'!$A$1:$T$117"}</definedName>
    <definedName name="_a112_1_2" hidden="1">{"'vert'!$A$1:$T$117"}</definedName>
    <definedName name="_a112_2" localSheetId="5" hidden="1">{"'vert'!$A$1:$T$117"}</definedName>
    <definedName name="_a112_2" localSheetId="6" hidden="1">{"'vert'!$A$1:$T$117"}</definedName>
    <definedName name="_a112_2" hidden="1">{"'vert'!$A$1:$T$117"}</definedName>
    <definedName name="_a112_3" localSheetId="5" hidden="1">{"'vert'!$A$1:$T$117"}</definedName>
    <definedName name="_a112_3" localSheetId="6" hidden="1">{"'vert'!$A$1:$T$117"}</definedName>
    <definedName name="_a112_3" hidden="1">{"'vert'!$A$1:$T$117"}</definedName>
    <definedName name="_a113" localSheetId="5" hidden="1">{"'vert'!$A$1:$T$117"}</definedName>
    <definedName name="_a113" localSheetId="6" hidden="1">{"'vert'!$A$1:$T$117"}</definedName>
    <definedName name="_a113" hidden="1">{"'vert'!$A$1:$T$117"}</definedName>
    <definedName name="_a113_1" localSheetId="5" hidden="1">{"'vert'!$A$1:$T$117"}</definedName>
    <definedName name="_a113_1" localSheetId="6" hidden="1">{"'vert'!$A$1:$T$117"}</definedName>
    <definedName name="_a113_1" hidden="1">{"'vert'!$A$1:$T$117"}</definedName>
    <definedName name="_a113_1_1" localSheetId="5" hidden="1">{"'vert'!$A$1:$T$117"}</definedName>
    <definedName name="_a113_1_1" localSheetId="6" hidden="1">{"'vert'!$A$1:$T$117"}</definedName>
    <definedName name="_a113_1_1" hidden="1">{"'vert'!$A$1:$T$117"}</definedName>
    <definedName name="_a113_1_2" localSheetId="5" hidden="1">{"'vert'!$A$1:$T$117"}</definedName>
    <definedName name="_a113_1_2" localSheetId="6" hidden="1">{"'vert'!$A$1:$T$117"}</definedName>
    <definedName name="_a113_1_2" hidden="1">{"'vert'!$A$1:$T$117"}</definedName>
    <definedName name="_a113_2" localSheetId="5" hidden="1">{"'vert'!$A$1:$T$117"}</definedName>
    <definedName name="_a113_2" localSheetId="6" hidden="1">{"'vert'!$A$1:$T$117"}</definedName>
    <definedName name="_a113_2" hidden="1">{"'vert'!$A$1:$T$117"}</definedName>
    <definedName name="_a113_3" localSheetId="5" hidden="1">{"'vert'!$A$1:$T$117"}</definedName>
    <definedName name="_a113_3" localSheetId="6" hidden="1">{"'vert'!$A$1:$T$117"}</definedName>
    <definedName name="_a113_3" hidden="1">{"'vert'!$A$1:$T$117"}</definedName>
    <definedName name="_a114" localSheetId="5" hidden="1">{"'vert'!$A$1:$T$117"}</definedName>
    <definedName name="_a114" localSheetId="6" hidden="1">{"'vert'!$A$1:$T$117"}</definedName>
    <definedName name="_a114" hidden="1">{"'vert'!$A$1:$T$117"}</definedName>
    <definedName name="_a114_1" localSheetId="5" hidden="1">{"'vert'!$A$1:$T$117"}</definedName>
    <definedName name="_a114_1" localSheetId="6" hidden="1">{"'vert'!$A$1:$T$117"}</definedName>
    <definedName name="_a114_1" hidden="1">{"'vert'!$A$1:$T$117"}</definedName>
    <definedName name="_a114_1_1" localSheetId="5" hidden="1">{"'vert'!$A$1:$T$117"}</definedName>
    <definedName name="_a114_1_1" localSheetId="6" hidden="1">{"'vert'!$A$1:$T$117"}</definedName>
    <definedName name="_a114_1_1" hidden="1">{"'vert'!$A$1:$T$117"}</definedName>
    <definedName name="_a114_1_2" localSheetId="5" hidden="1">{"'vert'!$A$1:$T$117"}</definedName>
    <definedName name="_a114_1_2" localSheetId="6" hidden="1">{"'vert'!$A$1:$T$117"}</definedName>
    <definedName name="_a114_1_2" hidden="1">{"'vert'!$A$1:$T$117"}</definedName>
    <definedName name="_a114_2" localSheetId="5" hidden="1">{"'vert'!$A$1:$T$117"}</definedName>
    <definedName name="_a114_2" localSheetId="6" hidden="1">{"'vert'!$A$1:$T$117"}</definedName>
    <definedName name="_a114_2" hidden="1">{"'vert'!$A$1:$T$117"}</definedName>
    <definedName name="_a114_3" localSheetId="5" hidden="1">{"'vert'!$A$1:$T$117"}</definedName>
    <definedName name="_a114_3" localSheetId="6" hidden="1">{"'vert'!$A$1:$T$117"}</definedName>
    <definedName name="_a114_3" hidden="1">{"'vert'!$A$1:$T$117"}</definedName>
    <definedName name="_a115" localSheetId="5" hidden="1">{"'vert'!$A$1:$T$117"}</definedName>
    <definedName name="_a115" localSheetId="6" hidden="1">{"'vert'!$A$1:$T$117"}</definedName>
    <definedName name="_a115" hidden="1">{"'vert'!$A$1:$T$117"}</definedName>
    <definedName name="_a115_1" localSheetId="5" hidden="1">{"'vert'!$A$1:$T$117"}</definedName>
    <definedName name="_a115_1" localSheetId="6" hidden="1">{"'vert'!$A$1:$T$117"}</definedName>
    <definedName name="_a115_1" hidden="1">{"'vert'!$A$1:$T$117"}</definedName>
    <definedName name="_a115_1_1" localSheetId="5" hidden="1">{"'vert'!$A$1:$T$117"}</definedName>
    <definedName name="_a115_1_1" localSheetId="6" hidden="1">{"'vert'!$A$1:$T$117"}</definedName>
    <definedName name="_a115_1_1" hidden="1">{"'vert'!$A$1:$T$117"}</definedName>
    <definedName name="_a115_1_2" localSheetId="5" hidden="1">{"'vert'!$A$1:$T$117"}</definedName>
    <definedName name="_a115_1_2" localSheetId="6" hidden="1">{"'vert'!$A$1:$T$117"}</definedName>
    <definedName name="_a115_1_2" hidden="1">{"'vert'!$A$1:$T$117"}</definedName>
    <definedName name="_a115_2" localSheetId="5" hidden="1">{"'vert'!$A$1:$T$117"}</definedName>
    <definedName name="_a115_2" localSheetId="6" hidden="1">{"'vert'!$A$1:$T$117"}</definedName>
    <definedName name="_a115_2" hidden="1">{"'vert'!$A$1:$T$117"}</definedName>
    <definedName name="_a115_3" localSheetId="5" hidden="1">{"'vert'!$A$1:$T$117"}</definedName>
    <definedName name="_a115_3" localSheetId="6" hidden="1">{"'vert'!$A$1:$T$117"}</definedName>
    <definedName name="_a115_3" hidden="1">{"'vert'!$A$1:$T$117"}</definedName>
    <definedName name="_a116" localSheetId="5" hidden="1">{"'vert'!$A$1:$T$117"}</definedName>
    <definedName name="_a116" localSheetId="6" hidden="1">{"'vert'!$A$1:$T$117"}</definedName>
    <definedName name="_a116" hidden="1">{"'vert'!$A$1:$T$117"}</definedName>
    <definedName name="_a116_1" localSheetId="5" hidden="1">{"'vert'!$A$1:$T$117"}</definedName>
    <definedName name="_a116_1" localSheetId="6" hidden="1">{"'vert'!$A$1:$T$117"}</definedName>
    <definedName name="_a116_1" hidden="1">{"'vert'!$A$1:$T$117"}</definedName>
    <definedName name="_a116_1_1" localSheetId="5" hidden="1">{"'vert'!$A$1:$T$117"}</definedName>
    <definedName name="_a116_1_1" localSheetId="6" hidden="1">{"'vert'!$A$1:$T$117"}</definedName>
    <definedName name="_a116_1_1" hidden="1">{"'vert'!$A$1:$T$117"}</definedName>
    <definedName name="_a116_1_2" localSheetId="5" hidden="1">{"'vert'!$A$1:$T$117"}</definedName>
    <definedName name="_a116_1_2" localSheetId="6" hidden="1">{"'vert'!$A$1:$T$117"}</definedName>
    <definedName name="_a116_1_2" hidden="1">{"'vert'!$A$1:$T$117"}</definedName>
    <definedName name="_a116_2" localSheetId="5" hidden="1">{"'vert'!$A$1:$T$117"}</definedName>
    <definedName name="_a116_2" localSheetId="6" hidden="1">{"'vert'!$A$1:$T$117"}</definedName>
    <definedName name="_a116_2" hidden="1">{"'vert'!$A$1:$T$117"}</definedName>
    <definedName name="_a116_3" localSheetId="5" hidden="1">{"'vert'!$A$1:$T$117"}</definedName>
    <definedName name="_a116_3" localSheetId="6" hidden="1">{"'vert'!$A$1:$T$117"}</definedName>
    <definedName name="_a116_3" hidden="1">{"'vert'!$A$1:$T$117"}</definedName>
    <definedName name="_a117" localSheetId="5" hidden="1">{"'vert'!$A$1:$T$117"}</definedName>
    <definedName name="_a117" localSheetId="6" hidden="1">{"'vert'!$A$1:$T$117"}</definedName>
    <definedName name="_a117" hidden="1">{"'vert'!$A$1:$T$117"}</definedName>
    <definedName name="_a117_1" localSheetId="5" hidden="1">{"'vert'!$A$1:$T$117"}</definedName>
    <definedName name="_a117_1" localSheetId="6" hidden="1">{"'vert'!$A$1:$T$117"}</definedName>
    <definedName name="_a117_1" hidden="1">{"'vert'!$A$1:$T$117"}</definedName>
    <definedName name="_a117_1_1" localSheetId="5" hidden="1">{"'vert'!$A$1:$T$117"}</definedName>
    <definedName name="_a117_1_1" localSheetId="6" hidden="1">{"'vert'!$A$1:$T$117"}</definedName>
    <definedName name="_a117_1_1" hidden="1">{"'vert'!$A$1:$T$117"}</definedName>
    <definedName name="_a117_1_2" localSheetId="5" hidden="1">{"'vert'!$A$1:$T$117"}</definedName>
    <definedName name="_a117_1_2" localSheetId="6" hidden="1">{"'vert'!$A$1:$T$117"}</definedName>
    <definedName name="_a117_1_2" hidden="1">{"'vert'!$A$1:$T$117"}</definedName>
    <definedName name="_a117_2" localSheetId="5" hidden="1">{"'vert'!$A$1:$T$117"}</definedName>
    <definedName name="_a117_2" localSheetId="6" hidden="1">{"'vert'!$A$1:$T$117"}</definedName>
    <definedName name="_a117_2" hidden="1">{"'vert'!$A$1:$T$117"}</definedName>
    <definedName name="_a117_3" localSheetId="5" hidden="1">{"'vert'!$A$1:$T$117"}</definedName>
    <definedName name="_a117_3" localSheetId="6" hidden="1">{"'vert'!$A$1:$T$117"}</definedName>
    <definedName name="_a117_3" hidden="1">{"'vert'!$A$1:$T$117"}</definedName>
    <definedName name="_a118" localSheetId="5" hidden="1">{"'vert'!$A$1:$T$117"}</definedName>
    <definedName name="_a118" localSheetId="6" hidden="1">{"'vert'!$A$1:$T$117"}</definedName>
    <definedName name="_a118" hidden="1">{"'vert'!$A$1:$T$117"}</definedName>
    <definedName name="_a118_1" localSheetId="5" hidden="1">{"'vert'!$A$1:$T$117"}</definedName>
    <definedName name="_a118_1" localSheetId="6" hidden="1">{"'vert'!$A$1:$T$117"}</definedName>
    <definedName name="_a118_1" hidden="1">{"'vert'!$A$1:$T$117"}</definedName>
    <definedName name="_a118_1_1" localSheetId="5" hidden="1">{"'vert'!$A$1:$T$117"}</definedName>
    <definedName name="_a118_1_1" localSheetId="6" hidden="1">{"'vert'!$A$1:$T$117"}</definedName>
    <definedName name="_a118_1_1" hidden="1">{"'vert'!$A$1:$T$117"}</definedName>
    <definedName name="_a118_1_2" localSheetId="5" hidden="1">{"'vert'!$A$1:$T$117"}</definedName>
    <definedName name="_a118_1_2" localSheetId="6" hidden="1">{"'vert'!$A$1:$T$117"}</definedName>
    <definedName name="_a118_1_2" hidden="1">{"'vert'!$A$1:$T$117"}</definedName>
    <definedName name="_a118_2" localSheetId="5" hidden="1">{"'vert'!$A$1:$T$117"}</definedName>
    <definedName name="_a118_2" localSheetId="6" hidden="1">{"'vert'!$A$1:$T$117"}</definedName>
    <definedName name="_a118_2" hidden="1">{"'vert'!$A$1:$T$117"}</definedName>
    <definedName name="_a118_3" localSheetId="5" hidden="1">{"'vert'!$A$1:$T$117"}</definedName>
    <definedName name="_a118_3" localSheetId="6" hidden="1">{"'vert'!$A$1:$T$117"}</definedName>
    <definedName name="_a118_3" hidden="1">{"'vert'!$A$1:$T$117"}</definedName>
    <definedName name="_a119" localSheetId="5" hidden="1">{"'vert'!$A$1:$T$117"}</definedName>
    <definedName name="_a119" localSheetId="6" hidden="1">{"'vert'!$A$1:$T$117"}</definedName>
    <definedName name="_a119" hidden="1">{"'vert'!$A$1:$T$117"}</definedName>
    <definedName name="_a119_1" localSheetId="5" hidden="1">{"'vert'!$A$1:$T$117"}</definedName>
    <definedName name="_a119_1" localSheetId="6" hidden="1">{"'vert'!$A$1:$T$117"}</definedName>
    <definedName name="_a119_1" hidden="1">{"'vert'!$A$1:$T$117"}</definedName>
    <definedName name="_a119_1_1" localSheetId="5" hidden="1">{"'vert'!$A$1:$T$117"}</definedName>
    <definedName name="_a119_1_1" localSheetId="6" hidden="1">{"'vert'!$A$1:$T$117"}</definedName>
    <definedName name="_a119_1_1" hidden="1">{"'vert'!$A$1:$T$117"}</definedName>
    <definedName name="_a119_1_2" localSheetId="5" hidden="1">{"'vert'!$A$1:$T$117"}</definedName>
    <definedName name="_a119_1_2" localSheetId="6" hidden="1">{"'vert'!$A$1:$T$117"}</definedName>
    <definedName name="_a119_1_2" hidden="1">{"'vert'!$A$1:$T$117"}</definedName>
    <definedName name="_a119_2" localSheetId="5" hidden="1">{"'vert'!$A$1:$T$117"}</definedName>
    <definedName name="_a119_2" localSheetId="6" hidden="1">{"'vert'!$A$1:$T$117"}</definedName>
    <definedName name="_a119_2" hidden="1">{"'vert'!$A$1:$T$117"}</definedName>
    <definedName name="_a119_3" localSheetId="5" hidden="1">{"'vert'!$A$1:$T$117"}</definedName>
    <definedName name="_a119_3" localSheetId="6" hidden="1">{"'vert'!$A$1:$T$117"}</definedName>
    <definedName name="_a119_3" hidden="1">{"'vert'!$A$1:$T$117"}</definedName>
    <definedName name="_a120" localSheetId="5" hidden="1">{"'vert'!$A$1:$T$117"}</definedName>
    <definedName name="_a120" localSheetId="6" hidden="1">{"'vert'!$A$1:$T$117"}</definedName>
    <definedName name="_a120" hidden="1">{"'vert'!$A$1:$T$117"}</definedName>
    <definedName name="_a120_1" localSheetId="5" hidden="1">{"'vert'!$A$1:$T$117"}</definedName>
    <definedName name="_a120_1" localSheetId="6" hidden="1">{"'vert'!$A$1:$T$117"}</definedName>
    <definedName name="_a120_1" hidden="1">{"'vert'!$A$1:$T$117"}</definedName>
    <definedName name="_a120_1_1" localSheetId="5" hidden="1">{"'vert'!$A$1:$T$117"}</definedName>
    <definedName name="_a120_1_1" localSheetId="6" hidden="1">{"'vert'!$A$1:$T$117"}</definedName>
    <definedName name="_a120_1_1" hidden="1">{"'vert'!$A$1:$T$117"}</definedName>
    <definedName name="_a120_1_2" localSheetId="5" hidden="1">{"'vert'!$A$1:$T$117"}</definedName>
    <definedName name="_a120_1_2" localSheetId="6" hidden="1">{"'vert'!$A$1:$T$117"}</definedName>
    <definedName name="_a120_1_2" hidden="1">{"'vert'!$A$1:$T$117"}</definedName>
    <definedName name="_a120_2" localSheetId="5" hidden="1">{"'vert'!$A$1:$T$117"}</definedName>
    <definedName name="_a120_2" localSheetId="6" hidden="1">{"'vert'!$A$1:$T$117"}</definedName>
    <definedName name="_a120_2" hidden="1">{"'vert'!$A$1:$T$117"}</definedName>
    <definedName name="_a120_3" localSheetId="5" hidden="1">{"'vert'!$A$1:$T$117"}</definedName>
    <definedName name="_a120_3" localSheetId="6" hidden="1">{"'vert'!$A$1:$T$117"}</definedName>
    <definedName name="_a120_3" hidden="1">{"'vert'!$A$1:$T$117"}</definedName>
    <definedName name="_a121" localSheetId="5" hidden="1">{"'vert'!$A$1:$T$117"}</definedName>
    <definedName name="_a121" localSheetId="6" hidden="1">{"'vert'!$A$1:$T$117"}</definedName>
    <definedName name="_a121" hidden="1">{"'vert'!$A$1:$T$117"}</definedName>
    <definedName name="_a121_1" localSheetId="5" hidden="1">{"'vert'!$A$1:$T$117"}</definedName>
    <definedName name="_a121_1" localSheetId="6" hidden="1">{"'vert'!$A$1:$T$117"}</definedName>
    <definedName name="_a121_1" hidden="1">{"'vert'!$A$1:$T$117"}</definedName>
    <definedName name="_a121_1_1" localSheetId="5" hidden="1">{"'vert'!$A$1:$T$117"}</definedName>
    <definedName name="_a121_1_1" localSheetId="6" hidden="1">{"'vert'!$A$1:$T$117"}</definedName>
    <definedName name="_a121_1_1" hidden="1">{"'vert'!$A$1:$T$117"}</definedName>
    <definedName name="_a121_1_2" localSheetId="5" hidden="1">{"'vert'!$A$1:$T$117"}</definedName>
    <definedName name="_a121_1_2" localSheetId="6" hidden="1">{"'vert'!$A$1:$T$117"}</definedName>
    <definedName name="_a121_1_2" hidden="1">{"'vert'!$A$1:$T$117"}</definedName>
    <definedName name="_a121_2" localSheetId="5" hidden="1">{"'vert'!$A$1:$T$117"}</definedName>
    <definedName name="_a121_2" localSheetId="6" hidden="1">{"'vert'!$A$1:$T$117"}</definedName>
    <definedName name="_a121_2" hidden="1">{"'vert'!$A$1:$T$117"}</definedName>
    <definedName name="_a121_3" localSheetId="5" hidden="1">{"'vert'!$A$1:$T$117"}</definedName>
    <definedName name="_a121_3" localSheetId="6" hidden="1">{"'vert'!$A$1:$T$117"}</definedName>
    <definedName name="_a121_3" hidden="1">{"'vert'!$A$1:$T$117"}</definedName>
    <definedName name="_a122" localSheetId="5" hidden="1">{"'vert'!$A$1:$T$117"}</definedName>
    <definedName name="_a122" localSheetId="6" hidden="1">{"'vert'!$A$1:$T$117"}</definedName>
    <definedName name="_a122" hidden="1">{"'vert'!$A$1:$T$117"}</definedName>
    <definedName name="_a122_1" localSheetId="5" hidden="1">{"'vert'!$A$1:$T$117"}</definedName>
    <definedName name="_a122_1" localSheetId="6" hidden="1">{"'vert'!$A$1:$T$117"}</definedName>
    <definedName name="_a122_1" hidden="1">{"'vert'!$A$1:$T$117"}</definedName>
    <definedName name="_a122_1_1" localSheetId="5" hidden="1">{"'vert'!$A$1:$T$117"}</definedName>
    <definedName name="_a122_1_1" localSheetId="6" hidden="1">{"'vert'!$A$1:$T$117"}</definedName>
    <definedName name="_a122_1_1" hidden="1">{"'vert'!$A$1:$T$117"}</definedName>
    <definedName name="_a122_1_2" localSheetId="5" hidden="1">{"'vert'!$A$1:$T$117"}</definedName>
    <definedName name="_a122_1_2" localSheetId="6" hidden="1">{"'vert'!$A$1:$T$117"}</definedName>
    <definedName name="_a122_1_2" hidden="1">{"'vert'!$A$1:$T$117"}</definedName>
    <definedName name="_a122_2" localSheetId="5" hidden="1">{"'vert'!$A$1:$T$117"}</definedName>
    <definedName name="_a122_2" localSheetId="6" hidden="1">{"'vert'!$A$1:$T$117"}</definedName>
    <definedName name="_a122_2" hidden="1">{"'vert'!$A$1:$T$117"}</definedName>
    <definedName name="_a122_3" localSheetId="5" hidden="1">{"'vert'!$A$1:$T$117"}</definedName>
    <definedName name="_a122_3" localSheetId="6" hidden="1">{"'vert'!$A$1:$T$117"}</definedName>
    <definedName name="_a122_3" hidden="1">{"'vert'!$A$1:$T$117"}</definedName>
    <definedName name="_a123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a123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a12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a123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a123_1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a12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a123_1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a123_1_1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a123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a123_1_2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a123_1_2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a123_1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a123_2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a123_2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a123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a123_3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a123_3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a123_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a22" localSheetId="5" hidden="1">{"'vert'!$A$1:$T$117"}</definedName>
    <definedName name="_a22" localSheetId="6" hidden="1">{"'vert'!$A$1:$T$117"}</definedName>
    <definedName name="_a22" hidden="1">{"'vert'!$A$1:$T$117"}</definedName>
    <definedName name="_a22_1" localSheetId="5" hidden="1">{"'vert'!$A$1:$T$117"}</definedName>
    <definedName name="_a22_1" localSheetId="6" hidden="1">{"'vert'!$A$1:$T$117"}</definedName>
    <definedName name="_a22_1" hidden="1">{"'vert'!$A$1:$T$117"}</definedName>
    <definedName name="_a22_1_1" localSheetId="5" hidden="1">{"'vert'!$A$1:$T$117"}</definedName>
    <definedName name="_a22_1_1" localSheetId="6" hidden="1">{"'vert'!$A$1:$T$117"}</definedName>
    <definedName name="_a22_1_1" hidden="1">{"'vert'!$A$1:$T$117"}</definedName>
    <definedName name="_a22_1_2" localSheetId="5" hidden="1">{"'vert'!$A$1:$T$117"}</definedName>
    <definedName name="_a22_1_2" localSheetId="6" hidden="1">{"'vert'!$A$1:$T$117"}</definedName>
    <definedName name="_a22_1_2" hidden="1">{"'vert'!$A$1:$T$117"}</definedName>
    <definedName name="_a22_2" localSheetId="5" hidden="1">{"'vert'!$A$1:$T$117"}</definedName>
    <definedName name="_a22_2" localSheetId="6" hidden="1">{"'vert'!$A$1:$T$117"}</definedName>
    <definedName name="_a22_2" hidden="1">{"'vert'!$A$1:$T$117"}</definedName>
    <definedName name="_a22_3" localSheetId="5" hidden="1">{"'vert'!$A$1:$T$117"}</definedName>
    <definedName name="_a22_3" localSheetId="6" hidden="1">{"'vert'!$A$1:$T$117"}</definedName>
    <definedName name="_a22_3" hidden="1">{"'vert'!$A$1:$T$117"}</definedName>
    <definedName name="_a33" localSheetId="5" hidden="1">{"'vert'!$A$1:$T$117"}</definedName>
    <definedName name="_a33" localSheetId="6" hidden="1">{"'vert'!$A$1:$T$117"}</definedName>
    <definedName name="_a33" hidden="1">{"'vert'!$A$1:$T$117"}</definedName>
    <definedName name="_a33_1" localSheetId="5" hidden="1">{"'vert'!$A$1:$T$117"}</definedName>
    <definedName name="_a33_1" localSheetId="6" hidden="1">{"'vert'!$A$1:$T$117"}</definedName>
    <definedName name="_a33_1" hidden="1">{"'vert'!$A$1:$T$117"}</definedName>
    <definedName name="_a33_1_1" localSheetId="5" hidden="1">{"'vert'!$A$1:$T$117"}</definedName>
    <definedName name="_a33_1_1" localSheetId="6" hidden="1">{"'vert'!$A$1:$T$117"}</definedName>
    <definedName name="_a33_1_1" hidden="1">{"'vert'!$A$1:$T$117"}</definedName>
    <definedName name="_a33_1_2" localSheetId="5" hidden="1">{"'vert'!$A$1:$T$117"}</definedName>
    <definedName name="_a33_1_2" localSheetId="6" hidden="1">{"'vert'!$A$1:$T$117"}</definedName>
    <definedName name="_a33_1_2" hidden="1">{"'vert'!$A$1:$T$117"}</definedName>
    <definedName name="_a33_2" localSheetId="5" hidden="1">{"'vert'!$A$1:$T$117"}</definedName>
    <definedName name="_a33_2" localSheetId="6" hidden="1">{"'vert'!$A$1:$T$117"}</definedName>
    <definedName name="_a33_2" hidden="1">{"'vert'!$A$1:$T$117"}</definedName>
    <definedName name="_a33_3" localSheetId="5" hidden="1">{"'vert'!$A$1:$T$117"}</definedName>
    <definedName name="_a33_3" localSheetId="6" hidden="1">{"'vert'!$A$1:$T$117"}</definedName>
    <definedName name="_a33_3" hidden="1">{"'vert'!$A$1:$T$117"}</definedName>
    <definedName name="_a44" localSheetId="5" hidden="1">{"'vert'!$A$1:$T$117"}</definedName>
    <definedName name="_a44" localSheetId="6" hidden="1">{"'vert'!$A$1:$T$117"}</definedName>
    <definedName name="_a44" hidden="1">{"'vert'!$A$1:$T$117"}</definedName>
    <definedName name="_a44_1" localSheetId="5" hidden="1">{"'vert'!$A$1:$T$117"}</definedName>
    <definedName name="_a44_1" localSheetId="6" hidden="1">{"'vert'!$A$1:$T$117"}</definedName>
    <definedName name="_a44_1" hidden="1">{"'vert'!$A$1:$T$117"}</definedName>
    <definedName name="_a44_1_1" localSheetId="5" hidden="1">{"'vert'!$A$1:$T$117"}</definedName>
    <definedName name="_a44_1_1" localSheetId="6" hidden="1">{"'vert'!$A$1:$T$117"}</definedName>
    <definedName name="_a44_1_1" hidden="1">{"'vert'!$A$1:$T$117"}</definedName>
    <definedName name="_a44_1_2" localSheetId="5" hidden="1">{"'vert'!$A$1:$T$117"}</definedName>
    <definedName name="_a44_1_2" localSheetId="6" hidden="1">{"'vert'!$A$1:$T$117"}</definedName>
    <definedName name="_a44_1_2" hidden="1">{"'vert'!$A$1:$T$117"}</definedName>
    <definedName name="_a44_2" localSheetId="5" hidden="1">{"'vert'!$A$1:$T$117"}</definedName>
    <definedName name="_a44_2" localSheetId="6" hidden="1">{"'vert'!$A$1:$T$117"}</definedName>
    <definedName name="_a44_2" hidden="1">{"'vert'!$A$1:$T$117"}</definedName>
    <definedName name="_a44_3" localSheetId="5" hidden="1">{"'vert'!$A$1:$T$117"}</definedName>
    <definedName name="_a44_3" localSheetId="6" hidden="1">{"'vert'!$A$1:$T$117"}</definedName>
    <definedName name="_a44_3" hidden="1">{"'vert'!$A$1:$T$117"}</definedName>
    <definedName name="_a55" localSheetId="5" hidden="1">{"'vert'!$A$1:$T$117"}</definedName>
    <definedName name="_a55" localSheetId="6" hidden="1">{"'vert'!$A$1:$T$117"}</definedName>
    <definedName name="_a55" hidden="1">{"'vert'!$A$1:$T$117"}</definedName>
    <definedName name="_a55_1" localSheetId="5" hidden="1">{"'vert'!$A$1:$T$117"}</definedName>
    <definedName name="_a55_1" localSheetId="6" hidden="1">{"'vert'!$A$1:$T$117"}</definedName>
    <definedName name="_a55_1" hidden="1">{"'vert'!$A$1:$T$117"}</definedName>
    <definedName name="_a55_1_1" localSheetId="5" hidden="1">{"'vert'!$A$1:$T$117"}</definedName>
    <definedName name="_a55_1_1" localSheetId="6" hidden="1">{"'vert'!$A$1:$T$117"}</definedName>
    <definedName name="_a55_1_1" hidden="1">{"'vert'!$A$1:$T$117"}</definedName>
    <definedName name="_a55_1_2" localSheetId="5" hidden="1">{"'vert'!$A$1:$T$117"}</definedName>
    <definedName name="_a55_1_2" localSheetId="6" hidden="1">{"'vert'!$A$1:$T$117"}</definedName>
    <definedName name="_a55_1_2" hidden="1">{"'vert'!$A$1:$T$117"}</definedName>
    <definedName name="_a55_2" localSheetId="5" hidden="1">{"'vert'!$A$1:$T$117"}</definedName>
    <definedName name="_a55_2" localSheetId="6" hidden="1">{"'vert'!$A$1:$T$117"}</definedName>
    <definedName name="_a55_2" hidden="1">{"'vert'!$A$1:$T$117"}</definedName>
    <definedName name="_a55_3" localSheetId="5" hidden="1">{"'vert'!$A$1:$T$117"}</definedName>
    <definedName name="_a55_3" localSheetId="6" hidden="1">{"'vert'!$A$1:$T$117"}</definedName>
    <definedName name="_a55_3" hidden="1">{"'vert'!$A$1:$T$117"}</definedName>
    <definedName name="_a66" localSheetId="5" hidden="1">{"'vert'!$A$1:$T$117"}</definedName>
    <definedName name="_a66" localSheetId="6" hidden="1">{"'vert'!$A$1:$T$117"}</definedName>
    <definedName name="_a66" hidden="1">{"'vert'!$A$1:$T$117"}</definedName>
    <definedName name="_a66_1" localSheetId="5" hidden="1">{"'vert'!$A$1:$T$117"}</definedName>
    <definedName name="_a66_1" localSheetId="6" hidden="1">{"'vert'!$A$1:$T$117"}</definedName>
    <definedName name="_a66_1" hidden="1">{"'vert'!$A$1:$T$117"}</definedName>
    <definedName name="_a66_1_1" localSheetId="5" hidden="1">{"'vert'!$A$1:$T$117"}</definedName>
    <definedName name="_a66_1_1" localSheetId="6" hidden="1">{"'vert'!$A$1:$T$117"}</definedName>
    <definedName name="_a66_1_1" hidden="1">{"'vert'!$A$1:$T$117"}</definedName>
    <definedName name="_a66_1_2" localSheetId="5" hidden="1">{"'vert'!$A$1:$T$117"}</definedName>
    <definedName name="_a66_1_2" localSheetId="6" hidden="1">{"'vert'!$A$1:$T$117"}</definedName>
    <definedName name="_a66_1_2" hidden="1">{"'vert'!$A$1:$T$117"}</definedName>
    <definedName name="_a66_2" localSheetId="5" hidden="1">{"'vert'!$A$1:$T$117"}</definedName>
    <definedName name="_a66_2" localSheetId="6" hidden="1">{"'vert'!$A$1:$T$117"}</definedName>
    <definedName name="_a66_2" hidden="1">{"'vert'!$A$1:$T$117"}</definedName>
    <definedName name="_a66_3" localSheetId="5" hidden="1">{"'vert'!$A$1:$T$117"}</definedName>
    <definedName name="_a66_3" localSheetId="6" hidden="1">{"'vert'!$A$1:$T$117"}</definedName>
    <definedName name="_a66_3" hidden="1">{"'vert'!$A$1:$T$117"}</definedName>
    <definedName name="_a77" localSheetId="5" hidden="1">{"'vert'!$A$1:$T$117"}</definedName>
    <definedName name="_a77" localSheetId="6" hidden="1">{"'vert'!$A$1:$T$117"}</definedName>
    <definedName name="_a77" hidden="1">{"'vert'!$A$1:$T$117"}</definedName>
    <definedName name="_a77_1" localSheetId="5" hidden="1">{"'vert'!$A$1:$T$117"}</definedName>
    <definedName name="_a77_1" localSheetId="6" hidden="1">{"'vert'!$A$1:$T$117"}</definedName>
    <definedName name="_a77_1" hidden="1">{"'vert'!$A$1:$T$117"}</definedName>
    <definedName name="_a77_1_1" localSheetId="5" hidden="1">{"'vert'!$A$1:$T$117"}</definedName>
    <definedName name="_a77_1_1" localSheetId="6" hidden="1">{"'vert'!$A$1:$T$117"}</definedName>
    <definedName name="_a77_1_1" hidden="1">{"'vert'!$A$1:$T$117"}</definedName>
    <definedName name="_a77_1_2" localSheetId="5" hidden="1">{"'vert'!$A$1:$T$117"}</definedName>
    <definedName name="_a77_1_2" localSheetId="6" hidden="1">{"'vert'!$A$1:$T$117"}</definedName>
    <definedName name="_a77_1_2" hidden="1">{"'vert'!$A$1:$T$117"}</definedName>
    <definedName name="_a77_2" localSheetId="5" hidden="1">{"'vert'!$A$1:$T$117"}</definedName>
    <definedName name="_a77_2" localSheetId="6" hidden="1">{"'vert'!$A$1:$T$117"}</definedName>
    <definedName name="_a77_2" hidden="1">{"'vert'!$A$1:$T$117"}</definedName>
    <definedName name="_a77_3" localSheetId="5" hidden="1">{"'vert'!$A$1:$T$117"}</definedName>
    <definedName name="_a77_3" localSheetId="6" hidden="1">{"'vert'!$A$1:$T$117"}</definedName>
    <definedName name="_a77_3" hidden="1">{"'vert'!$A$1:$T$117"}</definedName>
    <definedName name="_a88" localSheetId="5" hidden="1">{"'vert'!$A$1:$T$117"}</definedName>
    <definedName name="_a88" localSheetId="6" hidden="1">{"'vert'!$A$1:$T$117"}</definedName>
    <definedName name="_a88" hidden="1">{"'vert'!$A$1:$T$117"}</definedName>
    <definedName name="_a88_1" localSheetId="5" hidden="1">{"'vert'!$A$1:$T$117"}</definedName>
    <definedName name="_a88_1" localSheetId="6" hidden="1">{"'vert'!$A$1:$T$117"}</definedName>
    <definedName name="_a88_1" hidden="1">{"'vert'!$A$1:$T$117"}</definedName>
    <definedName name="_a88_1_1" localSheetId="5" hidden="1">{"'vert'!$A$1:$T$117"}</definedName>
    <definedName name="_a88_1_1" localSheetId="6" hidden="1">{"'vert'!$A$1:$T$117"}</definedName>
    <definedName name="_a88_1_1" hidden="1">{"'vert'!$A$1:$T$117"}</definedName>
    <definedName name="_a88_1_2" localSheetId="5" hidden="1">{"'vert'!$A$1:$T$117"}</definedName>
    <definedName name="_a88_1_2" localSheetId="6" hidden="1">{"'vert'!$A$1:$T$117"}</definedName>
    <definedName name="_a88_1_2" hidden="1">{"'vert'!$A$1:$T$117"}</definedName>
    <definedName name="_a88_2" localSheetId="5" hidden="1">{"'vert'!$A$1:$T$117"}</definedName>
    <definedName name="_a88_2" localSheetId="6" hidden="1">{"'vert'!$A$1:$T$117"}</definedName>
    <definedName name="_a88_2" hidden="1">{"'vert'!$A$1:$T$117"}</definedName>
    <definedName name="_a88_3" localSheetId="5" hidden="1">{"'vert'!$A$1:$T$117"}</definedName>
    <definedName name="_a88_3" localSheetId="6" hidden="1">{"'vert'!$A$1:$T$117"}</definedName>
    <definedName name="_a88_3" hidden="1">{"'vert'!$A$1:$T$117"}</definedName>
    <definedName name="_a99" localSheetId="5" hidden="1">{"'vert'!$A$1:$T$117"}</definedName>
    <definedName name="_a99" localSheetId="6" hidden="1">{"'vert'!$A$1:$T$117"}</definedName>
    <definedName name="_a99" hidden="1">{"'vert'!$A$1:$T$117"}</definedName>
    <definedName name="_a99_1" localSheetId="5" hidden="1">{"'vert'!$A$1:$T$117"}</definedName>
    <definedName name="_a99_1" localSheetId="6" hidden="1">{"'vert'!$A$1:$T$117"}</definedName>
    <definedName name="_a99_1" hidden="1">{"'vert'!$A$1:$T$117"}</definedName>
    <definedName name="_a99_1_1" localSheetId="5" hidden="1">{"'vert'!$A$1:$T$117"}</definedName>
    <definedName name="_a99_1_1" localSheetId="6" hidden="1">{"'vert'!$A$1:$T$117"}</definedName>
    <definedName name="_a99_1_1" hidden="1">{"'vert'!$A$1:$T$117"}</definedName>
    <definedName name="_a99_1_2" localSheetId="5" hidden="1">{"'vert'!$A$1:$T$117"}</definedName>
    <definedName name="_a99_1_2" localSheetId="6" hidden="1">{"'vert'!$A$1:$T$117"}</definedName>
    <definedName name="_a99_1_2" hidden="1">{"'vert'!$A$1:$T$117"}</definedName>
    <definedName name="_a99_2" localSheetId="5" hidden="1">{"'vert'!$A$1:$T$117"}</definedName>
    <definedName name="_a99_2" localSheetId="6" hidden="1">{"'vert'!$A$1:$T$117"}</definedName>
    <definedName name="_a99_2" hidden="1">{"'vert'!$A$1:$T$117"}</definedName>
    <definedName name="_a99_3" localSheetId="5" hidden="1">{"'vert'!$A$1:$T$117"}</definedName>
    <definedName name="_a99_3" localSheetId="6" hidden="1">{"'vert'!$A$1:$T$117"}</definedName>
    <definedName name="_a99_3" hidden="1">{"'vert'!$A$1:$T$117"}</definedName>
    <definedName name="_angela" hidden="1">#REF!</definedName>
    <definedName name="_bdm.007BA86F79DF46BC8F0440C4C0948146.edm" hidden="1">[18]WC!$A:$IV</definedName>
    <definedName name="_bdm.0346C894FA314B85B1931CFE48820C8B.edm" hidden="1">'[18]MP Graphs'!$A:$IV</definedName>
    <definedName name="_bdm.06B8576461724687B15495CCF2DD06E0.edm" hidden="1">'[18]MP Graphs'!$A:$IV</definedName>
    <definedName name="_bdm.06CC246E7DBC44F3891086B0B75ECF39.edm" hidden="1">[18]WC!$A:$IV</definedName>
    <definedName name="_bdm.085CB1B4AFBC42FDB42A5D410DA22E65.edm" hidden="1">'[18]MP Graphs'!$A:$IV</definedName>
    <definedName name="_bdm.0AA3D3092EDA456BB97F68C1B69FBC0E.edm" hidden="1">'[18]MP Graphs'!$A:$IV</definedName>
    <definedName name="_bdm.0D137C94AC1C4DB4AEA072BD9676C77E.edm" hidden="1">'[18]MP Graphs'!$A:$IV</definedName>
    <definedName name="_bdm.0F23163E1CA64A2FBCBA9851AE098750.edm" hidden="1">'[19]Graph by Product Type'!$A:$IV</definedName>
    <definedName name="_bdm.18D0F9FB523E4927A980C655ECF3F2B1.edm" hidden="1">'[18]MP Graphs'!$A:$IV</definedName>
    <definedName name="_bdm.1F8BDD7AC78B4114B81FEF6970DA0ED6.edm" hidden="1">'[18]MP Graphs'!$A:$IV</definedName>
    <definedName name="_bdm.26049B46ED9A4A328BE14263914D3C5A.edm" hidden="1">'[18]MP Graphs'!$A:$IV</definedName>
    <definedName name="_bdm.2A503CEAE4CE48ACB7D5A43D2AD392FD.edm" hidden="1">'[18]MP Graphs'!$A:$IV</definedName>
    <definedName name="_bdm.2E540CED84464485B2A6ED57DA28374B.edm" hidden="1">'[18]MP Graphs'!$A:$IV</definedName>
    <definedName name="_bdm.2E93E12EA5C047BC9FAD15B9E28B275A.edm" hidden="1">'[18]MP Graphs'!$A:$IV</definedName>
    <definedName name="_bdm.330F5F2A9C27481F946217E4119BE76C.edm" hidden="1">'[20]Retail-Whole'!$A:$IV</definedName>
    <definedName name="_bdm.387EBA828FBB4D38BB1A586CD0AFF465.edm" hidden="1">'[18]MP Graphs'!$A:$IV</definedName>
    <definedName name="_bdm.3EA02F8F86504F409582E998C5158FB7.edm" hidden="1">'[18]MP Graphs'!$A:$IV</definedName>
    <definedName name="_bdm.41DE43AE4D1241AEB1CDB2DC94A69957.edm" hidden="1">'[18]MP Graphs'!$A:$IV</definedName>
    <definedName name="_bdm.45C3047DA2C641DC8FA84094CFDE6B34.edm" hidden="1">'[18]MP Graphs'!$A:$IV</definedName>
    <definedName name="_bdm.46C2D004A268465D9DD726589B46A0E2.edm" hidden="1">'[19]SGA Graph'!$A:$IV</definedName>
    <definedName name="_bdm.47750F1F5CA041F3BE39C3C1C7B4852D.edm" hidden="1">'[18]MP Graphs'!$A:$IV</definedName>
    <definedName name="_bdm.4DE98D6094BE4903AA4834D7DBE2FA22.edm" hidden="1">'[19]Income Summary'!$A:$IV</definedName>
    <definedName name="_bdm.54FADB277CB54BC083ABB633900B7C21.edm" hidden="1">'[19]SGA Graph'!$A:$IV</definedName>
    <definedName name="_bdm.5A9D63B10A8648A7BDBACBEA2C30EB26.edm" hidden="1">'[18]MP Graphs'!$A:$IV</definedName>
    <definedName name="_bdm.61A216573DF1472E9CC16E67C92D3D7D.edm" hidden="1">'[18]MP Graphs'!$A:$IV</definedName>
    <definedName name="_bdm.63ACC210A4464B3EAD62ABC87FBB0CDC.edm" hidden="1">[18]WC!$A:$IV</definedName>
    <definedName name="_bdm.6737861878384BF8B58BE3ED25BCC982.edm" hidden="1">'[18]MP Graphs'!$A:$IV</definedName>
    <definedName name="_bdm.6C79FD22714D481E944DE75DC7E47B8C.edm" hidden="1">'[19]Balance Summary'!$A:$IV</definedName>
    <definedName name="_bdm.75736F23CA7143A78F9F1605BAF107B0.edm" hidden="1">'[19]Graph by Product Type'!$A:$IV</definedName>
    <definedName name="_bdm.7B3D2AFA0546488B946CA5BA06E27DF6.edm" hidden="1">'[19]SGA Graph'!$A:$IV</definedName>
    <definedName name="_bdm.7EA605D2CED04F7F9D252C57B15F04A2.edm" hidden="1">[19]SGA!$A:$IV</definedName>
    <definedName name="_bdm.865BF0CA327A483B85FE91618D38C2B6.edm" hidden="1">'[19]SGA Graph'!$A:$IV</definedName>
    <definedName name="_bdm.94951F903F7644F8B672C407423F45C3.edm" hidden="1">'[20]Retail-Whole'!$A:$IV</definedName>
    <definedName name="_bdm.9D8E3E48361640E89639F1713A7F722C.edm" hidden="1">'[18]MP Graphs'!$A:$IV</definedName>
    <definedName name="_bdm.A2B32CFB82054C34A56DB54988F166AC.edm" hidden="1">'[23]Performance Graphs'!$A:$IV</definedName>
    <definedName name="_bdm.A37BDD0F47BD4109A13217F5C2BC564F.edm" hidden="1">'[18]MP Graphs'!$A:$IV</definedName>
    <definedName name="_bdm.A3928C962390431AB36F75CC8C04FC3B.edm" hidden="1">'[18]MP Graphs'!$A:$IV</definedName>
    <definedName name="_bdm.A85C7BC7858C4873A3FA45B76AECE04D.edm" hidden="1">'[18]MP Graphs'!$A:$IV</definedName>
    <definedName name="_bdm.B4711CCC965545FE8E853A03BCCE12F4.edm" hidden="1">'[19]Graph by Product Type'!$A:$IV</definedName>
    <definedName name="_bdm.B6F5284BC6884497B4BE22FB3D0A075E.edm" hidden="1">'[18]MP Graphs'!$A:$IV</definedName>
    <definedName name="_bdm.BC35C1D18FF2461ABD34F16AA1679800.edm" hidden="1">'[18]MP Graphs'!$A:$IV</definedName>
    <definedName name="_bdm.C26CE3BA777F4407AE945C56485D6E48.edm" hidden="1">'[18]MP Graphs'!$A:$IV</definedName>
    <definedName name="_bdm.CC82658C07CC4AA88D24859820F58230.edm" hidden="1">'[18]MP Graphs'!$A:$IV</definedName>
    <definedName name="_bdm.D61AC468F0FD4E469F534F2C627C20C9.edm" hidden="1">'[18]MP Graphs'!$A:$IV</definedName>
    <definedName name="_bdm.DA8A8DEBF36349C69E8EB7A19825156F.edm" hidden="1">'[20]Retail-Whole'!$A:$IV</definedName>
    <definedName name="_bdm.E81453F6097244548DE50DFD618D8C72.edm" hidden="1">'[18]MP Graphs'!$A:$IV</definedName>
    <definedName name="_bdm.EEE0DBFA263D466BA9069ECF938C1E63.edm" hidden="1">[18]WC!$A:$IV</definedName>
    <definedName name="_bdm.F1339A5660594FA5B585AC6FFA8FE31B.edm" hidden="1">'[18]MP Graphs'!$A:$IV</definedName>
    <definedName name="_bdm.F5478B115F07489DB7F8DC2054CA9CA3.edm" hidden="1">'[18]MP Graphs'!$A:$IV</definedName>
    <definedName name="_bla2" localSheetId="5" hidden="1">{"'vert'!$A$1:$T$117"}</definedName>
    <definedName name="_bla2" localSheetId="6" hidden="1">{"'vert'!$A$1:$T$117"}</definedName>
    <definedName name="_bla2" hidden="1">{"'vert'!$A$1:$T$117"}</definedName>
    <definedName name="_bla2_1" localSheetId="5" hidden="1">{"'vert'!$A$1:$T$117"}</definedName>
    <definedName name="_bla2_1" localSheetId="6" hidden="1">{"'vert'!$A$1:$T$117"}</definedName>
    <definedName name="_bla2_1" hidden="1">{"'vert'!$A$1:$T$117"}</definedName>
    <definedName name="_bla2_1_1" localSheetId="5" hidden="1">{"'vert'!$A$1:$T$117"}</definedName>
    <definedName name="_bla2_1_1" localSheetId="6" hidden="1">{"'vert'!$A$1:$T$117"}</definedName>
    <definedName name="_bla2_1_1" hidden="1">{"'vert'!$A$1:$T$117"}</definedName>
    <definedName name="_bla2_1_1_1" localSheetId="5" hidden="1">{"'vert'!$A$1:$T$117"}</definedName>
    <definedName name="_bla2_1_1_1" localSheetId="6" hidden="1">{"'vert'!$A$1:$T$117"}</definedName>
    <definedName name="_bla2_1_1_1" hidden="1">{"'vert'!$A$1:$T$117"}</definedName>
    <definedName name="_bla2_1_2" localSheetId="5" hidden="1">{"'vert'!$A$1:$T$117"}</definedName>
    <definedName name="_bla2_1_2" localSheetId="6" hidden="1">{"'vert'!$A$1:$T$117"}</definedName>
    <definedName name="_bla2_1_2" hidden="1">{"'vert'!$A$1:$T$117"}</definedName>
    <definedName name="_bla2_2" localSheetId="5" hidden="1">{"'vert'!$A$1:$T$117"}</definedName>
    <definedName name="_bla2_2" localSheetId="6" hidden="1">{"'vert'!$A$1:$T$117"}</definedName>
    <definedName name="_bla2_2" hidden="1">{"'vert'!$A$1:$T$117"}</definedName>
    <definedName name="_bla2_2_1" localSheetId="5" hidden="1">{"'vert'!$A$1:$T$117"}</definedName>
    <definedName name="_bla2_2_1" localSheetId="6" hidden="1">{"'vert'!$A$1:$T$117"}</definedName>
    <definedName name="_bla2_2_1" hidden="1">{"'vert'!$A$1:$T$117"}</definedName>
    <definedName name="_bla2_2_1_1" localSheetId="5" hidden="1">{"'vert'!$A$1:$T$117"}</definedName>
    <definedName name="_bla2_2_1_1" localSheetId="6" hidden="1">{"'vert'!$A$1:$T$117"}</definedName>
    <definedName name="_bla2_2_1_1" hidden="1">{"'vert'!$A$1:$T$117"}</definedName>
    <definedName name="_bla2_2_2" localSheetId="5" hidden="1">{"'vert'!$A$1:$T$117"}</definedName>
    <definedName name="_bla2_2_2" localSheetId="6" hidden="1">{"'vert'!$A$1:$T$117"}</definedName>
    <definedName name="_bla2_2_2" hidden="1">{"'vert'!$A$1:$T$117"}</definedName>
    <definedName name="_bla2_3" localSheetId="5" hidden="1">{"'vert'!$A$1:$T$117"}</definedName>
    <definedName name="_bla2_3" localSheetId="6" hidden="1">{"'vert'!$A$1:$T$117"}</definedName>
    <definedName name="_bla2_3" hidden="1">{"'vert'!$A$1:$T$117"}</definedName>
    <definedName name="_bla2_3_1" localSheetId="5" hidden="1">{"'vert'!$A$1:$T$117"}</definedName>
    <definedName name="_bla2_3_1" localSheetId="6" hidden="1">{"'vert'!$A$1:$T$117"}</definedName>
    <definedName name="_bla2_3_1" hidden="1">{"'vert'!$A$1:$T$117"}</definedName>
    <definedName name="_bla2_4" localSheetId="5" hidden="1">{"'vert'!$A$1:$T$117"}</definedName>
    <definedName name="_bla2_4" localSheetId="6" hidden="1">{"'vert'!$A$1:$T$117"}</definedName>
    <definedName name="_bla2_4" hidden="1">{"'vert'!$A$1:$T$117"}</definedName>
    <definedName name="_bla3" localSheetId="5" hidden="1">{"'vert'!$A$1:$T$117"}</definedName>
    <definedName name="_bla3" localSheetId="6" hidden="1">{"'vert'!$A$1:$T$117"}</definedName>
    <definedName name="_bla3" hidden="1">{"'vert'!$A$1:$T$117"}</definedName>
    <definedName name="_bla3_1" localSheetId="5" hidden="1">{"'vert'!$A$1:$T$117"}</definedName>
    <definedName name="_bla3_1" localSheetId="6" hidden="1">{"'vert'!$A$1:$T$117"}</definedName>
    <definedName name="_bla3_1" hidden="1">{"'vert'!$A$1:$T$117"}</definedName>
    <definedName name="_bla3_1_1" localSheetId="5" hidden="1">{"'vert'!$A$1:$T$117"}</definedName>
    <definedName name="_bla3_1_1" localSheetId="6" hidden="1">{"'vert'!$A$1:$T$117"}</definedName>
    <definedName name="_bla3_1_1" hidden="1">{"'vert'!$A$1:$T$117"}</definedName>
    <definedName name="_bla3_1_1_1" localSheetId="5" hidden="1">{"'vert'!$A$1:$T$117"}</definedName>
    <definedName name="_bla3_1_1_1" localSheetId="6" hidden="1">{"'vert'!$A$1:$T$117"}</definedName>
    <definedName name="_bla3_1_1_1" hidden="1">{"'vert'!$A$1:$T$117"}</definedName>
    <definedName name="_bla3_1_2" localSheetId="5" hidden="1">{"'vert'!$A$1:$T$117"}</definedName>
    <definedName name="_bla3_1_2" localSheetId="6" hidden="1">{"'vert'!$A$1:$T$117"}</definedName>
    <definedName name="_bla3_1_2" hidden="1">{"'vert'!$A$1:$T$117"}</definedName>
    <definedName name="_bla3_2" localSheetId="5" hidden="1">{"'vert'!$A$1:$T$117"}</definedName>
    <definedName name="_bla3_2" localSheetId="6" hidden="1">{"'vert'!$A$1:$T$117"}</definedName>
    <definedName name="_bla3_2" hidden="1">{"'vert'!$A$1:$T$117"}</definedName>
    <definedName name="_bla3_2_1" localSheetId="5" hidden="1">{"'vert'!$A$1:$T$117"}</definedName>
    <definedName name="_bla3_2_1" localSheetId="6" hidden="1">{"'vert'!$A$1:$T$117"}</definedName>
    <definedName name="_bla3_2_1" hidden="1">{"'vert'!$A$1:$T$117"}</definedName>
    <definedName name="_bla3_2_1_1" localSheetId="5" hidden="1">{"'vert'!$A$1:$T$117"}</definedName>
    <definedName name="_bla3_2_1_1" localSheetId="6" hidden="1">{"'vert'!$A$1:$T$117"}</definedName>
    <definedName name="_bla3_2_1_1" hidden="1">{"'vert'!$A$1:$T$117"}</definedName>
    <definedName name="_bla3_2_2" localSheetId="5" hidden="1">{"'vert'!$A$1:$T$117"}</definedName>
    <definedName name="_bla3_2_2" localSheetId="6" hidden="1">{"'vert'!$A$1:$T$117"}</definedName>
    <definedName name="_bla3_2_2" hidden="1">{"'vert'!$A$1:$T$117"}</definedName>
    <definedName name="_bla3_3" localSheetId="5" hidden="1">{"'vert'!$A$1:$T$117"}</definedName>
    <definedName name="_bla3_3" localSheetId="6" hidden="1">{"'vert'!$A$1:$T$117"}</definedName>
    <definedName name="_bla3_3" hidden="1">{"'vert'!$A$1:$T$117"}</definedName>
    <definedName name="_bla3_3_1" localSheetId="5" hidden="1">{"'vert'!$A$1:$T$117"}</definedName>
    <definedName name="_bla3_3_1" localSheetId="6" hidden="1">{"'vert'!$A$1:$T$117"}</definedName>
    <definedName name="_bla3_3_1" hidden="1">{"'vert'!$A$1:$T$117"}</definedName>
    <definedName name="_bla3_4" localSheetId="5" hidden="1">{"'vert'!$A$1:$T$117"}</definedName>
    <definedName name="_bla3_4" localSheetId="6" hidden="1">{"'vert'!$A$1:$T$117"}</definedName>
    <definedName name="_bla3_4" hidden="1">{"'vert'!$A$1:$T$117"}</definedName>
    <definedName name="_dd2" localSheetId="5" hidden="1">{"'vert'!$A$1:$T$117"}</definedName>
    <definedName name="_dd2" localSheetId="6" hidden="1">{"'vert'!$A$1:$T$117"}</definedName>
    <definedName name="_dd2" hidden="1">{"'vert'!$A$1:$T$117"}</definedName>
    <definedName name="_dd2_1" localSheetId="5" hidden="1">{"'vert'!$A$1:$T$117"}</definedName>
    <definedName name="_dd2_1" localSheetId="6" hidden="1">{"'vert'!$A$1:$T$117"}</definedName>
    <definedName name="_dd2_1" hidden="1">{"'vert'!$A$1:$T$117"}</definedName>
    <definedName name="_dd2_1_1" localSheetId="5" hidden="1">{"'vert'!$A$1:$T$117"}</definedName>
    <definedName name="_dd2_1_1" localSheetId="6" hidden="1">{"'vert'!$A$1:$T$117"}</definedName>
    <definedName name="_dd2_1_1" hidden="1">{"'vert'!$A$1:$T$117"}</definedName>
    <definedName name="_dd2_1_2" localSheetId="5" hidden="1">{"'vert'!$A$1:$T$117"}</definedName>
    <definedName name="_dd2_1_2" localSheetId="6" hidden="1">{"'vert'!$A$1:$T$117"}</definedName>
    <definedName name="_dd2_1_2" hidden="1">{"'vert'!$A$1:$T$117"}</definedName>
    <definedName name="_dd2_2" localSheetId="5" hidden="1">{"'vert'!$A$1:$T$117"}</definedName>
    <definedName name="_dd2_2" localSheetId="6" hidden="1">{"'vert'!$A$1:$T$117"}</definedName>
    <definedName name="_dd2_2" hidden="1">{"'vert'!$A$1:$T$117"}</definedName>
    <definedName name="_dd2_3" localSheetId="5" hidden="1">{"'vert'!$A$1:$T$117"}</definedName>
    <definedName name="_dd2_3" localSheetId="6" hidden="1">{"'vert'!$A$1:$T$117"}</definedName>
    <definedName name="_dd2_3" hidden="1">{"'vert'!$A$1:$T$117"}</definedName>
    <definedName name="_DE2" localSheetId="5" hidden="1">{"'vert'!$A$1:$T$117"}</definedName>
    <definedName name="_DE2" localSheetId="6" hidden="1">{"'vert'!$A$1:$T$117"}</definedName>
    <definedName name="_DE2" hidden="1">{"'vert'!$A$1:$T$117"}</definedName>
    <definedName name="_DE2_1" localSheetId="5" hidden="1">{"'vert'!$A$1:$T$117"}</definedName>
    <definedName name="_DE2_1" localSheetId="6" hidden="1">{"'vert'!$A$1:$T$117"}</definedName>
    <definedName name="_DE2_1" hidden="1">{"'vert'!$A$1:$T$117"}</definedName>
    <definedName name="_DE2_1_1" localSheetId="5" hidden="1">{"'vert'!$A$1:$T$117"}</definedName>
    <definedName name="_DE2_1_1" localSheetId="6" hidden="1">{"'vert'!$A$1:$T$117"}</definedName>
    <definedName name="_DE2_1_1" hidden="1">{"'vert'!$A$1:$T$117"}</definedName>
    <definedName name="_DE2_1_1_1" localSheetId="5" hidden="1">{"'vert'!$A$1:$T$117"}</definedName>
    <definedName name="_DE2_1_1_1" localSheetId="6" hidden="1">{"'vert'!$A$1:$T$117"}</definedName>
    <definedName name="_DE2_1_1_1" hidden="1">{"'vert'!$A$1:$T$117"}</definedName>
    <definedName name="_DE2_1_2" localSheetId="5" hidden="1">{"'vert'!$A$1:$T$117"}</definedName>
    <definedName name="_DE2_1_2" localSheetId="6" hidden="1">{"'vert'!$A$1:$T$117"}</definedName>
    <definedName name="_DE2_1_2" hidden="1">{"'vert'!$A$1:$T$117"}</definedName>
    <definedName name="_DE2_2" localSheetId="5" hidden="1">{"'vert'!$A$1:$T$117"}</definedName>
    <definedName name="_DE2_2" localSheetId="6" hidden="1">{"'vert'!$A$1:$T$117"}</definedName>
    <definedName name="_DE2_2" hidden="1">{"'vert'!$A$1:$T$117"}</definedName>
    <definedName name="_DE2_2_1" localSheetId="5" hidden="1">{"'vert'!$A$1:$T$117"}</definedName>
    <definedName name="_DE2_2_1" localSheetId="6" hidden="1">{"'vert'!$A$1:$T$117"}</definedName>
    <definedName name="_DE2_2_1" hidden="1">{"'vert'!$A$1:$T$117"}</definedName>
    <definedName name="_DE2_2_1_1" localSheetId="5" hidden="1">{"'vert'!$A$1:$T$117"}</definedName>
    <definedName name="_DE2_2_1_1" localSheetId="6" hidden="1">{"'vert'!$A$1:$T$117"}</definedName>
    <definedName name="_DE2_2_1_1" hidden="1">{"'vert'!$A$1:$T$117"}</definedName>
    <definedName name="_DE2_2_2" localSheetId="5" hidden="1">{"'vert'!$A$1:$T$117"}</definedName>
    <definedName name="_DE2_2_2" localSheetId="6" hidden="1">{"'vert'!$A$1:$T$117"}</definedName>
    <definedName name="_DE2_2_2" hidden="1">{"'vert'!$A$1:$T$117"}</definedName>
    <definedName name="_DE2_3" localSheetId="5" hidden="1">{"'vert'!$A$1:$T$117"}</definedName>
    <definedName name="_DE2_3" localSheetId="6" hidden="1">{"'vert'!$A$1:$T$117"}</definedName>
    <definedName name="_DE2_3" hidden="1">{"'vert'!$A$1:$T$117"}</definedName>
    <definedName name="_DE2_3_1" localSheetId="5" hidden="1">{"'vert'!$A$1:$T$117"}</definedName>
    <definedName name="_DE2_3_1" localSheetId="6" hidden="1">{"'vert'!$A$1:$T$117"}</definedName>
    <definedName name="_DE2_3_1" hidden="1">{"'vert'!$A$1:$T$117"}</definedName>
    <definedName name="_DE2_4" localSheetId="5" hidden="1">{"'vert'!$A$1:$T$117"}</definedName>
    <definedName name="_DE2_4" localSheetId="6" hidden="1">{"'vert'!$A$1:$T$117"}</definedName>
    <definedName name="_DE2_4" hidden="1">{"'vert'!$A$1:$T$117"}</definedName>
    <definedName name="_Fill" hidden="1">#REF!</definedName>
    <definedName name="_xlnm._FilterDatabase" localSheetId="0" hidden="1">'1.GEO MAU'!$A:$D</definedName>
    <definedName name="_xlnm._FilterDatabase" localSheetId="4">'3.2. GEO Input detail（CN+NA）'!$B$566:$E$676</definedName>
    <definedName name="_xlnm._FilterDatabase" localSheetId="6" hidden="1">'5.GEO Search volumn-Gemi 3.0'!$B$7:$O$65</definedName>
    <definedName name="_huh3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1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1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1_1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1_1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1_1_1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1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1_2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1_2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1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2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2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2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2_1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2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2_1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2_1_1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2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2_2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2_2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2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3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3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3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3_1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4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4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4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Key1" hidden="1">#REF!</definedName>
    <definedName name="_Key1Export" hidden="1">#REF!</definedName>
    <definedName name="_Key1Import" hidden="1">#REF!</definedName>
    <definedName name="_Key2" hidden="1">#REF!</definedName>
    <definedName name="_Order1" hidden="1">255</definedName>
    <definedName name="_Order2" hidden="1">0</definedName>
    <definedName name="_PE10" hidden="1">#REF!</definedName>
    <definedName name="_PE11" hidden="1">#REF!</definedName>
    <definedName name="_PE12" hidden="1">[13]CLOSE!#REF!</definedName>
    <definedName name="_PE13" hidden="1">[13]CLOSE!#REF!</definedName>
    <definedName name="_PE14" hidden="1">[13]CLOSE!#REF!</definedName>
    <definedName name="_PE15" hidden="1">[13]CLOSE!#REF!</definedName>
    <definedName name="_PE17" hidden="1">[13]CLOSE!#REF!</definedName>
    <definedName name="_PE18" hidden="1">#REF!</definedName>
    <definedName name="_PE19" hidden="1">[13]CLOSE!#REF!</definedName>
    <definedName name="_PE2" hidden="1">#REF!</definedName>
    <definedName name="_PE20" hidden="1">#REF!</definedName>
    <definedName name="_PE21" hidden="1">#REF!</definedName>
    <definedName name="_PE22" hidden="1">#REF!</definedName>
    <definedName name="_PE23" hidden="1">#REF!</definedName>
    <definedName name="_PE24" hidden="1">#REF!</definedName>
    <definedName name="_PE25" hidden="1">#REF!</definedName>
    <definedName name="_PE26" hidden="1">[17]merger!#REF!</definedName>
    <definedName name="_PE27" hidden="1">[17]merger!#REF!</definedName>
    <definedName name="_PE28" hidden="1">[17]merger!#REF!</definedName>
    <definedName name="_PE29" hidden="1">[17]merger!#REF!</definedName>
    <definedName name="_PE3" hidden="1">#REF!</definedName>
    <definedName name="_PE30" hidden="1">#REF!</definedName>
    <definedName name="_PE37" hidden="1">#REF!</definedName>
    <definedName name="_PE4" hidden="1">#REF!</definedName>
    <definedName name="_PE5" hidden="1">#REF!</definedName>
    <definedName name="_PE6" hidden="1">#REF!</definedName>
    <definedName name="_PE7" hidden="1">#REF!</definedName>
    <definedName name="_PE8" hidden="1">#REF!</definedName>
    <definedName name="_PE9" hidden="1">#REF!</definedName>
    <definedName name="_PW2" localSheetId="5" hidden="1">{"'vert'!$A$1:$T$117"}</definedName>
    <definedName name="_PW2" localSheetId="6" hidden="1">{"'vert'!$A$1:$T$117"}</definedName>
    <definedName name="_PW2" hidden="1">{"'vert'!$A$1:$T$117"}</definedName>
    <definedName name="_rev12345" localSheetId="5" hidden="1">{"'vert'!$A$1:$T$117"}</definedName>
    <definedName name="_rev12345" localSheetId="6" hidden="1">{"'vert'!$A$1:$T$117"}</definedName>
    <definedName name="_rev12345" hidden="1">{"'vert'!$A$1:$T$117"}</definedName>
    <definedName name="_rev12345_1" localSheetId="5" hidden="1">{"'vert'!$A$1:$T$117"}</definedName>
    <definedName name="_rev12345_1" localSheetId="6" hidden="1">{"'vert'!$A$1:$T$117"}</definedName>
    <definedName name="_rev12345_1" hidden="1">{"'vert'!$A$1:$T$117"}</definedName>
    <definedName name="_rev12345_1_1" localSheetId="5" hidden="1">{"'vert'!$A$1:$T$117"}</definedName>
    <definedName name="_rev12345_1_1" localSheetId="6" hidden="1">{"'vert'!$A$1:$T$117"}</definedName>
    <definedName name="_rev12345_1_1" hidden="1">{"'vert'!$A$1:$T$117"}</definedName>
    <definedName name="_rev12345_1_1_1" localSheetId="5" hidden="1">{"'vert'!$A$1:$T$117"}</definedName>
    <definedName name="_rev12345_1_1_1" localSheetId="6" hidden="1">{"'vert'!$A$1:$T$117"}</definedName>
    <definedName name="_rev12345_1_1_1" hidden="1">{"'vert'!$A$1:$T$117"}</definedName>
    <definedName name="_rev12345_1_2" localSheetId="5" hidden="1">{"'vert'!$A$1:$T$117"}</definedName>
    <definedName name="_rev12345_1_2" localSheetId="6" hidden="1">{"'vert'!$A$1:$T$117"}</definedName>
    <definedName name="_rev12345_1_2" hidden="1">{"'vert'!$A$1:$T$117"}</definedName>
    <definedName name="_rev12345_2" localSheetId="5" hidden="1">{"'vert'!$A$1:$T$117"}</definedName>
    <definedName name="_rev12345_2" localSheetId="6" hidden="1">{"'vert'!$A$1:$T$117"}</definedName>
    <definedName name="_rev12345_2" hidden="1">{"'vert'!$A$1:$T$117"}</definedName>
    <definedName name="_rev12345_2_1" localSheetId="5" hidden="1">{"'vert'!$A$1:$T$117"}</definedName>
    <definedName name="_rev12345_2_1" localSheetId="6" hidden="1">{"'vert'!$A$1:$T$117"}</definedName>
    <definedName name="_rev12345_2_1" hidden="1">{"'vert'!$A$1:$T$117"}</definedName>
    <definedName name="_rev12345_2_1_1" localSheetId="5" hidden="1">{"'vert'!$A$1:$T$117"}</definedName>
    <definedName name="_rev12345_2_1_1" localSheetId="6" hidden="1">{"'vert'!$A$1:$T$117"}</definedName>
    <definedName name="_rev12345_2_1_1" hidden="1">{"'vert'!$A$1:$T$117"}</definedName>
    <definedName name="_rev12345_2_2" localSheetId="5" hidden="1">{"'vert'!$A$1:$T$117"}</definedName>
    <definedName name="_rev12345_2_2" localSheetId="6" hidden="1">{"'vert'!$A$1:$T$117"}</definedName>
    <definedName name="_rev12345_2_2" hidden="1">{"'vert'!$A$1:$T$117"}</definedName>
    <definedName name="_rev12345_3" localSheetId="5" hidden="1">{"'vert'!$A$1:$T$117"}</definedName>
    <definedName name="_rev12345_3" localSheetId="6" hidden="1">{"'vert'!$A$1:$T$117"}</definedName>
    <definedName name="_rev12345_3" hidden="1">{"'vert'!$A$1:$T$117"}</definedName>
    <definedName name="_rev12345_3_1" localSheetId="5" hidden="1">{"'vert'!$A$1:$T$117"}</definedName>
    <definedName name="_rev12345_3_1" localSheetId="6" hidden="1">{"'vert'!$A$1:$T$117"}</definedName>
    <definedName name="_rev12345_3_1" hidden="1">{"'vert'!$A$1:$T$117"}</definedName>
    <definedName name="_rev12345_4" localSheetId="5" hidden="1">{"'vert'!$A$1:$T$117"}</definedName>
    <definedName name="_rev12345_4" localSheetId="6" hidden="1">{"'vert'!$A$1:$T$117"}</definedName>
    <definedName name="_rev12345_4" hidden="1">{"'vert'!$A$1:$T$117"}</definedName>
    <definedName name="_Sort" hidden="1">#REF!</definedName>
    <definedName name="_sort2" hidden="1">[30]Express!#REF!</definedName>
    <definedName name="_Table1_In1" hidden="1">[17]merger!#REF!</definedName>
    <definedName name="_Table1_Out" hidden="1">[17]merger!#REF!</definedName>
    <definedName name="_Table2_In1" hidden="1">[17]merger!#REF!</definedName>
    <definedName name="_Table2_Out" hidden="1">[17]merger!#REF!</definedName>
    <definedName name="‘" hidden="1">#REF!</definedName>
    <definedName name="a" localSheetId="5" hidden="1">{"'vert'!$A$1:$T$117"}</definedName>
    <definedName name="a" localSheetId="6" hidden="1">{"'vert'!$A$1:$T$117"}</definedName>
    <definedName name="a" hidden="1">{"'vert'!$A$1:$T$117"}</definedName>
    <definedName name="a_1" localSheetId="5" hidden="1">{"'vert'!$A$1:$T$117"}</definedName>
    <definedName name="a_1" localSheetId="6" hidden="1">{"'vert'!$A$1:$T$117"}</definedName>
    <definedName name="a_1" hidden="1">{"'vert'!$A$1:$T$117"}</definedName>
    <definedName name="a_1_1" localSheetId="5" hidden="1">{"'vert'!$A$1:$T$117"}</definedName>
    <definedName name="a_1_1" localSheetId="6" hidden="1">{"'vert'!$A$1:$T$117"}</definedName>
    <definedName name="a_1_1" hidden="1">{"'vert'!$A$1:$T$117"}</definedName>
    <definedName name="a_1_1_1" localSheetId="5" hidden="1">{"'vert'!$A$1:$T$117"}</definedName>
    <definedName name="a_1_1_1" localSheetId="6" hidden="1">{"'vert'!$A$1:$T$117"}</definedName>
    <definedName name="a_1_1_1" hidden="1">{"'vert'!$A$1:$T$117"}</definedName>
    <definedName name="a_1_1_1_1" localSheetId="5" hidden="1">{"'vert'!$A$1:$T$117"}</definedName>
    <definedName name="a_1_1_1_1" localSheetId="6" hidden="1">{"'vert'!$A$1:$T$117"}</definedName>
    <definedName name="a_1_1_1_1" hidden="1">{"'vert'!$A$1:$T$117"}</definedName>
    <definedName name="a_1_1_1_2" localSheetId="5" hidden="1">{"'vert'!$A$1:$T$117"}</definedName>
    <definedName name="a_1_1_1_2" localSheetId="6" hidden="1">{"'vert'!$A$1:$T$117"}</definedName>
    <definedName name="a_1_1_1_2" hidden="1">{"'vert'!$A$1:$T$117"}</definedName>
    <definedName name="a_1_1_2" localSheetId="5" hidden="1">{"'vert'!$A$1:$T$117"}</definedName>
    <definedName name="a_1_1_2" localSheetId="6" hidden="1">{"'vert'!$A$1:$T$117"}</definedName>
    <definedName name="a_1_1_2" hidden="1">{"'vert'!$A$1:$T$117"}</definedName>
    <definedName name="a_1_1_3" localSheetId="5" hidden="1">{"'vert'!$A$1:$T$117"}</definedName>
    <definedName name="a_1_1_3" localSheetId="6" hidden="1">{"'vert'!$A$1:$T$117"}</definedName>
    <definedName name="a_1_1_3" hidden="1">{"'vert'!$A$1:$T$117"}</definedName>
    <definedName name="a_1_2" localSheetId="5" hidden="1">{"'vert'!$A$1:$T$117"}</definedName>
    <definedName name="a_1_2" localSheetId="6" hidden="1">{"'vert'!$A$1:$T$117"}</definedName>
    <definedName name="a_1_2" hidden="1">{"'vert'!$A$1:$T$117"}</definedName>
    <definedName name="a_1_2_1" localSheetId="5" hidden="1">{"'vert'!$A$1:$T$117"}</definedName>
    <definedName name="a_1_2_1" localSheetId="6" hidden="1">{"'vert'!$A$1:$T$117"}</definedName>
    <definedName name="a_1_2_1" hidden="1">{"'vert'!$A$1:$T$117"}</definedName>
    <definedName name="a_1_2_2" localSheetId="5" hidden="1">{"'vert'!$A$1:$T$117"}</definedName>
    <definedName name="a_1_2_2" localSheetId="6" hidden="1">{"'vert'!$A$1:$T$117"}</definedName>
    <definedName name="a_1_2_2" hidden="1">{"'vert'!$A$1:$T$117"}</definedName>
    <definedName name="a_1_3" localSheetId="5" hidden="1">{"'vert'!$A$1:$T$117"}</definedName>
    <definedName name="a_1_3" localSheetId="6" hidden="1">{"'vert'!$A$1:$T$117"}</definedName>
    <definedName name="a_1_3" hidden="1">{"'vert'!$A$1:$T$117"}</definedName>
    <definedName name="a_1_4" localSheetId="5" hidden="1">{"'vert'!$A$1:$T$117"}</definedName>
    <definedName name="a_1_4" localSheetId="6" hidden="1">{"'vert'!$A$1:$T$117"}</definedName>
    <definedName name="a_1_4" hidden="1">{"'vert'!$A$1:$T$117"}</definedName>
    <definedName name="a_2" localSheetId="5" hidden="1">{"'vert'!$A$1:$T$117"}</definedName>
    <definedName name="a_2" localSheetId="6" hidden="1">{"'vert'!$A$1:$T$117"}</definedName>
    <definedName name="a_2" hidden="1">{"'vert'!$A$1:$T$117"}</definedName>
    <definedName name="a_2_1" localSheetId="5" hidden="1">{"'vert'!$A$1:$T$117"}</definedName>
    <definedName name="a_2_1" localSheetId="6" hidden="1">{"'vert'!$A$1:$T$117"}</definedName>
    <definedName name="a_2_1" hidden="1">{"'vert'!$A$1:$T$117"}</definedName>
    <definedName name="a_2_1_1" localSheetId="5" hidden="1">{"'vert'!$A$1:$T$117"}</definedName>
    <definedName name="a_2_1_1" localSheetId="6" hidden="1">{"'vert'!$A$1:$T$117"}</definedName>
    <definedName name="a_2_1_1" hidden="1">{"'vert'!$A$1:$T$117"}</definedName>
    <definedName name="a_2_2" localSheetId="5" hidden="1">{"'vert'!$A$1:$T$117"}</definedName>
    <definedName name="a_2_2" localSheetId="6" hidden="1">{"'vert'!$A$1:$T$117"}</definedName>
    <definedName name="a_2_2" hidden="1">{"'vert'!$A$1:$T$117"}</definedName>
    <definedName name="a_3" localSheetId="5" hidden="1">{"'vert'!$A$1:$T$117"}</definedName>
    <definedName name="a_3" localSheetId="6" hidden="1">{"'vert'!$A$1:$T$117"}</definedName>
    <definedName name="a_3" hidden="1">{"'vert'!$A$1:$T$117"}</definedName>
    <definedName name="a_3_1" localSheetId="5" hidden="1">{"'vert'!$A$1:$T$117"}</definedName>
    <definedName name="a_3_1" localSheetId="6" hidden="1">{"'vert'!$A$1:$T$117"}</definedName>
    <definedName name="a_3_1" hidden="1">{"'vert'!$A$1:$T$117"}</definedName>
    <definedName name="a_4" localSheetId="5" hidden="1">{"'vert'!$A$1:$T$117"}</definedName>
    <definedName name="a_4" localSheetId="6" hidden="1">{"'vert'!$A$1:$T$117"}</definedName>
    <definedName name="a_4" hidden="1">{"'vert'!$A$1:$T$117"}</definedName>
    <definedName name="aa" localSheetId="5" hidden="1">{"'weekly data'!$A$2:$AS$36"}</definedName>
    <definedName name="aa" localSheetId="6" hidden="1">{"'weekly data'!$A$2:$AS$36"}</definedName>
    <definedName name="aa" hidden="1">{"'weekly data'!$A$2:$AS$36"}</definedName>
    <definedName name="aa_1" localSheetId="5" hidden="1">{"'weekly data'!$A$2:$AS$36"}</definedName>
    <definedName name="aa_1" localSheetId="6" hidden="1">{"'weekly data'!$A$2:$AS$36"}</definedName>
    <definedName name="aa_1" hidden="1">{"'weekly data'!$A$2:$AS$36"}</definedName>
    <definedName name="aa_1_1" localSheetId="5" hidden="1">{"'weekly data'!$A$2:$AS$36"}</definedName>
    <definedName name="aa_1_1" localSheetId="6" hidden="1">{"'weekly data'!$A$2:$AS$36"}</definedName>
    <definedName name="aa_1_1" hidden="1">{"'weekly data'!$A$2:$AS$36"}</definedName>
    <definedName name="aa_1_1_1" localSheetId="5" hidden="1">{"'weekly data'!$A$2:$AS$36"}</definedName>
    <definedName name="aa_1_1_1" localSheetId="6" hidden="1">{"'weekly data'!$A$2:$AS$36"}</definedName>
    <definedName name="aa_1_1_1" hidden="1">{"'weekly data'!$A$2:$AS$36"}</definedName>
    <definedName name="aa_1_2" localSheetId="5" hidden="1">{"'weekly data'!$A$2:$AS$36"}</definedName>
    <definedName name="aa_1_2" localSheetId="6" hidden="1">{"'weekly data'!$A$2:$AS$36"}</definedName>
    <definedName name="aa_1_2" hidden="1">{"'weekly data'!$A$2:$AS$36"}</definedName>
    <definedName name="aa_2" localSheetId="5" hidden="1">{"'weekly data'!$A$2:$AS$36"}</definedName>
    <definedName name="aa_2" localSheetId="6" hidden="1">{"'weekly data'!$A$2:$AS$36"}</definedName>
    <definedName name="aa_2" hidden="1">{"'weekly data'!$A$2:$AS$36"}</definedName>
    <definedName name="aa_2_1" localSheetId="5" hidden="1">{"'weekly data'!$A$2:$AS$36"}</definedName>
    <definedName name="aa_2_1" localSheetId="6" hidden="1">{"'weekly data'!$A$2:$AS$36"}</definedName>
    <definedName name="aa_2_1" hidden="1">{"'weekly data'!$A$2:$AS$36"}</definedName>
    <definedName name="aa_2_1_1" localSheetId="5" hidden="1">{"'weekly data'!$A$2:$AS$36"}</definedName>
    <definedName name="aa_2_1_1" localSheetId="6" hidden="1">{"'weekly data'!$A$2:$AS$36"}</definedName>
    <definedName name="aa_2_1_1" hidden="1">{"'weekly data'!$A$2:$AS$36"}</definedName>
    <definedName name="aa_2_2" localSheetId="5" hidden="1">{"'weekly data'!$A$2:$AS$36"}</definedName>
    <definedName name="aa_2_2" localSheetId="6" hidden="1">{"'weekly data'!$A$2:$AS$36"}</definedName>
    <definedName name="aa_2_2" hidden="1">{"'weekly data'!$A$2:$AS$36"}</definedName>
    <definedName name="aa_3" localSheetId="5" hidden="1">{"'weekly data'!$A$2:$AS$36"}</definedName>
    <definedName name="aa_3" localSheetId="6" hidden="1">{"'weekly data'!$A$2:$AS$36"}</definedName>
    <definedName name="aa_3" hidden="1">{"'weekly data'!$A$2:$AS$36"}</definedName>
    <definedName name="aa_3_1" localSheetId="5" hidden="1">{"'weekly data'!$A$2:$AS$36"}</definedName>
    <definedName name="aa_3_1" localSheetId="6" hidden="1">{"'weekly data'!$A$2:$AS$36"}</definedName>
    <definedName name="aa_3_1" hidden="1">{"'weekly data'!$A$2:$AS$36"}</definedName>
    <definedName name="aa_4" localSheetId="5" hidden="1">{"'weekly data'!$A$2:$AS$36"}</definedName>
    <definedName name="aa_4" localSheetId="6" hidden="1">{"'weekly data'!$A$2:$AS$36"}</definedName>
    <definedName name="aa_4" hidden="1">{"'weekly data'!$A$2:$AS$36"}</definedName>
    <definedName name="AAA_DOCTOPS" hidden="1">"AAA_SET"</definedName>
    <definedName name="AAA_duser" hidden="1">"OFF"</definedName>
    <definedName name="aaaa" localSheetId="5" hidden="1">{"'vert'!$A$1:$T$117"}</definedName>
    <definedName name="aaaa" localSheetId="6" hidden="1">{"'vert'!$A$1:$T$117"}</definedName>
    <definedName name="aaaa" hidden="1">{"'vert'!$A$1:$T$117"}</definedName>
    <definedName name="aaaa_1" localSheetId="5" hidden="1">{"'vert'!$A$1:$T$117"}</definedName>
    <definedName name="aaaa_1" localSheetId="6" hidden="1">{"'vert'!$A$1:$T$117"}</definedName>
    <definedName name="aaaa_1" hidden="1">{"'vert'!$A$1:$T$117"}</definedName>
    <definedName name="aaaa_1_1" localSheetId="5" hidden="1">{"'vert'!$A$1:$T$117"}</definedName>
    <definedName name="aaaa_1_1" localSheetId="6" hidden="1">{"'vert'!$A$1:$T$117"}</definedName>
    <definedName name="aaaa_1_1" hidden="1">{"'vert'!$A$1:$T$117"}</definedName>
    <definedName name="aaaa_1_1_1" localSheetId="5" hidden="1">{"'vert'!$A$1:$T$117"}</definedName>
    <definedName name="aaaa_1_1_1" localSheetId="6" hidden="1">{"'vert'!$A$1:$T$117"}</definedName>
    <definedName name="aaaa_1_1_1" hidden="1">{"'vert'!$A$1:$T$117"}</definedName>
    <definedName name="aaaa_1_2" localSheetId="5" hidden="1">{"'vert'!$A$1:$T$117"}</definedName>
    <definedName name="aaaa_1_2" localSheetId="6" hidden="1">{"'vert'!$A$1:$T$117"}</definedName>
    <definedName name="aaaa_1_2" hidden="1">{"'vert'!$A$1:$T$117"}</definedName>
    <definedName name="aaaa_2" localSheetId="5" hidden="1">{"'vert'!$A$1:$T$117"}</definedName>
    <definedName name="aaaa_2" localSheetId="6" hidden="1">{"'vert'!$A$1:$T$117"}</definedName>
    <definedName name="aaaa_2" hidden="1">{"'vert'!$A$1:$T$117"}</definedName>
    <definedName name="aaaa_2_1" localSheetId="5" hidden="1">{"'vert'!$A$1:$T$117"}</definedName>
    <definedName name="aaaa_2_1" localSheetId="6" hidden="1">{"'vert'!$A$1:$T$117"}</definedName>
    <definedName name="aaaa_2_1" hidden="1">{"'vert'!$A$1:$T$117"}</definedName>
    <definedName name="aaaa_2_1_1" localSheetId="5" hidden="1">{"'vert'!$A$1:$T$117"}</definedName>
    <definedName name="aaaa_2_1_1" localSheetId="6" hidden="1">{"'vert'!$A$1:$T$117"}</definedName>
    <definedName name="aaaa_2_1_1" hidden="1">{"'vert'!$A$1:$T$117"}</definedName>
    <definedName name="aaaa_2_2" localSheetId="5" hidden="1">{"'vert'!$A$1:$T$117"}</definedName>
    <definedName name="aaaa_2_2" localSheetId="6" hidden="1">{"'vert'!$A$1:$T$117"}</definedName>
    <definedName name="aaaa_2_2" hidden="1">{"'vert'!$A$1:$T$117"}</definedName>
    <definedName name="aaaa_3" localSheetId="5" hidden="1">{"'vert'!$A$1:$T$117"}</definedName>
    <definedName name="aaaa_3" localSheetId="6" hidden="1">{"'vert'!$A$1:$T$117"}</definedName>
    <definedName name="aaaa_3" hidden="1">{"'vert'!$A$1:$T$117"}</definedName>
    <definedName name="aaaa_3_1" localSheetId="5" hidden="1">{"'vert'!$A$1:$T$117"}</definedName>
    <definedName name="aaaa_3_1" localSheetId="6" hidden="1">{"'vert'!$A$1:$T$117"}</definedName>
    <definedName name="aaaa_3_1" hidden="1">{"'vert'!$A$1:$T$117"}</definedName>
    <definedName name="aaaa_4" localSheetId="5" hidden="1">{"'vert'!$A$1:$T$117"}</definedName>
    <definedName name="aaaa_4" localSheetId="6" hidden="1">{"'vert'!$A$1:$T$117"}</definedName>
    <definedName name="aaaa_4" hidden="1">{"'vert'!$A$1:$T$117"}</definedName>
    <definedName name="aaaaaa_1" localSheetId="5" hidden="1">{"'vert'!$A$1:$T$117"}</definedName>
    <definedName name="aaaaaa_1" localSheetId="6" hidden="1">{"'vert'!$A$1:$T$117"}</definedName>
    <definedName name="aaaaaa_1" hidden="1">{"'vert'!$A$1:$T$117"}</definedName>
    <definedName name="aaaaaa_1_1" localSheetId="5" hidden="1">{"'vert'!$A$1:$T$117"}</definedName>
    <definedName name="aaaaaa_1_1" localSheetId="6" hidden="1">{"'vert'!$A$1:$T$117"}</definedName>
    <definedName name="aaaaaa_1_1" hidden="1">{"'vert'!$A$1:$T$117"}</definedName>
    <definedName name="aaaaaa_1_2" localSheetId="5" hidden="1">{"'vert'!$A$1:$T$117"}</definedName>
    <definedName name="aaaaaa_1_2" localSheetId="6" hidden="1">{"'vert'!$A$1:$T$117"}</definedName>
    <definedName name="aaaaaa_1_2" hidden="1">{"'vert'!$A$1:$T$117"}</definedName>
    <definedName name="aaaaaa_2" localSheetId="5" hidden="1">{"'vert'!$A$1:$T$117"}</definedName>
    <definedName name="aaaaaa_2" localSheetId="6" hidden="1">{"'vert'!$A$1:$T$117"}</definedName>
    <definedName name="aaaaaa_2" hidden="1">{"'vert'!$A$1:$T$117"}</definedName>
    <definedName name="aaaaaa_3" localSheetId="5" hidden="1">{"'vert'!$A$1:$T$117"}</definedName>
    <definedName name="aaaaaa_3" localSheetId="6" hidden="1">{"'vert'!$A$1:$T$117"}</definedName>
    <definedName name="aaaaaa_3" hidden="1">{"'vert'!$A$1:$T$117"}</definedName>
    <definedName name="aaaaaaaaaa" localSheetId="5" hidden="1">{"'weekly data'!$A$2:$AS$36"}</definedName>
    <definedName name="aaaaaaaaaa" localSheetId="6" hidden="1">{"'weekly data'!$A$2:$AS$36"}</definedName>
    <definedName name="aaaaaaaaaa" hidden="1">{"'weekly data'!$A$2:$AS$36"}</definedName>
    <definedName name="aaaaaaaaaa_1" localSheetId="5" hidden="1">{"'weekly data'!$A$2:$AS$36"}</definedName>
    <definedName name="aaaaaaaaaa_1" localSheetId="6" hidden="1">{"'weekly data'!$A$2:$AS$36"}</definedName>
    <definedName name="aaaaaaaaaa_1" hidden="1">{"'weekly data'!$A$2:$AS$36"}</definedName>
    <definedName name="aaaaaaaaaa_1_1" localSheetId="5" hidden="1">{"'weekly data'!$A$2:$AS$36"}</definedName>
    <definedName name="aaaaaaaaaa_1_1" localSheetId="6" hidden="1">{"'weekly data'!$A$2:$AS$36"}</definedName>
    <definedName name="aaaaaaaaaa_1_1" hidden="1">{"'weekly data'!$A$2:$AS$36"}</definedName>
    <definedName name="aaaaaaaaaa_1_2" localSheetId="5" hidden="1">{"'weekly data'!$A$2:$AS$36"}</definedName>
    <definedName name="aaaaaaaaaa_1_2" localSheetId="6" hidden="1">{"'weekly data'!$A$2:$AS$36"}</definedName>
    <definedName name="aaaaaaaaaa_1_2" hidden="1">{"'weekly data'!$A$2:$AS$36"}</definedName>
    <definedName name="aaaaaaaaaa_2" localSheetId="5" hidden="1">{"'weekly data'!$A$2:$AS$36"}</definedName>
    <definedName name="aaaaaaaaaa_2" localSheetId="6" hidden="1">{"'weekly data'!$A$2:$AS$36"}</definedName>
    <definedName name="aaaaaaaaaa_2" hidden="1">{"'weekly data'!$A$2:$AS$36"}</definedName>
    <definedName name="aaaaaaaaaa_3" localSheetId="5" hidden="1">{"'weekly data'!$A$2:$AS$36"}</definedName>
    <definedName name="aaaaaaaaaa_3" localSheetId="6" hidden="1">{"'weekly data'!$A$2:$AS$36"}</definedName>
    <definedName name="aaaaaaaaaa_3" hidden="1">{"'weekly data'!$A$2:$AS$36"}</definedName>
    <definedName name="aaaaaaaaaaaa" localSheetId="5" hidden="1">{"'weekly data'!$A$2:$AS$36"}</definedName>
    <definedName name="aaaaaaaaaaaa" localSheetId="6" hidden="1">{"'weekly data'!$A$2:$AS$36"}</definedName>
    <definedName name="aaaaaaaaaaaa" hidden="1">{"'weekly data'!$A$2:$AS$36"}</definedName>
    <definedName name="aaaaaaaaaaaa_1" localSheetId="5" hidden="1">{"'weekly data'!$A$2:$AS$36"}</definedName>
    <definedName name="aaaaaaaaaaaa_1" localSheetId="6" hidden="1">{"'weekly data'!$A$2:$AS$36"}</definedName>
    <definedName name="aaaaaaaaaaaa_1" hidden="1">{"'weekly data'!$A$2:$AS$36"}</definedName>
    <definedName name="aaaaaaaaaaaa_1_1" localSheetId="5" hidden="1">{"'weekly data'!$A$2:$AS$36"}</definedName>
    <definedName name="aaaaaaaaaaaa_1_1" localSheetId="6" hidden="1">{"'weekly data'!$A$2:$AS$36"}</definedName>
    <definedName name="aaaaaaaaaaaa_1_1" hidden="1">{"'weekly data'!$A$2:$AS$36"}</definedName>
    <definedName name="aaaaaaaaaaaa_1_2" localSheetId="5" hidden="1">{"'weekly data'!$A$2:$AS$36"}</definedName>
    <definedName name="aaaaaaaaaaaa_1_2" localSheetId="6" hidden="1">{"'weekly data'!$A$2:$AS$36"}</definedName>
    <definedName name="aaaaaaaaaaaa_1_2" hidden="1">{"'weekly data'!$A$2:$AS$36"}</definedName>
    <definedName name="aaaaaaaaaaaa_2" localSheetId="5" hidden="1">{"'weekly data'!$A$2:$AS$36"}</definedName>
    <definedName name="aaaaaaaaaaaa_2" localSheetId="6" hidden="1">{"'weekly data'!$A$2:$AS$36"}</definedName>
    <definedName name="aaaaaaaaaaaa_2" hidden="1">{"'weekly data'!$A$2:$AS$36"}</definedName>
    <definedName name="aaaaaaaaaaaa_3" localSheetId="5" hidden="1">{"'weekly data'!$A$2:$AS$36"}</definedName>
    <definedName name="aaaaaaaaaaaa_3" localSheetId="6" hidden="1">{"'weekly data'!$A$2:$AS$36"}</definedName>
    <definedName name="aaaaaaaaaaaa_3" hidden="1">{"'weekly data'!$A$2:$AS$36"}</definedName>
    <definedName name="aaaaaaaaaaaaaaa" localSheetId="5" hidden="1">{"'vert'!$A$1:$T$117"}</definedName>
    <definedName name="aaaaaaaaaaaaaaa" localSheetId="6" hidden="1">{"'vert'!$A$1:$T$117"}</definedName>
    <definedName name="aaaaaaaaaaaaaaa" hidden="1">{"'vert'!$A$1:$T$117"}</definedName>
    <definedName name="aaaaaaaaaaaaaaa_1" localSheetId="5" hidden="1">{"'vert'!$A$1:$T$117"}</definedName>
    <definedName name="aaaaaaaaaaaaaaa_1" localSheetId="6" hidden="1">{"'vert'!$A$1:$T$117"}</definedName>
    <definedName name="aaaaaaaaaaaaaaa_1" hidden="1">{"'vert'!$A$1:$T$117"}</definedName>
    <definedName name="aaaaaaaaaaaaaaa_1_1" localSheetId="5" hidden="1">{"'vert'!$A$1:$T$117"}</definedName>
    <definedName name="aaaaaaaaaaaaaaa_1_1" localSheetId="6" hidden="1">{"'vert'!$A$1:$T$117"}</definedName>
    <definedName name="aaaaaaaaaaaaaaa_1_1" hidden="1">{"'vert'!$A$1:$T$117"}</definedName>
    <definedName name="aaaaaaaaaaaaaaa_1_2" localSheetId="5" hidden="1">{"'vert'!$A$1:$T$117"}</definedName>
    <definedName name="aaaaaaaaaaaaaaa_1_2" localSheetId="6" hidden="1">{"'vert'!$A$1:$T$117"}</definedName>
    <definedName name="aaaaaaaaaaaaaaa_1_2" hidden="1">{"'vert'!$A$1:$T$117"}</definedName>
    <definedName name="aaaaaaaaaaaaaaa_2" localSheetId="5" hidden="1">{"'vert'!$A$1:$T$117"}</definedName>
    <definedName name="aaaaaaaaaaaaaaa_2" localSheetId="6" hidden="1">{"'vert'!$A$1:$T$117"}</definedName>
    <definedName name="aaaaaaaaaaaaaaa_2" hidden="1">{"'vert'!$A$1:$T$117"}</definedName>
    <definedName name="aaaaaaaaaaaaaaa_3" localSheetId="5" hidden="1">{"'vert'!$A$1:$T$117"}</definedName>
    <definedName name="aaaaaaaaaaaaaaa_3" localSheetId="6" hidden="1">{"'vert'!$A$1:$T$117"}</definedName>
    <definedName name="aaaaaaaaaaaaaaa_3" hidden="1">{"'vert'!$A$1:$T$117"}</definedName>
    <definedName name="aaaaaaaaaaaaaaaaa" localSheetId="5" hidden="1">{"'vert'!$A$1:$T$117"}</definedName>
    <definedName name="aaaaaaaaaaaaaaaaa" localSheetId="6" hidden="1">{"'vert'!$A$1:$T$117"}</definedName>
    <definedName name="aaaaaaaaaaaaaaaaa" hidden="1">{"'vert'!$A$1:$T$117"}</definedName>
    <definedName name="aaaaaaaaaaaaaaaaa_1" localSheetId="5" hidden="1">{"'vert'!$A$1:$T$117"}</definedName>
    <definedName name="aaaaaaaaaaaaaaaaa_1" localSheetId="6" hidden="1">{"'vert'!$A$1:$T$117"}</definedName>
    <definedName name="aaaaaaaaaaaaaaaaa_1" hidden="1">{"'vert'!$A$1:$T$117"}</definedName>
    <definedName name="aaaaaaaaaaaaaaaaa_1_1" localSheetId="5" hidden="1">{"'vert'!$A$1:$T$117"}</definedName>
    <definedName name="aaaaaaaaaaaaaaaaa_1_1" localSheetId="6" hidden="1">{"'vert'!$A$1:$T$117"}</definedName>
    <definedName name="aaaaaaaaaaaaaaaaa_1_1" hidden="1">{"'vert'!$A$1:$T$117"}</definedName>
    <definedName name="aaaaaaaaaaaaaaaaa_1_2" localSheetId="5" hidden="1">{"'vert'!$A$1:$T$117"}</definedName>
    <definedName name="aaaaaaaaaaaaaaaaa_1_2" localSheetId="6" hidden="1">{"'vert'!$A$1:$T$117"}</definedName>
    <definedName name="aaaaaaaaaaaaaaaaa_1_2" hidden="1">{"'vert'!$A$1:$T$117"}</definedName>
    <definedName name="aaaaaaaaaaaaaaaaa_2" localSheetId="5" hidden="1">{"'vert'!$A$1:$T$117"}</definedName>
    <definedName name="aaaaaaaaaaaaaaaaa_2" localSheetId="6" hidden="1">{"'vert'!$A$1:$T$117"}</definedName>
    <definedName name="aaaaaaaaaaaaaaaaa_2" hidden="1">{"'vert'!$A$1:$T$117"}</definedName>
    <definedName name="aaaaaaaaaaaaaaaaa_3" localSheetId="5" hidden="1">{"'vert'!$A$1:$T$117"}</definedName>
    <definedName name="aaaaaaaaaaaaaaaaa_3" localSheetId="6" hidden="1">{"'vert'!$A$1:$T$117"}</definedName>
    <definedName name="aaaaaaaaaaaaaaaaa_3" hidden="1">{"'vert'!$A$1:$T$117"}</definedName>
    <definedName name="aaaaaaaaaaaaaaaaaa" localSheetId="5" hidden="1">{"'vert'!$A$1:$T$117"}</definedName>
    <definedName name="aaaaaaaaaaaaaaaaaa" localSheetId="6" hidden="1">{"'vert'!$A$1:$T$117"}</definedName>
    <definedName name="aaaaaaaaaaaaaaaaaa" hidden="1">{"'vert'!$A$1:$T$117"}</definedName>
    <definedName name="aaaaaaaaaaaaaaaaaa_1" localSheetId="5" hidden="1">{"'vert'!$A$1:$T$117"}</definedName>
    <definedName name="aaaaaaaaaaaaaaaaaa_1" localSheetId="6" hidden="1">{"'vert'!$A$1:$T$117"}</definedName>
    <definedName name="aaaaaaaaaaaaaaaaaa_1" hidden="1">{"'vert'!$A$1:$T$117"}</definedName>
    <definedName name="aaaaaaaaaaaaaaaaaa_1_1" localSheetId="5" hidden="1">{"'vert'!$A$1:$T$117"}</definedName>
    <definedName name="aaaaaaaaaaaaaaaaaa_1_1" localSheetId="6" hidden="1">{"'vert'!$A$1:$T$117"}</definedName>
    <definedName name="aaaaaaaaaaaaaaaaaa_1_1" hidden="1">{"'vert'!$A$1:$T$117"}</definedName>
    <definedName name="aaaaaaaaaaaaaaaaaa_1_2" localSheetId="5" hidden="1">{"'vert'!$A$1:$T$117"}</definedName>
    <definedName name="aaaaaaaaaaaaaaaaaa_1_2" localSheetId="6" hidden="1">{"'vert'!$A$1:$T$117"}</definedName>
    <definedName name="aaaaaaaaaaaaaaaaaa_1_2" hidden="1">{"'vert'!$A$1:$T$117"}</definedName>
    <definedName name="aaaaaaaaaaaaaaaaaa_2" localSheetId="5" hidden="1">{"'vert'!$A$1:$T$117"}</definedName>
    <definedName name="aaaaaaaaaaaaaaaaaa_2" localSheetId="6" hidden="1">{"'vert'!$A$1:$T$117"}</definedName>
    <definedName name="aaaaaaaaaaaaaaaaaa_2" hidden="1">{"'vert'!$A$1:$T$117"}</definedName>
    <definedName name="aaaaaaaaaaaaaaaaaa_3" localSheetId="5" hidden="1">{"'vert'!$A$1:$T$117"}</definedName>
    <definedName name="aaaaaaaaaaaaaaaaaa_3" localSheetId="6" hidden="1">{"'vert'!$A$1:$T$117"}</definedName>
    <definedName name="aaaaaaaaaaaaaaaaaa_3" hidden="1">{"'vert'!$A$1:$T$117"}</definedName>
    <definedName name="aaaaaaaaaaaaaaaaaaa" localSheetId="5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aaaaaaaaaaaaaaaaaaa" localSheetId="6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aaaaaaaaaaaaaaaaaaa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aaaaaaaaaaaaaaaaaaa_1" localSheetId="5" hidden="1">{"'vert'!$A$1:$T$117"}</definedName>
    <definedName name="aaaaaaaaaaaaaaaaaaa_1" localSheetId="6" hidden="1">{"'vert'!$A$1:$T$117"}</definedName>
    <definedName name="aaaaaaaaaaaaaaaaaaa_1" hidden="1">{"'vert'!$A$1:$T$117"}</definedName>
    <definedName name="aaaaaaaaaaaaaaaaaaa_1_1" localSheetId="5" hidden="1">{"'vert'!$A$1:$T$117"}</definedName>
    <definedName name="aaaaaaaaaaaaaaaaaaa_1_1" localSheetId="6" hidden="1">{"'vert'!$A$1:$T$117"}</definedName>
    <definedName name="aaaaaaaaaaaaaaaaaaa_1_1" hidden="1">{"'vert'!$A$1:$T$117"}</definedName>
    <definedName name="aaaaaaaaaaaaaaaaaaa_1_2" localSheetId="5" hidden="1">{"'vert'!$A$1:$T$117"}</definedName>
    <definedName name="aaaaaaaaaaaaaaaaaaa_1_2" localSheetId="6" hidden="1">{"'vert'!$A$1:$T$117"}</definedName>
    <definedName name="aaaaaaaaaaaaaaaaaaa_1_2" hidden="1">{"'vert'!$A$1:$T$117"}</definedName>
    <definedName name="aaaaaaaaaaaaaaaaaaa_2" localSheetId="5" hidden="1">{"'vert'!$A$1:$T$117"}</definedName>
    <definedName name="aaaaaaaaaaaaaaaaaaa_2" localSheetId="6" hidden="1">{"'vert'!$A$1:$T$117"}</definedName>
    <definedName name="aaaaaaaaaaaaaaaaaaa_2" hidden="1">{"'vert'!$A$1:$T$117"}</definedName>
    <definedName name="aaaaaaaaaaaaaaaaaaa_3" localSheetId="5" hidden="1">{"'vert'!$A$1:$T$117"}</definedName>
    <definedName name="aaaaaaaaaaaaaaaaaaa_3" localSheetId="6" hidden="1">{"'vert'!$A$1:$T$117"}</definedName>
    <definedName name="aaaaaaaaaaaaaaaaaaa_3" hidden="1">{"'vert'!$A$1:$T$117"}</definedName>
    <definedName name="aaaaaaaaaaaaaaaaaaaaaaaaaaaaa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aaaaaaaaaaaaaaaaaaaaaaaaaaaa_1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aaaaaaaaaaaaaaaaaaaaaaaaaaaa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aaaaaaaaaaaaaaaaaaaaaaaaaaaa_1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aaaaaaaaaaaaaaaaaaaaaaaaaaaa_1_1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aaaaaaaaaaaaaaaaaaaaaaaaaaaa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aaaaaaaaaaaaaaaaaaaaaaaaaaaa_1_2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aaaaaaaaaaaaaaaaaaaaaaaaaaaa_1_2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aaaaaaaaaaaaaaaaaaaaaaaaaaaa_1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aaaaaaaaaaaaaaaaaaaaaaaaaaaa_2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aaaaaaaaaaaaaaaaaaaaaaaaaaaa_2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aaaaaaaaaaaaaaaaaaaaaaaaaaaa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aaaaaaaaaaaaaaaaaaaaaaaaaaaa_3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aaaaaaaaaaaaaaaaaaaaaaaaaaaa_3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aaaaaaaaaaaaaaaaaaaaaaaaaaaa_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aadd_1" localSheetId="5" hidden="1">{"'vert'!$A$1:$T$117"}</definedName>
    <definedName name="aaadd_1" localSheetId="6" hidden="1">{"'vert'!$A$1:$T$117"}</definedName>
    <definedName name="aaadd_1" hidden="1">{"'vert'!$A$1:$T$117"}</definedName>
    <definedName name="aaadd_1_1" localSheetId="5" hidden="1">{"'vert'!$A$1:$T$117"}</definedName>
    <definedName name="aaadd_1_1" localSheetId="6" hidden="1">{"'vert'!$A$1:$T$117"}</definedName>
    <definedName name="aaadd_1_1" hidden="1">{"'vert'!$A$1:$T$117"}</definedName>
    <definedName name="aaadd_1_2" localSheetId="5" hidden="1">{"'vert'!$A$1:$T$117"}</definedName>
    <definedName name="aaadd_1_2" localSheetId="6" hidden="1">{"'vert'!$A$1:$T$117"}</definedName>
    <definedName name="aaadd_1_2" hidden="1">{"'vert'!$A$1:$T$117"}</definedName>
    <definedName name="aaadd_2" localSheetId="5" hidden="1">{"'vert'!$A$1:$T$117"}</definedName>
    <definedName name="aaadd_2" localSheetId="6" hidden="1">{"'vert'!$A$1:$T$117"}</definedName>
    <definedName name="aaadd_2" hidden="1">{"'vert'!$A$1:$T$117"}</definedName>
    <definedName name="aaadd_3" localSheetId="5" hidden="1">{"'vert'!$A$1:$T$117"}</definedName>
    <definedName name="aaadd_3" localSheetId="6" hidden="1">{"'vert'!$A$1:$T$117"}</definedName>
    <definedName name="aaadd_3" hidden="1">{"'vert'!$A$1:$T$117"}</definedName>
    <definedName name="aaaga_1" localSheetId="5" hidden="1">{"'vert'!$A$1:$T$117"}</definedName>
    <definedName name="aaaga_1" localSheetId="6" hidden="1">{"'vert'!$A$1:$T$117"}</definedName>
    <definedName name="aaaga_1" hidden="1">{"'vert'!$A$1:$T$117"}</definedName>
    <definedName name="aaaga_1_1" localSheetId="5" hidden="1">{"'vert'!$A$1:$T$117"}</definedName>
    <definedName name="aaaga_1_1" localSheetId="6" hidden="1">{"'vert'!$A$1:$T$117"}</definedName>
    <definedName name="aaaga_1_1" hidden="1">{"'vert'!$A$1:$T$117"}</definedName>
    <definedName name="aaaga_1_2" localSheetId="5" hidden="1">{"'vert'!$A$1:$T$117"}</definedName>
    <definedName name="aaaga_1_2" localSheetId="6" hidden="1">{"'vert'!$A$1:$T$117"}</definedName>
    <definedName name="aaaga_1_2" hidden="1">{"'vert'!$A$1:$T$117"}</definedName>
    <definedName name="aaaga_2" localSheetId="5" hidden="1">{"'vert'!$A$1:$T$117"}</definedName>
    <definedName name="aaaga_2" localSheetId="6" hidden="1">{"'vert'!$A$1:$T$117"}</definedName>
    <definedName name="aaaga_2" hidden="1">{"'vert'!$A$1:$T$117"}</definedName>
    <definedName name="aaaga_3" localSheetId="5" hidden="1">{"'vert'!$A$1:$T$117"}</definedName>
    <definedName name="aaaga_3" localSheetId="6" hidden="1">{"'vert'!$A$1:$T$117"}</definedName>
    <definedName name="aaaga_3" hidden="1">{"'vert'!$A$1:$T$117"}</definedName>
    <definedName name="AAB_Addin5" hidden="1">"AAB_Description for addin 5,Description for addin 5,Description for addin 5,Description for addin 5,Description for addin 5,Description for addin 5"</definedName>
    <definedName name="aasljlls" localSheetId="5" hidden="1">{"'vert'!$A$1:$T$117"}</definedName>
    <definedName name="aasljlls" localSheetId="6" hidden="1">{"'vert'!$A$1:$T$117"}</definedName>
    <definedName name="aasljlls" hidden="1">{"'vert'!$A$1:$T$117"}</definedName>
    <definedName name="aasljlls_1" localSheetId="5" hidden="1">{"'vert'!$A$1:$T$117"}</definedName>
    <definedName name="aasljlls_1" localSheetId="6" hidden="1">{"'vert'!$A$1:$T$117"}</definedName>
    <definedName name="aasljlls_1" hidden="1">{"'vert'!$A$1:$T$117"}</definedName>
    <definedName name="aasljlls_1_1" localSheetId="5" hidden="1">{"'vert'!$A$1:$T$117"}</definedName>
    <definedName name="aasljlls_1_1" localSheetId="6" hidden="1">{"'vert'!$A$1:$T$117"}</definedName>
    <definedName name="aasljlls_1_1" hidden="1">{"'vert'!$A$1:$T$117"}</definedName>
    <definedName name="aasljlls_1_1_1" localSheetId="5" hidden="1">{"'vert'!$A$1:$T$117"}</definedName>
    <definedName name="aasljlls_1_1_1" localSheetId="6" hidden="1">{"'vert'!$A$1:$T$117"}</definedName>
    <definedName name="aasljlls_1_1_1" hidden="1">{"'vert'!$A$1:$T$117"}</definedName>
    <definedName name="aasljlls_1_2" localSheetId="5" hidden="1">{"'vert'!$A$1:$T$117"}</definedName>
    <definedName name="aasljlls_1_2" localSheetId="6" hidden="1">{"'vert'!$A$1:$T$117"}</definedName>
    <definedName name="aasljlls_1_2" hidden="1">{"'vert'!$A$1:$T$117"}</definedName>
    <definedName name="aasljlls_2" localSheetId="5" hidden="1">{"'vert'!$A$1:$T$117"}</definedName>
    <definedName name="aasljlls_2" localSheetId="6" hidden="1">{"'vert'!$A$1:$T$117"}</definedName>
    <definedName name="aasljlls_2" hidden="1">{"'vert'!$A$1:$T$117"}</definedName>
    <definedName name="aasljlls_2_1" localSheetId="5" hidden="1">{"'vert'!$A$1:$T$117"}</definedName>
    <definedName name="aasljlls_2_1" localSheetId="6" hidden="1">{"'vert'!$A$1:$T$117"}</definedName>
    <definedName name="aasljlls_2_1" hidden="1">{"'vert'!$A$1:$T$117"}</definedName>
    <definedName name="aasljlls_2_1_1" localSheetId="5" hidden="1">{"'vert'!$A$1:$T$117"}</definedName>
    <definedName name="aasljlls_2_1_1" localSheetId="6" hidden="1">{"'vert'!$A$1:$T$117"}</definedName>
    <definedName name="aasljlls_2_1_1" hidden="1">{"'vert'!$A$1:$T$117"}</definedName>
    <definedName name="aasljlls_2_2" localSheetId="5" hidden="1">{"'vert'!$A$1:$T$117"}</definedName>
    <definedName name="aasljlls_2_2" localSheetId="6" hidden="1">{"'vert'!$A$1:$T$117"}</definedName>
    <definedName name="aasljlls_2_2" hidden="1">{"'vert'!$A$1:$T$117"}</definedName>
    <definedName name="aasljlls_3" localSheetId="5" hidden="1">{"'vert'!$A$1:$T$117"}</definedName>
    <definedName name="aasljlls_3" localSheetId="6" hidden="1">{"'vert'!$A$1:$T$117"}</definedName>
    <definedName name="aasljlls_3" hidden="1">{"'vert'!$A$1:$T$117"}</definedName>
    <definedName name="aasljlls_3_1" localSheetId="5" hidden="1">{"'vert'!$A$1:$T$117"}</definedName>
    <definedName name="aasljlls_3_1" localSheetId="6" hidden="1">{"'vert'!$A$1:$T$117"}</definedName>
    <definedName name="aasljlls_3_1" hidden="1">{"'vert'!$A$1:$T$117"}</definedName>
    <definedName name="aasljlls_4" localSheetId="5" hidden="1">{"'vert'!$A$1:$T$117"}</definedName>
    <definedName name="aasljlls_4" localSheetId="6" hidden="1">{"'vert'!$A$1:$T$117"}</definedName>
    <definedName name="aasljlls_4" hidden="1">{"'vert'!$A$1:$T$117"}</definedName>
    <definedName name="abc" localSheetId="5" hidden="1">{"'vert'!$A$1:$T$117"}</definedName>
    <definedName name="abc" localSheetId="6" hidden="1">{"'vert'!$A$1:$T$117"}</definedName>
    <definedName name="abc" hidden="1">{"'vert'!$A$1:$T$117"}</definedName>
    <definedName name="abc_1" localSheetId="5" hidden="1">{"'vert'!$A$1:$T$117"}</definedName>
    <definedName name="abc_1" localSheetId="6" hidden="1">{"'vert'!$A$1:$T$117"}</definedName>
    <definedName name="abc_1" hidden="1">{"'vert'!$A$1:$T$117"}</definedName>
    <definedName name="abc_1_1" localSheetId="5" hidden="1">{"'vert'!$A$1:$T$117"}</definedName>
    <definedName name="abc_1_1" localSheetId="6" hidden="1">{"'vert'!$A$1:$T$117"}</definedName>
    <definedName name="abc_1_1" hidden="1">{"'vert'!$A$1:$T$117"}</definedName>
    <definedName name="abc_1_1_1" localSheetId="5" hidden="1">{"'vert'!$A$1:$T$117"}</definedName>
    <definedName name="abc_1_1_1" localSheetId="6" hidden="1">{"'vert'!$A$1:$T$117"}</definedName>
    <definedName name="abc_1_1_1" hidden="1">{"'vert'!$A$1:$T$117"}</definedName>
    <definedName name="abc_1_1_1_1" localSheetId="5" hidden="1">{"'vert'!$A$1:$T$117"}</definedName>
    <definedName name="abc_1_1_1_1" localSheetId="6" hidden="1">{"'vert'!$A$1:$T$117"}</definedName>
    <definedName name="abc_1_1_1_1" hidden="1">{"'vert'!$A$1:$T$117"}</definedName>
    <definedName name="abc_1_1_2" localSheetId="5" hidden="1">{"'vert'!$A$1:$T$117"}</definedName>
    <definedName name="abc_1_1_2" localSheetId="6" hidden="1">{"'vert'!$A$1:$T$117"}</definedName>
    <definedName name="abc_1_1_2" hidden="1">{"'vert'!$A$1:$T$117"}</definedName>
    <definedName name="abc_1_2" localSheetId="5" hidden="1">{"'vert'!$A$1:$T$117"}</definedName>
    <definedName name="abc_1_2" localSheetId="6" hidden="1">{"'vert'!$A$1:$T$117"}</definedName>
    <definedName name="abc_1_2" hidden="1">{"'vert'!$A$1:$T$117"}</definedName>
    <definedName name="abc_1_2_1" localSheetId="5" hidden="1">{"'vert'!$A$1:$T$117"}</definedName>
    <definedName name="abc_1_2_1" localSheetId="6" hidden="1">{"'vert'!$A$1:$T$117"}</definedName>
    <definedName name="abc_1_2_1" hidden="1">{"'vert'!$A$1:$T$117"}</definedName>
    <definedName name="abc_1_2_1_1" localSheetId="5" hidden="1">{"'vert'!$A$1:$T$117"}</definedName>
    <definedName name="abc_1_2_1_1" localSheetId="6" hidden="1">{"'vert'!$A$1:$T$117"}</definedName>
    <definedName name="abc_1_2_1_1" hidden="1">{"'vert'!$A$1:$T$117"}</definedName>
    <definedName name="abc_1_2_2" localSheetId="5" hidden="1">{"'vert'!$A$1:$T$117"}</definedName>
    <definedName name="abc_1_2_2" localSheetId="6" hidden="1">{"'vert'!$A$1:$T$117"}</definedName>
    <definedName name="abc_1_2_2" hidden="1">{"'vert'!$A$1:$T$117"}</definedName>
    <definedName name="abc_1_3" localSheetId="5" hidden="1">{"'vert'!$A$1:$T$117"}</definedName>
    <definedName name="abc_1_3" localSheetId="6" hidden="1">{"'vert'!$A$1:$T$117"}</definedName>
    <definedName name="abc_1_3" hidden="1">{"'vert'!$A$1:$T$117"}</definedName>
    <definedName name="abc_1_3_1" localSheetId="5" hidden="1">{"'vert'!$A$1:$T$117"}</definedName>
    <definedName name="abc_1_3_1" localSheetId="6" hidden="1">{"'vert'!$A$1:$T$117"}</definedName>
    <definedName name="abc_1_3_1" hidden="1">{"'vert'!$A$1:$T$117"}</definedName>
    <definedName name="abc_1_4" localSheetId="5" hidden="1">{"'vert'!$A$1:$T$117"}</definedName>
    <definedName name="abc_1_4" localSheetId="6" hidden="1">{"'vert'!$A$1:$T$117"}</definedName>
    <definedName name="abc_1_4" hidden="1">{"'vert'!$A$1:$T$117"}</definedName>
    <definedName name="abc_2" localSheetId="5" hidden="1">{"'vert'!$A$1:$T$117"}</definedName>
    <definedName name="abc_2" localSheetId="6" hidden="1">{"'vert'!$A$1:$T$117"}</definedName>
    <definedName name="abc_2" hidden="1">{"'vert'!$A$1:$T$117"}</definedName>
    <definedName name="abc_2_1" localSheetId="5" hidden="1">{"'vert'!$A$1:$T$117"}</definedName>
    <definedName name="abc_2_1" localSheetId="6" hidden="1">{"'vert'!$A$1:$T$117"}</definedName>
    <definedName name="abc_2_1" hidden="1">{"'vert'!$A$1:$T$117"}</definedName>
    <definedName name="abc_2_1_1" localSheetId="5" hidden="1">{"'vert'!$A$1:$T$117"}</definedName>
    <definedName name="abc_2_1_1" localSheetId="6" hidden="1">{"'vert'!$A$1:$T$117"}</definedName>
    <definedName name="abc_2_1_1" hidden="1">{"'vert'!$A$1:$T$117"}</definedName>
    <definedName name="abc_2_2" localSheetId="5" hidden="1">{"'vert'!$A$1:$T$117"}</definedName>
    <definedName name="abc_2_2" localSheetId="6" hidden="1">{"'vert'!$A$1:$T$117"}</definedName>
    <definedName name="abc_2_2" hidden="1">{"'vert'!$A$1:$T$117"}</definedName>
    <definedName name="abc_3" localSheetId="5" hidden="1">{"'vert'!$A$1:$T$117"}</definedName>
    <definedName name="abc_3" localSheetId="6" hidden="1">{"'vert'!$A$1:$T$117"}</definedName>
    <definedName name="abc_3" hidden="1">{"'vert'!$A$1:$T$117"}</definedName>
    <definedName name="abc_3_1" localSheetId="5" hidden="1">{"'vert'!$A$1:$T$117"}</definedName>
    <definedName name="abc_3_1" localSheetId="6" hidden="1">{"'vert'!$A$1:$T$117"}</definedName>
    <definedName name="abc_3_1" hidden="1">{"'vert'!$A$1:$T$117"}</definedName>
    <definedName name="abc_3_1_1" localSheetId="5" hidden="1">{"'vert'!$A$1:$T$117"}</definedName>
    <definedName name="abc_3_1_1" localSheetId="6" hidden="1">{"'vert'!$A$1:$T$117"}</definedName>
    <definedName name="abc_3_1_1" hidden="1">{"'vert'!$A$1:$T$117"}</definedName>
    <definedName name="abc_3_2" localSheetId="5" hidden="1">{"'vert'!$A$1:$T$117"}</definedName>
    <definedName name="abc_3_2" localSheetId="6" hidden="1">{"'vert'!$A$1:$T$117"}</definedName>
    <definedName name="abc_3_2" hidden="1">{"'vert'!$A$1:$T$117"}</definedName>
    <definedName name="abc_4" localSheetId="5" hidden="1">{"'vert'!$A$1:$T$117"}</definedName>
    <definedName name="abc_4" localSheetId="6" hidden="1">{"'vert'!$A$1:$T$117"}</definedName>
    <definedName name="abc_4" hidden="1">{"'vert'!$A$1:$T$117"}</definedName>
    <definedName name="abc_4_1" localSheetId="5" hidden="1">{"'vert'!$A$1:$T$117"}</definedName>
    <definedName name="abc_4_1" localSheetId="6" hidden="1">{"'vert'!$A$1:$T$117"}</definedName>
    <definedName name="abc_4_1" hidden="1">{"'vert'!$A$1:$T$117"}</definedName>
    <definedName name="abc_5" localSheetId="5" hidden="1">{"'vert'!$A$1:$T$117"}</definedName>
    <definedName name="abc_5" localSheetId="6" hidden="1">{"'vert'!$A$1:$T$117"}</definedName>
    <definedName name="abc_5" hidden="1">{"'vert'!$A$1:$T$117"}</definedName>
    <definedName name="abcd" localSheetId="5" hidden="1">{"'vert'!$A$1:$T$117"}</definedName>
    <definedName name="abcd" localSheetId="6" hidden="1">{"'vert'!$A$1:$T$117"}</definedName>
    <definedName name="abcd" hidden="1">{"'vert'!$A$1:$T$117"}</definedName>
    <definedName name="abcd_1" localSheetId="5" hidden="1">{"'vert'!$A$1:$T$117"}</definedName>
    <definedName name="abcd_1" localSheetId="6" hidden="1">{"'vert'!$A$1:$T$117"}</definedName>
    <definedName name="abcd_1" hidden="1">{"'vert'!$A$1:$T$117"}</definedName>
    <definedName name="abcd_1_1" localSheetId="5" hidden="1">{"'vert'!$A$1:$T$117"}</definedName>
    <definedName name="abcd_1_1" localSheetId="6" hidden="1">{"'vert'!$A$1:$T$117"}</definedName>
    <definedName name="abcd_1_1" hidden="1">{"'vert'!$A$1:$T$117"}</definedName>
    <definedName name="abcd_1_1_1" localSheetId="5" hidden="1">{"'vert'!$A$1:$T$117"}</definedName>
    <definedName name="abcd_1_1_1" localSheetId="6" hidden="1">{"'vert'!$A$1:$T$117"}</definedName>
    <definedName name="abcd_1_1_1" hidden="1">{"'vert'!$A$1:$T$117"}</definedName>
    <definedName name="abcd_1_2" localSheetId="5" hidden="1">{"'vert'!$A$1:$T$117"}</definedName>
    <definedName name="abcd_1_2" localSheetId="6" hidden="1">{"'vert'!$A$1:$T$117"}</definedName>
    <definedName name="abcd_1_2" hidden="1">{"'vert'!$A$1:$T$117"}</definedName>
    <definedName name="abcd_2" localSheetId="5" hidden="1">{"'vert'!$A$1:$T$117"}</definedName>
    <definedName name="abcd_2" localSheetId="6" hidden="1">{"'vert'!$A$1:$T$117"}</definedName>
    <definedName name="abcd_2" hidden="1">{"'vert'!$A$1:$T$117"}</definedName>
    <definedName name="abcd_2_1" localSheetId="5" hidden="1">{"'vert'!$A$1:$T$117"}</definedName>
    <definedName name="abcd_2_1" localSheetId="6" hidden="1">{"'vert'!$A$1:$T$117"}</definedName>
    <definedName name="abcd_2_1" hidden="1">{"'vert'!$A$1:$T$117"}</definedName>
    <definedName name="abcd_2_1_1" localSheetId="5" hidden="1">{"'vert'!$A$1:$T$117"}</definedName>
    <definedName name="abcd_2_1_1" localSheetId="6" hidden="1">{"'vert'!$A$1:$T$117"}</definedName>
    <definedName name="abcd_2_1_1" hidden="1">{"'vert'!$A$1:$T$117"}</definedName>
    <definedName name="abcd_2_2" localSheetId="5" hidden="1">{"'vert'!$A$1:$T$117"}</definedName>
    <definedName name="abcd_2_2" localSheetId="6" hidden="1">{"'vert'!$A$1:$T$117"}</definedName>
    <definedName name="abcd_2_2" hidden="1">{"'vert'!$A$1:$T$117"}</definedName>
    <definedName name="abcd_3" localSheetId="5" hidden="1">{"'vert'!$A$1:$T$117"}</definedName>
    <definedName name="abcd_3" localSheetId="6" hidden="1">{"'vert'!$A$1:$T$117"}</definedName>
    <definedName name="abcd_3" hidden="1">{"'vert'!$A$1:$T$117"}</definedName>
    <definedName name="abcd_3_1" localSheetId="5" hidden="1">{"'vert'!$A$1:$T$117"}</definedName>
    <definedName name="abcd_3_1" localSheetId="6" hidden="1">{"'vert'!$A$1:$T$117"}</definedName>
    <definedName name="abcd_3_1" hidden="1">{"'vert'!$A$1:$T$117"}</definedName>
    <definedName name="abcd_4" localSheetId="5" hidden="1">{"'vert'!$A$1:$T$117"}</definedName>
    <definedName name="abcd_4" localSheetId="6" hidden="1">{"'vert'!$A$1:$T$117"}</definedName>
    <definedName name="abcd_4" hidden="1">{"'vert'!$A$1:$T$117"}</definedName>
    <definedName name="AccessDatabase" hidden="1">"H:\Comps Table\Comp Sheet V4.1 (25th May 2000).mdb"</definedName>
    <definedName name="Actuals_2002">'[22]2002 Exp'!$C$7:$R$147</definedName>
    <definedName name="adf" localSheetId="5" hidden="1">{"FCB_ALL",#N/A,FALSE,"FCB"}</definedName>
    <definedName name="adf" localSheetId="6" hidden="1">{"FCB_ALL",#N/A,FALSE,"FCB"}</definedName>
    <definedName name="adf" hidden="1">{"FCB_ALL",#N/A,FALSE,"FCB"}</definedName>
    <definedName name="adfasf" localSheetId="5" hidden="1">{"'vert'!$A$1:$T$117"}</definedName>
    <definedName name="adfasf" localSheetId="6" hidden="1">{"'vert'!$A$1:$T$117"}</definedName>
    <definedName name="adfasf" hidden="1">{"'vert'!$A$1:$T$117"}</definedName>
    <definedName name="adfasf_1" localSheetId="5" hidden="1">{"'vert'!$A$1:$T$117"}</definedName>
    <definedName name="adfasf_1" localSheetId="6" hidden="1">{"'vert'!$A$1:$T$117"}</definedName>
    <definedName name="adfasf_1" hidden="1">{"'vert'!$A$1:$T$117"}</definedName>
    <definedName name="adfasf_1_1" localSheetId="5" hidden="1">{"'vert'!$A$1:$T$117"}</definedName>
    <definedName name="adfasf_1_1" localSheetId="6" hidden="1">{"'vert'!$A$1:$T$117"}</definedName>
    <definedName name="adfasf_1_1" hidden="1">{"'vert'!$A$1:$T$117"}</definedName>
    <definedName name="adfasf_1_1_1" localSheetId="5" hidden="1">{"'vert'!$A$1:$T$117"}</definedName>
    <definedName name="adfasf_1_1_1" localSheetId="6" hidden="1">{"'vert'!$A$1:$T$117"}</definedName>
    <definedName name="adfasf_1_1_1" hidden="1">{"'vert'!$A$1:$T$117"}</definedName>
    <definedName name="adfasf_1_2" localSheetId="5" hidden="1">{"'vert'!$A$1:$T$117"}</definedName>
    <definedName name="adfasf_1_2" localSheetId="6" hidden="1">{"'vert'!$A$1:$T$117"}</definedName>
    <definedName name="adfasf_1_2" hidden="1">{"'vert'!$A$1:$T$117"}</definedName>
    <definedName name="adfasf_2" localSheetId="5" hidden="1">{"'vert'!$A$1:$T$117"}</definedName>
    <definedName name="adfasf_2" localSheetId="6" hidden="1">{"'vert'!$A$1:$T$117"}</definedName>
    <definedName name="adfasf_2" hidden="1">{"'vert'!$A$1:$T$117"}</definedName>
    <definedName name="adfasf_2_1" localSheetId="5" hidden="1">{"'vert'!$A$1:$T$117"}</definedName>
    <definedName name="adfasf_2_1" localSheetId="6" hidden="1">{"'vert'!$A$1:$T$117"}</definedName>
    <definedName name="adfasf_2_1" hidden="1">{"'vert'!$A$1:$T$117"}</definedName>
    <definedName name="adfasf_2_1_1" localSheetId="5" hidden="1">{"'vert'!$A$1:$T$117"}</definedName>
    <definedName name="adfasf_2_1_1" localSheetId="6" hidden="1">{"'vert'!$A$1:$T$117"}</definedName>
    <definedName name="adfasf_2_1_1" hidden="1">{"'vert'!$A$1:$T$117"}</definedName>
    <definedName name="adfasf_2_2" localSheetId="5" hidden="1">{"'vert'!$A$1:$T$117"}</definedName>
    <definedName name="adfasf_2_2" localSheetId="6" hidden="1">{"'vert'!$A$1:$T$117"}</definedName>
    <definedName name="adfasf_2_2" hidden="1">{"'vert'!$A$1:$T$117"}</definedName>
    <definedName name="adfasf_3" localSheetId="5" hidden="1">{"'vert'!$A$1:$T$117"}</definedName>
    <definedName name="adfasf_3" localSheetId="6" hidden="1">{"'vert'!$A$1:$T$117"}</definedName>
    <definedName name="adfasf_3" hidden="1">{"'vert'!$A$1:$T$117"}</definedName>
    <definedName name="adfasf_3_1" localSheetId="5" hidden="1">{"'vert'!$A$1:$T$117"}</definedName>
    <definedName name="adfasf_3_1" localSheetId="6" hidden="1">{"'vert'!$A$1:$T$117"}</definedName>
    <definedName name="adfasf_3_1" hidden="1">{"'vert'!$A$1:$T$117"}</definedName>
    <definedName name="adfasf_4" localSheetId="5" hidden="1">{"'vert'!$A$1:$T$117"}</definedName>
    <definedName name="adfasf_4" localSheetId="6" hidden="1">{"'vert'!$A$1:$T$117"}</definedName>
    <definedName name="adfasf_4" hidden="1">{"'vert'!$A$1:$T$117"}</definedName>
    <definedName name="adfasfasfd" localSheetId="5" hidden="1">{"'vert'!$A$1:$T$117"}</definedName>
    <definedName name="adfasfasfd" localSheetId="6" hidden="1">{"'vert'!$A$1:$T$117"}</definedName>
    <definedName name="adfasfasfd" hidden="1">{"'vert'!$A$1:$T$117"}</definedName>
    <definedName name="adfasfasfd_1" localSheetId="5" hidden="1">{"'vert'!$A$1:$T$117"}</definedName>
    <definedName name="adfasfasfd_1" localSheetId="6" hidden="1">{"'vert'!$A$1:$T$117"}</definedName>
    <definedName name="adfasfasfd_1" hidden="1">{"'vert'!$A$1:$T$117"}</definedName>
    <definedName name="adfasfasfd_1_1" localSheetId="5" hidden="1">{"'vert'!$A$1:$T$117"}</definedName>
    <definedName name="adfasfasfd_1_1" localSheetId="6" hidden="1">{"'vert'!$A$1:$T$117"}</definedName>
    <definedName name="adfasfasfd_1_1" hidden="1">{"'vert'!$A$1:$T$117"}</definedName>
    <definedName name="adfasfasfd_1_1_1" localSheetId="5" hidden="1">{"'vert'!$A$1:$T$117"}</definedName>
    <definedName name="adfasfasfd_1_1_1" localSheetId="6" hidden="1">{"'vert'!$A$1:$T$117"}</definedName>
    <definedName name="adfasfasfd_1_1_1" hidden="1">{"'vert'!$A$1:$T$117"}</definedName>
    <definedName name="adfasfasfd_1_2" localSheetId="5" hidden="1">{"'vert'!$A$1:$T$117"}</definedName>
    <definedName name="adfasfasfd_1_2" localSheetId="6" hidden="1">{"'vert'!$A$1:$T$117"}</definedName>
    <definedName name="adfasfasfd_1_2" hidden="1">{"'vert'!$A$1:$T$117"}</definedName>
    <definedName name="adfasfasfd_2" localSheetId="5" hidden="1">{"'vert'!$A$1:$T$117"}</definedName>
    <definedName name="adfasfasfd_2" localSheetId="6" hidden="1">{"'vert'!$A$1:$T$117"}</definedName>
    <definedName name="adfasfasfd_2" hidden="1">{"'vert'!$A$1:$T$117"}</definedName>
    <definedName name="adfasfasfd_2_1" localSheetId="5" hidden="1">{"'vert'!$A$1:$T$117"}</definedName>
    <definedName name="adfasfasfd_2_1" localSheetId="6" hidden="1">{"'vert'!$A$1:$T$117"}</definedName>
    <definedName name="adfasfasfd_2_1" hidden="1">{"'vert'!$A$1:$T$117"}</definedName>
    <definedName name="adfasfasfd_2_1_1" localSheetId="5" hidden="1">{"'vert'!$A$1:$T$117"}</definedName>
    <definedName name="adfasfasfd_2_1_1" localSheetId="6" hidden="1">{"'vert'!$A$1:$T$117"}</definedName>
    <definedName name="adfasfasfd_2_1_1" hidden="1">{"'vert'!$A$1:$T$117"}</definedName>
    <definedName name="adfasfasfd_2_2" localSheetId="5" hidden="1">{"'vert'!$A$1:$T$117"}</definedName>
    <definedName name="adfasfasfd_2_2" localSheetId="6" hidden="1">{"'vert'!$A$1:$T$117"}</definedName>
    <definedName name="adfasfasfd_2_2" hidden="1">{"'vert'!$A$1:$T$117"}</definedName>
    <definedName name="adfasfasfd_3" localSheetId="5" hidden="1">{"'vert'!$A$1:$T$117"}</definedName>
    <definedName name="adfasfasfd_3" localSheetId="6" hidden="1">{"'vert'!$A$1:$T$117"}</definedName>
    <definedName name="adfasfasfd_3" hidden="1">{"'vert'!$A$1:$T$117"}</definedName>
    <definedName name="adfasfasfd_3_1" localSheetId="5" hidden="1">{"'vert'!$A$1:$T$117"}</definedName>
    <definedName name="adfasfasfd_3_1" localSheetId="6" hidden="1">{"'vert'!$A$1:$T$117"}</definedName>
    <definedName name="adfasfasfd_3_1" hidden="1">{"'vert'!$A$1:$T$117"}</definedName>
    <definedName name="adfasfasfd_4" localSheetId="5" hidden="1">{"'vert'!$A$1:$T$117"}</definedName>
    <definedName name="adfasfasfd_4" localSheetId="6" hidden="1">{"'vert'!$A$1:$T$117"}</definedName>
    <definedName name="adfasfasfd_4" hidden="1">{"'vert'!$A$1:$T$117"}</definedName>
    <definedName name="adfgdagd_1" localSheetId="5" hidden="1">{"'vert'!$A$1:$T$117"}</definedName>
    <definedName name="adfgdagd_1" localSheetId="6" hidden="1">{"'vert'!$A$1:$T$117"}</definedName>
    <definedName name="adfgdagd_1" hidden="1">{"'vert'!$A$1:$T$117"}</definedName>
    <definedName name="adfgdagd_1_1" localSheetId="5" hidden="1">{"'vert'!$A$1:$T$117"}</definedName>
    <definedName name="adfgdagd_1_1" localSheetId="6" hidden="1">{"'vert'!$A$1:$T$117"}</definedName>
    <definedName name="adfgdagd_1_1" hidden="1">{"'vert'!$A$1:$T$117"}</definedName>
    <definedName name="adfgdagd_1_2" localSheetId="5" hidden="1">{"'vert'!$A$1:$T$117"}</definedName>
    <definedName name="adfgdagd_1_2" localSheetId="6" hidden="1">{"'vert'!$A$1:$T$117"}</definedName>
    <definedName name="adfgdagd_1_2" hidden="1">{"'vert'!$A$1:$T$117"}</definedName>
    <definedName name="adfgdagd_2" localSheetId="5" hidden="1">{"'vert'!$A$1:$T$117"}</definedName>
    <definedName name="adfgdagd_2" localSheetId="6" hidden="1">{"'vert'!$A$1:$T$117"}</definedName>
    <definedName name="adfgdagd_2" hidden="1">{"'vert'!$A$1:$T$117"}</definedName>
    <definedName name="adfgdagd_3" localSheetId="5" hidden="1">{"'vert'!$A$1:$T$117"}</definedName>
    <definedName name="adfgdagd_3" localSheetId="6" hidden="1">{"'vert'!$A$1:$T$117"}</definedName>
    <definedName name="adfgdagd_3" hidden="1">{"'vert'!$A$1:$T$117"}</definedName>
    <definedName name="adfsafasdf" localSheetId="5" hidden="1">{"'weekly data'!$A$2:$AS$36"}</definedName>
    <definedName name="adfsafasdf" localSheetId="6" hidden="1">{"'weekly data'!$A$2:$AS$36"}</definedName>
    <definedName name="adfsafasdf" hidden="1">{"'weekly data'!$A$2:$AS$36"}</definedName>
    <definedName name="adfsafasdf_1" localSheetId="5" hidden="1">{"'weekly data'!$A$2:$AS$36"}</definedName>
    <definedName name="adfsafasdf_1" localSheetId="6" hidden="1">{"'weekly data'!$A$2:$AS$36"}</definedName>
    <definedName name="adfsafasdf_1" hidden="1">{"'weekly data'!$A$2:$AS$36"}</definedName>
    <definedName name="adfsafasdf_1_1" localSheetId="5" hidden="1">{"'weekly data'!$A$2:$AS$36"}</definedName>
    <definedName name="adfsafasdf_1_1" localSheetId="6" hidden="1">{"'weekly data'!$A$2:$AS$36"}</definedName>
    <definedName name="adfsafasdf_1_1" hidden="1">{"'weekly data'!$A$2:$AS$36"}</definedName>
    <definedName name="adfsafasdf_1_1_1" localSheetId="5" hidden="1">{"'weekly data'!$A$2:$AS$36"}</definedName>
    <definedName name="adfsafasdf_1_1_1" localSheetId="6" hidden="1">{"'weekly data'!$A$2:$AS$36"}</definedName>
    <definedName name="adfsafasdf_1_1_1" hidden="1">{"'weekly data'!$A$2:$AS$36"}</definedName>
    <definedName name="adfsafasdf_1_2" localSheetId="5" hidden="1">{"'weekly data'!$A$2:$AS$36"}</definedName>
    <definedName name="adfsafasdf_1_2" localSheetId="6" hidden="1">{"'weekly data'!$A$2:$AS$36"}</definedName>
    <definedName name="adfsafasdf_1_2" hidden="1">{"'weekly data'!$A$2:$AS$36"}</definedName>
    <definedName name="adfsafasdf_2" localSheetId="5" hidden="1">{"'weekly data'!$A$2:$AS$36"}</definedName>
    <definedName name="adfsafasdf_2" localSheetId="6" hidden="1">{"'weekly data'!$A$2:$AS$36"}</definedName>
    <definedName name="adfsafasdf_2" hidden="1">{"'weekly data'!$A$2:$AS$36"}</definedName>
    <definedName name="adfsafasdf_2_1" localSheetId="5" hidden="1">{"'weekly data'!$A$2:$AS$36"}</definedName>
    <definedName name="adfsafasdf_2_1" localSheetId="6" hidden="1">{"'weekly data'!$A$2:$AS$36"}</definedName>
    <definedName name="adfsafasdf_2_1" hidden="1">{"'weekly data'!$A$2:$AS$36"}</definedName>
    <definedName name="adfsafasdf_2_1_1" localSheetId="5" hidden="1">{"'weekly data'!$A$2:$AS$36"}</definedName>
    <definedName name="adfsafasdf_2_1_1" localSheetId="6" hidden="1">{"'weekly data'!$A$2:$AS$36"}</definedName>
    <definedName name="adfsafasdf_2_1_1" hidden="1">{"'weekly data'!$A$2:$AS$36"}</definedName>
    <definedName name="adfsafasdf_2_2" localSheetId="5" hidden="1">{"'weekly data'!$A$2:$AS$36"}</definedName>
    <definedName name="adfsafasdf_2_2" localSheetId="6" hidden="1">{"'weekly data'!$A$2:$AS$36"}</definedName>
    <definedName name="adfsafasdf_2_2" hidden="1">{"'weekly data'!$A$2:$AS$36"}</definedName>
    <definedName name="adfsafasdf_3" localSheetId="5" hidden="1">{"'weekly data'!$A$2:$AS$36"}</definedName>
    <definedName name="adfsafasdf_3" localSheetId="6" hidden="1">{"'weekly data'!$A$2:$AS$36"}</definedName>
    <definedName name="adfsafasdf_3" hidden="1">{"'weekly data'!$A$2:$AS$36"}</definedName>
    <definedName name="adfsafasdf_3_1" localSheetId="5" hidden="1">{"'weekly data'!$A$2:$AS$36"}</definedName>
    <definedName name="adfsafasdf_3_1" localSheetId="6" hidden="1">{"'weekly data'!$A$2:$AS$36"}</definedName>
    <definedName name="adfsafasdf_3_1" hidden="1">{"'weekly data'!$A$2:$AS$36"}</definedName>
    <definedName name="adfsafasdf_4" localSheetId="5" hidden="1">{"'weekly data'!$A$2:$AS$36"}</definedName>
    <definedName name="adfsafasdf_4" localSheetId="6" hidden="1">{"'weekly data'!$A$2:$AS$36"}</definedName>
    <definedName name="adfsafasdf_4" hidden="1">{"'weekly data'!$A$2:$AS$36"}</definedName>
    <definedName name="adfsdf" localSheetId="5" hidden="1">{"'vert'!$A$1:$T$117"}</definedName>
    <definedName name="adfsdf" localSheetId="6" hidden="1">{"'vert'!$A$1:$T$117"}</definedName>
    <definedName name="adfsdf" hidden="1">{"'vert'!$A$1:$T$117"}</definedName>
    <definedName name="adfsdf_1" localSheetId="5" hidden="1">{"'vert'!$A$1:$T$117"}</definedName>
    <definedName name="adfsdf_1" localSheetId="6" hidden="1">{"'vert'!$A$1:$T$117"}</definedName>
    <definedName name="adfsdf_1" hidden="1">{"'vert'!$A$1:$T$117"}</definedName>
    <definedName name="adfsdf_1_1" localSheetId="5" hidden="1">{"'vert'!$A$1:$T$117"}</definedName>
    <definedName name="adfsdf_1_1" localSheetId="6" hidden="1">{"'vert'!$A$1:$T$117"}</definedName>
    <definedName name="adfsdf_1_1" hidden="1">{"'vert'!$A$1:$T$117"}</definedName>
    <definedName name="adfsdf_1_2" localSheetId="5" hidden="1">{"'vert'!$A$1:$T$117"}</definedName>
    <definedName name="adfsdf_1_2" localSheetId="6" hidden="1">{"'vert'!$A$1:$T$117"}</definedName>
    <definedName name="adfsdf_1_2" hidden="1">{"'vert'!$A$1:$T$117"}</definedName>
    <definedName name="adfsdf_2" localSheetId="5" hidden="1">{"'vert'!$A$1:$T$117"}</definedName>
    <definedName name="adfsdf_2" localSheetId="6" hidden="1">{"'vert'!$A$1:$T$117"}</definedName>
    <definedName name="adfsdf_2" hidden="1">{"'vert'!$A$1:$T$117"}</definedName>
    <definedName name="adfsdf_3" localSheetId="5" hidden="1">{"'vert'!$A$1:$T$117"}</definedName>
    <definedName name="adfsdf_3" localSheetId="6" hidden="1">{"'vert'!$A$1:$T$117"}</definedName>
    <definedName name="adfsdf_3" hidden="1">{"'vert'!$A$1:$T$117"}</definedName>
    <definedName name="adiljfh" hidden="1">#REF!</definedName>
    <definedName name="adsfads" localSheetId="5" hidden="1">{"'vert'!$A$1:$T$117"}</definedName>
    <definedName name="adsfads" localSheetId="6" hidden="1">{"'vert'!$A$1:$T$117"}</definedName>
    <definedName name="adsfads" hidden="1">{"'vert'!$A$1:$T$117"}</definedName>
    <definedName name="adsfkljalfdj" localSheetId="5" hidden="1">{"'vert'!$A$1:$T$117"}</definedName>
    <definedName name="adsfkljalfdj" localSheetId="6" hidden="1">{"'vert'!$A$1:$T$117"}</definedName>
    <definedName name="adsfkljalfdj" hidden="1">{"'vert'!$A$1:$T$117"}</definedName>
    <definedName name="aeae" localSheetId="5" hidden="1">{#N/A,#N/A,FALSE,"Trading-Mult ";#N/A,#N/A,FALSE,"Trading-Cap";#N/A,#N/A,FALSE,"Trading-Inc";#N/A,#N/A,FALSE,"Cash Flow";#N/A,#N/A,FALSE,"M&amp;A info"}</definedName>
    <definedName name="aeae" localSheetId="6" hidden="1">{#N/A,#N/A,FALSE,"Trading-Mult ";#N/A,#N/A,FALSE,"Trading-Cap";#N/A,#N/A,FALSE,"Trading-Inc";#N/A,#N/A,FALSE,"Cash Flow";#N/A,#N/A,FALSE,"M&amp;A info"}</definedName>
    <definedName name="aeae" hidden="1">{#N/A,#N/A,FALSE,"Trading-Mult ";#N/A,#N/A,FALSE,"Trading-Cap";#N/A,#N/A,FALSE,"Trading-Inc";#N/A,#N/A,FALSE,"Cash Flow";#N/A,#N/A,FALSE,"M&amp;A info"}</definedName>
    <definedName name="afds" localSheetId="5" hidden="1">{"'vert'!$A$1:$T$117"}</definedName>
    <definedName name="afds" localSheetId="6" hidden="1">{"'vert'!$A$1:$T$117"}</definedName>
    <definedName name="afds" hidden="1">{"'vert'!$A$1:$T$117"}</definedName>
    <definedName name="afds_1" localSheetId="5" hidden="1">{"'vert'!$A$1:$T$117"}</definedName>
    <definedName name="afds_1" localSheetId="6" hidden="1">{"'vert'!$A$1:$T$117"}</definedName>
    <definedName name="afds_1" hidden="1">{"'vert'!$A$1:$T$117"}</definedName>
    <definedName name="afds_1_1" localSheetId="5" hidden="1">{"'vert'!$A$1:$T$117"}</definedName>
    <definedName name="afds_1_1" localSheetId="6" hidden="1">{"'vert'!$A$1:$T$117"}</definedName>
    <definedName name="afds_1_1" hidden="1">{"'vert'!$A$1:$T$117"}</definedName>
    <definedName name="afds_1_2" localSheetId="5" hidden="1">{"'vert'!$A$1:$T$117"}</definedName>
    <definedName name="afds_1_2" localSheetId="6" hidden="1">{"'vert'!$A$1:$T$117"}</definedName>
    <definedName name="afds_1_2" hidden="1">{"'vert'!$A$1:$T$117"}</definedName>
    <definedName name="afds_2" localSheetId="5" hidden="1">{"'vert'!$A$1:$T$117"}</definedName>
    <definedName name="afds_2" localSheetId="6" hidden="1">{"'vert'!$A$1:$T$117"}</definedName>
    <definedName name="afds_2" hidden="1">{"'vert'!$A$1:$T$117"}</definedName>
    <definedName name="afds_3" localSheetId="5" hidden="1">{"'vert'!$A$1:$T$117"}</definedName>
    <definedName name="afds_3" localSheetId="6" hidden="1">{"'vert'!$A$1:$T$117"}</definedName>
    <definedName name="afds_3" hidden="1">{"'vert'!$A$1:$T$117"}</definedName>
    <definedName name="agagafadgf_1" localSheetId="5" hidden="1">{"'vert'!$A$1:$T$117"}</definedName>
    <definedName name="agagafadgf_1" localSheetId="6" hidden="1">{"'vert'!$A$1:$T$117"}</definedName>
    <definedName name="agagafadgf_1" hidden="1">{"'vert'!$A$1:$T$117"}</definedName>
    <definedName name="agagafadgf_1_1" localSheetId="5" hidden="1">{"'vert'!$A$1:$T$117"}</definedName>
    <definedName name="agagafadgf_1_1" localSheetId="6" hidden="1">{"'vert'!$A$1:$T$117"}</definedName>
    <definedName name="agagafadgf_1_1" hidden="1">{"'vert'!$A$1:$T$117"}</definedName>
    <definedName name="agagafadgf_1_2" localSheetId="5" hidden="1">{"'vert'!$A$1:$T$117"}</definedName>
    <definedName name="agagafadgf_1_2" localSheetId="6" hidden="1">{"'vert'!$A$1:$T$117"}</definedName>
    <definedName name="agagafadgf_1_2" hidden="1">{"'vert'!$A$1:$T$117"}</definedName>
    <definedName name="agagafadgf_2" localSheetId="5" hidden="1">{"'vert'!$A$1:$T$117"}</definedName>
    <definedName name="agagafadgf_2" localSheetId="6" hidden="1">{"'vert'!$A$1:$T$117"}</definedName>
    <definedName name="agagafadgf_2" hidden="1">{"'vert'!$A$1:$T$117"}</definedName>
    <definedName name="agagafadgf_3" localSheetId="5" hidden="1">{"'vert'!$A$1:$T$117"}</definedName>
    <definedName name="agagafadgf_3" localSheetId="6" hidden="1">{"'vert'!$A$1:$T$117"}</definedName>
    <definedName name="agagafadgf_3" hidden="1">{"'vert'!$A$1:$T$117"}</definedName>
    <definedName name="agagda_1" localSheetId="5" hidden="1">{"'vert'!$A$1:$T$117"}</definedName>
    <definedName name="agagda_1" localSheetId="6" hidden="1">{"'vert'!$A$1:$T$117"}</definedName>
    <definedName name="agagda_1" hidden="1">{"'vert'!$A$1:$T$117"}</definedName>
    <definedName name="agagda_1_1" localSheetId="5" hidden="1">{"'vert'!$A$1:$T$117"}</definedName>
    <definedName name="agagda_1_1" localSheetId="6" hidden="1">{"'vert'!$A$1:$T$117"}</definedName>
    <definedName name="agagda_1_1" hidden="1">{"'vert'!$A$1:$T$117"}</definedName>
    <definedName name="agagda_1_2" localSheetId="5" hidden="1">{"'vert'!$A$1:$T$117"}</definedName>
    <definedName name="agagda_1_2" localSheetId="6" hidden="1">{"'vert'!$A$1:$T$117"}</definedName>
    <definedName name="agagda_1_2" hidden="1">{"'vert'!$A$1:$T$117"}</definedName>
    <definedName name="agagda_2" localSheetId="5" hidden="1">{"'vert'!$A$1:$T$117"}</definedName>
    <definedName name="agagda_2" localSheetId="6" hidden="1">{"'vert'!$A$1:$T$117"}</definedName>
    <definedName name="agagda_2" hidden="1">{"'vert'!$A$1:$T$117"}</definedName>
    <definedName name="agagda_3" localSheetId="5" hidden="1">{"'vert'!$A$1:$T$117"}</definedName>
    <definedName name="agagda_3" localSheetId="6" hidden="1">{"'vert'!$A$1:$T$117"}</definedName>
    <definedName name="agagda_3" hidden="1">{"'vert'!$A$1:$T$117"}</definedName>
    <definedName name="agdagdafgadgf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gdagdafgadgf_1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gdagdafgadgf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gdagdafgadgf_1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gdagdafgadgf_1_1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gdagdafgadgf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gdagdafgadgf_1_2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gdagdafgadgf_1_2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gdagdafgadgf_1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gdagdafgadgf_2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gdagdafgadgf_2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gdagdafgadgf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gdagdafgadgf_3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gdagdafgadgf_3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gdagdafgadgf_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gfagadgdagfda_1" localSheetId="5" hidden="1">{"'vert'!$A$1:$T$117"}</definedName>
    <definedName name="agfagadgdagfda_1" localSheetId="6" hidden="1">{"'vert'!$A$1:$T$117"}</definedName>
    <definedName name="agfagadgdagfda_1" hidden="1">{"'vert'!$A$1:$T$117"}</definedName>
    <definedName name="agfagadgdagfda_1_1" localSheetId="5" hidden="1">{"'vert'!$A$1:$T$117"}</definedName>
    <definedName name="agfagadgdagfda_1_1" localSheetId="6" hidden="1">{"'vert'!$A$1:$T$117"}</definedName>
    <definedName name="agfagadgdagfda_1_1" hidden="1">{"'vert'!$A$1:$T$117"}</definedName>
    <definedName name="agfagadgdagfda_1_2" localSheetId="5" hidden="1">{"'vert'!$A$1:$T$117"}</definedName>
    <definedName name="agfagadgdagfda_1_2" localSheetId="6" hidden="1">{"'vert'!$A$1:$T$117"}</definedName>
    <definedName name="agfagadgdagfda_1_2" hidden="1">{"'vert'!$A$1:$T$117"}</definedName>
    <definedName name="agfagadgdagfda_2" localSheetId="5" hidden="1">{"'vert'!$A$1:$T$117"}</definedName>
    <definedName name="agfagadgdagfda_2" localSheetId="6" hidden="1">{"'vert'!$A$1:$T$117"}</definedName>
    <definedName name="agfagadgdagfda_2" hidden="1">{"'vert'!$A$1:$T$117"}</definedName>
    <definedName name="agfagadgdagfda_3" localSheetId="5" hidden="1">{"'vert'!$A$1:$T$117"}</definedName>
    <definedName name="agfagadgdagfda_3" localSheetId="6" hidden="1">{"'vert'!$A$1:$T$117"}</definedName>
    <definedName name="agfagadgdagfda_3" hidden="1">{"'vert'!$A$1:$T$117"}</definedName>
    <definedName name="agfagff_1" localSheetId="5" hidden="1">{"'vert'!$A$1:$T$117"}</definedName>
    <definedName name="agfagff_1" localSheetId="6" hidden="1">{"'vert'!$A$1:$T$117"}</definedName>
    <definedName name="agfagff_1" hidden="1">{"'vert'!$A$1:$T$117"}</definedName>
    <definedName name="agfagff_1_1" localSheetId="5" hidden="1">{"'vert'!$A$1:$T$117"}</definedName>
    <definedName name="agfagff_1_1" localSheetId="6" hidden="1">{"'vert'!$A$1:$T$117"}</definedName>
    <definedName name="agfagff_1_1" hidden="1">{"'vert'!$A$1:$T$117"}</definedName>
    <definedName name="agfagff_1_2" localSheetId="5" hidden="1">{"'vert'!$A$1:$T$117"}</definedName>
    <definedName name="agfagff_1_2" localSheetId="6" hidden="1">{"'vert'!$A$1:$T$117"}</definedName>
    <definedName name="agfagff_1_2" hidden="1">{"'vert'!$A$1:$T$117"}</definedName>
    <definedName name="agfagff_2" localSheetId="5" hidden="1">{"'vert'!$A$1:$T$117"}</definedName>
    <definedName name="agfagff_2" localSheetId="6" hidden="1">{"'vert'!$A$1:$T$117"}</definedName>
    <definedName name="agfagff_2" hidden="1">{"'vert'!$A$1:$T$117"}</definedName>
    <definedName name="agfagff_3" localSheetId="5" hidden="1">{"'vert'!$A$1:$T$117"}</definedName>
    <definedName name="agfagff_3" localSheetId="6" hidden="1">{"'vert'!$A$1:$T$117"}</definedName>
    <definedName name="agfagff_3" hidden="1">{"'vert'!$A$1:$T$117"}</definedName>
    <definedName name="agg" localSheetId="5" hidden="1">{"'vert'!$A$1:$T$117"}</definedName>
    <definedName name="agg" localSheetId="6" hidden="1">{"'vert'!$A$1:$T$117"}</definedName>
    <definedName name="agg" hidden="1">{"'vert'!$A$1:$T$117"}</definedName>
    <definedName name="ajalfdj" localSheetId="5" hidden="1">{"'vert'!$A$1:$T$117"}</definedName>
    <definedName name="ajalfdj" localSheetId="6" hidden="1">{"'vert'!$A$1:$T$117"}</definedName>
    <definedName name="ajalfdj" hidden="1">{"'vert'!$A$1:$T$117"}</definedName>
    <definedName name="ajalfdj_1" localSheetId="5" hidden="1">{"'vert'!$A$1:$T$117"}</definedName>
    <definedName name="ajalfdj_1" localSheetId="6" hidden="1">{"'vert'!$A$1:$T$117"}</definedName>
    <definedName name="ajalfdj_1" hidden="1">{"'vert'!$A$1:$T$117"}</definedName>
    <definedName name="ajalfdj_1_1" localSheetId="5" hidden="1">{"'vert'!$A$1:$T$117"}</definedName>
    <definedName name="ajalfdj_1_1" localSheetId="6" hidden="1">{"'vert'!$A$1:$T$117"}</definedName>
    <definedName name="ajalfdj_1_1" hidden="1">{"'vert'!$A$1:$T$117"}</definedName>
    <definedName name="ajalfdj_1_1_1" localSheetId="5" hidden="1">{"'vert'!$A$1:$T$117"}</definedName>
    <definedName name="ajalfdj_1_1_1" localSheetId="6" hidden="1">{"'vert'!$A$1:$T$117"}</definedName>
    <definedName name="ajalfdj_1_1_1" hidden="1">{"'vert'!$A$1:$T$117"}</definedName>
    <definedName name="ajalfdj_1_1_1_1" localSheetId="5" hidden="1">{"'vert'!$A$1:$T$117"}</definedName>
    <definedName name="ajalfdj_1_1_1_1" localSheetId="6" hidden="1">{"'vert'!$A$1:$T$117"}</definedName>
    <definedName name="ajalfdj_1_1_1_1" hidden="1">{"'vert'!$A$1:$T$117"}</definedName>
    <definedName name="ajalfdj_1_1_2" localSheetId="5" hidden="1">{"'vert'!$A$1:$T$117"}</definedName>
    <definedName name="ajalfdj_1_1_2" localSheetId="6" hidden="1">{"'vert'!$A$1:$T$117"}</definedName>
    <definedName name="ajalfdj_1_1_2" hidden="1">{"'vert'!$A$1:$T$117"}</definedName>
    <definedName name="ajalfdj_1_2" localSheetId="5" hidden="1">{"'vert'!$A$1:$T$117"}</definedName>
    <definedName name="ajalfdj_1_2" localSheetId="6" hidden="1">{"'vert'!$A$1:$T$117"}</definedName>
    <definedName name="ajalfdj_1_2" hidden="1">{"'vert'!$A$1:$T$117"}</definedName>
    <definedName name="ajalfdj_1_2_1" localSheetId="5" hidden="1">{"'vert'!$A$1:$T$117"}</definedName>
    <definedName name="ajalfdj_1_2_1" localSheetId="6" hidden="1">{"'vert'!$A$1:$T$117"}</definedName>
    <definedName name="ajalfdj_1_2_1" hidden="1">{"'vert'!$A$1:$T$117"}</definedName>
    <definedName name="ajalfdj_1_2_1_1" localSheetId="5" hidden="1">{"'vert'!$A$1:$T$117"}</definedName>
    <definedName name="ajalfdj_1_2_1_1" localSheetId="6" hidden="1">{"'vert'!$A$1:$T$117"}</definedName>
    <definedName name="ajalfdj_1_2_1_1" hidden="1">{"'vert'!$A$1:$T$117"}</definedName>
    <definedName name="ajalfdj_1_2_2" localSheetId="5" hidden="1">{"'vert'!$A$1:$T$117"}</definedName>
    <definedName name="ajalfdj_1_2_2" localSheetId="6" hidden="1">{"'vert'!$A$1:$T$117"}</definedName>
    <definedName name="ajalfdj_1_2_2" hidden="1">{"'vert'!$A$1:$T$117"}</definedName>
    <definedName name="ajalfdj_1_3" localSheetId="5" hidden="1">{"'vert'!$A$1:$T$117"}</definedName>
    <definedName name="ajalfdj_1_3" localSheetId="6" hidden="1">{"'vert'!$A$1:$T$117"}</definedName>
    <definedName name="ajalfdj_1_3" hidden="1">{"'vert'!$A$1:$T$117"}</definedName>
    <definedName name="ajalfdj_1_3_1" localSheetId="5" hidden="1">{"'vert'!$A$1:$T$117"}</definedName>
    <definedName name="ajalfdj_1_3_1" localSheetId="6" hidden="1">{"'vert'!$A$1:$T$117"}</definedName>
    <definedName name="ajalfdj_1_3_1" hidden="1">{"'vert'!$A$1:$T$117"}</definedName>
    <definedName name="ajalfdj_1_4" localSheetId="5" hidden="1">{"'vert'!$A$1:$T$117"}</definedName>
    <definedName name="ajalfdj_1_4" localSheetId="6" hidden="1">{"'vert'!$A$1:$T$117"}</definedName>
    <definedName name="ajalfdj_1_4" hidden="1">{"'vert'!$A$1:$T$117"}</definedName>
    <definedName name="ajalfdj_2" localSheetId="5" hidden="1">{"'vert'!$A$1:$T$117"}</definedName>
    <definedName name="ajalfdj_2" localSheetId="6" hidden="1">{"'vert'!$A$1:$T$117"}</definedName>
    <definedName name="ajalfdj_2" hidden="1">{"'vert'!$A$1:$T$117"}</definedName>
    <definedName name="ajalfdj_2_1" localSheetId="5" hidden="1">{"'vert'!$A$1:$T$117"}</definedName>
    <definedName name="ajalfdj_2_1" localSheetId="6" hidden="1">{"'vert'!$A$1:$T$117"}</definedName>
    <definedName name="ajalfdj_2_1" hidden="1">{"'vert'!$A$1:$T$117"}</definedName>
    <definedName name="ajalfdj_2_1_1" localSheetId="5" hidden="1">{"'vert'!$A$1:$T$117"}</definedName>
    <definedName name="ajalfdj_2_1_1" localSheetId="6" hidden="1">{"'vert'!$A$1:$T$117"}</definedName>
    <definedName name="ajalfdj_2_1_1" hidden="1">{"'vert'!$A$1:$T$117"}</definedName>
    <definedName name="ajalfdj_2_2" localSheetId="5" hidden="1">{"'vert'!$A$1:$T$117"}</definedName>
    <definedName name="ajalfdj_2_2" localSheetId="6" hidden="1">{"'vert'!$A$1:$T$117"}</definedName>
    <definedName name="ajalfdj_2_2" hidden="1">{"'vert'!$A$1:$T$117"}</definedName>
    <definedName name="ajalfdj_3" localSheetId="5" hidden="1">{"'vert'!$A$1:$T$117"}</definedName>
    <definedName name="ajalfdj_3" localSheetId="6" hidden="1">{"'vert'!$A$1:$T$117"}</definedName>
    <definedName name="ajalfdj_3" hidden="1">{"'vert'!$A$1:$T$117"}</definedName>
    <definedName name="ajalfdj_3_1" localSheetId="5" hidden="1">{"'vert'!$A$1:$T$117"}</definedName>
    <definedName name="ajalfdj_3_1" localSheetId="6" hidden="1">{"'vert'!$A$1:$T$117"}</definedName>
    <definedName name="ajalfdj_3_1" hidden="1">{"'vert'!$A$1:$T$117"}</definedName>
    <definedName name="ajalfdj_3_1_1" localSheetId="5" hidden="1">{"'vert'!$A$1:$T$117"}</definedName>
    <definedName name="ajalfdj_3_1_1" localSheetId="6" hidden="1">{"'vert'!$A$1:$T$117"}</definedName>
    <definedName name="ajalfdj_3_1_1" hidden="1">{"'vert'!$A$1:$T$117"}</definedName>
    <definedName name="ajalfdj_3_2" localSheetId="5" hidden="1">{"'vert'!$A$1:$T$117"}</definedName>
    <definedName name="ajalfdj_3_2" localSheetId="6" hidden="1">{"'vert'!$A$1:$T$117"}</definedName>
    <definedName name="ajalfdj_3_2" hidden="1">{"'vert'!$A$1:$T$117"}</definedName>
    <definedName name="ajalfdj_4" localSheetId="5" hidden="1">{"'vert'!$A$1:$T$117"}</definedName>
    <definedName name="ajalfdj_4" localSheetId="6" hidden="1">{"'vert'!$A$1:$T$117"}</definedName>
    <definedName name="ajalfdj_4" hidden="1">{"'vert'!$A$1:$T$117"}</definedName>
    <definedName name="ajalfdj_4_1" localSheetId="5" hidden="1">{"'vert'!$A$1:$T$117"}</definedName>
    <definedName name="ajalfdj_4_1" localSheetId="6" hidden="1">{"'vert'!$A$1:$T$117"}</definedName>
    <definedName name="ajalfdj_4_1" hidden="1">{"'vert'!$A$1:$T$117"}</definedName>
    <definedName name="ajalfdj_5" localSheetId="5" hidden="1">{"'vert'!$A$1:$T$117"}</definedName>
    <definedName name="ajalfdj_5" localSheetId="6" hidden="1">{"'vert'!$A$1:$T$117"}</definedName>
    <definedName name="ajalfdj_5" hidden="1">{"'vert'!$A$1:$T$117"}</definedName>
    <definedName name="ajalfdj1" localSheetId="5" hidden="1">{"'vert'!$A$1:$T$117"}</definedName>
    <definedName name="ajalfdj1" localSheetId="6" hidden="1">{"'vert'!$A$1:$T$117"}</definedName>
    <definedName name="ajalfdj1" hidden="1">{"'vert'!$A$1:$T$117"}</definedName>
    <definedName name="ajalfdj1_1" localSheetId="5" hidden="1">{"'vert'!$A$1:$T$117"}</definedName>
    <definedName name="ajalfdj1_1" localSheetId="6" hidden="1">{"'vert'!$A$1:$T$117"}</definedName>
    <definedName name="ajalfdj1_1" hidden="1">{"'vert'!$A$1:$T$117"}</definedName>
    <definedName name="ajalfdj1_1_1" localSheetId="5" hidden="1">{"'vert'!$A$1:$T$117"}</definedName>
    <definedName name="ajalfdj1_1_1" localSheetId="6" hidden="1">{"'vert'!$A$1:$T$117"}</definedName>
    <definedName name="ajalfdj1_1_1" hidden="1">{"'vert'!$A$1:$T$117"}</definedName>
    <definedName name="ajalfdj1_1_2" localSheetId="5" hidden="1">{"'vert'!$A$1:$T$117"}</definedName>
    <definedName name="ajalfdj1_1_2" localSheetId="6" hidden="1">{"'vert'!$A$1:$T$117"}</definedName>
    <definedName name="ajalfdj1_1_2" hidden="1">{"'vert'!$A$1:$T$117"}</definedName>
    <definedName name="ajalfdj1_2" localSheetId="5" hidden="1">{"'vert'!$A$1:$T$117"}</definedName>
    <definedName name="ajalfdj1_2" localSheetId="6" hidden="1">{"'vert'!$A$1:$T$117"}</definedName>
    <definedName name="ajalfdj1_2" hidden="1">{"'vert'!$A$1:$T$117"}</definedName>
    <definedName name="ajalfdj1_3" localSheetId="5" hidden="1">{"'vert'!$A$1:$T$117"}</definedName>
    <definedName name="ajalfdj1_3" localSheetId="6" hidden="1">{"'vert'!$A$1:$T$117"}</definedName>
    <definedName name="ajalfdj1_3" hidden="1">{"'vert'!$A$1:$T$117"}</definedName>
    <definedName name="ajalfdj2" localSheetId="5" hidden="1">{"'vert'!$A$1:$T$117"}</definedName>
    <definedName name="ajalfdj2" localSheetId="6" hidden="1">{"'vert'!$A$1:$T$117"}</definedName>
    <definedName name="ajalfdj2" hidden="1">{"'vert'!$A$1:$T$117"}</definedName>
    <definedName name="ajalfdj2_1" localSheetId="5" hidden="1">{"'vert'!$A$1:$T$117"}</definedName>
    <definedName name="ajalfdj2_1" localSheetId="6" hidden="1">{"'vert'!$A$1:$T$117"}</definedName>
    <definedName name="ajalfdj2_1" hidden="1">{"'vert'!$A$1:$T$117"}</definedName>
    <definedName name="ajalfdj2_1_1" localSheetId="5" hidden="1">{"'vert'!$A$1:$T$117"}</definedName>
    <definedName name="ajalfdj2_1_1" localSheetId="6" hidden="1">{"'vert'!$A$1:$T$117"}</definedName>
    <definedName name="ajalfdj2_1_1" hidden="1">{"'vert'!$A$1:$T$117"}</definedName>
    <definedName name="ajalfdj2_1_1_1" localSheetId="5" hidden="1">{"'vert'!$A$1:$T$117"}</definedName>
    <definedName name="ajalfdj2_1_1_1" localSheetId="6" hidden="1">{"'vert'!$A$1:$T$117"}</definedName>
    <definedName name="ajalfdj2_1_1_1" hidden="1">{"'vert'!$A$1:$T$117"}</definedName>
    <definedName name="ajalfdj2_1_2" localSheetId="5" hidden="1">{"'vert'!$A$1:$T$117"}</definedName>
    <definedName name="ajalfdj2_1_2" localSheetId="6" hidden="1">{"'vert'!$A$1:$T$117"}</definedName>
    <definedName name="ajalfdj2_1_2" hidden="1">{"'vert'!$A$1:$T$117"}</definedName>
    <definedName name="ajalfdj2_2" localSheetId="5" hidden="1">{"'vert'!$A$1:$T$117"}</definedName>
    <definedName name="ajalfdj2_2" localSheetId="6" hidden="1">{"'vert'!$A$1:$T$117"}</definedName>
    <definedName name="ajalfdj2_2" hidden="1">{"'vert'!$A$1:$T$117"}</definedName>
    <definedName name="ajalfdj2_2_1" localSheetId="5" hidden="1">{"'vert'!$A$1:$T$117"}</definedName>
    <definedName name="ajalfdj2_2_1" localSheetId="6" hidden="1">{"'vert'!$A$1:$T$117"}</definedName>
    <definedName name="ajalfdj2_2_1" hidden="1">{"'vert'!$A$1:$T$117"}</definedName>
    <definedName name="ajalfdj2_2_1_1" localSheetId="5" hidden="1">{"'vert'!$A$1:$T$117"}</definedName>
    <definedName name="ajalfdj2_2_1_1" localSheetId="6" hidden="1">{"'vert'!$A$1:$T$117"}</definedName>
    <definedName name="ajalfdj2_2_1_1" hidden="1">{"'vert'!$A$1:$T$117"}</definedName>
    <definedName name="ajalfdj2_2_2" localSheetId="5" hidden="1">{"'vert'!$A$1:$T$117"}</definedName>
    <definedName name="ajalfdj2_2_2" localSheetId="6" hidden="1">{"'vert'!$A$1:$T$117"}</definedName>
    <definedName name="ajalfdj2_2_2" hidden="1">{"'vert'!$A$1:$T$117"}</definedName>
    <definedName name="ajalfdj2_3" localSheetId="5" hidden="1">{"'vert'!$A$1:$T$117"}</definedName>
    <definedName name="ajalfdj2_3" localSheetId="6" hidden="1">{"'vert'!$A$1:$T$117"}</definedName>
    <definedName name="ajalfdj2_3" hidden="1">{"'vert'!$A$1:$T$117"}</definedName>
    <definedName name="ajalfdj2_3_1" localSheetId="5" hidden="1">{"'vert'!$A$1:$T$117"}</definedName>
    <definedName name="ajalfdj2_3_1" localSheetId="6" hidden="1">{"'vert'!$A$1:$T$117"}</definedName>
    <definedName name="ajalfdj2_3_1" hidden="1">{"'vert'!$A$1:$T$117"}</definedName>
    <definedName name="ajalfdj2_4" localSheetId="5" hidden="1">{"'vert'!$A$1:$T$117"}</definedName>
    <definedName name="ajalfdj2_4" localSheetId="6" hidden="1">{"'vert'!$A$1:$T$117"}</definedName>
    <definedName name="ajalfdj2_4" hidden="1">{"'vert'!$A$1:$T$117"}</definedName>
    <definedName name="ajalfdj9" localSheetId="5" hidden="1">{"'vert'!$A$1:$T$117"}</definedName>
    <definedName name="ajalfdj9" localSheetId="6" hidden="1">{"'vert'!$A$1:$T$117"}</definedName>
    <definedName name="ajalfdj9" hidden="1">{"'vert'!$A$1:$T$117"}</definedName>
    <definedName name="ajalfdj9_1" localSheetId="5" hidden="1">{"'vert'!$A$1:$T$117"}</definedName>
    <definedName name="ajalfdj9_1" localSheetId="6" hidden="1">{"'vert'!$A$1:$T$117"}</definedName>
    <definedName name="ajalfdj9_1" hidden="1">{"'vert'!$A$1:$T$117"}</definedName>
    <definedName name="ajalfdj9_1_1" localSheetId="5" hidden="1">{"'vert'!$A$1:$T$117"}</definedName>
    <definedName name="ajalfdj9_1_1" localSheetId="6" hidden="1">{"'vert'!$A$1:$T$117"}</definedName>
    <definedName name="ajalfdj9_1_1" hidden="1">{"'vert'!$A$1:$T$117"}</definedName>
    <definedName name="ajalfdj9_1_1_1" localSheetId="5" hidden="1">{"'vert'!$A$1:$T$117"}</definedName>
    <definedName name="ajalfdj9_1_1_1" localSheetId="6" hidden="1">{"'vert'!$A$1:$T$117"}</definedName>
    <definedName name="ajalfdj9_1_1_1" hidden="1">{"'vert'!$A$1:$T$117"}</definedName>
    <definedName name="ajalfdj9_1_2" localSheetId="5" hidden="1">{"'vert'!$A$1:$T$117"}</definedName>
    <definedName name="ajalfdj9_1_2" localSheetId="6" hidden="1">{"'vert'!$A$1:$T$117"}</definedName>
    <definedName name="ajalfdj9_1_2" hidden="1">{"'vert'!$A$1:$T$117"}</definedName>
    <definedName name="ajalfdj9_2" localSheetId="5" hidden="1">{"'vert'!$A$1:$T$117"}</definedName>
    <definedName name="ajalfdj9_2" localSheetId="6" hidden="1">{"'vert'!$A$1:$T$117"}</definedName>
    <definedName name="ajalfdj9_2" hidden="1">{"'vert'!$A$1:$T$117"}</definedName>
    <definedName name="ajalfdj9_2_1" localSheetId="5" hidden="1">{"'vert'!$A$1:$T$117"}</definedName>
    <definedName name="ajalfdj9_2_1" localSheetId="6" hidden="1">{"'vert'!$A$1:$T$117"}</definedName>
    <definedName name="ajalfdj9_2_1" hidden="1">{"'vert'!$A$1:$T$117"}</definedName>
    <definedName name="ajalfdj9_2_1_1" localSheetId="5" hidden="1">{"'vert'!$A$1:$T$117"}</definedName>
    <definedName name="ajalfdj9_2_1_1" localSheetId="6" hidden="1">{"'vert'!$A$1:$T$117"}</definedName>
    <definedName name="ajalfdj9_2_1_1" hidden="1">{"'vert'!$A$1:$T$117"}</definedName>
    <definedName name="ajalfdj9_2_2" localSheetId="5" hidden="1">{"'vert'!$A$1:$T$117"}</definedName>
    <definedName name="ajalfdj9_2_2" localSheetId="6" hidden="1">{"'vert'!$A$1:$T$117"}</definedName>
    <definedName name="ajalfdj9_2_2" hidden="1">{"'vert'!$A$1:$T$117"}</definedName>
    <definedName name="ajalfdj9_3" localSheetId="5" hidden="1">{"'vert'!$A$1:$T$117"}</definedName>
    <definedName name="ajalfdj9_3" localSheetId="6" hidden="1">{"'vert'!$A$1:$T$117"}</definedName>
    <definedName name="ajalfdj9_3" hidden="1">{"'vert'!$A$1:$T$117"}</definedName>
    <definedName name="ajalfdj9_3_1" localSheetId="5" hidden="1">{"'vert'!$A$1:$T$117"}</definedName>
    <definedName name="ajalfdj9_3_1" localSheetId="6" hidden="1">{"'vert'!$A$1:$T$117"}</definedName>
    <definedName name="ajalfdj9_3_1" hidden="1">{"'vert'!$A$1:$T$117"}</definedName>
    <definedName name="ajalfdj9_4" localSheetId="5" hidden="1">{"'vert'!$A$1:$T$117"}</definedName>
    <definedName name="ajalfdj9_4" localSheetId="6" hidden="1">{"'vert'!$A$1:$T$117"}</definedName>
    <definedName name="ajalfdj9_4" hidden="1">{"'vert'!$A$1:$T$117"}</definedName>
    <definedName name="anscount" hidden="1">1</definedName>
    <definedName name="Appendix" localSheetId="5" hidden="1">{"'vert'!$A$1:$T$117"}</definedName>
    <definedName name="Appendix" localSheetId="6" hidden="1">{"'vert'!$A$1:$T$117"}</definedName>
    <definedName name="Appendix" hidden="1">{"'vert'!$A$1:$T$117"}</definedName>
    <definedName name="Appendix_1" localSheetId="5" hidden="1">{"'vert'!$A$1:$T$117"}</definedName>
    <definedName name="Appendix_1" localSheetId="6" hidden="1">{"'vert'!$A$1:$T$117"}</definedName>
    <definedName name="Appendix_1" hidden="1">{"'vert'!$A$1:$T$117"}</definedName>
    <definedName name="Appendix_1_1" localSheetId="5" hidden="1">{"'vert'!$A$1:$T$117"}</definedName>
    <definedName name="Appendix_1_1" localSheetId="6" hidden="1">{"'vert'!$A$1:$T$117"}</definedName>
    <definedName name="Appendix_1_1" hidden="1">{"'vert'!$A$1:$T$117"}</definedName>
    <definedName name="Appendix_1_1_1" localSheetId="5" hidden="1">{"'vert'!$A$1:$T$117"}</definedName>
    <definedName name="Appendix_1_1_1" localSheetId="6" hidden="1">{"'vert'!$A$1:$T$117"}</definedName>
    <definedName name="Appendix_1_1_1" hidden="1">{"'vert'!$A$1:$T$117"}</definedName>
    <definedName name="Appendix_1_2" localSheetId="5" hidden="1">{"'vert'!$A$1:$T$117"}</definedName>
    <definedName name="Appendix_1_2" localSheetId="6" hidden="1">{"'vert'!$A$1:$T$117"}</definedName>
    <definedName name="Appendix_1_2" hidden="1">{"'vert'!$A$1:$T$117"}</definedName>
    <definedName name="Appendix_2" localSheetId="5" hidden="1">{"'vert'!$A$1:$T$117"}</definedName>
    <definedName name="Appendix_2" localSheetId="6" hidden="1">{"'vert'!$A$1:$T$117"}</definedName>
    <definedName name="Appendix_2" hidden="1">{"'vert'!$A$1:$T$117"}</definedName>
    <definedName name="Appendix_2_1" localSheetId="5" hidden="1">{"'vert'!$A$1:$T$117"}</definedName>
    <definedName name="Appendix_2_1" localSheetId="6" hidden="1">{"'vert'!$A$1:$T$117"}</definedName>
    <definedName name="Appendix_2_1" hidden="1">{"'vert'!$A$1:$T$117"}</definedName>
    <definedName name="Appendix_2_1_1" localSheetId="5" hidden="1">{"'vert'!$A$1:$T$117"}</definedName>
    <definedName name="Appendix_2_1_1" localSheetId="6" hidden="1">{"'vert'!$A$1:$T$117"}</definedName>
    <definedName name="Appendix_2_1_1" hidden="1">{"'vert'!$A$1:$T$117"}</definedName>
    <definedName name="Appendix_2_2" localSheetId="5" hidden="1">{"'vert'!$A$1:$T$117"}</definedName>
    <definedName name="Appendix_2_2" localSheetId="6" hidden="1">{"'vert'!$A$1:$T$117"}</definedName>
    <definedName name="Appendix_2_2" hidden="1">{"'vert'!$A$1:$T$117"}</definedName>
    <definedName name="Appendix_3" localSheetId="5" hidden="1">{"'vert'!$A$1:$T$117"}</definedName>
    <definedName name="Appendix_3" localSheetId="6" hidden="1">{"'vert'!$A$1:$T$117"}</definedName>
    <definedName name="Appendix_3" hidden="1">{"'vert'!$A$1:$T$117"}</definedName>
    <definedName name="Appendix_3_1" localSheetId="5" hidden="1">{"'vert'!$A$1:$T$117"}</definedName>
    <definedName name="Appendix_3_1" localSheetId="6" hidden="1">{"'vert'!$A$1:$T$117"}</definedName>
    <definedName name="Appendix_3_1" hidden="1">{"'vert'!$A$1:$T$117"}</definedName>
    <definedName name="Appendix_4" localSheetId="5" hidden="1">{"'vert'!$A$1:$T$117"}</definedName>
    <definedName name="Appendix_4" localSheetId="6" hidden="1">{"'vert'!$A$1:$T$117"}</definedName>
    <definedName name="Appendix_4" hidden="1">{"'vert'!$A$1:$T$117"}</definedName>
    <definedName name="appendix4" localSheetId="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4" localSheetId="6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II" localSheetId="5" hidden="1">{"'vert'!$A$1:$T$117"}</definedName>
    <definedName name="AppII" localSheetId="6" hidden="1">{"'vert'!$A$1:$T$117"}</definedName>
    <definedName name="AppII" hidden="1">{"'vert'!$A$1:$T$117"}</definedName>
    <definedName name="AppII_1" localSheetId="5" hidden="1">{"'vert'!$A$1:$T$117"}</definedName>
    <definedName name="AppII_1" localSheetId="6" hidden="1">{"'vert'!$A$1:$T$117"}</definedName>
    <definedName name="AppII_1" hidden="1">{"'vert'!$A$1:$T$117"}</definedName>
    <definedName name="AppII_1_1" localSheetId="5" hidden="1">{"'vert'!$A$1:$T$117"}</definedName>
    <definedName name="AppII_1_1" localSheetId="6" hidden="1">{"'vert'!$A$1:$T$117"}</definedName>
    <definedName name="AppII_1_1" hidden="1">{"'vert'!$A$1:$T$117"}</definedName>
    <definedName name="AppII_1_1_1" localSheetId="5" hidden="1">{"'vert'!$A$1:$T$117"}</definedName>
    <definedName name="AppII_1_1_1" localSheetId="6" hidden="1">{"'vert'!$A$1:$T$117"}</definedName>
    <definedName name="AppII_1_1_1" hidden="1">{"'vert'!$A$1:$T$117"}</definedName>
    <definedName name="AppII_1_2" localSheetId="5" hidden="1">{"'vert'!$A$1:$T$117"}</definedName>
    <definedName name="AppII_1_2" localSheetId="6" hidden="1">{"'vert'!$A$1:$T$117"}</definedName>
    <definedName name="AppII_1_2" hidden="1">{"'vert'!$A$1:$T$117"}</definedName>
    <definedName name="AppII_2" localSheetId="5" hidden="1">{"'vert'!$A$1:$T$117"}</definedName>
    <definedName name="AppII_2" localSheetId="6" hidden="1">{"'vert'!$A$1:$T$117"}</definedName>
    <definedName name="AppII_2" hidden="1">{"'vert'!$A$1:$T$117"}</definedName>
    <definedName name="AppII_2_1" localSheetId="5" hidden="1">{"'vert'!$A$1:$T$117"}</definedName>
    <definedName name="AppII_2_1" localSheetId="6" hidden="1">{"'vert'!$A$1:$T$117"}</definedName>
    <definedName name="AppII_2_1" hidden="1">{"'vert'!$A$1:$T$117"}</definedName>
    <definedName name="AppII_2_1_1" localSheetId="5" hidden="1">{"'vert'!$A$1:$T$117"}</definedName>
    <definedName name="AppII_2_1_1" localSheetId="6" hidden="1">{"'vert'!$A$1:$T$117"}</definedName>
    <definedName name="AppII_2_1_1" hidden="1">{"'vert'!$A$1:$T$117"}</definedName>
    <definedName name="AppII_2_2" localSheetId="5" hidden="1">{"'vert'!$A$1:$T$117"}</definedName>
    <definedName name="AppII_2_2" localSheetId="6" hidden="1">{"'vert'!$A$1:$T$117"}</definedName>
    <definedName name="AppII_2_2" hidden="1">{"'vert'!$A$1:$T$117"}</definedName>
    <definedName name="AppII_3" localSheetId="5" hidden="1">{"'vert'!$A$1:$T$117"}</definedName>
    <definedName name="AppII_3" localSheetId="6" hidden="1">{"'vert'!$A$1:$T$117"}</definedName>
    <definedName name="AppII_3" hidden="1">{"'vert'!$A$1:$T$117"}</definedName>
    <definedName name="AppII_3_1" localSheetId="5" hidden="1">{"'vert'!$A$1:$T$117"}</definedName>
    <definedName name="AppII_3_1" localSheetId="6" hidden="1">{"'vert'!$A$1:$T$117"}</definedName>
    <definedName name="AppII_3_1" hidden="1">{"'vert'!$A$1:$T$117"}</definedName>
    <definedName name="AppII_4" localSheetId="5" hidden="1">{"'vert'!$A$1:$T$117"}</definedName>
    <definedName name="AppII_4" localSheetId="6" hidden="1">{"'vert'!$A$1:$T$117"}</definedName>
    <definedName name="AppII_4" hidden="1">{"'vert'!$A$1:$T$117"}</definedName>
    <definedName name="aqe_1" localSheetId="5" hidden="1">{"'vert'!$A$1:$T$117"}</definedName>
    <definedName name="aqe_1" localSheetId="6" hidden="1">{"'vert'!$A$1:$T$117"}</definedName>
    <definedName name="aqe_1" hidden="1">{"'vert'!$A$1:$T$117"}</definedName>
    <definedName name="aqe_1_1" localSheetId="5" hidden="1">{"'vert'!$A$1:$T$117"}</definedName>
    <definedName name="aqe_1_1" localSheetId="6" hidden="1">{"'vert'!$A$1:$T$117"}</definedName>
    <definedName name="aqe_1_1" hidden="1">{"'vert'!$A$1:$T$117"}</definedName>
    <definedName name="aqe_1_2" localSheetId="5" hidden="1">{"'vert'!$A$1:$T$117"}</definedName>
    <definedName name="aqe_1_2" localSheetId="6" hidden="1">{"'vert'!$A$1:$T$117"}</definedName>
    <definedName name="aqe_1_2" hidden="1">{"'vert'!$A$1:$T$117"}</definedName>
    <definedName name="aqe_2" localSheetId="5" hidden="1">{"'vert'!$A$1:$T$117"}</definedName>
    <definedName name="aqe_2" localSheetId="6" hidden="1">{"'vert'!$A$1:$T$117"}</definedName>
    <definedName name="aqe_2" hidden="1">{"'vert'!$A$1:$T$117"}</definedName>
    <definedName name="aqe_3" localSheetId="5" hidden="1">{"'vert'!$A$1:$T$117"}</definedName>
    <definedName name="aqe_3" localSheetId="6" hidden="1">{"'vert'!$A$1:$T$117"}</definedName>
    <definedName name="aqe_3" hidden="1">{"'vert'!$A$1:$T$117"}</definedName>
    <definedName name="arbitrary" localSheetId="5" hidden="1">{"'vert'!$A$1:$T$117"}</definedName>
    <definedName name="arbitrary" localSheetId="6" hidden="1">{"'vert'!$A$1:$T$117"}</definedName>
    <definedName name="arbitrary" hidden="1">{"'vert'!$A$1:$T$117"}</definedName>
    <definedName name="are" localSheetId="5" hidden="1">{#N/A,#N/A,FALSE,"Sheet1"}</definedName>
    <definedName name="are" localSheetId="6" hidden="1">{#N/A,#N/A,FALSE,"Sheet1"}</definedName>
    <definedName name="are" hidden="1">{#N/A,#N/A,FALSE,"Sheet1"}</definedName>
    <definedName name="ARPU" localSheetId="5" hidden="1">{"FCB_ALL",#N/A,FALSE,"FCB"}</definedName>
    <definedName name="ARPU" localSheetId="6" hidden="1">{"FCB_ALL",#N/A,FALSE,"FCB"}</definedName>
    <definedName name="ARPU" hidden="1">{"FCB_ALL",#N/A,FALSE,"FCB"}</definedName>
    <definedName name="as" localSheetId="5" hidden="1">{"'vert'!$A$1:$T$117"}</definedName>
    <definedName name="as" localSheetId="6" hidden="1">{"'vert'!$A$1:$T$117"}</definedName>
    <definedName name="as" hidden="1">{"'vert'!$A$1:$T$117"}</definedName>
    <definedName name="as_1" localSheetId="5" hidden="1">{"'vert'!$A$1:$T$117"}</definedName>
    <definedName name="as_1" localSheetId="6" hidden="1">{"'vert'!$A$1:$T$117"}</definedName>
    <definedName name="as_1" hidden="1">{"'vert'!$A$1:$T$117"}</definedName>
    <definedName name="as_1_1" localSheetId="5" hidden="1">{"'vert'!$A$1:$T$117"}</definedName>
    <definedName name="as_1_1" localSheetId="6" hidden="1">{"'vert'!$A$1:$T$117"}</definedName>
    <definedName name="as_1_1" hidden="1">{"'vert'!$A$1:$T$117"}</definedName>
    <definedName name="as_1_2" localSheetId="5" hidden="1">{"'vert'!$A$1:$T$117"}</definedName>
    <definedName name="as_1_2" localSheetId="6" hidden="1">{"'vert'!$A$1:$T$117"}</definedName>
    <definedName name="as_1_2" hidden="1">{"'vert'!$A$1:$T$117"}</definedName>
    <definedName name="as_2" localSheetId="5" hidden="1">{"'vert'!$A$1:$T$117"}</definedName>
    <definedName name="as_2" localSheetId="6" hidden="1">{"'vert'!$A$1:$T$117"}</definedName>
    <definedName name="as_2" hidden="1">{"'vert'!$A$1:$T$117"}</definedName>
    <definedName name="as_3" localSheetId="5" hidden="1">{"'vert'!$A$1:$T$117"}</definedName>
    <definedName name="as_3" localSheetId="6" hidden="1">{"'vert'!$A$1:$T$117"}</definedName>
    <definedName name="as_3" hidden="1">{"'vert'!$A$1:$T$117"}</definedName>
    <definedName name="AS2DocOpenMode" hidden="1">"AS2DocumentEdit"</definedName>
    <definedName name="asd" localSheetId="5" hidden="1">{"FCB_ALL",#N/A,FALSE,"FCB";"GREY_ALL",#N/A,FALSE,"GREY"}</definedName>
    <definedName name="asd" localSheetId="6" hidden="1">{"FCB_ALL",#N/A,FALSE,"FCB";"GREY_ALL",#N/A,FALSE,"GREY"}</definedName>
    <definedName name="asd" hidden="1">{"FCB_ALL",#N/A,FALSE,"FCB";"GREY_ALL",#N/A,FALSE,"GREY"}</definedName>
    <definedName name="asdas" localSheetId="5" hidden="1">{"'vert'!$A$1:$T$117"}</definedName>
    <definedName name="asdas" localSheetId="6" hidden="1">{"'vert'!$A$1:$T$117"}</definedName>
    <definedName name="asdas" hidden="1">{"'vert'!$A$1:$T$117"}</definedName>
    <definedName name="asdasd" localSheetId="5" hidden="1">{"'weekly data'!$A$2:$AS$36"}</definedName>
    <definedName name="asdasd" localSheetId="6" hidden="1">{"'weekly data'!$A$2:$AS$36"}</definedName>
    <definedName name="asdasd" hidden="1">{"'weekly data'!$A$2:$AS$36"}</definedName>
    <definedName name="asdasd_1" localSheetId="5" hidden="1">{"'weekly data'!$A$2:$AS$36"}</definedName>
    <definedName name="asdasd_1" localSheetId="6" hidden="1">{"'weekly data'!$A$2:$AS$36"}</definedName>
    <definedName name="asdasd_1" hidden="1">{"'weekly data'!$A$2:$AS$36"}</definedName>
    <definedName name="asdasd_1_1" localSheetId="5" hidden="1">{"'weekly data'!$A$2:$AS$36"}</definedName>
    <definedName name="asdasd_1_1" localSheetId="6" hidden="1">{"'weekly data'!$A$2:$AS$36"}</definedName>
    <definedName name="asdasd_1_1" hidden="1">{"'weekly data'!$A$2:$AS$36"}</definedName>
    <definedName name="asdasd_1_2" localSheetId="5" hidden="1">{"'weekly data'!$A$2:$AS$36"}</definedName>
    <definedName name="asdasd_1_2" localSheetId="6" hidden="1">{"'weekly data'!$A$2:$AS$36"}</definedName>
    <definedName name="asdasd_1_2" hidden="1">{"'weekly data'!$A$2:$AS$36"}</definedName>
    <definedName name="asdasd_2" localSheetId="5" hidden="1">{"'weekly data'!$A$2:$AS$36"}</definedName>
    <definedName name="asdasd_2" localSheetId="6" hidden="1">{"'weekly data'!$A$2:$AS$36"}</definedName>
    <definedName name="asdasd_2" hidden="1">{"'weekly data'!$A$2:$AS$36"}</definedName>
    <definedName name="asdasd_3" localSheetId="5" hidden="1">{"'weekly data'!$A$2:$AS$36"}</definedName>
    <definedName name="asdasd_3" localSheetId="6" hidden="1">{"'weekly data'!$A$2:$AS$36"}</definedName>
    <definedName name="asdasd_3" hidden="1">{"'weekly data'!$A$2:$AS$36"}</definedName>
    <definedName name="asdasdasd" localSheetId="5" hidden="1">{"'vert'!$A$1:$T$117"}</definedName>
    <definedName name="asdasdasd" localSheetId="6" hidden="1">{"'vert'!$A$1:$T$117"}</definedName>
    <definedName name="asdasdasd" hidden="1">{"'vert'!$A$1:$T$117"}</definedName>
    <definedName name="asdasdasd_1" localSheetId="5" hidden="1">{"'vert'!$A$1:$T$117"}</definedName>
    <definedName name="asdasdasd_1" localSheetId="6" hidden="1">{"'vert'!$A$1:$T$117"}</definedName>
    <definedName name="asdasdasd_1" hidden="1">{"'vert'!$A$1:$T$117"}</definedName>
    <definedName name="asdasdasd_1_1" localSheetId="5" hidden="1">{"'vert'!$A$1:$T$117"}</definedName>
    <definedName name="asdasdasd_1_1" localSheetId="6" hidden="1">{"'vert'!$A$1:$T$117"}</definedName>
    <definedName name="asdasdasd_1_1" hidden="1">{"'vert'!$A$1:$T$117"}</definedName>
    <definedName name="asdasdasd_1_2" localSheetId="5" hidden="1">{"'vert'!$A$1:$T$117"}</definedName>
    <definedName name="asdasdasd_1_2" localSheetId="6" hidden="1">{"'vert'!$A$1:$T$117"}</definedName>
    <definedName name="asdasdasd_1_2" hidden="1">{"'vert'!$A$1:$T$117"}</definedName>
    <definedName name="asdasdasd_2" localSheetId="5" hidden="1">{"'vert'!$A$1:$T$117"}</definedName>
    <definedName name="asdasdasd_2" localSheetId="6" hidden="1">{"'vert'!$A$1:$T$117"}</definedName>
    <definedName name="asdasdasd_2" hidden="1">{"'vert'!$A$1:$T$117"}</definedName>
    <definedName name="asdasdasd_3" localSheetId="5" hidden="1">{"'vert'!$A$1:$T$117"}</definedName>
    <definedName name="asdasdasd_3" localSheetId="6" hidden="1">{"'vert'!$A$1:$T$117"}</definedName>
    <definedName name="asdasdasd_3" hidden="1">{"'vert'!$A$1:$T$117"}</definedName>
    <definedName name="asdasgg" localSheetId="5" hidden="1">{"'weekly data'!$A$2:$AS$36"}</definedName>
    <definedName name="asdasgg" localSheetId="6" hidden="1">{"'weekly data'!$A$2:$AS$36"}</definedName>
    <definedName name="asdasgg" hidden="1">{"'weekly data'!$A$2:$AS$36"}</definedName>
    <definedName name="asdasgg_1" localSheetId="5" hidden="1">{"'weekly data'!$A$2:$AS$36"}</definedName>
    <definedName name="asdasgg_1" localSheetId="6" hidden="1">{"'weekly data'!$A$2:$AS$36"}</definedName>
    <definedName name="asdasgg_1" hidden="1">{"'weekly data'!$A$2:$AS$36"}</definedName>
    <definedName name="asdasgg_1_1" localSheetId="5" hidden="1">{"'weekly data'!$A$2:$AS$36"}</definedName>
    <definedName name="asdasgg_1_1" localSheetId="6" hidden="1">{"'weekly data'!$A$2:$AS$36"}</definedName>
    <definedName name="asdasgg_1_1" hidden="1">{"'weekly data'!$A$2:$AS$36"}</definedName>
    <definedName name="asdasgg_1_2" localSheetId="5" hidden="1">{"'weekly data'!$A$2:$AS$36"}</definedName>
    <definedName name="asdasgg_1_2" localSheetId="6" hidden="1">{"'weekly data'!$A$2:$AS$36"}</definedName>
    <definedName name="asdasgg_1_2" hidden="1">{"'weekly data'!$A$2:$AS$36"}</definedName>
    <definedName name="asdasgg_2" localSheetId="5" hidden="1">{"'weekly data'!$A$2:$AS$36"}</definedName>
    <definedName name="asdasgg_2" localSheetId="6" hidden="1">{"'weekly data'!$A$2:$AS$36"}</definedName>
    <definedName name="asdasgg_2" hidden="1">{"'weekly data'!$A$2:$AS$36"}</definedName>
    <definedName name="asdasgg_3" localSheetId="5" hidden="1">{"'weekly data'!$A$2:$AS$36"}</definedName>
    <definedName name="asdasgg_3" localSheetId="6" hidden="1">{"'weekly data'!$A$2:$AS$36"}</definedName>
    <definedName name="asdasgg_3" hidden="1">{"'weekly data'!$A$2:$AS$36"}</definedName>
    <definedName name="asdf" localSheetId="5" hidden="1">{"'weekly data'!$A$2:$AS$36"}</definedName>
    <definedName name="asdf" localSheetId="6" hidden="1">{"'weekly data'!$A$2:$AS$36"}</definedName>
    <definedName name="asdf" hidden="1">{"'weekly data'!$A$2:$AS$36"}</definedName>
    <definedName name="asdf_1" localSheetId="5" hidden="1">{"'weekly data'!$A$2:$AS$36"}</definedName>
    <definedName name="asdf_1" localSheetId="6" hidden="1">{"'weekly data'!$A$2:$AS$36"}</definedName>
    <definedName name="asdf_1" hidden="1">{"'weekly data'!$A$2:$AS$36"}</definedName>
    <definedName name="asdf_1_1" localSheetId="5" hidden="1">{"'weekly data'!$A$2:$AS$36"}</definedName>
    <definedName name="asdf_1_1" localSheetId="6" hidden="1">{"'weekly data'!$A$2:$AS$36"}</definedName>
    <definedName name="asdf_1_1" hidden="1">{"'weekly data'!$A$2:$AS$36"}</definedName>
    <definedName name="asdf_1_1_1" localSheetId="5" hidden="1">{"'weekly data'!$A$2:$AS$36"}</definedName>
    <definedName name="asdf_1_1_1" localSheetId="6" hidden="1">{"'weekly data'!$A$2:$AS$36"}</definedName>
    <definedName name="asdf_1_1_1" hidden="1">{"'weekly data'!$A$2:$AS$36"}</definedName>
    <definedName name="asdf_1_2" localSheetId="5" hidden="1">{"'weekly data'!$A$2:$AS$36"}</definedName>
    <definedName name="asdf_1_2" localSheetId="6" hidden="1">{"'weekly data'!$A$2:$AS$36"}</definedName>
    <definedName name="asdf_1_2" hidden="1">{"'weekly data'!$A$2:$AS$36"}</definedName>
    <definedName name="asdf_2" localSheetId="5" hidden="1">{"'weekly data'!$A$2:$AS$36"}</definedName>
    <definedName name="asdf_2" localSheetId="6" hidden="1">{"'weekly data'!$A$2:$AS$36"}</definedName>
    <definedName name="asdf_2" hidden="1">{"'weekly data'!$A$2:$AS$36"}</definedName>
    <definedName name="asdf_2_1" localSheetId="5" hidden="1">{"'weekly data'!$A$2:$AS$36"}</definedName>
    <definedName name="asdf_2_1" localSheetId="6" hidden="1">{"'weekly data'!$A$2:$AS$36"}</definedName>
    <definedName name="asdf_2_1" hidden="1">{"'weekly data'!$A$2:$AS$36"}</definedName>
    <definedName name="asdf_2_1_1" localSheetId="5" hidden="1">{"'weekly data'!$A$2:$AS$36"}</definedName>
    <definedName name="asdf_2_1_1" localSheetId="6" hidden="1">{"'weekly data'!$A$2:$AS$36"}</definedName>
    <definedName name="asdf_2_1_1" hidden="1">{"'weekly data'!$A$2:$AS$36"}</definedName>
    <definedName name="asdf_2_2" localSheetId="5" hidden="1">{"'weekly data'!$A$2:$AS$36"}</definedName>
    <definedName name="asdf_2_2" localSheetId="6" hidden="1">{"'weekly data'!$A$2:$AS$36"}</definedName>
    <definedName name="asdf_2_2" hidden="1">{"'weekly data'!$A$2:$AS$36"}</definedName>
    <definedName name="asdf_3" localSheetId="5" hidden="1">{"'weekly data'!$A$2:$AS$36"}</definedName>
    <definedName name="asdf_3" localSheetId="6" hidden="1">{"'weekly data'!$A$2:$AS$36"}</definedName>
    <definedName name="asdf_3" hidden="1">{"'weekly data'!$A$2:$AS$36"}</definedName>
    <definedName name="asdf_3_1" localSheetId="5" hidden="1">{"'weekly data'!$A$2:$AS$36"}</definedName>
    <definedName name="asdf_3_1" localSheetId="6" hidden="1">{"'weekly data'!$A$2:$AS$36"}</definedName>
    <definedName name="asdf_3_1" hidden="1">{"'weekly data'!$A$2:$AS$36"}</definedName>
    <definedName name="asdf_4" localSheetId="5" hidden="1">{"'weekly data'!$A$2:$AS$36"}</definedName>
    <definedName name="asdf_4" localSheetId="6" hidden="1">{"'weekly data'!$A$2:$AS$36"}</definedName>
    <definedName name="asdf_4" hidden="1">{"'weekly data'!$A$2:$AS$36"}</definedName>
    <definedName name="asdfasdf" localSheetId="5" hidden="1">{"'weekly data'!$A$2:$AS$36"}</definedName>
    <definedName name="asdfasdf" localSheetId="6" hidden="1">{"'weekly data'!$A$2:$AS$36"}</definedName>
    <definedName name="asdfasdf" hidden="1">{"'weekly data'!$A$2:$AS$36"}</definedName>
    <definedName name="asdfasdf_1" localSheetId="5" hidden="1">{"'weekly data'!$A$2:$AS$36"}</definedName>
    <definedName name="asdfasdf_1" localSheetId="6" hidden="1">{"'weekly data'!$A$2:$AS$36"}</definedName>
    <definedName name="asdfasdf_1" hidden="1">{"'weekly data'!$A$2:$AS$36"}</definedName>
    <definedName name="asdfasdf_1_1" localSheetId="5" hidden="1">{"'weekly data'!$A$2:$AS$36"}</definedName>
    <definedName name="asdfasdf_1_1" localSheetId="6" hidden="1">{"'weekly data'!$A$2:$AS$36"}</definedName>
    <definedName name="asdfasdf_1_1" hidden="1">{"'weekly data'!$A$2:$AS$36"}</definedName>
    <definedName name="asdfasdf_1_1_1" localSheetId="5" hidden="1">{"'weekly data'!$A$2:$AS$36"}</definedName>
    <definedName name="asdfasdf_1_1_1" localSheetId="6" hidden="1">{"'weekly data'!$A$2:$AS$36"}</definedName>
    <definedName name="asdfasdf_1_1_1" hidden="1">{"'weekly data'!$A$2:$AS$36"}</definedName>
    <definedName name="asdfasdf_1_2" localSheetId="5" hidden="1">{"'weekly data'!$A$2:$AS$36"}</definedName>
    <definedName name="asdfasdf_1_2" localSheetId="6" hidden="1">{"'weekly data'!$A$2:$AS$36"}</definedName>
    <definedName name="asdfasdf_1_2" hidden="1">{"'weekly data'!$A$2:$AS$36"}</definedName>
    <definedName name="asdfasdf_2" localSheetId="5" hidden="1">{"'weekly data'!$A$2:$AS$36"}</definedName>
    <definedName name="asdfasdf_2" localSheetId="6" hidden="1">{"'weekly data'!$A$2:$AS$36"}</definedName>
    <definedName name="asdfasdf_2" hidden="1">{"'weekly data'!$A$2:$AS$36"}</definedName>
    <definedName name="asdfasdf_2_1" localSheetId="5" hidden="1">{"'weekly data'!$A$2:$AS$36"}</definedName>
    <definedName name="asdfasdf_2_1" localSheetId="6" hidden="1">{"'weekly data'!$A$2:$AS$36"}</definedName>
    <definedName name="asdfasdf_2_1" hidden="1">{"'weekly data'!$A$2:$AS$36"}</definedName>
    <definedName name="asdfasdf_2_1_1" localSheetId="5" hidden="1">{"'weekly data'!$A$2:$AS$36"}</definedName>
    <definedName name="asdfasdf_2_1_1" localSheetId="6" hidden="1">{"'weekly data'!$A$2:$AS$36"}</definedName>
    <definedName name="asdfasdf_2_1_1" hidden="1">{"'weekly data'!$A$2:$AS$36"}</definedName>
    <definedName name="asdfasdf_2_2" localSheetId="5" hidden="1">{"'weekly data'!$A$2:$AS$36"}</definedName>
    <definedName name="asdfasdf_2_2" localSheetId="6" hidden="1">{"'weekly data'!$A$2:$AS$36"}</definedName>
    <definedName name="asdfasdf_2_2" hidden="1">{"'weekly data'!$A$2:$AS$36"}</definedName>
    <definedName name="asdfasdf_3" localSheetId="5" hidden="1">{"'weekly data'!$A$2:$AS$36"}</definedName>
    <definedName name="asdfasdf_3" localSheetId="6" hidden="1">{"'weekly data'!$A$2:$AS$36"}</definedName>
    <definedName name="asdfasdf_3" hidden="1">{"'weekly data'!$A$2:$AS$36"}</definedName>
    <definedName name="asdfasdf_3_1" localSheetId="5" hidden="1">{"'weekly data'!$A$2:$AS$36"}</definedName>
    <definedName name="asdfasdf_3_1" localSheetId="6" hidden="1">{"'weekly data'!$A$2:$AS$36"}</definedName>
    <definedName name="asdfasdf_3_1" hidden="1">{"'weekly data'!$A$2:$AS$36"}</definedName>
    <definedName name="asdfasdf_4" localSheetId="5" hidden="1">{"'weekly data'!$A$2:$AS$36"}</definedName>
    <definedName name="asdfasdf_4" localSheetId="6" hidden="1">{"'weekly data'!$A$2:$AS$36"}</definedName>
    <definedName name="asdfasdf_4" hidden="1">{"'weekly data'!$A$2:$AS$36"}</definedName>
    <definedName name="asdfasdfasdf" localSheetId="5" hidden="1">{"'weekly data'!$A$2:$AS$36"}</definedName>
    <definedName name="asdfasdfasdf" localSheetId="6" hidden="1">{"'weekly data'!$A$2:$AS$36"}</definedName>
    <definedName name="asdfasdfasdf" hidden="1">{"'weekly data'!$A$2:$AS$36"}</definedName>
    <definedName name="asdfasdfasdf_1" localSheetId="5" hidden="1">{"'weekly data'!$A$2:$AS$36"}</definedName>
    <definedName name="asdfasdfasdf_1" localSheetId="6" hidden="1">{"'weekly data'!$A$2:$AS$36"}</definedName>
    <definedName name="asdfasdfasdf_1" hidden="1">{"'weekly data'!$A$2:$AS$36"}</definedName>
    <definedName name="asdfasdfasdf_1_1" localSheetId="5" hidden="1">{"'weekly data'!$A$2:$AS$36"}</definedName>
    <definedName name="asdfasdfasdf_1_1" localSheetId="6" hidden="1">{"'weekly data'!$A$2:$AS$36"}</definedName>
    <definedName name="asdfasdfasdf_1_1" hidden="1">{"'weekly data'!$A$2:$AS$36"}</definedName>
    <definedName name="asdfasdfasdf_1_1_1" localSheetId="5" hidden="1">{"'weekly data'!$A$2:$AS$36"}</definedName>
    <definedName name="asdfasdfasdf_1_1_1" localSheetId="6" hidden="1">{"'weekly data'!$A$2:$AS$36"}</definedName>
    <definedName name="asdfasdfasdf_1_1_1" hidden="1">{"'weekly data'!$A$2:$AS$36"}</definedName>
    <definedName name="asdfasdfasdf_1_2" localSheetId="5" hidden="1">{"'weekly data'!$A$2:$AS$36"}</definedName>
    <definedName name="asdfasdfasdf_1_2" localSheetId="6" hidden="1">{"'weekly data'!$A$2:$AS$36"}</definedName>
    <definedName name="asdfasdfasdf_1_2" hidden="1">{"'weekly data'!$A$2:$AS$36"}</definedName>
    <definedName name="asdfasdfasdf_2" localSheetId="5" hidden="1">{"'weekly data'!$A$2:$AS$36"}</definedName>
    <definedName name="asdfasdfasdf_2" localSheetId="6" hidden="1">{"'weekly data'!$A$2:$AS$36"}</definedName>
    <definedName name="asdfasdfasdf_2" hidden="1">{"'weekly data'!$A$2:$AS$36"}</definedName>
    <definedName name="asdfasdfasdf_2_1" localSheetId="5" hidden="1">{"'weekly data'!$A$2:$AS$36"}</definedName>
    <definedName name="asdfasdfasdf_2_1" localSheetId="6" hidden="1">{"'weekly data'!$A$2:$AS$36"}</definedName>
    <definedName name="asdfasdfasdf_2_1" hidden="1">{"'weekly data'!$A$2:$AS$36"}</definedName>
    <definedName name="asdfasdfasdf_2_1_1" localSheetId="5" hidden="1">{"'weekly data'!$A$2:$AS$36"}</definedName>
    <definedName name="asdfasdfasdf_2_1_1" localSheetId="6" hidden="1">{"'weekly data'!$A$2:$AS$36"}</definedName>
    <definedName name="asdfasdfasdf_2_1_1" hidden="1">{"'weekly data'!$A$2:$AS$36"}</definedName>
    <definedName name="asdfasdfasdf_2_2" localSheetId="5" hidden="1">{"'weekly data'!$A$2:$AS$36"}</definedName>
    <definedName name="asdfasdfasdf_2_2" localSheetId="6" hidden="1">{"'weekly data'!$A$2:$AS$36"}</definedName>
    <definedName name="asdfasdfasdf_2_2" hidden="1">{"'weekly data'!$A$2:$AS$36"}</definedName>
    <definedName name="asdfasdfasdf_3" localSheetId="5" hidden="1">{"'weekly data'!$A$2:$AS$36"}</definedName>
    <definedName name="asdfasdfasdf_3" localSheetId="6" hidden="1">{"'weekly data'!$A$2:$AS$36"}</definedName>
    <definedName name="asdfasdfasdf_3" hidden="1">{"'weekly data'!$A$2:$AS$36"}</definedName>
    <definedName name="asdfasdfasdf_3_1" localSheetId="5" hidden="1">{"'weekly data'!$A$2:$AS$36"}</definedName>
    <definedName name="asdfasdfasdf_3_1" localSheetId="6" hidden="1">{"'weekly data'!$A$2:$AS$36"}</definedName>
    <definedName name="asdfasdfasdf_3_1" hidden="1">{"'weekly data'!$A$2:$AS$36"}</definedName>
    <definedName name="asdfasdfasdf_4" localSheetId="5" hidden="1">{"'weekly data'!$A$2:$AS$36"}</definedName>
    <definedName name="asdfasdfasdf_4" localSheetId="6" hidden="1">{"'weekly data'!$A$2:$AS$36"}</definedName>
    <definedName name="asdfasdfasdf_4" hidden="1">{"'weekly data'!$A$2:$AS$36"}</definedName>
    <definedName name="asdff" localSheetId="5" hidden="1">{"'vert'!$A$1:$T$117"}</definedName>
    <definedName name="asdff" localSheetId="6" hidden="1">{"'vert'!$A$1:$T$117"}</definedName>
    <definedName name="asdff" hidden="1">{"'vert'!$A$1:$T$117"}</definedName>
    <definedName name="asdff_1" localSheetId="5" hidden="1">{"'vert'!$A$1:$T$117"}</definedName>
    <definedName name="asdff_1" localSheetId="6" hidden="1">{"'vert'!$A$1:$T$117"}</definedName>
    <definedName name="asdff_1" hidden="1">{"'vert'!$A$1:$T$117"}</definedName>
    <definedName name="asdff_1_1" localSheetId="5" hidden="1">{"'vert'!$A$1:$T$117"}</definedName>
    <definedName name="asdff_1_1" localSheetId="6" hidden="1">{"'vert'!$A$1:$T$117"}</definedName>
    <definedName name="asdff_1_1" hidden="1">{"'vert'!$A$1:$T$117"}</definedName>
    <definedName name="asdff_1_2" localSheetId="5" hidden="1">{"'vert'!$A$1:$T$117"}</definedName>
    <definedName name="asdff_1_2" localSheetId="6" hidden="1">{"'vert'!$A$1:$T$117"}</definedName>
    <definedName name="asdff_1_2" hidden="1">{"'vert'!$A$1:$T$117"}</definedName>
    <definedName name="asdff_2" localSheetId="5" hidden="1">{"'vert'!$A$1:$T$117"}</definedName>
    <definedName name="asdff_2" localSheetId="6" hidden="1">{"'vert'!$A$1:$T$117"}</definedName>
    <definedName name="asdff_2" hidden="1">{"'vert'!$A$1:$T$117"}</definedName>
    <definedName name="asdff_3" localSheetId="5" hidden="1">{"'vert'!$A$1:$T$117"}</definedName>
    <definedName name="asdff_3" localSheetId="6" hidden="1">{"'vert'!$A$1:$T$117"}</definedName>
    <definedName name="asdff_3" hidden="1">{"'vert'!$A$1:$T$117"}</definedName>
    <definedName name="asdfff" localSheetId="5" hidden="1">{"'vert'!$A$1:$T$117"}</definedName>
    <definedName name="asdfff" localSheetId="6" hidden="1">{"'vert'!$A$1:$T$117"}</definedName>
    <definedName name="asdfff" hidden="1">{"'vert'!$A$1:$T$117"}</definedName>
    <definedName name="asdfff_1" localSheetId="5" hidden="1">{"'vert'!$A$1:$T$117"}</definedName>
    <definedName name="asdfff_1" localSheetId="6" hidden="1">{"'vert'!$A$1:$T$117"}</definedName>
    <definedName name="asdfff_1" hidden="1">{"'vert'!$A$1:$T$117"}</definedName>
    <definedName name="asdfff_1_1" localSheetId="5" hidden="1">{"'vert'!$A$1:$T$117"}</definedName>
    <definedName name="asdfff_1_1" localSheetId="6" hidden="1">{"'vert'!$A$1:$T$117"}</definedName>
    <definedName name="asdfff_1_1" hidden="1">{"'vert'!$A$1:$T$117"}</definedName>
    <definedName name="asdfff_1_2" localSheetId="5" hidden="1">{"'vert'!$A$1:$T$117"}</definedName>
    <definedName name="asdfff_1_2" localSheetId="6" hidden="1">{"'vert'!$A$1:$T$117"}</definedName>
    <definedName name="asdfff_1_2" hidden="1">{"'vert'!$A$1:$T$117"}</definedName>
    <definedName name="asdfff_2" localSheetId="5" hidden="1">{"'vert'!$A$1:$T$117"}</definedName>
    <definedName name="asdfff_2" localSheetId="6" hidden="1">{"'vert'!$A$1:$T$117"}</definedName>
    <definedName name="asdfff_2" hidden="1">{"'vert'!$A$1:$T$117"}</definedName>
    <definedName name="asdfff_3" localSheetId="5" hidden="1">{"'vert'!$A$1:$T$117"}</definedName>
    <definedName name="asdfff_3" localSheetId="6" hidden="1">{"'vert'!$A$1:$T$117"}</definedName>
    <definedName name="asdfff_3" hidden="1">{"'vert'!$A$1:$T$117"}</definedName>
    <definedName name="asdffff" localSheetId="5" hidden="1">{"'vert'!$A$1:$T$117"}</definedName>
    <definedName name="asdffff" localSheetId="6" hidden="1">{"'vert'!$A$1:$T$117"}</definedName>
    <definedName name="asdffff" hidden="1">{"'vert'!$A$1:$T$117"}</definedName>
    <definedName name="asdffff_1" localSheetId="5" hidden="1">{"'vert'!$A$1:$T$117"}</definedName>
    <definedName name="asdffff_1" localSheetId="6" hidden="1">{"'vert'!$A$1:$T$117"}</definedName>
    <definedName name="asdffff_1" hidden="1">{"'vert'!$A$1:$T$117"}</definedName>
    <definedName name="asdffff_1_1" localSheetId="5" hidden="1">{"'vert'!$A$1:$T$117"}</definedName>
    <definedName name="asdffff_1_1" localSheetId="6" hidden="1">{"'vert'!$A$1:$T$117"}</definedName>
    <definedName name="asdffff_1_1" hidden="1">{"'vert'!$A$1:$T$117"}</definedName>
    <definedName name="asdffff_1_2" localSheetId="5" hidden="1">{"'vert'!$A$1:$T$117"}</definedName>
    <definedName name="asdffff_1_2" localSheetId="6" hidden="1">{"'vert'!$A$1:$T$117"}</definedName>
    <definedName name="asdffff_1_2" hidden="1">{"'vert'!$A$1:$T$117"}</definedName>
    <definedName name="asdffff_2" localSheetId="5" hidden="1">{"'vert'!$A$1:$T$117"}</definedName>
    <definedName name="asdffff_2" localSheetId="6" hidden="1">{"'vert'!$A$1:$T$117"}</definedName>
    <definedName name="asdffff_2" hidden="1">{"'vert'!$A$1:$T$117"}</definedName>
    <definedName name="asdffff_3" localSheetId="5" hidden="1">{"'vert'!$A$1:$T$117"}</definedName>
    <definedName name="asdffff_3" localSheetId="6" hidden="1">{"'vert'!$A$1:$T$117"}</definedName>
    <definedName name="asdffff_3" hidden="1">{"'vert'!$A$1:$T$117"}</definedName>
    <definedName name="asdffffff" localSheetId="5" hidden="1">{"'vert'!$A$1:$T$117"}</definedName>
    <definedName name="asdffffff" localSheetId="6" hidden="1">{"'vert'!$A$1:$T$117"}</definedName>
    <definedName name="asdffffff" hidden="1">{"'vert'!$A$1:$T$117"}</definedName>
    <definedName name="asdffffff_1" localSheetId="5" hidden="1">{"'vert'!$A$1:$T$117"}</definedName>
    <definedName name="asdffffff_1" localSheetId="6" hidden="1">{"'vert'!$A$1:$T$117"}</definedName>
    <definedName name="asdffffff_1" hidden="1">{"'vert'!$A$1:$T$117"}</definedName>
    <definedName name="asdffffff_1_1" localSheetId="5" hidden="1">{"'vert'!$A$1:$T$117"}</definedName>
    <definedName name="asdffffff_1_1" localSheetId="6" hidden="1">{"'vert'!$A$1:$T$117"}</definedName>
    <definedName name="asdffffff_1_1" hidden="1">{"'vert'!$A$1:$T$117"}</definedName>
    <definedName name="asdffffff_1_2" localSheetId="5" hidden="1">{"'vert'!$A$1:$T$117"}</definedName>
    <definedName name="asdffffff_1_2" localSheetId="6" hidden="1">{"'vert'!$A$1:$T$117"}</definedName>
    <definedName name="asdffffff_1_2" hidden="1">{"'vert'!$A$1:$T$117"}</definedName>
    <definedName name="asdffffff_2" localSheetId="5" hidden="1">{"'vert'!$A$1:$T$117"}</definedName>
    <definedName name="asdffffff_2" localSheetId="6" hidden="1">{"'vert'!$A$1:$T$117"}</definedName>
    <definedName name="asdffffff_2" hidden="1">{"'vert'!$A$1:$T$117"}</definedName>
    <definedName name="asdffffff_3" localSheetId="5" hidden="1">{"'vert'!$A$1:$T$117"}</definedName>
    <definedName name="asdffffff_3" localSheetId="6" hidden="1">{"'vert'!$A$1:$T$117"}</definedName>
    <definedName name="asdffffff_3" hidden="1">{"'vert'!$A$1:$T$117"}</definedName>
    <definedName name="asdfffffff" localSheetId="5" hidden="1">{"'vert'!$A$1:$T$117"}</definedName>
    <definedName name="asdfffffff" localSheetId="6" hidden="1">{"'vert'!$A$1:$T$117"}</definedName>
    <definedName name="asdfffffff" hidden="1">{"'vert'!$A$1:$T$117"}</definedName>
    <definedName name="asdfffffff_1" localSheetId="5" hidden="1">{"'vert'!$A$1:$T$117"}</definedName>
    <definedName name="asdfffffff_1" localSheetId="6" hidden="1">{"'vert'!$A$1:$T$117"}</definedName>
    <definedName name="asdfffffff_1" hidden="1">{"'vert'!$A$1:$T$117"}</definedName>
    <definedName name="asdfffffff_1_1" localSheetId="5" hidden="1">{"'vert'!$A$1:$T$117"}</definedName>
    <definedName name="asdfffffff_1_1" localSheetId="6" hidden="1">{"'vert'!$A$1:$T$117"}</definedName>
    <definedName name="asdfffffff_1_1" hidden="1">{"'vert'!$A$1:$T$117"}</definedName>
    <definedName name="asdfffffff_1_2" localSheetId="5" hidden="1">{"'vert'!$A$1:$T$117"}</definedName>
    <definedName name="asdfffffff_1_2" localSheetId="6" hidden="1">{"'vert'!$A$1:$T$117"}</definedName>
    <definedName name="asdfffffff_1_2" hidden="1">{"'vert'!$A$1:$T$117"}</definedName>
    <definedName name="asdfffffff_2" localSheetId="5" hidden="1">{"'vert'!$A$1:$T$117"}</definedName>
    <definedName name="asdfffffff_2" localSheetId="6" hidden="1">{"'vert'!$A$1:$T$117"}</definedName>
    <definedName name="asdfffffff_2" hidden="1">{"'vert'!$A$1:$T$117"}</definedName>
    <definedName name="asdfffffff_3" localSheetId="5" hidden="1">{"'vert'!$A$1:$T$117"}</definedName>
    <definedName name="asdfffffff_3" localSheetId="6" hidden="1">{"'vert'!$A$1:$T$117"}</definedName>
    <definedName name="asdfffffff_3" hidden="1">{"'vert'!$A$1:$T$117"}</definedName>
    <definedName name="asdz" localSheetId="5" hidden="1">{"'weekly data'!$A$2:$AS$36"}</definedName>
    <definedName name="asdz" localSheetId="6" hidden="1">{"'weekly data'!$A$2:$AS$36"}</definedName>
    <definedName name="asdz" hidden="1">{"'weekly data'!$A$2:$AS$36"}</definedName>
    <definedName name="asfadfasdfsadfsadfsafsdfsdf" localSheetId="5" hidden="1">{"'vert'!$A$1:$T$117"}</definedName>
    <definedName name="asfadfasdfsadfsadfsafsdfsdf" localSheetId="6" hidden="1">{"'vert'!$A$1:$T$117"}</definedName>
    <definedName name="asfadfasdfsadfsadfsafsdfsdf" hidden="1">{"'vert'!$A$1:$T$117"}</definedName>
    <definedName name="asfadfasdfsadfsadfsafsdfsdf_1" localSheetId="5" hidden="1">{"'vert'!$A$1:$T$117"}</definedName>
    <definedName name="asfadfasdfsadfsadfsafsdfsdf_1" localSheetId="6" hidden="1">{"'vert'!$A$1:$T$117"}</definedName>
    <definedName name="asfadfasdfsadfsadfsafsdfsdf_1" hidden="1">{"'vert'!$A$1:$T$117"}</definedName>
    <definedName name="asfadfasdfsadfsadfsafsdfsdf_1_1" localSheetId="5" hidden="1">{"'vert'!$A$1:$T$117"}</definedName>
    <definedName name="asfadfasdfsadfsadfsafsdfsdf_1_1" localSheetId="6" hidden="1">{"'vert'!$A$1:$T$117"}</definedName>
    <definedName name="asfadfasdfsadfsadfsafsdfsdf_1_1" hidden="1">{"'vert'!$A$1:$T$117"}</definedName>
    <definedName name="asfadfasdfsadfsadfsafsdfsdf_1_1_1" localSheetId="5" hidden="1">{"'vert'!$A$1:$T$117"}</definedName>
    <definedName name="asfadfasdfsadfsadfsafsdfsdf_1_1_1" localSheetId="6" hidden="1">{"'vert'!$A$1:$T$117"}</definedName>
    <definedName name="asfadfasdfsadfsadfsafsdfsdf_1_1_1" hidden="1">{"'vert'!$A$1:$T$117"}</definedName>
    <definedName name="asfadfasdfsadfsadfsafsdfsdf_1_2" localSheetId="5" hidden="1">{"'vert'!$A$1:$T$117"}</definedName>
    <definedName name="asfadfasdfsadfsadfsafsdfsdf_1_2" localSheetId="6" hidden="1">{"'vert'!$A$1:$T$117"}</definedName>
    <definedName name="asfadfasdfsadfsadfsafsdfsdf_1_2" hidden="1">{"'vert'!$A$1:$T$117"}</definedName>
    <definedName name="asfadfasdfsadfsadfsafsdfsdf_2" localSheetId="5" hidden="1">{"'vert'!$A$1:$T$117"}</definedName>
    <definedName name="asfadfasdfsadfsadfsafsdfsdf_2" localSheetId="6" hidden="1">{"'vert'!$A$1:$T$117"}</definedName>
    <definedName name="asfadfasdfsadfsadfsafsdfsdf_2" hidden="1">{"'vert'!$A$1:$T$117"}</definedName>
    <definedName name="asfadfasdfsadfsadfsafsdfsdf_2_1" localSheetId="5" hidden="1">{"'vert'!$A$1:$T$117"}</definedName>
    <definedName name="asfadfasdfsadfsadfsafsdfsdf_2_1" localSheetId="6" hidden="1">{"'vert'!$A$1:$T$117"}</definedName>
    <definedName name="asfadfasdfsadfsadfsafsdfsdf_2_1" hidden="1">{"'vert'!$A$1:$T$117"}</definedName>
    <definedName name="asfadfasdfsadfsadfsafsdfsdf_2_1_1" localSheetId="5" hidden="1">{"'vert'!$A$1:$T$117"}</definedName>
    <definedName name="asfadfasdfsadfsadfsafsdfsdf_2_1_1" localSheetId="6" hidden="1">{"'vert'!$A$1:$T$117"}</definedName>
    <definedName name="asfadfasdfsadfsadfsafsdfsdf_2_1_1" hidden="1">{"'vert'!$A$1:$T$117"}</definedName>
    <definedName name="asfadfasdfsadfsadfsafsdfsdf_2_2" localSheetId="5" hidden="1">{"'vert'!$A$1:$T$117"}</definedName>
    <definedName name="asfadfasdfsadfsadfsafsdfsdf_2_2" localSheetId="6" hidden="1">{"'vert'!$A$1:$T$117"}</definedName>
    <definedName name="asfadfasdfsadfsadfsafsdfsdf_2_2" hidden="1">{"'vert'!$A$1:$T$117"}</definedName>
    <definedName name="asfadfasdfsadfsadfsafsdfsdf_3" localSheetId="5" hidden="1">{"'vert'!$A$1:$T$117"}</definedName>
    <definedName name="asfadfasdfsadfsadfsafsdfsdf_3" localSheetId="6" hidden="1">{"'vert'!$A$1:$T$117"}</definedName>
    <definedName name="asfadfasdfsadfsadfsafsdfsdf_3" hidden="1">{"'vert'!$A$1:$T$117"}</definedName>
    <definedName name="asfadfasdfsadfsadfsafsdfsdf_3_1" localSheetId="5" hidden="1">{"'vert'!$A$1:$T$117"}</definedName>
    <definedName name="asfadfasdfsadfsadfsafsdfsdf_3_1" localSheetId="6" hidden="1">{"'vert'!$A$1:$T$117"}</definedName>
    <definedName name="asfadfasdfsadfsadfsafsdfsdf_3_1" hidden="1">{"'vert'!$A$1:$T$117"}</definedName>
    <definedName name="asfadfasdfsadfsadfsafsdfsdf_4" localSheetId="5" hidden="1">{"'vert'!$A$1:$T$117"}</definedName>
    <definedName name="asfadfasdfsadfsadfsafsdfsdf_4" localSheetId="6" hidden="1">{"'vert'!$A$1:$T$117"}</definedName>
    <definedName name="asfadfasdfsadfsadfsafsdfsdf_4" hidden="1">{"'vert'!$A$1:$T$117"}</definedName>
    <definedName name="asfasfasfasfasdf" localSheetId="5" hidden="1">{"'weekly data'!$A$2:$AS$36"}</definedName>
    <definedName name="asfasfasfasfasdf" localSheetId="6" hidden="1">{"'weekly data'!$A$2:$AS$36"}</definedName>
    <definedName name="asfasfasfasfasdf" hidden="1">{"'weekly data'!$A$2:$AS$36"}</definedName>
    <definedName name="asfasfasfasfasdf_1" localSheetId="5" hidden="1">{"'weekly data'!$A$2:$AS$36"}</definedName>
    <definedName name="asfasfasfasfasdf_1" localSheetId="6" hidden="1">{"'weekly data'!$A$2:$AS$36"}</definedName>
    <definedName name="asfasfasfasfasdf_1" hidden="1">{"'weekly data'!$A$2:$AS$36"}</definedName>
    <definedName name="asfasfasfasfasdf_1_1" localSheetId="5" hidden="1">{"'weekly data'!$A$2:$AS$36"}</definedName>
    <definedName name="asfasfasfasfasdf_1_1" localSheetId="6" hidden="1">{"'weekly data'!$A$2:$AS$36"}</definedName>
    <definedName name="asfasfasfasfasdf_1_1" hidden="1">{"'weekly data'!$A$2:$AS$36"}</definedName>
    <definedName name="asfasfasfasfasdf_1_1_1" localSheetId="5" hidden="1">{"'weekly data'!$A$2:$AS$36"}</definedName>
    <definedName name="asfasfasfasfasdf_1_1_1" localSheetId="6" hidden="1">{"'weekly data'!$A$2:$AS$36"}</definedName>
    <definedName name="asfasfasfasfasdf_1_1_1" hidden="1">{"'weekly data'!$A$2:$AS$36"}</definedName>
    <definedName name="asfasfasfasfasdf_1_2" localSheetId="5" hidden="1">{"'weekly data'!$A$2:$AS$36"}</definedName>
    <definedName name="asfasfasfasfasdf_1_2" localSheetId="6" hidden="1">{"'weekly data'!$A$2:$AS$36"}</definedName>
    <definedName name="asfasfasfasfasdf_1_2" hidden="1">{"'weekly data'!$A$2:$AS$36"}</definedName>
    <definedName name="asfasfasfasfasdf_2" localSheetId="5" hidden="1">{"'weekly data'!$A$2:$AS$36"}</definedName>
    <definedName name="asfasfasfasfasdf_2" localSheetId="6" hidden="1">{"'weekly data'!$A$2:$AS$36"}</definedName>
    <definedName name="asfasfasfasfasdf_2" hidden="1">{"'weekly data'!$A$2:$AS$36"}</definedName>
    <definedName name="asfasfasfasfasdf_2_1" localSheetId="5" hidden="1">{"'weekly data'!$A$2:$AS$36"}</definedName>
    <definedName name="asfasfasfasfasdf_2_1" localSheetId="6" hidden="1">{"'weekly data'!$A$2:$AS$36"}</definedName>
    <definedName name="asfasfasfasfasdf_2_1" hidden="1">{"'weekly data'!$A$2:$AS$36"}</definedName>
    <definedName name="asfasfasfasfasdf_2_1_1" localSheetId="5" hidden="1">{"'weekly data'!$A$2:$AS$36"}</definedName>
    <definedName name="asfasfasfasfasdf_2_1_1" localSheetId="6" hidden="1">{"'weekly data'!$A$2:$AS$36"}</definedName>
    <definedName name="asfasfasfasfasdf_2_1_1" hidden="1">{"'weekly data'!$A$2:$AS$36"}</definedName>
    <definedName name="asfasfasfasfasdf_2_2" localSheetId="5" hidden="1">{"'weekly data'!$A$2:$AS$36"}</definedName>
    <definedName name="asfasfasfasfasdf_2_2" localSheetId="6" hidden="1">{"'weekly data'!$A$2:$AS$36"}</definedName>
    <definedName name="asfasfasfasfasdf_2_2" hidden="1">{"'weekly data'!$A$2:$AS$36"}</definedName>
    <definedName name="asfasfasfasfasdf_3" localSheetId="5" hidden="1">{"'weekly data'!$A$2:$AS$36"}</definedName>
    <definedName name="asfasfasfasfasdf_3" localSheetId="6" hidden="1">{"'weekly data'!$A$2:$AS$36"}</definedName>
    <definedName name="asfasfasfasfasdf_3" hidden="1">{"'weekly data'!$A$2:$AS$36"}</definedName>
    <definedName name="asfasfasfasfasdf_3_1" localSheetId="5" hidden="1">{"'weekly data'!$A$2:$AS$36"}</definedName>
    <definedName name="asfasfasfasfasdf_3_1" localSheetId="6" hidden="1">{"'weekly data'!$A$2:$AS$36"}</definedName>
    <definedName name="asfasfasfasfasdf_3_1" hidden="1">{"'weekly data'!$A$2:$AS$36"}</definedName>
    <definedName name="asfasfasfasfasdf_4" localSheetId="5" hidden="1">{"'weekly data'!$A$2:$AS$36"}</definedName>
    <definedName name="asfasfasfasfasdf_4" localSheetId="6" hidden="1">{"'weekly data'!$A$2:$AS$36"}</definedName>
    <definedName name="asfasfasfasfasdf_4" hidden="1">{"'weekly data'!$A$2:$AS$36"}</definedName>
    <definedName name="asfasfasfsafdsafsaf" localSheetId="5" hidden="1">{"'vert'!$A$1:$T$117"}</definedName>
    <definedName name="asfasfasfsafdsafsaf" localSheetId="6" hidden="1">{"'vert'!$A$1:$T$117"}</definedName>
    <definedName name="asfasfasfsafdsafsaf" hidden="1">{"'vert'!$A$1:$T$117"}</definedName>
    <definedName name="asfasfasfsafdsafsaf_1" localSheetId="5" hidden="1">{"'vert'!$A$1:$T$117"}</definedName>
    <definedName name="asfasfasfsafdsafsaf_1" localSheetId="6" hidden="1">{"'vert'!$A$1:$T$117"}</definedName>
    <definedName name="asfasfasfsafdsafsaf_1" hidden="1">{"'vert'!$A$1:$T$117"}</definedName>
    <definedName name="asfasfasfsafdsafsaf_1_1" localSheetId="5" hidden="1">{"'vert'!$A$1:$T$117"}</definedName>
    <definedName name="asfasfasfsafdsafsaf_1_1" localSheetId="6" hidden="1">{"'vert'!$A$1:$T$117"}</definedName>
    <definedName name="asfasfasfsafdsafsaf_1_1" hidden="1">{"'vert'!$A$1:$T$117"}</definedName>
    <definedName name="asfasfasfsafdsafsaf_1_1_1" localSheetId="5" hidden="1">{"'vert'!$A$1:$T$117"}</definedName>
    <definedName name="asfasfasfsafdsafsaf_1_1_1" localSheetId="6" hidden="1">{"'vert'!$A$1:$T$117"}</definedName>
    <definedName name="asfasfasfsafdsafsaf_1_1_1" hidden="1">{"'vert'!$A$1:$T$117"}</definedName>
    <definedName name="asfasfasfsafdsafsaf_1_2" localSheetId="5" hidden="1">{"'vert'!$A$1:$T$117"}</definedName>
    <definedName name="asfasfasfsafdsafsaf_1_2" localSheetId="6" hidden="1">{"'vert'!$A$1:$T$117"}</definedName>
    <definedName name="asfasfasfsafdsafsaf_1_2" hidden="1">{"'vert'!$A$1:$T$117"}</definedName>
    <definedName name="asfasfasfsafdsafsaf_2" localSheetId="5" hidden="1">{"'vert'!$A$1:$T$117"}</definedName>
    <definedName name="asfasfasfsafdsafsaf_2" localSheetId="6" hidden="1">{"'vert'!$A$1:$T$117"}</definedName>
    <definedName name="asfasfasfsafdsafsaf_2" hidden="1">{"'vert'!$A$1:$T$117"}</definedName>
    <definedName name="asfasfasfsafdsafsaf_2_1" localSheetId="5" hidden="1">{"'vert'!$A$1:$T$117"}</definedName>
    <definedName name="asfasfasfsafdsafsaf_2_1" localSheetId="6" hidden="1">{"'vert'!$A$1:$T$117"}</definedName>
    <definedName name="asfasfasfsafdsafsaf_2_1" hidden="1">{"'vert'!$A$1:$T$117"}</definedName>
    <definedName name="asfasfasfsafdsafsaf_2_1_1" localSheetId="5" hidden="1">{"'vert'!$A$1:$T$117"}</definedName>
    <definedName name="asfasfasfsafdsafsaf_2_1_1" localSheetId="6" hidden="1">{"'vert'!$A$1:$T$117"}</definedName>
    <definedName name="asfasfasfsafdsafsaf_2_1_1" hidden="1">{"'vert'!$A$1:$T$117"}</definedName>
    <definedName name="asfasfasfsafdsafsaf_2_2" localSheetId="5" hidden="1">{"'vert'!$A$1:$T$117"}</definedName>
    <definedName name="asfasfasfsafdsafsaf_2_2" localSheetId="6" hidden="1">{"'vert'!$A$1:$T$117"}</definedName>
    <definedName name="asfasfasfsafdsafsaf_2_2" hidden="1">{"'vert'!$A$1:$T$117"}</definedName>
    <definedName name="asfasfasfsafdsafsaf_3" localSheetId="5" hidden="1">{"'vert'!$A$1:$T$117"}</definedName>
    <definedName name="asfasfasfsafdsafsaf_3" localSheetId="6" hidden="1">{"'vert'!$A$1:$T$117"}</definedName>
    <definedName name="asfasfasfsafdsafsaf_3" hidden="1">{"'vert'!$A$1:$T$117"}</definedName>
    <definedName name="asfasfasfsafdsafsaf_3_1" localSheetId="5" hidden="1">{"'vert'!$A$1:$T$117"}</definedName>
    <definedName name="asfasfasfsafdsafsaf_3_1" localSheetId="6" hidden="1">{"'vert'!$A$1:$T$117"}</definedName>
    <definedName name="asfasfasfsafdsafsaf_3_1" hidden="1">{"'vert'!$A$1:$T$117"}</definedName>
    <definedName name="asfasfasfsafdsafsaf_4" localSheetId="5" hidden="1">{"'vert'!$A$1:$T$117"}</definedName>
    <definedName name="asfasfasfsafdsafsaf_4" localSheetId="6" hidden="1">{"'vert'!$A$1:$T$117"}</definedName>
    <definedName name="asfasfasfsafdsafsaf_4" hidden="1">{"'vert'!$A$1:$T$117"}</definedName>
    <definedName name="asfasfdasfasdfasdfasf" localSheetId="5" hidden="1">{"'weekly data'!$A$2:$AS$36"}</definedName>
    <definedName name="asfasfdasfasdfasdfasf" localSheetId="6" hidden="1">{"'weekly data'!$A$2:$AS$36"}</definedName>
    <definedName name="asfasfdasfasdfasdfasf" hidden="1">{"'weekly data'!$A$2:$AS$36"}</definedName>
    <definedName name="asfasfdasfasdfasdfasf_1" localSheetId="5" hidden="1">{"'weekly data'!$A$2:$AS$36"}</definedName>
    <definedName name="asfasfdasfasdfasdfasf_1" localSheetId="6" hidden="1">{"'weekly data'!$A$2:$AS$36"}</definedName>
    <definedName name="asfasfdasfasdfasdfasf_1" hidden="1">{"'weekly data'!$A$2:$AS$36"}</definedName>
    <definedName name="asfasfdasfasdfasdfasf_1_1" localSheetId="5" hidden="1">{"'weekly data'!$A$2:$AS$36"}</definedName>
    <definedName name="asfasfdasfasdfasdfasf_1_1" localSheetId="6" hidden="1">{"'weekly data'!$A$2:$AS$36"}</definedName>
    <definedName name="asfasfdasfasdfasdfasf_1_1" hidden="1">{"'weekly data'!$A$2:$AS$36"}</definedName>
    <definedName name="asfasfdasfasdfasdfasf_1_1_1" localSheetId="5" hidden="1">{"'weekly data'!$A$2:$AS$36"}</definedName>
    <definedName name="asfasfdasfasdfasdfasf_1_1_1" localSheetId="6" hidden="1">{"'weekly data'!$A$2:$AS$36"}</definedName>
    <definedName name="asfasfdasfasdfasdfasf_1_1_1" hidden="1">{"'weekly data'!$A$2:$AS$36"}</definedName>
    <definedName name="asfasfdasfasdfasdfasf_1_2" localSheetId="5" hidden="1">{"'weekly data'!$A$2:$AS$36"}</definedName>
    <definedName name="asfasfdasfasdfasdfasf_1_2" localSheetId="6" hidden="1">{"'weekly data'!$A$2:$AS$36"}</definedName>
    <definedName name="asfasfdasfasdfasdfasf_1_2" hidden="1">{"'weekly data'!$A$2:$AS$36"}</definedName>
    <definedName name="asfasfdasfasdfasdfasf_2" localSheetId="5" hidden="1">{"'weekly data'!$A$2:$AS$36"}</definedName>
    <definedName name="asfasfdasfasdfasdfasf_2" localSheetId="6" hidden="1">{"'weekly data'!$A$2:$AS$36"}</definedName>
    <definedName name="asfasfdasfasdfasdfasf_2" hidden="1">{"'weekly data'!$A$2:$AS$36"}</definedName>
    <definedName name="asfasfdasfasdfasdfasf_2_1" localSheetId="5" hidden="1">{"'weekly data'!$A$2:$AS$36"}</definedName>
    <definedName name="asfasfdasfasdfasdfasf_2_1" localSheetId="6" hidden="1">{"'weekly data'!$A$2:$AS$36"}</definedName>
    <definedName name="asfasfdasfasdfasdfasf_2_1" hidden="1">{"'weekly data'!$A$2:$AS$36"}</definedName>
    <definedName name="asfasfdasfasdfasdfasf_2_1_1" localSheetId="5" hidden="1">{"'weekly data'!$A$2:$AS$36"}</definedName>
    <definedName name="asfasfdasfasdfasdfasf_2_1_1" localSheetId="6" hidden="1">{"'weekly data'!$A$2:$AS$36"}</definedName>
    <definedName name="asfasfdasfasdfasdfasf_2_1_1" hidden="1">{"'weekly data'!$A$2:$AS$36"}</definedName>
    <definedName name="asfasfdasfasdfasdfasf_2_2" localSheetId="5" hidden="1">{"'weekly data'!$A$2:$AS$36"}</definedName>
    <definedName name="asfasfdasfasdfasdfasf_2_2" localSheetId="6" hidden="1">{"'weekly data'!$A$2:$AS$36"}</definedName>
    <definedName name="asfasfdasfasdfasdfasf_2_2" hidden="1">{"'weekly data'!$A$2:$AS$36"}</definedName>
    <definedName name="asfasfdasfasdfasdfasf_3" localSheetId="5" hidden="1">{"'weekly data'!$A$2:$AS$36"}</definedName>
    <definedName name="asfasfdasfasdfasdfasf_3" localSheetId="6" hidden="1">{"'weekly data'!$A$2:$AS$36"}</definedName>
    <definedName name="asfasfdasfasdfasdfasf_3" hidden="1">{"'weekly data'!$A$2:$AS$36"}</definedName>
    <definedName name="asfasfdasfasdfasdfasf_3_1" localSheetId="5" hidden="1">{"'weekly data'!$A$2:$AS$36"}</definedName>
    <definedName name="asfasfdasfasdfasdfasf_3_1" localSheetId="6" hidden="1">{"'weekly data'!$A$2:$AS$36"}</definedName>
    <definedName name="asfasfdasfasdfasdfasf_3_1" hidden="1">{"'weekly data'!$A$2:$AS$36"}</definedName>
    <definedName name="asfasfdasfasdfasdfasf_4" localSheetId="5" hidden="1">{"'weekly data'!$A$2:$AS$36"}</definedName>
    <definedName name="asfasfdasfasdfasdfasf_4" localSheetId="6" hidden="1">{"'weekly data'!$A$2:$AS$36"}</definedName>
    <definedName name="asfasfdasfasdfasdfasf_4" hidden="1">{"'weekly data'!$A$2:$AS$36"}</definedName>
    <definedName name="asfasfdasfdsafasf" localSheetId="5" hidden="1">{"'weekly data'!$A$2:$AS$36"}</definedName>
    <definedName name="asfasfdasfdsafasf" localSheetId="6" hidden="1">{"'weekly data'!$A$2:$AS$36"}</definedName>
    <definedName name="asfasfdasfdsafasf" hidden="1">{"'weekly data'!$A$2:$AS$36"}</definedName>
    <definedName name="asfasfdasfdsafasf_1" localSheetId="5" hidden="1">{"'weekly data'!$A$2:$AS$36"}</definedName>
    <definedName name="asfasfdasfdsafasf_1" localSheetId="6" hidden="1">{"'weekly data'!$A$2:$AS$36"}</definedName>
    <definedName name="asfasfdasfdsafasf_1" hidden="1">{"'weekly data'!$A$2:$AS$36"}</definedName>
    <definedName name="asfasfdasfdsafasf_1_1" localSheetId="5" hidden="1">{"'weekly data'!$A$2:$AS$36"}</definedName>
    <definedName name="asfasfdasfdsafasf_1_1" localSheetId="6" hidden="1">{"'weekly data'!$A$2:$AS$36"}</definedName>
    <definedName name="asfasfdasfdsafasf_1_1" hidden="1">{"'weekly data'!$A$2:$AS$36"}</definedName>
    <definedName name="asfasfdasfdsafasf_1_1_1" localSheetId="5" hidden="1">{"'weekly data'!$A$2:$AS$36"}</definedName>
    <definedName name="asfasfdasfdsafasf_1_1_1" localSheetId="6" hidden="1">{"'weekly data'!$A$2:$AS$36"}</definedName>
    <definedName name="asfasfdasfdsafasf_1_1_1" hidden="1">{"'weekly data'!$A$2:$AS$36"}</definedName>
    <definedName name="asfasfdasfdsafasf_1_2" localSheetId="5" hidden="1">{"'weekly data'!$A$2:$AS$36"}</definedName>
    <definedName name="asfasfdasfdsafasf_1_2" localSheetId="6" hidden="1">{"'weekly data'!$A$2:$AS$36"}</definedName>
    <definedName name="asfasfdasfdsafasf_1_2" hidden="1">{"'weekly data'!$A$2:$AS$36"}</definedName>
    <definedName name="asfasfdasfdsafasf_2" localSheetId="5" hidden="1">{"'weekly data'!$A$2:$AS$36"}</definedName>
    <definedName name="asfasfdasfdsafasf_2" localSheetId="6" hidden="1">{"'weekly data'!$A$2:$AS$36"}</definedName>
    <definedName name="asfasfdasfdsafasf_2" hidden="1">{"'weekly data'!$A$2:$AS$36"}</definedName>
    <definedName name="asfasfdasfdsafasf_2_1" localSheetId="5" hidden="1">{"'weekly data'!$A$2:$AS$36"}</definedName>
    <definedName name="asfasfdasfdsafasf_2_1" localSheetId="6" hidden="1">{"'weekly data'!$A$2:$AS$36"}</definedName>
    <definedName name="asfasfdasfdsafasf_2_1" hidden="1">{"'weekly data'!$A$2:$AS$36"}</definedName>
    <definedName name="asfasfdasfdsafasf_2_1_1" localSheetId="5" hidden="1">{"'weekly data'!$A$2:$AS$36"}</definedName>
    <definedName name="asfasfdasfdsafasf_2_1_1" localSheetId="6" hidden="1">{"'weekly data'!$A$2:$AS$36"}</definedName>
    <definedName name="asfasfdasfdsafasf_2_1_1" hidden="1">{"'weekly data'!$A$2:$AS$36"}</definedName>
    <definedName name="asfasfdasfdsafasf_2_2" localSheetId="5" hidden="1">{"'weekly data'!$A$2:$AS$36"}</definedName>
    <definedName name="asfasfdasfdsafasf_2_2" localSheetId="6" hidden="1">{"'weekly data'!$A$2:$AS$36"}</definedName>
    <definedName name="asfasfdasfdsafasf_2_2" hidden="1">{"'weekly data'!$A$2:$AS$36"}</definedName>
    <definedName name="asfasfdasfdsafasf_3" localSheetId="5" hidden="1">{"'weekly data'!$A$2:$AS$36"}</definedName>
    <definedName name="asfasfdasfdsafasf_3" localSheetId="6" hidden="1">{"'weekly data'!$A$2:$AS$36"}</definedName>
    <definedName name="asfasfdasfdsafasf_3" hidden="1">{"'weekly data'!$A$2:$AS$36"}</definedName>
    <definedName name="asfasfdasfdsafasf_3_1" localSheetId="5" hidden="1">{"'weekly data'!$A$2:$AS$36"}</definedName>
    <definedName name="asfasfdasfdsafasf_3_1" localSheetId="6" hidden="1">{"'weekly data'!$A$2:$AS$36"}</definedName>
    <definedName name="asfasfdasfdsafasf_3_1" hidden="1">{"'weekly data'!$A$2:$AS$36"}</definedName>
    <definedName name="asfasfdasfdsafasf_4" localSheetId="5" hidden="1">{"'weekly data'!$A$2:$AS$36"}</definedName>
    <definedName name="asfasfdasfdsafasf_4" localSheetId="6" hidden="1">{"'weekly data'!$A$2:$AS$36"}</definedName>
    <definedName name="asfasfdasfdsafasf_4" hidden="1">{"'weekly data'!$A$2:$AS$36"}</definedName>
    <definedName name="atr" localSheetId="5" hidden="1">{"'vert'!$A$1:$T$117"}</definedName>
    <definedName name="atr" localSheetId="6" hidden="1">{"'vert'!$A$1:$T$117"}</definedName>
    <definedName name="atr" hidden="1">{"'vert'!$A$1:$T$117"}</definedName>
    <definedName name="atr_1" localSheetId="5" hidden="1">{"'vert'!$A$1:$T$117"}</definedName>
    <definedName name="atr_1" localSheetId="6" hidden="1">{"'vert'!$A$1:$T$117"}</definedName>
    <definedName name="atr_1" hidden="1">{"'vert'!$A$1:$T$117"}</definedName>
    <definedName name="atr_1_1" localSheetId="5" hidden="1">{"'vert'!$A$1:$T$117"}</definedName>
    <definedName name="atr_1_1" localSheetId="6" hidden="1">{"'vert'!$A$1:$T$117"}</definedName>
    <definedName name="atr_1_1" hidden="1">{"'vert'!$A$1:$T$117"}</definedName>
    <definedName name="atr_1_2" localSheetId="5" hidden="1">{"'vert'!$A$1:$T$117"}</definedName>
    <definedName name="atr_1_2" localSheetId="6" hidden="1">{"'vert'!$A$1:$T$117"}</definedName>
    <definedName name="atr_1_2" hidden="1">{"'vert'!$A$1:$T$117"}</definedName>
    <definedName name="atr_2" localSheetId="5" hidden="1">{"'vert'!$A$1:$T$117"}</definedName>
    <definedName name="atr_2" localSheetId="6" hidden="1">{"'vert'!$A$1:$T$117"}</definedName>
    <definedName name="atr_2" hidden="1">{"'vert'!$A$1:$T$117"}</definedName>
    <definedName name="atr_3" localSheetId="5" hidden="1">{"'vert'!$A$1:$T$117"}</definedName>
    <definedName name="atr_3" localSheetId="6" hidden="1">{"'vert'!$A$1:$T$117"}</definedName>
    <definedName name="atr_3" hidden="1">{"'vert'!$A$1:$T$117"}</definedName>
    <definedName name="atws" localSheetId="5" hidden="1">{"'vert'!$A$1:$T$117"}</definedName>
    <definedName name="atws" localSheetId="6" hidden="1">{"'vert'!$A$1:$T$117"}</definedName>
    <definedName name="atws" hidden="1">{"'vert'!$A$1:$T$117"}</definedName>
    <definedName name="atws_1" localSheetId="5" hidden="1">{"'vert'!$A$1:$T$117"}</definedName>
    <definedName name="atws_1" localSheetId="6" hidden="1">{"'vert'!$A$1:$T$117"}</definedName>
    <definedName name="atws_1" hidden="1">{"'vert'!$A$1:$T$117"}</definedName>
    <definedName name="atws_1_1" localSheetId="5" hidden="1">{"'vert'!$A$1:$T$117"}</definedName>
    <definedName name="atws_1_1" localSheetId="6" hidden="1">{"'vert'!$A$1:$T$117"}</definedName>
    <definedName name="atws_1_1" hidden="1">{"'vert'!$A$1:$T$117"}</definedName>
    <definedName name="atws_1_2" localSheetId="5" hidden="1">{"'vert'!$A$1:$T$117"}</definedName>
    <definedName name="atws_1_2" localSheetId="6" hidden="1">{"'vert'!$A$1:$T$117"}</definedName>
    <definedName name="atws_1_2" hidden="1">{"'vert'!$A$1:$T$117"}</definedName>
    <definedName name="atws_2" localSheetId="5" hidden="1">{"'vert'!$A$1:$T$117"}</definedName>
    <definedName name="atws_2" localSheetId="6" hidden="1">{"'vert'!$A$1:$T$117"}</definedName>
    <definedName name="atws_2" hidden="1">{"'vert'!$A$1:$T$117"}</definedName>
    <definedName name="atws_3" localSheetId="5" hidden="1">{"'vert'!$A$1:$T$117"}</definedName>
    <definedName name="atws_3" localSheetId="6" hidden="1">{"'vert'!$A$1:$T$117"}</definedName>
    <definedName name="atws_3" hidden="1">{"'vert'!$A$1:$T$117"}</definedName>
    <definedName name="awe_1" localSheetId="5" hidden="1">{"'vert'!$A$1:$T$117"}</definedName>
    <definedName name="awe_1" localSheetId="6" hidden="1">{"'vert'!$A$1:$T$117"}</definedName>
    <definedName name="awe_1" hidden="1">{"'vert'!$A$1:$T$117"}</definedName>
    <definedName name="awe_1_1" localSheetId="5" hidden="1">{"'vert'!$A$1:$T$117"}</definedName>
    <definedName name="awe_1_1" localSheetId="6" hidden="1">{"'vert'!$A$1:$T$117"}</definedName>
    <definedName name="awe_1_1" hidden="1">{"'vert'!$A$1:$T$117"}</definedName>
    <definedName name="awe_1_2" localSheetId="5" hidden="1">{"'vert'!$A$1:$T$117"}</definedName>
    <definedName name="awe_1_2" localSheetId="6" hidden="1">{"'vert'!$A$1:$T$117"}</definedName>
    <definedName name="awe_1_2" hidden="1">{"'vert'!$A$1:$T$117"}</definedName>
    <definedName name="awe_2" localSheetId="5" hidden="1">{"'vert'!$A$1:$T$117"}</definedName>
    <definedName name="awe_2" localSheetId="6" hidden="1">{"'vert'!$A$1:$T$117"}</definedName>
    <definedName name="awe_2" hidden="1">{"'vert'!$A$1:$T$117"}</definedName>
    <definedName name="awe_3" localSheetId="5" hidden="1">{"'vert'!$A$1:$T$117"}</definedName>
    <definedName name="awe_3" localSheetId="6" hidden="1">{"'vert'!$A$1:$T$117"}</definedName>
    <definedName name="awe_3" hidden="1">{"'vert'!$A$1:$T$117"}</definedName>
    <definedName name="b" localSheetId="5" hidden="1">{"'weekly data'!$A$2:$AS$36"}</definedName>
    <definedName name="b" localSheetId="6" hidden="1">{"'weekly data'!$A$2:$AS$36"}</definedName>
    <definedName name="b" hidden="1">{"'weekly data'!$A$2:$AS$36"}</definedName>
    <definedName name="b_1" localSheetId="5" hidden="1">{"'vert'!$A$1:$T$117"}</definedName>
    <definedName name="b_1" localSheetId="6" hidden="1">{"'vert'!$A$1:$T$117"}</definedName>
    <definedName name="b_1" hidden="1">{"'vert'!$A$1:$T$117"}</definedName>
    <definedName name="b_1_1" localSheetId="5" hidden="1">{"'vert'!$A$1:$T$117"}</definedName>
    <definedName name="b_1_1" localSheetId="6" hidden="1">{"'vert'!$A$1:$T$117"}</definedName>
    <definedName name="b_1_1" hidden="1">{"'vert'!$A$1:$T$117"}</definedName>
    <definedName name="b_1_1_1" localSheetId="5" hidden="1">{"'vert'!$A$1:$T$117"}</definedName>
    <definedName name="b_1_1_1" localSheetId="6" hidden="1">{"'vert'!$A$1:$T$117"}</definedName>
    <definedName name="b_1_1_1" hidden="1">{"'vert'!$A$1:$T$117"}</definedName>
    <definedName name="b_1_2" localSheetId="5" hidden="1">{"'vert'!$A$1:$T$117"}</definedName>
    <definedName name="b_1_2" localSheetId="6" hidden="1">{"'vert'!$A$1:$T$117"}</definedName>
    <definedName name="b_1_2" hidden="1">{"'vert'!$A$1:$T$117"}</definedName>
    <definedName name="b_2" localSheetId="5" hidden="1">{"'vert'!$A$1:$T$117"}</definedName>
    <definedName name="b_2" localSheetId="6" hidden="1">{"'vert'!$A$1:$T$117"}</definedName>
    <definedName name="b_2" hidden="1">{"'vert'!$A$1:$T$117"}</definedName>
    <definedName name="b_2_1" localSheetId="5" hidden="1">{"'vert'!$A$1:$T$117"}</definedName>
    <definedName name="b_2_1" localSheetId="6" hidden="1">{"'vert'!$A$1:$T$117"}</definedName>
    <definedName name="b_2_1" hidden="1">{"'vert'!$A$1:$T$117"}</definedName>
    <definedName name="b_2_1_1" localSheetId="5" hidden="1">{"'vert'!$A$1:$T$117"}</definedName>
    <definedName name="b_2_1_1" localSheetId="6" hidden="1">{"'vert'!$A$1:$T$117"}</definedName>
    <definedName name="b_2_1_1" hidden="1">{"'vert'!$A$1:$T$117"}</definedName>
    <definedName name="b_2_2" localSheetId="5" hidden="1">{"'vert'!$A$1:$T$117"}</definedName>
    <definedName name="b_2_2" localSheetId="6" hidden="1">{"'vert'!$A$1:$T$117"}</definedName>
    <definedName name="b_2_2" hidden="1">{"'vert'!$A$1:$T$117"}</definedName>
    <definedName name="b_3" localSheetId="5" hidden="1">{"'vert'!$A$1:$T$117"}</definedName>
    <definedName name="b_3" localSheetId="6" hidden="1">{"'vert'!$A$1:$T$117"}</definedName>
    <definedName name="b_3" hidden="1">{"'vert'!$A$1:$T$117"}</definedName>
    <definedName name="b_3_1" localSheetId="5" hidden="1">{"'vert'!$A$1:$T$117"}</definedName>
    <definedName name="b_3_1" localSheetId="6" hidden="1">{"'vert'!$A$1:$T$117"}</definedName>
    <definedName name="b_3_1" hidden="1">{"'vert'!$A$1:$T$117"}</definedName>
    <definedName name="b_4" localSheetId="5" hidden="1">{"'vert'!$A$1:$T$117"}</definedName>
    <definedName name="b_4" localSheetId="6" hidden="1">{"'vert'!$A$1:$T$117"}</definedName>
    <definedName name="b_4" hidden="1">{"'vert'!$A$1:$T$117"}</definedName>
    <definedName name="backslide" localSheetId="5" hidden="1">{"'vert'!$A$1:$T$117"}</definedName>
    <definedName name="backslide" localSheetId="6" hidden="1">{"'vert'!$A$1:$T$117"}</definedName>
    <definedName name="backslide" hidden="1">{"'vert'!$A$1:$T$117"}</definedName>
    <definedName name="backslide_1" localSheetId="5" hidden="1">{"'vert'!$A$1:$T$117"}</definedName>
    <definedName name="backslide_1" localSheetId="6" hidden="1">{"'vert'!$A$1:$T$117"}</definedName>
    <definedName name="backslide_1" hidden="1">{"'vert'!$A$1:$T$117"}</definedName>
    <definedName name="backslide_1_1" localSheetId="5" hidden="1">{"'vert'!$A$1:$T$117"}</definedName>
    <definedName name="backslide_1_1" localSheetId="6" hidden="1">{"'vert'!$A$1:$T$117"}</definedName>
    <definedName name="backslide_1_1" hidden="1">{"'vert'!$A$1:$T$117"}</definedName>
    <definedName name="backslide_1_1_1" localSheetId="5" hidden="1">{"'vert'!$A$1:$T$117"}</definedName>
    <definedName name="backslide_1_1_1" localSheetId="6" hidden="1">{"'vert'!$A$1:$T$117"}</definedName>
    <definedName name="backslide_1_1_1" hidden="1">{"'vert'!$A$1:$T$117"}</definedName>
    <definedName name="backslide_1_2" localSheetId="5" hidden="1">{"'vert'!$A$1:$T$117"}</definedName>
    <definedName name="backslide_1_2" localSheetId="6" hidden="1">{"'vert'!$A$1:$T$117"}</definedName>
    <definedName name="backslide_1_2" hidden="1">{"'vert'!$A$1:$T$117"}</definedName>
    <definedName name="backslide_2" localSheetId="5" hidden="1">{"'vert'!$A$1:$T$117"}</definedName>
    <definedName name="backslide_2" localSheetId="6" hidden="1">{"'vert'!$A$1:$T$117"}</definedName>
    <definedName name="backslide_2" hidden="1">{"'vert'!$A$1:$T$117"}</definedName>
    <definedName name="backslide_2_1" localSheetId="5" hidden="1">{"'vert'!$A$1:$T$117"}</definedName>
    <definedName name="backslide_2_1" localSheetId="6" hidden="1">{"'vert'!$A$1:$T$117"}</definedName>
    <definedName name="backslide_2_1" hidden="1">{"'vert'!$A$1:$T$117"}</definedName>
    <definedName name="backslide_2_1_1" localSheetId="5" hidden="1">{"'vert'!$A$1:$T$117"}</definedName>
    <definedName name="backslide_2_1_1" localSheetId="6" hidden="1">{"'vert'!$A$1:$T$117"}</definedName>
    <definedName name="backslide_2_1_1" hidden="1">{"'vert'!$A$1:$T$117"}</definedName>
    <definedName name="backslide_2_2" localSheetId="5" hidden="1">{"'vert'!$A$1:$T$117"}</definedName>
    <definedName name="backslide_2_2" localSheetId="6" hidden="1">{"'vert'!$A$1:$T$117"}</definedName>
    <definedName name="backslide_2_2" hidden="1">{"'vert'!$A$1:$T$117"}</definedName>
    <definedName name="backslide_3" localSheetId="5" hidden="1">{"'vert'!$A$1:$T$117"}</definedName>
    <definedName name="backslide_3" localSheetId="6" hidden="1">{"'vert'!$A$1:$T$117"}</definedName>
    <definedName name="backslide_3" hidden="1">{"'vert'!$A$1:$T$117"}</definedName>
    <definedName name="backslide_3_1" localSheetId="5" hidden="1">{"'vert'!$A$1:$T$117"}</definedName>
    <definedName name="backslide_3_1" localSheetId="6" hidden="1">{"'vert'!$A$1:$T$117"}</definedName>
    <definedName name="backslide_3_1" hidden="1">{"'vert'!$A$1:$T$117"}</definedName>
    <definedName name="backslide_4" localSheetId="5" hidden="1">{"'vert'!$A$1:$T$117"}</definedName>
    <definedName name="backslide_4" localSheetId="6" hidden="1">{"'vert'!$A$1:$T$117"}</definedName>
    <definedName name="backslide_4" hidden="1">{"'vert'!$A$1:$T$117"}</definedName>
    <definedName name="bad" localSheetId="5" hidden="1">{"'vert'!$A$1:$T$117"}</definedName>
    <definedName name="bad" localSheetId="6" hidden="1">{"'vert'!$A$1:$T$117"}</definedName>
    <definedName name="bad" hidden="1">{"'vert'!$A$1:$T$117"}</definedName>
    <definedName name="bad_1" localSheetId="5" hidden="1">{"'vert'!$A$1:$T$117"}</definedName>
    <definedName name="bad_1" localSheetId="6" hidden="1">{"'vert'!$A$1:$T$117"}</definedName>
    <definedName name="bad_1" hidden="1">{"'vert'!$A$1:$T$117"}</definedName>
    <definedName name="bad_1_1" localSheetId="5" hidden="1">{"'vert'!$A$1:$T$117"}</definedName>
    <definedName name="bad_1_1" localSheetId="6" hidden="1">{"'vert'!$A$1:$T$117"}</definedName>
    <definedName name="bad_1_1" hidden="1">{"'vert'!$A$1:$T$117"}</definedName>
    <definedName name="bad_1_1_1" localSheetId="5" hidden="1">{"'vert'!$A$1:$T$117"}</definedName>
    <definedName name="bad_1_1_1" localSheetId="6" hidden="1">{"'vert'!$A$1:$T$117"}</definedName>
    <definedName name="bad_1_1_1" hidden="1">{"'vert'!$A$1:$T$117"}</definedName>
    <definedName name="bad_1_2" localSheetId="5" hidden="1">{"'vert'!$A$1:$T$117"}</definedName>
    <definedName name="bad_1_2" localSheetId="6" hidden="1">{"'vert'!$A$1:$T$117"}</definedName>
    <definedName name="bad_1_2" hidden="1">{"'vert'!$A$1:$T$117"}</definedName>
    <definedName name="bad_2" localSheetId="5" hidden="1">{"'vert'!$A$1:$T$117"}</definedName>
    <definedName name="bad_2" localSheetId="6" hidden="1">{"'vert'!$A$1:$T$117"}</definedName>
    <definedName name="bad_2" hidden="1">{"'vert'!$A$1:$T$117"}</definedName>
    <definedName name="bad_2_1" localSheetId="5" hidden="1">{"'vert'!$A$1:$T$117"}</definedName>
    <definedName name="bad_2_1" localSheetId="6" hidden="1">{"'vert'!$A$1:$T$117"}</definedName>
    <definedName name="bad_2_1" hidden="1">{"'vert'!$A$1:$T$117"}</definedName>
    <definedName name="bad_2_1_1" localSheetId="5" hidden="1">{"'vert'!$A$1:$T$117"}</definedName>
    <definedName name="bad_2_1_1" localSheetId="6" hidden="1">{"'vert'!$A$1:$T$117"}</definedName>
    <definedName name="bad_2_1_1" hidden="1">{"'vert'!$A$1:$T$117"}</definedName>
    <definedName name="bad_2_2" localSheetId="5" hidden="1">{"'vert'!$A$1:$T$117"}</definedName>
    <definedName name="bad_2_2" localSheetId="6" hidden="1">{"'vert'!$A$1:$T$117"}</definedName>
    <definedName name="bad_2_2" hidden="1">{"'vert'!$A$1:$T$117"}</definedName>
    <definedName name="bad_3" localSheetId="5" hidden="1">{"'vert'!$A$1:$T$117"}</definedName>
    <definedName name="bad_3" localSheetId="6" hidden="1">{"'vert'!$A$1:$T$117"}</definedName>
    <definedName name="bad_3" hidden="1">{"'vert'!$A$1:$T$117"}</definedName>
    <definedName name="bad_3_1" localSheetId="5" hidden="1">{"'vert'!$A$1:$T$117"}</definedName>
    <definedName name="bad_3_1" localSheetId="6" hidden="1">{"'vert'!$A$1:$T$117"}</definedName>
    <definedName name="bad_3_1" hidden="1">{"'vert'!$A$1:$T$117"}</definedName>
    <definedName name="bad_4" localSheetId="5" hidden="1">{"'vert'!$A$1:$T$117"}</definedName>
    <definedName name="bad_4" localSheetId="6" hidden="1">{"'vert'!$A$1:$T$117"}</definedName>
    <definedName name="bad_4" hidden="1">{"'vert'!$A$1:$T$117"}</definedName>
    <definedName name="bar" localSheetId="5" hidden="1">{"'vert'!$A$1:$T$117"}</definedName>
    <definedName name="bar" localSheetId="6" hidden="1">{"'vert'!$A$1:$T$117"}</definedName>
    <definedName name="bar" hidden="1">{"'vert'!$A$1:$T$117"}</definedName>
    <definedName name="bbb" localSheetId="5" hidden="1">{"'vert'!$A$1:$T$117"}</definedName>
    <definedName name="bbb" localSheetId="6" hidden="1">{"'vert'!$A$1:$T$117"}</definedName>
    <definedName name="bbb" hidden="1">{"'vert'!$A$1:$T$117"}</definedName>
    <definedName name="bbb_1" localSheetId="5" hidden="1">{"'vert'!$A$1:$T$117"}</definedName>
    <definedName name="bbb_1" localSheetId="6" hidden="1">{"'vert'!$A$1:$T$117"}</definedName>
    <definedName name="bbb_1" hidden="1">{"'vert'!$A$1:$T$117"}</definedName>
    <definedName name="bbb_1_1" localSheetId="5" hidden="1">{"'vert'!$A$1:$T$117"}</definedName>
    <definedName name="bbb_1_1" localSheetId="6" hidden="1">{"'vert'!$A$1:$T$117"}</definedName>
    <definedName name="bbb_1_1" hidden="1">{"'vert'!$A$1:$T$117"}</definedName>
    <definedName name="bbb_1_1_1" localSheetId="5" hidden="1">{"'vert'!$A$1:$T$117"}</definedName>
    <definedName name="bbb_1_1_1" localSheetId="6" hidden="1">{"'vert'!$A$1:$T$117"}</definedName>
    <definedName name="bbb_1_1_1" hidden="1">{"'vert'!$A$1:$T$117"}</definedName>
    <definedName name="bbb_1_2" localSheetId="5" hidden="1">{"'vert'!$A$1:$T$117"}</definedName>
    <definedName name="bbb_1_2" localSheetId="6" hidden="1">{"'vert'!$A$1:$T$117"}</definedName>
    <definedName name="bbb_1_2" hidden="1">{"'vert'!$A$1:$T$117"}</definedName>
    <definedName name="bbb_2" localSheetId="5" hidden="1">{"'vert'!$A$1:$T$117"}</definedName>
    <definedName name="bbb_2" localSheetId="6" hidden="1">{"'vert'!$A$1:$T$117"}</definedName>
    <definedName name="bbb_2" hidden="1">{"'vert'!$A$1:$T$117"}</definedName>
    <definedName name="bbb_2_1" localSheetId="5" hidden="1">{"'vert'!$A$1:$T$117"}</definedName>
    <definedName name="bbb_2_1" localSheetId="6" hidden="1">{"'vert'!$A$1:$T$117"}</definedName>
    <definedName name="bbb_2_1" hidden="1">{"'vert'!$A$1:$T$117"}</definedName>
    <definedName name="bbb_2_1_1" localSheetId="5" hidden="1">{"'vert'!$A$1:$T$117"}</definedName>
    <definedName name="bbb_2_1_1" localSheetId="6" hidden="1">{"'vert'!$A$1:$T$117"}</definedName>
    <definedName name="bbb_2_1_1" hidden="1">{"'vert'!$A$1:$T$117"}</definedName>
    <definedName name="bbb_2_2" localSheetId="5" hidden="1">{"'vert'!$A$1:$T$117"}</definedName>
    <definedName name="bbb_2_2" localSheetId="6" hidden="1">{"'vert'!$A$1:$T$117"}</definedName>
    <definedName name="bbb_2_2" hidden="1">{"'vert'!$A$1:$T$117"}</definedName>
    <definedName name="bbb_3" localSheetId="5" hidden="1">{"'vert'!$A$1:$T$117"}</definedName>
    <definedName name="bbb_3" localSheetId="6" hidden="1">{"'vert'!$A$1:$T$117"}</definedName>
    <definedName name="bbb_3" hidden="1">{"'vert'!$A$1:$T$117"}</definedName>
    <definedName name="bbb_3_1" localSheetId="5" hidden="1">{"'vert'!$A$1:$T$117"}</definedName>
    <definedName name="bbb_3_1" localSheetId="6" hidden="1">{"'vert'!$A$1:$T$117"}</definedName>
    <definedName name="bbb_3_1" hidden="1">{"'vert'!$A$1:$T$117"}</definedName>
    <definedName name="bbb_4" localSheetId="5" hidden="1">{"'vert'!$A$1:$T$117"}</definedName>
    <definedName name="bbb_4" localSheetId="6" hidden="1">{"'vert'!$A$1:$T$117"}</definedName>
    <definedName name="bbb_4" hidden="1">{"'vert'!$A$1:$T$117"}</definedName>
    <definedName name="bbbbb" localSheetId="5" hidden="1">{"'vert'!$A$1:$T$117"}</definedName>
    <definedName name="bbbbb" localSheetId="6" hidden="1">{"'vert'!$A$1:$T$117"}</definedName>
    <definedName name="bbbbb" hidden="1">{"'vert'!$A$1:$T$117"}</definedName>
    <definedName name="bbbbb_1" localSheetId="5" hidden="1">{"'vert'!$A$1:$T$117"}</definedName>
    <definedName name="bbbbb_1" localSheetId="6" hidden="1">{"'vert'!$A$1:$T$117"}</definedName>
    <definedName name="bbbbb_1" hidden="1">{"'vert'!$A$1:$T$117"}</definedName>
    <definedName name="bbbbb_1_1" localSheetId="5" hidden="1">{"'vert'!$A$1:$T$117"}</definedName>
    <definedName name="bbbbb_1_1" localSheetId="6" hidden="1">{"'vert'!$A$1:$T$117"}</definedName>
    <definedName name="bbbbb_1_1" hidden="1">{"'vert'!$A$1:$T$117"}</definedName>
    <definedName name="bbbbb_1_2" localSheetId="5" hidden="1">{"'vert'!$A$1:$T$117"}</definedName>
    <definedName name="bbbbb_1_2" localSheetId="6" hidden="1">{"'vert'!$A$1:$T$117"}</definedName>
    <definedName name="bbbbb_1_2" hidden="1">{"'vert'!$A$1:$T$117"}</definedName>
    <definedName name="bbbbb_2" localSheetId="5" hidden="1">{"'vert'!$A$1:$T$117"}</definedName>
    <definedName name="bbbbb_2" localSheetId="6" hidden="1">{"'vert'!$A$1:$T$117"}</definedName>
    <definedName name="bbbbb_2" hidden="1">{"'vert'!$A$1:$T$117"}</definedName>
    <definedName name="bbbbb_3" localSheetId="5" hidden="1">{"'vert'!$A$1:$T$117"}</definedName>
    <definedName name="bbbbb_3" localSheetId="6" hidden="1">{"'vert'!$A$1:$T$117"}</definedName>
    <definedName name="bbbbb_3" hidden="1">{"'vert'!$A$1:$T$117"}</definedName>
    <definedName name="bbbbbbbbbbb" localSheetId="5" hidden="1">{"'vert'!$A$1:$T$117"}</definedName>
    <definedName name="bbbbbbbbbbb" localSheetId="6" hidden="1">{"'vert'!$A$1:$T$117"}</definedName>
    <definedName name="bbbbbbbbbbb" hidden="1">{"'vert'!$A$1:$T$117"}</definedName>
    <definedName name="bbbbbbbbbbb_1" localSheetId="5" hidden="1">{"'vert'!$A$1:$T$117"}</definedName>
    <definedName name="bbbbbbbbbbb_1" localSheetId="6" hidden="1">{"'vert'!$A$1:$T$117"}</definedName>
    <definedName name="bbbbbbbbbbb_1" hidden="1">{"'vert'!$A$1:$T$117"}</definedName>
    <definedName name="bbbbbbbbbbb_1_1" localSheetId="5" hidden="1">{"'vert'!$A$1:$T$117"}</definedName>
    <definedName name="bbbbbbbbbbb_1_1" localSheetId="6" hidden="1">{"'vert'!$A$1:$T$117"}</definedName>
    <definedName name="bbbbbbbbbbb_1_1" hidden="1">{"'vert'!$A$1:$T$117"}</definedName>
    <definedName name="bbbbbbbbbbb_1_2" localSheetId="5" hidden="1">{"'vert'!$A$1:$T$117"}</definedName>
    <definedName name="bbbbbbbbbbb_1_2" localSheetId="6" hidden="1">{"'vert'!$A$1:$T$117"}</definedName>
    <definedName name="bbbbbbbbbbb_1_2" hidden="1">{"'vert'!$A$1:$T$117"}</definedName>
    <definedName name="bbbbbbbbbbb_2" localSheetId="5" hidden="1">{"'vert'!$A$1:$T$117"}</definedName>
    <definedName name="bbbbbbbbbbb_2" localSheetId="6" hidden="1">{"'vert'!$A$1:$T$117"}</definedName>
    <definedName name="bbbbbbbbbbb_2" hidden="1">{"'vert'!$A$1:$T$117"}</definedName>
    <definedName name="bbbbbbbbbbb_3" localSheetId="5" hidden="1">{"'vert'!$A$1:$T$117"}</definedName>
    <definedName name="bbbbbbbbbbb_3" localSheetId="6" hidden="1">{"'vert'!$A$1:$T$117"}</definedName>
    <definedName name="bbbbbbbbbbb_3" hidden="1">{"'vert'!$A$1:$T$117"}</definedName>
    <definedName name="bbbbbbbbbbbbb" localSheetId="5" hidden="1">{"'vert'!$A$1:$T$117"}</definedName>
    <definedName name="bbbbbbbbbbbbb" localSheetId="6" hidden="1">{"'vert'!$A$1:$T$117"}</definedName>
    <definedName name="bbbbbbbbbbbbb" hidden="1">{"'vert'!$A$1:$T$117"}</definedName>
    <definedName name="bbbbbbbbbbbbb_1" localSheetId="5" hidden="1">{"'vert'!$A$1:$T$117"}</definedName>
    <definedName name="bbbbbbbbbbbbb_1" localSheetId="6" hidden="1">{"'vert'!$A$1:$T$117"}</definedName>
    <definedName name="bbbbbbbbbbbbb_1" hidden="1">{"'vert'!$A$1:$T$117"}</definedName>
    <definedName name="bbbbbbbbbbbbb_1_1" localSheetId="5" hidden="1">{"'vert'!$A$1:$T$117"}</definedName>
    <definedName name="bbbbbbbbbbbbb_1_1" localSheetId="6" hidden="1">{"'vert'!$A$1:$T$117"}</definedName>
    <definedName name="bbbbbbbbbbbbb_1_1" hidden="1">{"'vert'!$A$1:$T$117"}</definedName>
    <definedName name="bbbbbbbbbbbbb_1_2" localSheetId="5" hidden="1">{"'vert'!$A$1:$T$117"}</definedName>
    <definedName name="bbbbbbbbbbbbb_1_2" localSheetId="6" hidden="1">{"'vert'!$A$1:$T$117"}</definedName>
    <definedName name="bbbbbbbbbbbbb_1_2" hidden="1">{"'vert'!$A$1:$T$117"}</definedName>
    <definedName name="bbbbbbbbbbbbb_2" localSheetId="5" hidden="1">{"'vert'!$A$1:$T$117"}</definedName>
    <definedName name="bbbbbbbbbbbbb_2" localSheetId="6" hidden="1">{"'vert'!$A$1:$T$117"}</definedName>
    <definedName name="bbbbbbbbbbbbb_2" hidden="1">{"'vert'!$A$1:$T$117"}</definedName>
    <definedName name="bbbbbbbbbbbbb_3" localSheetId="5" hidden="1">{"'vert'!$A$1:$T$117"}</definedName>
    <definedName name="bbbbbbbbbbbbb_3" localSheetId="6" hidden="1">{"'vert'!$A$1:$T$117"}</definedName>
    <definedName name="bbbbbbbbbbbbb_3" hidden="1">{"'vert'!$A$1:$T$117"}</definedName>
    <definedName name="bbbbbbbbbbbbbbbbb" localSheetId="5" hidden="1">{"'vert'!$A$1:$T$117"}</definedName>
    <definedName name="bbbbbbbbbbbbbbbbb" localSheetId="6" hidden="1">{"'vert'!$A$1:$T$117"}</definedName>
    <definedName name="bbbbbbbbbbbbbbbbb" hidden="1">{"'vert'!$A$1:$T$117"}</definedName>
    <definedName name="bbbbbbbbbbbbbbbbb_1" localSheetId="5" hidden="1">{"'vert'!$A$1:$T$117"}</definedName>
    <definedName name="bbbbbbbbbbbbbbbbb_1" localSheetId="6" hidden="1">{"'vert'!$A$1:$T$117"}</definedName>
    <definedName name="bbbbbbbbbbbbbbbbb_1" hidden="1">{"'vert'!$A$1:$T$117"}</definedName>
    <definedName name="bbbbbbbbbbbbbbbbb_1_1" localSheetId="5" hidden="1">{"'vert'!$A$1:$T$117"}</definedName>
    <definedName name="bbbbbbbbbbbbbbbbb_1_1" localSheetId="6" hidden="1">{"'vert'!$A$1:$T$117"}</definedName>
    <definedName name="bbbbbbbbbbbbbbbbb_1_1" hidden="1">{"'vert'!$A$1:$T$117"}</definedName>
    <definedName name="bbbbbbbbbbbbbbbbb_1_2" localSheetId="5" hidden="1">{"'vert'!$A$1:$T$117"}</definedName>
    <definedName name="bbbbbbbbbbbbbbbbb_1_2" localSheetId="6" hidden="1">{"'vert'!$A$1:$T$117"}</definedName>
    <definedName name="bbbbbbbbbbbbbbbbb_1_2" hidden="1">{"'vert'!$A$1:$T$117"}</definedName>
    <definedName name="bbbbbbbbbbbbbbbbb_2" localSheetId="5" hidden="1">{"'vert'!$A$1:$T$117"}</definedName>
    <definedName name="bbbbbbbbbbbbbbbbb_2" localSheetId="6" hidden="1">{"'vert'!$A$1:$T$117"}</definedName>
    <definedName name="bbbbbbbbbbbbbbbbb_2" hidden="1">{"'vert'!$A$1:$T$117"}</definedName>
    <definedName name="bbbbbbbbbbbbbbbbb_3" localSheetId="5" hidden="1">{"'vert'!$A$1:$T$117"}</definedName>
    <definedName name="bbbbbbbbbbbbbbbbb_3" localSheetId="6" hidden="1">{"'vert'!$A$1:$T$117"}</definedName>
    <definedName name="bbbbbbbbbbbbbbbbb_3" hidden="1">{"'vert'!$A$1:$T$117"}</definedName>
    <definedName name="bhf" localSheetId="5" hidden="1">{"'vert'!$A$1:$T$117"}</definedName>
    <definedName name="bhf" localSheetId="6" hidden="1">{"'vert'!$A$1:$T$117"}</definedName>
    <definedName name="bhf" hidden="1">{"'vert'!$A$1:$T$117"}</definedName>
    <definedName name="bhf_1" localSheetId="5" hidden="1">{"'vert'!$A$1:$T$117"}</definedName>
    <definedName name="bhf_1" localSheetId="6" hidden="1">{"'vert'!$A$1:$T$117"}</definedName>
    <definedName name="bhf_1" hidden="1">{"'vert'!$A$1:$T$117"}</definedName>
    <definedName name="bhf_1_1" localSheetId="5" hidden="1">{"'vert'!$A$1:$T$117"}</definedName>
    <definedName name="bhf_1_1" localSheetId="6" hidden="1">{"'vert'!$A$1:$T$117"}</definedName>
    <definedName name="bhf_1_1" hidden="1">{"'vert'!$A$1:$T$117"}</definedName>
    <definedName name="bhf_1_2" localSheetId="5" hidden="1">{"'vert'!$A$1:$T$117"}</definedName>
    <definedName name="bhf_1_2" localSheetId="6" hidden="1">{"'vert'!$A$1:$T$117"}</definedName>
    <definedName name="bhf_1_2" hidden="1">{"'vert'!$A$1:$T$117"}</definedName>
    <definedName name="bhf_2" localSheetId="5" hidden="1">{"'vert'!$A$1:$T$117"}</definedName>
    <definedName name="bhf_2" localSheetId="6" hidden="1">{"'vert'!$A$1:$T$117"}</definedName>
    <definedName name="bhf_2" hidden="1">{"'vert'!$A$1:$T$117"}</definedName>
    <definedName name="bhf_3" localSheetId="5" hidden="1">{"'vert'!$A$1:$T$117"}</definedName>
    <definedName name="bhf_3" localSheetId="6" hidden="1">{"'vert'!$A$1:$T$117"}</definedName>
    <definedName name="bhf_3" hidden="1">{"'vert'!$A$1:$T$117"}</definedName>
    <definedName name="bla" localSheetId="5" hidden="1">{"'vert'!$A$1:$T$117"}</definedName>
    <definedName name="bla" localSheetId="6" hidden="1">{"'vert'!$A$1:$T$117"}</definedName>
    <definedName name="bla" hidden="1">{"'vert'!$A$1:$T$117"}</definedName>
    <definedName name="bla_1" localSheetId="5" hidden="1">{"'vert'!$A$1:$T$117"}</definedName>
    <definedName name="bla_1" localSheetId="6" hidden="1">{"'vert'!$A$1:$T$117"}</definedName>
    <definedName name="bla_1" hidden="1">{"'vert'!$A$1:$T$117"}</definedName>
    <definedName name="bla_1_1" localSheetId="5" hidden="1">{"'vert'!$A$1:$T$117"}</definedName>
    <definedName name="bla_1_1" localSheetId="6" hidden="1">{"'vert'!$A$1:$T$117"}</definedName>
    <definedName name="bla_1_1" hidden="1">{"'vert'!$A$1:$T$117"}</definedName>
    <definedName name="bla_1_1_1" localSheetId="5" hidden="1">{"'vert'!$A$1:$T$117"}</definedName>
    <definedName name="bla_1_1_1" localSheetId="6" hidden="1">{"'vert'!$A$1:$T$117"}</definedName>
    <definedName name="bla_1_1_1" hidden="1">{"'vert'!$A$1:$T$117"}</definedName>
    <definedName name="bla_1_2" localSheetId="5" hidden="1">{"'vert'!$A$1:$T$117"}</definedName>
    <definedName name="bla_1_2" localSheetId="6" hidden="1">{"'vert'!$A$1:$T$117"}</definedName>
    <definedName name="bla_1_2" hidden="1">{"'vert'!$A$1:$T$117"}</definedName>
    <definedName name="bla_2" localSheetId="5" hidden="1">{"'vert'!$A$1:$T$117"}</definedName>
    <definedName name="bla_2" localSheetId="6" hidden="1">{"'vert'!$A$1:$T$117"}</definedName>
    <definedName name="bla_2" hidden="1">{"'vert'!$A$1:$T$117"}</definedName>
    <definedName name="bla_2_1" localSheetId="5" hidden="1">{"'vert'!$A$1:$T$117"}</definedName>
    <definedName name="bla_2_1" localSheetId="6" hidden="1">{"'vert'!$A$1:$T$117"}</definedName>
    <definedName name="bla_2_1" hidden="1">{"'vert'!$A$1:$T$117"}</definedName>
    <definedName name="bla_2_1_1" localSheetId="5" hidden="1">{"'vert'!$A$1:$T$117"}</definedName>
    <definedName name="bla_2_1_1" localSheetId="6" hidden="1">{"'vert'!$A$1:$T$117"}</definedName>
    <definedName name="bla_2_1_1" hidden="1">{"'vert'!$A$1:$T$117"}</definedName>
    <definedName name="bla_2_2" localSheetId="5" hidden="1">{"'vert'!$A$1:$T$117"}</definedName>
    <definedName name="bla_2_2" localSheetId="6" hidden="1">{"'vert'!$A$1:$T$117"}</definedName>
    <definedName name="bla_2_2" hidden="1">{"'vert'!$A$1:$T$117"}</definedName>
    <definedName name="bla_3" localSheetId="5" hidden="1">{"'vert'!$A$1:$T$117"}</definedName>
    <definedName name="bla_3" localSheetId="6" hidden="1">{"'vert'!$A$1:$T$117"}</definedName>
    <definedName name="bla_3" hidden="1">{"'vert'!$A$1:$T$117"}</definedName>
    <definedName name="bla_3_1" localSheetId="5" hidden="1">{"'vert'!$A$1:$T$117"}</definedName>
    <definedName name="bla_3_1" localSheetId="6" hidden="1">{"'vert'!$A$1:$T$117"}</definedName>
    <definedName name="bla_3_1" hidden="1">{"'vert'!$A$1:$T$117"}</definedName>
    <definedName name="bla_4" localSheetId="5" hidden="1">{"'vert'!$A$1:$T$117"}</definedName>
    <definedName name="bla_4" localSheetId="6" hidden="1">{"'vert'!$A$1:$T$117"}</definedName>
    <definedName name="bla_4" hidden="1">{"'vert'!$A$1:$T$117"}</definedName>
    <definedName name="blah" localSheetId="5" hidden="1">{"'vert'!$A$1:$T$117"}</definedName>
    <definedName name="blah" localSheetId="6" hidden="1">{"'vert'!$A$1:$T$117"}</definedName>
    <definedName name="blah" hidden="1">{"'vert'!$A$1:$T$117"}</definedName>
    <definedName name="blah_1" localSheetId="5" hidden="1">{"'vert'!$A$1:$T$117"}</definedName>
    <definedName name="blah_1" localSheetId="6" hidden="1">{"'vert'!$A$1:$T$117"}</definedName>
    <definedName name="blah_1" hidden="1">{"'vert'!$A$1:$T$117"}</definedName>
    <definedName name="blah_1_1" localSheetId="5" hidden="1">{"'vert'!$A$1:$T$117"}</definedName>
    <definedName name="blah_1_1" localSheetId="6" hidden="1">{"'vert'!$A$1:$T$117"}</definedName>
    <definedName name="blah_1_1" hidden="1">{"'vert'!$A$1:$T$117"}</definedName>
    <definedName name="blah_1_1_1" localSheetId="5" hidden="1">{"'vert'!$A$1:$T$117"}</definedName>
    <definedName name="blah_1_1_1" localSheetId="6" hidden="1">{"'vert'!$A$1:$T$117"}</definedName>
    <definedName name="blah_1_1_1" hidden="1">{"'vert'!$A$1:$T$117"}</definedName>
    <definedName name="blah_1_2" localSheetId="5" hidden="1">{"'vert'!$A$1:$T$117"}</definedName>
    <definedName name="blah_1_2" localSheetId="6" hidden="1">{"'vert'!$A$1:$T$117"}</definedName>
    <definedName name="blah_1_2" hidden="1">{"'vert'!$A$1:$T$117"}</definedName>
    <definedName name="blah_2" localSheetId="5" hidden="1">{"'vert'!$A$1:$T$117"}</definedName>
    <definedName name="blah_2" localSheetId="6" hidden="1">{"'vert'!$A$1:$T$117"}</definedName>
    <definedName name="blah_2" hidden="1">{"'vert'!$A$1:$T$117"}</definedName>
    <definedName name="blah_2_1" localSheetId="5" hidden="1">{"'vert'!$A$1:$T$117"}</definedName>
    <definedName name="blah_2_1" localSheetId="6" hidden="1">{"'vert'!$A$1:$T$117"}</definedName>
    <definedName name="blah_2_1" hidden="1">{"'vert'!$A$1:$T$117"}</definedName>
    <definedName name="blah_2_1_1" localSheetId="5" hidden="1">{"'vert'!$A$1:$T$117"}</definedName>
    <definedName name="blah_2_1_1" localSheetId="6" hidden="1">{"'vert'!$A$1:$T$117"}</definedName>
    <definedName name="blah_2_1_1" hidden="1">{"'vert'!$A$1:$T$117"}</definedName>
    <definedName name="blah_2_2" localSheetId="5" hidden="1">{"'vert'!$A$1:$T$117"}</definedName>
    <definedName name="blah_2_2" localSheetId="6" hidden="1">{"'vert'!$A$1:$T$117"}</definedName>
    <definedName name="blah_2_2" hidden="1">{"'vert'!$A$1:$T$117"}</definedName>
    <definedName name="blah_3" localSheetId="5" hidden="1">{"'vert'!$A$1:$T$117"}</definedName>
    <definedName name="blah_3" localSheetId="6" hidden="1">{"'vert'!$A$1:$T$117"}</definedName>
    <definedName name="blah_3" hidden="1">{"'vert'!$A$1:$T$117"}</definedName>
    <definedName name="blah_3_1" localSheetId="5" hidden="1">{"'vert'!$A$1:$T$117"}</definedName>
    <definedName name="blah_3_1" localSheetId="6" hidden="1">{"'vert'!$A$1:$T$117"}</definedName>
    <definedName name="blah_3_1" hidden="1">{"'vert'!$A$1:$T$117"}</definedName>
    <definedName name="blah_4" localSheetId="5" hidden="1">{"'vert'!$A$1:$T$117"}</definedName>
    <definedName name="blah_4" localSheetId="6" hidden="1">{"'vert'!$A$1:$T$117"}</definedName>
    <definedName name="blah_4" hidden="1">{"'vert'!$A$1:$T$117"}</definedName>
    <definedName name="blahblahwk26wbr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blahblahwk26wbr" localSheetId="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blahblahwk26wbr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BNE_MESSAGES_HIDDEN" hidden="1">#REF!</definedName>
    <definedName name="boatluck" localSheetId="5" hidden="1">{"'vert'!$A$1:$T$117"}</definedName>
    <definedName name="boatluck" localSheetId="6" hidden="1">{"'vert'!$A$1:$T$117"}</definedName>
    <definedName name="boatluck" hidden="1">{"'vert'!$A$1:$T$117"}</definedName>
    <definedName name="boatluck_1" localSheetId="5" hidden="1">{"'vert'!$A$1:$T$117"}</definedName>
    <definedName name="boatluck_1" localSheetId="6" hidden="1">{"'vert'!$A$1:$T$117"}</definedName>
    <definedName name="boatluck_1" hidden="1">{"'vert'!$A$1:$T$117"}</definedName>
    <definedName name="boatluck_1_1" localSheetId="5" hidden="1">{"'vert'!$A$1:$T$117"}</definedName>
    <definedName name="boatluck_1_1" localSheetId="6" hidden="1">{"'vert'!$A$1:$T$117"}</definedName>
    <definedName name="boatluck_1_1" hidden="1">{"'vert'!$A$1:$T$117"}</definedName>
    <definedName name="boatluck_1_1_1" localSheetId="5" hidden="1">{"'vert'!$A$1:$T$117"}</definedName>
    <definedName name="boatluck_1_1_1" localSheetId="6" hidden="1">{"'vert'!$A$1:$T$117"}</definedName>
    <definedName name="boatluck_1_1_1" hidden="1">{"'vert'!$A$1:$T$117"}</definedName>
    <definedName name="boatluck_1_2" localSheetId="5" hidden="1">{"'vert'!$A$1:$T$117"}</definedName>
    <definedName name="boatluck_1_2" localSheetId="6" hidden="1">{"'vert'!$A$1:$T$117"}</definedName>
    <definedName name="boatluck_1_2" hidden="1">{"'vert'!$A$1:$T$117"}</definedName>
    <definedName name="boatluck_2" localSheetId="5" hidden="1">{"'vert'!$A$1:$T$117"}</definedName>
    <definedName name="boatluck_2" localSheetId="6" hidden="1">{"'vert'!$A$1:$T$117"}</definedName>
    <definedName name="boatluck_2" hidden="1">{"'vert'!$A$1:$T$117"}</definedName>
    <definedName name="boatluck_2_1" localSheetId="5" hidden="1">{"'vert'!$A$1:$T$117"}</definedName>
    <definedName name="boatluck_2_1" localSheetId="6" hidden="1">{"'vert'!$A$1:$T$117"}</definedName>
    <definedName name="boatluck_2_1" hidden="1">{"'vert'!$A$1:$T$117"}</definedName>
    <definedName name="boatluck_2_1_1" localSheetId="5" hidden="1">{"'vert'!$A$1:$T$117"}</definedName>
    <definedName name="boatluck_2_1_1" localSheetId="6" hidden="1">{"'vert'!$A$1:$T$117"}</definedName>
    <definedName name="boatluck_2_1_1" hidden="1">{"'vert'!$A$1:$T$117"}</definedName>
    <definedName name="boatluck_2_2" localSheetId="5" hidden="1">{"'vert'!$A$1:$T$117"}</definedName>
    <definedName name="boatluck_2_2" localSheetId="6" hidden="1">{"'vert'!$A$1:$T$117"}</definedName>
    <definedName name="boatluck_2_2" hidden="1">{"'vert'!$A$1:$T$117"}</definedName>
    <definedName name="boatluck_3" localSheetId="5" hidden="1">{"'vert'!$A$1:$T$117"}</definedName>
    <definedName name="boatluck_3" localSheetId="6" hidden="1">{"'vert'!$A$1:$T$117"}</definedName>
    <definedName name="boatluck_3" hidden="1">{"'vert'!$A$1:$T$117"}</definedName>
    <definedName name="boatluck_3_1" localSheetId="5" hidden="1">{"'vert'!$A$1:$T$117"}</definedName>
    <definedName name="boatluck_3_1" localSheetId="6" hidden="1">{"'vert'!$A$1:$T$117"}</definedName>
    <definedName name="boatluck_3_1" hidden="1">{"'vert'!$A$1:$T$117"}</definedName>
    <definedName name="boatluck_4" localSheetId="5" hidden="1">{"'vert'!$A$1:$T$117"}</definedName>
    <definedName name="boatluck_4" localSheetId="6" hidden="1">{"'vert'!$A$1:$T$117"}</definedName>
    <definedName name="boatluck_4" hidden="1">{"'vert'!$A$1:$T$117"}</definedName>
    <definedName name="ca" localSheetId="5" hidden="1">{"'vert'!$A$1:$T$117"}</definedName>
    <definedName name="ca" localSheetId="6" hidden="1">{"'vert'!$A$1:$T$117"}</definedName>
    <definedName name="ca" hidden="1">{"'vert'!$A$1:$T$117"}</definedName>
    <definedName name="CAD">[10]Admin!$AG$8</definedName>
    <definedName name="Calendar10Month">#REF!</definedName>
    <definedName name="Calendar10MonthOption">#N/A</definedName>
    <definedName name="Calendar10Year">#REF!</definedName>
    <definedName name="Calendar11Month">#REF!</definedName>
    <definedName name="Calendar11MonthOption">#N/A</definedName>
    <definedName name="Calendar11Year">#REF!</definedName>
    <definedName name="Calendar12Month">#REF!</definedName>
    <definedName name="Calendar12MonthOption">#N/A</definedName>
    <definedName name="Calendar12Year">#REF!</definedName>
    <definedName name="Calendar1Month">#REF!</definedName>
    <definedName name="Calendar1MonthOption">#N/A</definedName>
    <definedName name="Calendar1Year">#REF!</definedName>
    <definedName name="Calendar2Month">#REF!</definedName>
    <definedName name="Calendar2MonthOption">#N/A</definedName>
    <definedName name="Calendar2Year">#REF!</definedName>
    <definedName name="Calendar3Month">#REF!</definedName>
    <definedName name="Calendar3MonthOption">#N/A</definedName>
    <definedName name="Calendar3Year">#REF!</definedName>
    <definedName name="Calendar4Month">#REF!</definedName>
    <definedName name="Calendar4MonthOption">#N/A</definedName>
    <definedName name="Calendar4Year">#REF!</definedName>
    <definedName name="Calendar5Month">#REF!</definedName>
    <definedName name="Calendar5MonthOption">#N/A</definedName>
    <definedName name="Calendar5Year">#REF!</definedName>
    <definedName name="Calendar6Month">#REF!</definedName>
    <definedName name="Calendar6MonthOption">#N/A</definedName>
    <definedName name="Calendar6Year">#REF!</definedName>
    <definedName name="Calendar7Month">#REF!</definedName>
    <definedName name="Calendar7MonthOption">#N/A</definedName>
    <definedName name="Calendar7Year">#REF!</definedName>
    <definedName name="Calendar8Month">#REF!</definedName>
    <definedName name="Calendar8MonthOption">#N/A</definedName>
    <definedName name="Calendar8Year">#REF!</definedName>
    <definedName name="Calendar9Month">#REF!</definedName>
    <definedName name="Calendar9MonthOption">#N/A</definedName>
    <definedName name="Calendar9Year">#REF!</definedName>
    <definedName name="Category">[27]definition!$C$3:$C$19</definedName>
    <definedName name="cb_sChart16EBA7BA_opts" hidden="1">"1, 1, 1, False, 2, True, False, , 0, False, True, 1, 2"</definedName>
    <definedName name="cb_sChart1AC0211C_opts" hidden="1">"1, 1, 1, False, 2, False, False, , 0, False, False, 2, 2"</definedName>
    <definedName name="cb_sChart1AC021B3_opts" hidden="1">"1, 1, 1, False, 2, False, False, , 0, False, False, 2, 2"</definedName>
    <definedName name="cb_sChart1AC02226_opts" hidden="1">"1, 1, 1, False, 2, False, False, , 0, False, False, 2, 2"</definedName>
    <definedName name="cb_sChart1AC02446_opts" hidden="1">"1, 1, 1, False, 2, True, False, , 0, False, True, 2, 2"</definedName>
    <definedName name="cb_sChart1AC02765_opts" hidden="1">"1, 1, 1, False, 2, True, False, , 0, False, True, 2, 2"</definedName>
    <definedName name="cb_sChart1AC027D9_opts" hidden="1">"1, 1, 1, False, 2, True, False, , 0, False, True, 2, 2"</definedName>
    <definedName name="ccc" localSheetId="5" hidden="1">{"'vert'!$A$1:$T$117"}</definedName>
    <definedName name="ccc" localSheetId="6" hidden="1">{"'vert'!$A$1:$T$117"}</definedName>
    <definedName name="ccc" hidden="1">{"'vert'!$A$1:$T$117"}</definedName>
    <definedName name="ccc_1" localSheetId="5" hidden="1">{"'vert'!$A$1:$T$117"}</definedName>
    <definedName name="ccc_1" localSheetId="6" hidden="1">{"'vert'!$A$1:$T$117"}</definedName>
    <definedName name="ccc_1" hidden="1">{"'vert'!$A$1:$T$117"}</definedName>
    <definedName name="ccc_1_1" localSheetId="5" hidden="1">{"'vert'!$A$1:$T$117"}</definedName>
    <definedName name="ccc_1_1" localSheetId="6" hidden="1">{"'vert'!$A$1:$T$117"}</definedName>
    <definedName name="ccc_1_1" hidden="1">{"'vert'!$A$1:$T$117"}</definedName>
    <definedName name="ccc_1_2" localSheetId="5" hidden="1">{"'vert'!$A$1:$T$117"}</definedName>
    <definedName name="ccc_1_2" localSheetId="6" hidden="1">{"'vert'!$A$1:$T$117"}</definedName>
    <definedName name="ccc_1_2" hidden="1">{"'vert'!$A$1:$T$117"}</definedName>
    <definedName name="ccc_2" localSheetId="5" hidden="1">{"'vert'!$A$1:$T$117"}</definedName>
    <definedName name="ccc_2" localSheetId="6" hidden="1">{"'vert'!$A$1:$T$117"}</definedName>
    <definedName name="ccc_2" hidden="1">{"'vert'!$A$1:$T$117"}</definedName>
    <definedName name="ccc_3" localSheetId="5" hidden="1">{"'vert'!$A$1:$T$117"}</definedName>
    <definedName name="ccc_3" localSheetId="6" hidden="1">{"'vert'!$A$1:$T$117"}</definedName>
    <definedName name="ccc_3" hidden="1">{"'vert'!$A$1:$T$117"}</definedName>
    <definedName name="cccccc" localSheetId="5" hidden="1">{"'weekly data'!$A$2:$AS$36"}</definedName>
    <definedName name="cccccc" localSheetId="6" hidden="1">{"'weekly data'!$A$2:$AS$36"}</definedName>
    <definedName name="cccccc" hidden="1">{"'weekly data'!$A$2:$AS$36"}</definedName>
    <definedName name="cccccc_1" localSheetId="5" hidden="1">{"'weekly data'!$A$2:$AS$36"}</definedName>
    <definedName name="cccccc_1" localSheetId="6" hidden="1">{"'weekly data'!$A$2:$AS$36"}</definedName>
    <definedName name="cccccc_1" hidden="1">{"'weekly data'!$A$2:$AS$36"}</definedName>
    <definedName name="cccccc_1_1" localSheetId="5" hidden="1">{"'weekly data'!$A$2:$AS$36"}</definedName>
    <definedName name="cccccc_1_1" localSheetId="6" hidden="1">{"'weekly data'!$A$2:$AS$36"}</definedName>
    <definedName name="cccccc_1_1" hidden="1">{"'weekly data'!$A$2:$AS$36"}</definedName>
    <definedName name="cccccc_1_2" localSheetId="5" hidden="1">{"'weekly data'!$A$2:$AS$36"}</definedName>
    <definedName name="cccccc_1_2" localSheetId="6" hidden="1">{"'weekly data'!$A$2:$AS$36"}</definedName>
    <definedName name="cccccc_1_2" hidden="1">{"'weekly data'!$A$2:$AS$36"}</definedName>
    <definedName name="cccccc_2" localSheetId="5" hidden="1">{"'weekly data'!$A$2:$AS$36"}</definedName>
    <definedName name="cccccc_2" localSheetId="6" hidden="1">{"'weekly data'!$A$2:$AS$36"}</definedName>
    <definedName name="cccccc_2" hidden="1">{"'weekly data'!$A$2:$AS$36"}</definedName>
    <definedName name="cccccc_3" localSheetId="5" hidden="1">{"'weekly data'!$A$2:$AS$36"}</definedName>
    <definedName name="cccccc_3" localSheetId="6" hidden="1">{"'weekly data'!$A$2:$AS$36"}</definedName>
    <definedName name="cccccc_3" hidden="1">{"'weekly data'!$A$2:$AS$36"}</definedName>
    <definedName name="ccccccc" localSheetId="5" hidden="1">{"'weekly data'!$A$2:$AS$36"}</definedName>
    <definedName name="ccccccc" localSheetId="6" hidden="1">{"'weekly data'!$A$2:$AS$36"}</definedName>
    <definedName name="ccccccc" hidden="1">{"'weekly data'!$A$2:$AS$36"}</definedName>
    <definedName name="ccccccc_1" localSheetId="5" hidden="1">{"'weekly data'!$A$2:$AS$36"}</definedName>
    <definedName name="ccccccc_1" localSheetId="6" hidden="1">{"'weekly data'!$A$2:$AS$36"}</definedName>
    <definedName name="ccccccc_1" hidden="1">{"'weekly data'!$A$2:$AS$36"}</definedName>
    <definedName name="ccccccc_1_1" localSheetId="5" hidden="1">{"'weekly data'!$A$2:$AS$36"}</definedName>
    <definedName name="ccccccc_1_1" localSheetId="6" hidden="1">{"'weekly data'!$A$2:$AS$36"}</definedName>
    <definedName name="ccccccc_1_1" hidden="1">{"'weekly data'!$A$2:$AS$36"}</definedName>
    <definedName name="ccccccc_1_2" localSheetId="5" hidden="1">{"'weekly data'!$A$2:$AS$36"}</definedName>
    <definedName name="ccccccc_1_2" localSheetId="6" hidden="1">{"'weekly data'!$A$2:$AS$36"}</definedName>
    <definedName name="ccccccc_1_2" hidden="1">{"'weekly data'!$A$2:$AS$36"}</definedName>
    <definedName name="ccccccc_2" localSheetId="5" hidden="1">{"'weekly data'!$A$2:$AS$36"}</definedName>
    <definedName name="ccccccc_2" localSheetId="6" hidden="1">{"'weekly data'!$A$2:$AS$36"}</definedName>
    <definedName name="ccccccc_2" hidden="1">{"'weekly data'!$A$2:$AS$36"}</definedName>
    <definedName name="ccccccc_3" localSheetId="5" hidden="1">{"'weekly data'!$A$2:$AS$36"}</definedName>
    <definedName name="ccccccc_3" localSheetId="6" hidden="1">{"'weekly data'!$A$2:$AS$36"}</definedName>
    <definedName name="ccccccc_3" hidden="1">{"'weekly data'!$A$2:$AS$36"}</definedName>
    <definedName name="ccccccccc" localSheetId="5" hidden="1">{"'vert'!$A$1:$T$117"}</definedName>
    <definedName name="ccccccccc" localSheetId="6" hidden="1">{"'vert'!$A$1:$T$117"}</definedName>
    <definedName name="ccccccccc" hidden="1">{"'vert'!$A$1:$T$117"}</definedName>
    <definedName name="ccccccccc_1" localSheetId="5" hidden="1">{"'vert'!$A$1:$T$117"}</definedName>
    <definedName name="ccccccccc_1" localSheetId="6" hidden="1">{"'vert'!$A$1:$T$117"}</definedName>
    <definedName name="ccccccccc_1" hidden="1">{"'vert'!$A$1:$T$117"}</definedName>
    <definedName name="ccccccccc_1_1" localSheetId="5" hidden="1">{"'vert'!$A$1:$T$117"}</definedName>
    <definedName name="ccccccccc_1_1" localSheetId="6" hidden="1">{"'vert'!$A$1:$T$117"}</definedName>
    <definedName name="ccccccccc_1_1" hidden="1">{"'vert'!$A$1:$T$117"}</definedName>
    <definedName name="ccccccccc_1_2" localSheetId="5" hidden="1">{"'vert'!$A$1:$T$117"}</definedName>
    <definedName name="ccccccccc_1_2" localSheetId="6" hidden="1">{"'vert'!$A$1:$T$117"}</definedName>
    <definedName name="ccccccccc_1_2" hidden="1">{"'vert'!$A$1:$T$117"}</definedName>
    <definedName name="ccccccccc_2" localSheetId="5" hidden="1">{"'vert'!$A$1:$T$117"}</definedName>
    <definedName name="ccccccccc_2" localSheetId="6" hidden="1">{"'vert'!$A$1:$T$117"}</definedName>
    <definedName name="ccccccccc_2" hidden="1">{"'vert'!$A$1:$T$117"}</definedName>
    <definedName name="ccccccccc_3" localSheetId="5" hidden="1">{"'vert'!$A$1:$T$117"}</definedName>
    <definedName name="ccccccccc_3" localSheetId="6" hidden="1">{"'vert'!$A$1:$T$117"}</definedName>
    <definedName name="ccccccccc_3" hidden="1">{"'vert'!$A$1:$T$117"}</definedName>
    <definedName name="cccccccccccccc" localSheetId="5" hidden="1">{"'vert'!$A$1:$T$117"}</definedName>
    <definedName name="cccccccccccccc" localSheetId="6" hidden="1">{"'vert'!$A$1:$T$117"}</definedName>
    <definedName name="cccccccccccccc" hidden="1">{"'vert'!$A$1:$T$117"}</definedName>
    <definedName name="cccccccccccccc_1" localSheetId="5" hidden="1">{"'vert'!$A$1:$T$117"}</definedName>
    <definedName name="cccccccccccccc_1" localSheetId="6" hidden="1">{"'vert'!$A$1:$T$117"}</definedName>
    <definedName name="cccccccccccccc_1" hidden="1">{"'vert'!$A$1:$T$117"}</definedName>
    <definedName name="cccccccccccccc_1_1" localSheetId="5" hidden="1">{"'vert'!$A$1:$T$117"}</definedName>
    <definedName name="cccccccccccccc_1_1" localSheetId="6" hidden="1">{"'vert'!$A$1:$T$117"}</definedName>
    <definedName name="cccccccccccccc_1_1" hidden="1">{"'vert'!$A$1:$T$117"}</definedName>
    <definedName name="cccccccccccccc_1_2" localSheetId="5" hidden="1">{"'vert'!$A$1:$T$117"}</definedName>
    <definedName name="cccccccccccccc_1_2" localSheetId="6" hidden="1">{"'vert'!$A$1:$T$117"}</definedName>
    <definedName name="cccccccccccccc_1_2" hidden="1">{"'vert'!$A$1:$T$117"}</definedName>
    <definedName name="cccccccccccccc_2" localSheetId="5" hidden="1">{"'vert'!$A$1:$T$117"}</definedName>
    <definedName name="cccccccccccccc_2" localSheetId="6" hidden="1">{"'vert'!$A$1:$T$117"}</definedName>
    <definedName name="cccccccccccccc_2" hidden="1">{"'vert'!$A$1:$T$117"}</definedName>
    <definedName name="cccccccccccccc_3" localSheetId="5" hidden="1">{"'vert'!$A$1:$T$117"}</definedName>
    <definedName name="cccccccccccccc_3" localSheetId="6" hidden="1">{"'vert'!$A$1:$T$117"}</definedName>
    <definedName name="cccccccccccccc_3" hidden="1">{"'vert'!$A$1:$T$117"}</definedName>
    <definedName name="CCName">'[21]CC ID'!$B$1</definedName>
    <definedName name="CCNumber">'[21]CC ID'!$B$2</definedName>
    <definedName name="Channel">'[12]3P GMS YTD MS'!$Z$2:$Z$1048576</definedName>
    <definedName name="CIQWBGuid" hidden="1">"8c78b3a0-4a42-434d-a532-77660d522d77"</definedName>
    <definedName name="CIS" localSheetId="5" hidden="1">{"'vert'!$A$1:$T$117"}</definedName>
    <definedName name="CIS" localSheetId="6" hidden="1">{"'vert'!$A$1:$T$117"}</definedName>
    <definedName name="CIS" hidden="1">{"'vert'!$A$1:$T$117"}</definedName>
    <definedName name="CNY">[10]Admin!$AG$13</definedName>
    <definedName name="cole" localSheetId="5" hidden="1">{"'vert'!$A$1:$T$117"}</definedName>
    <definedName name="cole" localSheetId="6" hidden="1">{"'vert'!$A$1:$T$117"}</definedName>
    <definedName name="cole" hidden="1">{"'vert'!$A$1:$T$117"}</definedName>
    <definedName name="cole_1" localSheetId="5" hidden="1">{"'vert'!$A$1:$T$117"}</definedName>
    <definedName name="cole_1" localSheetId="6" hidden="1">{"'vert'!$A$1:$T$117"}</definedName>
    <definedName name="cole_1" hidden="1">{"'vert'!$A$1:$T$117"}</definedName>
    <definedName name="cole_1_1" localSheetId="5" hidden="1">{"'vert'!$A$1:$T$117"}</definedName>
    <definedName name="cole_1_1" localSheetId="6" hidden="1">{"'vert'!$A$1:$T$117"}</definedName>
    <definedName name="cole_1_1" hidden="1">{"'vert'!$A$1:$T$117"}</definedName>
    <definedName name="cole_1_1_1" localSheetId="5" hidden="1">{"'vert'!$A$1:$T$117"}</definedName>
    <definedName name="cole_1_1_1" localSheetId="6" hidden="1">{"'vert'!$A$1:$T$117"}</definedName>
    <definedName name="cole_1_1_1" hidden="1">{"'vert'!$A$1:$T$117"}</definedName>
    <definedName name="cole_1_2" localSheetId="5" hidden="1">{"'vert'!$A$1:$T$117"}</definedName>
    <definedName name="cole_1_2" localSheetId="6" hidden="1">{"'vert'!$A$1:$T$117"}</definedName>
    <definedName name="cole_1_2" hidden="1">{"'vert'!$A$1:$T$117"}</definedName>
    <definedName name="cole_2" localSheetId="5" hidden="1">{"'vert'!$A$1:$T$117"}</definedName>
    <definedName name="cole_2" localSheetId="6" hidden="1">{"'vert'!$A$1:$T$117"}</definedName>
    <definedName name="cole_2" hidden="1">{"'vert'!$A$1:$T$117"}</definedName>
    <definedName name="cole_2_1" localSheetId="5" hidden="1">{"'vert'!$A$1:$T$117"}</definedName>
    <definedName name="cole_2_1" localSheetId="6" hidden="1">{"'vert'!$A$1:$T$117"}</definedName>
    <definedName name="cole_2_1" hidden="1">{"'vert'!$A$1:$T$117"}</definedName>
    <definedName name="cole_2_1_1" localSheetId="5" hidden="1">{"'vert'!$A$1:$T$117"}</definedName>
    <definedName name="cole_2_1_1" localSheetId="6" hidden="1">{"'vert'!$A$1:$T$117"}</definedName>
    <definedName name="cole_2_1_1" hidden="1">{"'vert'!$A$1:$T$117"}</definedName>
    <definedName name="cole_2_2" localSheetId="5" hidden="1">{"'vert'!$A$1:$T$117"}</definedName>
    <definedName name="cole_2_2" localSheetId="6" hidden="1">{"'vert'!$A$1:$T$117"}</definedName>
    <definedName name="cole_2_2" hidden="1">{"'vert'!$A$1:$T$117"}</definedName>
    <definedName name="cole_3" localSheetId="5" hidden="1">{"'vert'!$A$1:$T$117"}</definedName>
    <definedName name="cole_3" localSheetId="6" hidden="1">{"'vert'!$A$1:$T$117"}</definedName>
    <definedName name="cole_3" hidden="1">{"'vert'!$A$1:$T$117"}</definedName>
    <definedName name="cole_3_1" localSheetId="5" hidden="1">{"'vert'!$A$1:$T$117"}</definedName>
    <definedName name="cole_3_1" localSheetId="6" hidden="1">{"'vert'!$A$1:$T$117"}</definedName>
    <definedName name="cole_3_1" hidden="1">{"'vert'!$A$1:$T$117"}</definedName>
    <definedName name="cole_4" localSheetId="5" hidden="1">{"'vert'!$A$1:$T$117"}</definedName>
    <definedName name="cole_4" localSheetId="6" hidden="1">{"'vert'!$A$1:$T$117"}</definedName>
    <definedName name="cole_4" hidden="1">{"'vert'!$A$1:$T$117"}</definedName>
    <definedName name="cole1" localSheetId="5" hidden="1">{"'vert'!$A$1:$T$117"}</definedName>
    <definedName name="cole1" localSheetId="6" hidden="1">{"'vert'!$A$1:$T$117"}</definedName>
    <definedName name="cole1" hidden="1">{"'vert'!$A$1:$T$117"}</definedName>
    <definedName name="cole1_1" localSheetId="5" hidden="1">{"'vert'!$A$1:$T$117"}</definedName>
    <definedName name="cole1_1" localSheetId="6" hidden="1">{"'vert'!$A$1:$T$117"}</definedName>
    <definedName name="cole1_1" hidden="1">{"'vert'!$A$1:$T$117"}</definedName>
    <definedName name="cole1_1_1" localSheetId="5" hidden="1">{"'vert'!$A$1:$T$117"}</definedName>
    <definedName name="cole1_1_1" localSheetId="6" hidden="1">{"'vert'!$A$1:$T$117"}</definedName>
    <definedName name="cole1_1_1" hidden="1">{"'vert'!$A$1:$T$117"}</definedName>
    <definedName name="cole1_1_1_1" localSheetId="5" hidden="1">{"'vert'!$A$1:$T$117"}</definedName>
    <definedName name="cole1_1_1_1" localSheetId="6" hidden="1">{"'vert'!$A$1:$T$117"}</definedName>
    <definedName name="cole1_1_1_1" hidden="1">{"'vert'!$A$1:$T$117"}</definedName>
    <definedName name="cole1_1_2" localSheetId="5" hidden="1">{"'vert'!$A$1:$T$117"}</definedName>
    <definedName name="cole1_1_2" localSheetId="6" hidden="1">{"'vert'!$A$1:$T$117"}</definedName>
    <definedName name="cole1_1_2" hidden="1">{"'vert'!$A$1:$T$117"}</definedName>
    <definedName name="cole1_2" localSheetId="5" hidden="1">{"'vert'!$A$1:$T$117"}</definedName>
    <definedName name="cole1_2" localSheetId="6" hidden="1">{"'vert'!$A$1:$T$117"}</definedName>
    <definedName name="cole1_2" hidden="1">{"'vert'!$A$1:$T$117"}</definedName>
    <definedName name="cole1_2_1" localSheetId="5" hidden="1">{"'vert'!$A$1:$T$117"}</definedName>
    <definedName name="cole1_2_1" localSheetId="6" hidden="1">{"'vert'!$A$1:$T$117"}</definedName>
    <definedName name="cole1_2_1" hidden="1">{"'vert'!$A$1:$T$117"}</definedName>
    <definedName name="cole1_2_1_1" localSheetId="5" hidden="1">{"'vert'!$A$1:$T$117"}</definedName>
    <definedName name="cole1_2_1_1" localSheetId="6" hidden="1">{"'vert'!$A$1:$T$117"}</definedName>
    <definedName name="cole1_2_1_1" hidden="1">{"'vert'!$A$1:$T$117"}</definedName>
    <definedName name="cole1_2_2" localSheetId="5" hidden="1">{"'vert'!$A$1:$T$117"}</definedName>
    <definedName name="cole1_2_2" localSheetId="6" hidden="1">{"'vert'!$A$1:$T$117"}</definedName>
    <definedName name="cole1_2_2" hidden="1">{"'vert'!$A$1:$T$117"}</definedName>
    <definedName name="cole1_3" localSheetId="5" hidden="1">{"'vert'!$A$1:$T$117"}</definedName>
    <definedName name="cole1_3" localSheetId="6" hidden="1">{"'vert'!$A$1:$T$117"}</definedName>
    <definedName name="cole1_3" hidden="1">{"'vert'!$A$1:$T$117"}</definedName>
    <definedName name="cole1_3_1" localSheetId="5" hidden="1">{"'vert'!$A$1:$T$117"}</definedName>
    <definedName name="cole1_3_1" localSheetId="6" hidden="1">{"'vert'!$A$1:$T$117"}</definedName>
    <definedName name="cole1_3_1" hidden="1">{"'vert'!$A$1:$T$117"}</definedName>
    <definedName name="cole1_4" localSheetId="5" hidden="1">{"'vert'!$A$1:$T$117"}</definedName>
    <definedName name="cole1_4" localSheetId="6" hidden="1">{"'vert'!$A$1:$T$117"}</definedName>
    <definedName name="cole1_4" hidden="1">{"'vert'!$A$1:$T$117"}</definedName>
    <definedName name="cole2" localSheetId="5" hidden="1">{"'weekly data'!$A$2:$AS$36"}</definedName>
    <definedName name="cole2" localSheetId="6" hidden="1">{"'weekly data'!$A$2:$AS$36"}</definedName>
    <definedName name="cole2" hidden="1">{"'weekly data'!$A$2:$AS$36"}</definedName>
    <definedName name="cole2_1" localSheetId="5" hidden="1">{"'weekly data'!$A$2:$AS$36"}</definedName>
    <definedName name="cole2_1" localSheetId="6" hidden="1">{"'weekly data'!$A$2:$AS$36"}</definedName>
    <definedName name="cole2_1" hidden="1">{"'weekly data'!$A$2:$AS$36"}</definedName>
    <definedName name="cole2_1_1" localSheetId="5" hidden="1">{"'weekly data'!$A$2:$AS$36"}</definedName>
    <definedName name="cole2_1_1" localSheetId="6" hidden="1">{"'weekly data'!$A$2:$AS$36"}</definedName>
    <definedName name="cole2_1_1" hidden="1">{"'weekly data'!$A$2:$AS$36"}</definedName>
    <definedName name="cole2_1_1_1" localSheetId="5" hidden="1">{"'weekly data'!$A$2:$AS$36"}</definedName>
    <definedName name="cole2_1_1_1" localSheetId="6" hidden="1">{"'weekly data'!$A$2:$AS$36"}</definedName>
    <definedName name="cole2_1_1_1" hidden="1">{"'weekly data'!$A$2:$AS$36"}</definedName>
    <definedName name="cole2_1_2" localSheetId="5" hidden="1">{"'weekly data'!$A$2:$AS$36"}</definedName>
    <definedName name="cole2_1_2" localSheetId="6" hidden="1">{"'weekly data'!$A$2:$AS$36"}</definedName>
    <definedName name="cole2_1_2" hidden="1">{"'weekly data'!$A$2:$AS$36"}</definedName>
    <definedName name="cole2_2" localSheetId="5" hidden="1">{"'weekly data'!$A$2:$AS$36"}</definedName>
    <definedName name="cole2_2" localSheetId="6" hidden="1">{"'weekly data'!$A$2:$AS$36"}</definedName>
    <definedName name="cole2_2" hidden="1">{"'weekly data'!$A$2:$AS$36"}</definedName>
    <definedName name="cole2_2_1" localSheetId="5" hidden="1">{"'weekly data'!$A$2:$AS$36"}</definedName>
    <definedName name="cole2_2_1" localSheetId="6" hidden="1">{"'weekly data'!$A$2:$AS$36"}</definedName>
    <definedName name="cole2_2_1" hidden="1">{"'weekly data'!$A$2:$AS$36"}</definedName>
    <definedName name="cole2_2_1_1" localSheetId="5" hidden="1">{"'weekly data'!$A$2:$AS$36"}</definedName>
    <definedName name="cole2_2_1_1" localSheetId="6" hidden="1">{"'weekly data'!$A$2:$AS$36"}</definedName>
    <definedName name="cole2_2_1_1" hidden="1">{"'weekly data'!$A$2:$AS$36"}</definedName>
    <definedName name="cole2_2_2" localSheetId="5" hidden="1">{"'weekly data'!$A$2:$AS$36"}</definedName>
    <definedName name="cole2_2_2" localSheetId="6" hidden="1">{"'weekly data'!$A$2:$AS$36"}</definedName>
    <definedName name="cole2_2_2" hidden="1">{"'weekly data'!$A$2:$AS$36"}</definedName>
    <definedName name="cole2_3" localSheetId="5" hidden="1">{"'weekly data'!$A$2:$AS$36"}</definedName>
    <definedName name="cole2_3" localSheetId="6" hidden="1">{"'weekly data'!$A$2:$AS$36"}</definedName>
    <definedName name="cole2_3" hidden="1">{"'weekly data'!$A$2:$AS$36"}</definedName>
    <definedName name="cole2_3_1" localSheetId="5" hidden="1">{"'weekly data'!$A$2:$AS$36"}</definedName>
    <definedName name="cole2_3_1" localSheetId="6" hidden="1">{"'weekly data'!$A$2:$AS$36"}</definedName>
    <definedName name="cole2_3_1" hidden="1">{"'weekly data'!$A$2:$AS$36"}</definedName>
    <definedName name="cole2_4" localSheetId="5" hidden="1">{"'weekly data'!$A$2:$AS$36"}</definedName>
    <definedName name="cole2_4" localSheetId="6" hidden="1">{"'weekly data'!$A$2:$AS$36"}</definedName>
    <definedName name="cole2_4" hidden="1">{"'weekly data'!$A$2:$AS$36"}</definedName>
    <definedName name="Cole333" localSheetId="5" hidden="1">{"'weekly data'!$A$2:$AS$36"}</definedName>
    <definedName name="Cole333" localSheetId="6" hidden="1">{"'weekly data'!$A$2:$AS$36"}</definedName>
    <definedName name="Cole333" hidden="1">{"'weekly data'!$A$2:$AS$36"}</definedName>
    <definedName name="Cole333_1" localSheetId="5" hidden="1">{"'weekly data'!$A$2:$AS$36"}</definedName>
    <definedName name="Cole333_1" localSheetId="6" hidden="1">{"'weekly data'!$A$2:$AS$36"}</definedName>
    <definedName name="Cole333_1" hidden="1">{"'weekly data'!$A$2:$AS$36"}</definedName>
    <definedName name="Cole333_1_1" localSheetId="5" hidden="1">{"'weekly data'!$A$2:$AS$36"}</definedName>
    <definedName name="Cole333_1_1" localSheetId="6" hidden="1">{"'weekly data'!$A$2:$AS$36"}</definedName>
    <definedName name="Cole333_1_1" hidden="1">{"'weekly data'!$A$2:$AS$36"}</definedName>
    <definedName name="Cole333_1_1_1" localSheetId="5" hidden="1">{"'weekly data'!$A$2:$AS$36"}</definedName>
    <definedName name="Cole333_1_1_1" localSheetId="6" hidden="1">{"'weekly data'!$A$2:$AS$36"}</definedName>
    <definedName name="Cole333_1_1_1" hidden="1">{"'weekly data'!$A$2:$AS$36"}</definedName>
    <definedName name="Cole333_1_2" localSheetId="5" hidden="1">{"'weekly data'!$A$2:$AS$36"}</definedName>
    <definedName name="Cole333_1_2" localSheetId="6" hidden="1">{"'weekly data'!$A$2:$AS$36"}</definedName>
    <definedName name="Cole333_1_2" hidden="1">{"'weekly data'!$A$2:$AS$36"}</definedName>
    <definedName name="Cole333_2" localSheetId="5" hidden="1">{"'weekly data'!$A$2:$AS$36"}</definedName>
    <definedName name="Cole333_2" localSheetId="6" hidden="1">{"'weekly data'!$A$2:$AS$36"}</definedName>
    <definedName name="Cole333_2" hidden="1">{"'weekly data'!$A$2:$AS$36"}</definedName>
    <definedName name="Cole333_2_1" localSheetId="5" hidden="1">{"'weekly data'!$A$2:$AS$36"}</definedName>
    <definedName name="Cole333_2_1" localSheetId="6" hidden="1">{"'weekly data'!$A$2:$AS$36"}</definedName>
    <definedName name="Cole333_2_1" hidden="1">{"'weekly data'!$A$2:$AS$36"}</definedName>
    <definedName name="Cole333_2_1_1" localSheetId="5" hidden="1">{"'weekly data'!$A$2:$AS$36"}</definedName>
    <definedName name="Cole333_2_1_1" localSheetId="6" hidden="1">{"'weekly data'!$A$2:$AS$36"}</definedName>
    <definedName name="Cole333_2_1_1" hidden="1">{"'weekly data'!$A$2:$AS$36"}</definedName>
    <definedName name="Cole333_2_2" localSheetId="5" hidden="1">{"'weekly data'!$A$2:$AS$36"}</definedName>
    <definedName name="Cole333_2_2" localSheetId="6" hidden="1">{"'weekly data'!$A$2:$AS$36"}</definedName>
    <definedName name="Cole333_2_2" hidden="1">{"'weekly data'!$A$2:$AS$36"}</definedName>
    <definedName name="Cole333_3" localSheetId="5" hidden="1">{"'weekly data'!$A$2:$AS$36"}</definedName>
    <definedName name="Cole333_3" localSheetId="6" hidden="1">{"'weekly data'!$A$2:$AS$36"}</definedName>
    <definedName name="Cole333_3" hidden="1">{"'weekly data'!$A$2:$AS$36"}</definedName>
    <definedName name="Cole333_3_1" localSheetId="5" hidden="1">{"'weekly data'!$A$2:$AS$36"}</definedName>
    <definedName name="Cole333_3_1" localSheetId="6" hidden="1">{"'weekly data'!$A$2:$AS$36"}</definedName>
    <definedName name="Cole333_3_1" hidden="1">{"'weekly data'!$A$2:$AS$36"}</definedName>
    <definedName name="Cole333_4" localSheetId="5" hidden="1">{"'weekly data'!$A$2:$AS$36"}</definedName>
    <definedName name="Cole333_4" localSheetId="6" hidden="1">{"'weekly data'!$A$2:$AS$36"}</definedName>
    <definedName name="Cole333_4" hidden="1">{"'weekly data'!$A$2:$AS$36"}</definedName>
    <definedName name="ColumnTitleRegion1..H12.1">#REF!</definedName>
    <definedName name="ColumnTitleRegion10..H54.1">#REF!</definedName>
    <definedName name="ColumnTitleRegion11..C56.1">#REF!</definedName>
    <definedName name="ColumnTitleRegion12..D56.1">#REF!</definedName>
    <definedName name="ColumnTitleRegion13..H68.1">#REF!</definedName>
    <definedName name="ColumnTitleRegion14..C70.1">#REF!</definedName>
    <definedName name="ColumnTitleRegion15..D70.1">#REF!</definedName>
    <definedName name="ColumnTitleRegion16..H82.1">#REF!</definedName>
    <definedName name="ColumnTitleRegion17..C84.1">#REF!</definedName>
    <definedName name="ColumnTitleRegion18..D84.1">#REF!</definedName>
    <definedName name="ColumnTitleRegion19..H96.1">#REF!</definedName>
    <definedName name="ColumnTitleRegion2..C14.1">#REF!</definedName>
    <definedName name="ColumnTitleRegion20..C98.1">#REF!</definedName>
    <definedName name="ColumnTitleRegion21..D98.1">#REF!</definedName>
    <definedName name="ColumnTitleRegion22..H110.1">#REF!</definedName>
    <definedName name="ColumnTitleRegion23..C112.1">#REF!</definedName>
    <definedName name="ColumnTitleRegion24..D112.1">#REF!</definedName>
    <definedName name="ColumnTitleRegion25..H124.1">#REF!</definedName>
    <definedName name="ColumnTitleRegion26..C126.1">#REF!</definedName>
    <definedName name="ColumnTitleRegion27..D126.1">#REF!</definedName>
    <definedName name="ColumnTitleRegion28..H138.1">#REF!</definedName>
    <definedName name="ColumnTitleRegion29..C140.1">#REF!</definedName>
    <definedName name="ColumnTitleRegion3..D14.1">#REF!</definedName>
    <definedName name="ColumnTitleRegion30..D140.1">#REF!</definedName>
    <definedName name="ColumnTitleRegion31..H152.1">#REF!</definedName>
    <definedName name="ColumnTitleRegion32..C154.1">#REF!</definedName>
    <definedName name="ColumnTitleRegion33..D154.1">#REF!</definedName>
    <definedName name="ColumnTitleRegion34..H166.1">#REF!</definedName>
    <definedName name="ColumnTitleRegion35..C168.1">#REF!</definedName>
    <definedName name="ColumnTitleRegion36..D168.1">#REF!</definedName>
    <definedName name="ColumnTitleRegion4..H26.1">#REF!</definedName>
    <definedName name="ColumnTitleRegion5..C28.1">#REF!</definedName>
    <definedName name="ColumnTitleRegion6..D28.1">#REF!</definedName>
    <definedName name="ColumnTitleRegion7..H40.1">#REF!</definedName>
    <definedName name="ColumnTitleRegion8..C42.1">#REF!</definedName>
    <definedName name="ColumnTitleRegion9..D42.1">#REF!</definedName>
    <definedName name="compresult" localSheetId="5" hidden="1">{"FCB_ALL",#N/A,FALSE,"FCB"}</definedName>
    <definedName name="compresult" localSheetId="6" hidden="1">{"FCB_ALL",#N/A,FALSE,"FCB"}</definedName>
    <definedName name="compresult" hidden="1">{"FCB_ALL",#N/A,FALSE,"FCB"}</definedName>
    <definedName name="compresults" localSheetId="5" hidden="1">{"FCB_ALL",#N/A,FALSE,"FCB"}</definedName>
    <definedName name="compresults" localSheetId="6" hidden="1">{"FCB_ALL",#N/A,FALSE,"FCB"}</definedName>
    <definedName name="compresults" hidden="1">{"FCB_ALL",#N/A,FALSE,"FCB"}</definedName>
    <definedName name="compresults2" localSheetId="5" hidden="1">{"FCB_ALL",#N/A,FALSE,"FCB"}</definedName>
    <definedName name="compresults2" localSheetId="6" hidden="1">{"FCB_ALL",#N/A,FALSE,"FCB"}</definedName>
    <definedName name="compresults2" hidden="1">{"FCB_ALL",#N/A,FALSE,"FCB"}</definedName>
    <definedName name="coop" localSheetId="5" hidden="1">{"'vert'!$A$1:$T$117"}</definedName>
    <definedName name="coop" localSheetId="6" hidden="1">{"'vert'!$A$1:$T$117"}</definedName>
    <definedName name="coop" hidden="1">{"'vert'!$A$1:$T$117"}</definedName>
    <definedName name="coop_1" localSheetId="5" hidden="1">{"'vert'!$A$1:$T$117"}</definedName>
    <definedName name="coop_1" localSheetId="6" hidden="1">{"'vert'!$A$1:$T$117"}</definedName>
    <definedName name="coop_1" hidden="1">{"'vert'!$A$1:$T$117"}</definedName>
    <definedName name="coop_1_1" localSheetId="5" hidden="1">{"'vert'!$A$1:$T$117"}</definedName>
    <definedName name="coop_1_1" localSheetId="6" hidden="1">{"'vert'!$A$1:$T$117"}</definedName>
    <definedName name="coop_1_1" hidden="1">{"'vert'!$A$1:$T$117"}</definedName>
    <definedName name="coop_1_2" localSheetId="5" hidden="1">{"'vert'!$A$1:$T$117"}</definedName>
    <definedName name="coop_1_2" localSheetId="6" hidden="1">{"'vert'!$A$1:$T$117"}</definedName>
    <definedName name="coop_1_2" hidden="1">{"'vert'!$A$1:$T$117"}</definedName>
    <definedName name="coop_2" localSheetId="5" hidden="1">{"'vert'!$A$1:$T$117"}</definedName>
    <definedName name="coop_2" localSheetId="6" hidden="1">{"'vert'!$A$1:$T$117"}</definedName>
    <definedName name="coop_2" hidden="1">{"'vert'!$A$1:$T$117"}</definedName>
    <definedName name="coop_3" localSheetId="5" hidden="1">{"'vert'!$A$1:$T$117"}</definedName>
    <definedName name="coop_3" localSheetId="6" hidden="1">{"'vert'!$A$1:$T$117"}</definedName>
    <definedName name="coop_3" hidden="1">{"'vert'!$A$1:$T$117"}</definedName>
    <definedName name="coop2" localSheetId="5" hidden="1">{"'vert'!$A$1:$T$117"}</definedName>
    <definedName name="coop2" localSheetId="6" hidden="1">{"'vert'!$A$1:$T$117"}</definedName>
    <definedName name="coop2" hidden="1">{"'vert'!$A$1:$T$117"}</definedName>
    <definedName name="coop2_1" localSheetId="5" hidden="1">{"'vert'!$A$1:$T$117"}</definedName>
    <definedName name="coop2_1" localSheetId="6" hidden="1">{"'vert'!$A$1:$T$117"}</definedName>
    <definedName name="coop2_1" hidden="1">{"'vert'!$A$1:$T$117"}</definedName>
    <definedName name="coop2_1_1" localSheetId="5" hidden="1">{"'vert'!$A$1:$T$117"}</definedName>
    <definedName name="coop2_1_1" localSheetId="6" hidden="1">{"'vert'!$A$1:$T$117"}</definedName>
    <definedName name="coop2_1_1" hidden="1">{"'vert'!$A$1:$T$117"}</definedName>
    <definedName name="coop2_1_1_1" localSheetId="5" hidden="1">{"'vert'!$A$1:$T$117"}</definedName>
    <definedName name="coop2_1_1_1" localSheetId="6" hidden="1">{"'vert'!$A$1:$T$117"}</definedName>
    <definedName name="coop2_1_1_1" hidden="1">{"'vert'!$A$1:$T$117"}</definedName>
    <definedName name="coop2_1_1_1_1" localSheetId="5" hidden="1">{"'vert'!$A$1:$T$117"}</definedName>
    <definedName name="coop2_1_1_1_1" localSheetId="6" hidden="1">{"'vert'!$A$1:$T$117"}</definedName>
    <definedName name="coop2_1_1_1_1" hidden="1">{"'vert'!$A$1:$T$117"}</definedName>
    <definedName name="coop2_1_1_2" localSheetId="5" hidden="1">{"'vert'!$A$1:$T$117"}</definedName>
    <definedName name="coop2_1_1_2" localSheetId="6" hidden="1">{"'vert'!$A$1:$T$117"}</definedName>
    <definedName name="coop2_1_1_2" hidden="1">{"'vert'!$A$1:$T$117"}</definedName>
    <definedName name="coop2_1_2" localSheetId="5" hidden="1">{"'vert'!$A$1:$T$117"}</definedName>
    <definedName name="coop2_1_2" localSheetId="6" hidden="1">{"'vert'!$A$1:$T$117"}</definedName>
    <definedName name="coop2_1_2" hidden="1">{"'vert'!$A$1:$T$117"}</definedName>
    <definedName name="coop2_1_2_1" localSheetId="5" hidden="1">{"'vert'!$A$1:$T$117"}</definedName>
    <definedName name="coop2_1_2_1" localSheetId="6" hidden="1">{"'vert'!$A$1:$T$117"}</definedName>
    <definedName name="coop2_1_2_1" hidden="1">{"'vert'!$A$1:$T$117"}</definedName>
    <definedName name="coop2_1_2_1_1" localSheetId="5" hidden="1">{"'vert'!$A$1:$T$117"}</definedName>
    <definedName name="coop2_1_2_1_1" localSheetId="6" hidden="1">{"'vert'!$A$1:$T$117"}</definedName>
    <definedName name="coop2_1_2_1_1" hidden="1">{"'vert'!$A$1:$T$117"}</definedName>
    <definedName name="coop2_1_2_2" localSheetId="5" hidden="1">{"'vert'!$A$1:$T$117"}</definedName>
    <definedName name="coop2_1_2_2" localSheetId="6" hidden="1">{"'vert'!$A$1:$T$117"}</definedName>
    <definedName name="coop2_1_2_2" hidden="1">{"'vert'!$A$1:$T$117"}</definedName>
    <definedName name="coop2_1_3" localSheetId="5" hidden="1">{"'vert'!$A$1:$T$117"}</definedName>
    <definedName name="coop2_1_3" localSheetId="6" hidden="1">{"'vert'!$A$1:$T$117"}</definedName>
    <definedName name="coop2_1_3" hidden="1">{"'vert'!$A$1:$T$117"}</definedName>
    <definedName name="coop2_1_3_1" localSheetId="5" hidden="1">{"'vert'!$A$1:$T$117"}</definedName>
    <definedName name="coop2_1_3_1" localSheetId="6" hidden="1">{"'vert'!$A$1:$T$117"}</definedName>
    <definedName name="coop2_1_3_1" hidden="1">{"'vert'!$A$1:$T$117"}</definedName>
    <definedName name="coop2_1_4" localSheetId="5" hidden="1">{"'vert'!$A$1:$T$117"}</definedName>
    <definedName name="coop2_1_4" localSheetId="6" hidden="1">{"'vert'!$A$1:$T$117"}</definedName>
    <definedName name="coop2_1_4" hidden="1">{"'vert'!$A$1:$T$117"}</definedName>
    <definedName name="coop2_2" localSheetId="5" hidden="1">{"'vert'!$A$1:$T$117"}</definedName>
    <definedName name="coop2_2" localSheetId="6" hidden="1">{"'vert'!$A$1:$T$117"}</definedName>
    <definedName name="coop2_2" hidden="1">{"'vert'!$A$1:$T$117"}</definedName>
    <definedName name="coop2_2_1" localSheetId="5" hidden="1">{"'vert'!$A$1:$T$117"}</definedName>
    <definedName name="coop2_2_1" localSheetId="6" hidden="1">{"'vert'!$A$1:$T$117"}</definedName>
    <definedName name="coop2_2_1" hidden="1">{"'vert'!$A$1:$T$117"}</definedName>
    <definedName name="coop2_2_1_1" localSheetId="5" hidden="1">{"'vert'!$A$1:$T$117"}</definedName>
    <definedName name="coop2_2_1_1" localSheetId="6" hidden="1">{"'vert'!$A$1:$T$117"}</definedName>
    <definedName name="coop2_2_1_1" hidden="1">{"'vert'!$A$1:$T$117"}</definedName>
    <definedName name="coop2_2_2" localSheetId="5" hidden="1">{"'vert'!$A$1:$T$117"}</definedName>
    <definedName name="coop2_2_2" localSheetId="6" hidden="1">{"'vert'!$A$1:$T$117"}</definedName>
    <definedName name="coop2_2_2" hidden="1">{"'vert'!$A$1:$T$117"}</definedName>
    <definedName name="coop2_3" localSheetId="5" hidden="1">{"'vert'!$A$1:$T$117"}</definedName>
    <definedName name="coop2_3" localSheetId="6" hidden="1">{"'vert'!$A$1:$T$117"}</definedName>
    <definedName name="coop2_3" hidden="1">{"'vert'!$A$1:$T$117"}</definedName>
    <definedName name="coop2_3_1" localSheetId="5" hidden="1">{"'vert'!$A$1:$T$117"}</definedName>
    <definedName name="coop2_3_1" localSheetId="6" hidden="1">{"'vert'!$A$1:$T$117"}</definedName>
    <definedName name="coop2_3_1" hidden="1">{"'vert'!$A$1:$T$117"}</definedName>
    <definedName name="coop2_3_1_1" localSheetId="5" hidden="1">{"'vert'!$A$1:$T$117"}</definedName>
    <definedName name="coop2_3_1_1" localSheetId="6" hidden="1">{"'vert'!$A$1:$T$117"}</definedName>
    <definedName name="coop2_3_1_1" hidden="1">{"'vert'!$A$1:$T$117"}</definedName>
    <definedName name="coop2_3_2" localSheetId="5" hidden="1">{"'vert'!$A$1:$T$117"}</definedName>
    <definedName name="coop2_3_2" localSheetId="6" hidden="1">{"'vert'!$A$1:$T$117"}</definedName>
    <definedName name="coop2_3_2" hidden="1">{"'vert'!$A$1:$T$117"}</definedName>
    <definedName name="coop2_4" localSheetId="5" hidden="1">{"'vert'!$A$1:$T$117"}</definedName>
    <definedName name="coop2_4" localSheetId="6" hidden="1">{"'vert'!$A$1:$T$117"}</definedName>
    <definedName name="coop2_4" hidden="1">{"'vert'!$A$1:$T$117"}</definedName>
    <definedName name="coop2_4_1" localSheetId="5" hidden="1">{"'vert'!$A$1:$T$117"}</definedName>
    <definedName name="coop2_4_1" localSheetId="6" hidden="1">{"'vert'!$A$1:$T$117"}</definedName>
    <definedName name="coop2_4_1" hidden="1">{"'vert'!$A$1:$T$117"}</definedName>
    <definedName name="coop2_5" localSheetId="5" hidden="1">{"'vert'!$A$1:$T$117"}</definedName>
    <definedName name="coop2_5" localSheetId="6" hidden="1">{"'vert'!$A$1:$T$117"}</definedName>
    <definedName name="coop2_5" hidden="1">{"'vert'!$A$1:$T$117"}</definedName>
    <definedName name="copie" localSheetId="5" hidden="1">{"'vert'!$A$1:$T$117"}</definedName>
    <definedName name="copie" localSheetId="6" hidden="1">{"'vert'!$A$1:$T$117"}</definedName>
    <definedName name="copie" hidden="1">{"'vert'!$A$1:$T$117"}</definedName>
    <definedName name="copy" localSheetId="5" hidden="1">{"'vert'!$A$1:$T$117"}</definedName>
    <definedName name="copy" localSheetId="6" hidden="1">{"'vert'!$A$1:$T$117"}</definedName>
    <definedName name="copy" hidden="1">{"'vert'!$A$1:$T$117"}</definedName>
    <definedName name="copy_1" localSheetId="5" hidden="1">{"'vert'!$A$1:$T$117"}</definedName>
    <definedName name="copy_1" localSheetId="6" hidden="1">{"'vert'!$A$1:$T$117"}</definedName>
    <definedName name="copy_1" hidden="1">{"'vert'!$A$1:$T$117"}</definedName>
    <definedName name="copy_1_1" localSheetId="5" hidden="1">{"'vert'!$A$1:$T$117"}</definedName>
    <definedName name="copy_1_1" localSheetId="6" hidden="1">{"'vert'!$A$1:$T$117"}</definedName>
    <definedName name="copy_1_1" hidden="1">{"'vert'!$A$1:$T$117"}</definedName>
    <definedName name="copy_1_1_1" localSheetId="5" hidden="1">{"'vert'!$A$1:$T$117"}</definedName>
    <definedName name="copy_1_1_1" localSheetId="6" hidden="1">{"'vert'!$A$1:$T$117"}</definedName>
    <definedName name="copy_1_1_1" hidden="1">{"'vert'!$A$1:$T$117"}</definedName>
    <definedName name="copy_1_2" localSheetId="5" hidden="1">{"'vert'!$A$1:$T$117"}</definedName>
    <definedName name="copy_1_2" localSheetId="6" hidden="1">{"'vert'!$A$1:$T$117"}</definedName>
    <definedName name="copy_1_2" hidden="1">{"'vert'!$A$1:$T$117"}</definedName>
    <definedName name="copy_2" localSheetId="5" hidden="1">{"'vert'!$A$1:$T$117"}</definedName>
    <definedName name="copy_2" localSheetId="6" hidden="1">{"'vert'!$A$1:$T$117"}</definedName>
    <definedName name="copy_2" hidden="1">{"'vert'!$A$1:$T$117"}</definedName>
    <definedName name="copy_2_1" localSheetId="5" hidden="1">{"'vert'!$A$1:$T$117"}</definedName>
    <definedName name="copy_2_1" localSheetId="6" hidden="1">{"'vert'!$A$1:$T$117"}</definedName>
    <definedName name="copy_2_1" hidden="1">{"'vert'!$A$1:$T$117"}</definedName>
    <definedName name="copy_2_1_1" localSheetId="5" hidden="1">{"'vert'!$A$1:$T$117"}</definedName>
    <definedName name="copy_2_1_1" localSheetId="6" hidden="1">{"'vert'!$A$1:$T$117"}</definedName>
    <definedName name="copy_2_1_1" hidden="1">{"'vert'!$A$1:$T$117"}</definedName>
    <definedName name="copy_2_2" localSheetId="5" hidden="1">{"'vert'!$A$1:$T$117"}</definedName>
    <definedName name="copy_2_2" localSheetId="6" hidden="1">{"'vert'!$A$1:$T$117"}</definedName>
    <definedName name="copy_2_2" hidden="1">{"'vert'!$A$1:$T$117"}</definedName>
    <definedName name="copy_3" localSheetId="5" hidden="1">{"'vert'!$A$1:$T$117"}</definedName>
    <definedName name="copy_3" localSheetId="6" hidden="1">{"'vert'!$A$1:$T$117"}</definedName>
    <definedName name="copy_3" hidden="1">{"'vert'!$A$1:$T$117"}</definedName>
    <definedName name="copy_3_1" localSheetId="5" hidden="1">{"'vert'!$A$1:$T$117"}</definedName>
    <definedName name="copy_3_1" localSheetId="6" hidden="1">{"'vert'!$A$1:$T$117"}</definedName>
    <definedName name="copy_3_1" hidden="1">{"'vert'!$A$1:$T$117"}</definedName>
    <definedName name="copy_4" localSheetId="5" hidden="1">{"'vert'!$A$1:$T$117"}</definedName>
    <definedName name="copy_4" localSheetId="6" hidden="1">{"'vert'!$A$1:$T$117"}</definedName>
    <definedName name="copy_4" hidden="1">{"'vert'!$A$1:$T$117"}</definedName>
    <definedName name="Countries">[10]Admin!$G$7:$G$18</definedName>
    <definedName name="Country">[1]Lists!$D$33:$D$41</definedName>
    <definedName name="css" localSheetId="5" hidden="1">{"'vert'!$A$1:$T$117"}</definedName>
    <definedName name="css" localSheetId="6" hidden="1">{"'vert'!$A$1:$T$117"}</definedName>
    <definedName name="css" hidden="1">{"'vert'!$A$1:$T$117"}</definedName>
    <definedName name="css_1" localSheetId="5" hidden="1">{"'vert'!$A$1:$T$117"}</definedName>
    <definedName name="css_1" localSheetId="6" hidden="1">{"'vert'!$A$1:$T$117"}</definedName>
    <definedName name="css_1" hidden="1">{"'vert'!$A$1:$T$117"}</definedName>
    <definedName name="css_1_1" localSheetId="5" hidden="1">{"'vert'!$A$1:$T$117"}</definedName>
    <definedName name="css_1_1" localSheetId="6" hidden="1">{"'vert'!$A$1:$T$117"}</definedName>
    <definedName name="css_1_1" hidden="1">{"'vert'!$A$1:$T$117"}</definedName>
    <definedName name="css_1_2" localSheetId="5" hidden="1">{"'vert'!$A$1:$T$117"}</definedName>
    <definedName name="css_1_2" localSheetId="6" hidden="1">{"'vert'!$A$1:$T$117"}</definedName>
    <definedName name="css_1_2" hidden="1">{"'vert'!$A$1:$T$117"}</definedName>
    <definedName name="css_2" localSheetId="5" hidden="1">{"'vert'!$A$1:$T$117"}</definedName>
    <definedName name="css_2" localSheetId="6" hidden="1">{"'vert'!$A$1:$T$117"}</definedName>
    <definedName name="css_2" hidden="1">{"'vert'!$A$1:$T$117"}</definedName>
    <definedName name="css_3" localSheetId="5" hidden="1">{"'vert'!$A$1:$T$117"}</definedName>
    <definedName name="css_3" localSheetId="6" hidden="1">{"'vert'!$A$1:$T$117"}</definedName>
    <definedName name="css_3" hidden="1">{"'vert'!$A$1:$T$117"}</definedName>
    <definedName name="curr" localSheetId="5" hidden="1">{"'vert'!$A$1:$T$117"}</definedName>
    <definedName name="curr" localSheetId="6" hidden="1">{"'vert'!$A$1:$T$117"}</definedName>
    <definedName name="curr" hidden="1">{"'vert'!$A$1:$T$117"}</definedName>
    <definedName name="curr_1" localSheetId="5" hidden="1">{"'vert'!$A$1:$T$117"}</definedName>
    <definedName name="curr_1" localSheetId="6" hidden="1">{"'vert'!$A$1:$T$117"}</definedName>
    <definedName name="curr_1" hidden="1">{"'vert'!$A$1:$T$117"}</definedName>
    <definedName name="curr_1_1" localSheetId="5" hidden="1">{"'vert'!$A$1:$T$117"}</definedName>
    <definedName name="curr_1_1" localSheetId="6" hidden="1">{"'vert'!$A$1:$T$117"}</definedName>
    <definedName name="curr_1_1" hidden="1">{"'vert'!$A$1:$T$117"}</definedName>
    <definedName name="curr_1_1_1" localSheetId="5" hidden="1">{"'vert'!$A$1:$T$117"}</definedName>
    <definedName name="curr_1_1_1" localSheetId="6" hidden="1">{"'vert'!$A$1:$T$117"}</definedName>
    <definedName name="curr_1_1_1" hidden="1">{"'vert'!$A$1:$T$117"}</definedName>
    <definedName name="curr_1_2" localSheetId="5" hidden="1">{"'vert'!$A$1:$T$117"}</definedName>
    <definedName name="curr_1_2" localSheetId="6" hidden="1">{"'vert'!$A$1:$T$117"}</definedName>
    <definedName name="curr_1_2" hidden="1">{"'vert'!$A$1:$T$117"}</definedName>
    <definedName name="curr_2" localSheetId="5" hidden="1">{"'vert'!$A$1:$T$117"}</definedName>
    <definedName name="curr_2" localSheetId="6" hidden="1">{"'vert'!$A$1:$T$117"}</definedName>
    <definedName name="curr_2" hidden="1">{"'vert'!$A$1:$T$117"}</definedName>
    <definedName name="curr_2_1" localSheetId="5" hidden="1">{"'vert'!$A$1:$T$117"}</definedName>
    <definedName name="curr_2_1" localSheetId="6" hidden="1">{"'vert'!$A$1:$T$117"}</definedName>
    <definedName name="curr_2_1" hidden="1">{"'vert'!$A$1:$T$117"}</definedName>
    <definedName name="curr_2_1_1" localSheetId="5" hidden="1">{"'vert'!$A$1:$T$117"}</definedName>
    <definedName name="curr_2_1_1" localSheetId="6" hidden="1">{"'vert'!$A$1:$T$117"}</definedName>
    <definedName name="curr_2_1_1" hidden="1">{"'vert'!$A$1:$T$117"}</definedName>
    <definedName name="curr_2_2" localSheetId="5" hidden="1">{"'vert'!$A$1:$T$117"}</definedName>
    <definedName name="curr_2_2" localSheetId="6" hidden="1">{"'vert'!$A$1:$T$117"}</definedName>
    <definedName name="curr_2_2" hidden="1">{"'vert'!$A$1:$T$117"}</definedName>
    <definedName name="curr_3" localSheetId="5" hidden="1">{"'vert'!$A$1:$T$117"}</definedName>
    <definedName name="curr_3" localSheetId="6" hidden="1">{"'vert'!$A$1:$T$117"}</definedName>
    <definedName name="curr_3" hidden="1">{"'vert'!$A$1:$T$117"}</definedName>
    <definedName name="curr_3_1" localSheetId="5" hidden="1">{"'vert'!$A$1:$T$117"}</definedName>
    <definedName name="curr_3_1" localSheetId="6" hidden="1">{"'vert'!$A$1:$T$117"}</definedName>
    <definedName name="curr_3_1" hidden="1">{"'vert'!$A$1:$T$117"}</definedName>
    <definedName name="curr_4" localSheetId="5" hidden="1">{"'vert'!$A$1:$T$117"}</definedName>
    <definedName name="curr_4" localSheetId="6" hidden="1">{"'vert'!$A$1:$T$117"}</definedName>
    <definedName name="curr_4" hidden="1">{"'vert'!$A$1:$T$117"}</definedName>
    <definedName name="Curr_Qtr">[8]Input!$B$7</definedName>
    <definedName name="current">[2]CurrYear_V1!$M$5</definedName>
    <definedName name="current_1" localSheetId="5" hidden="1">{"'vert'!$A$1:$T$117"}</definedName>
    <definedName name="current_1" localSheetId="6" hidden="1">{"'vert'!$A$1:$T$117"}</definedName>
    <definedName name="current_1" hidden="1">{"'vert'!$A$1:$T$117"}</definedName>
    <definedName name="current_1_1" localSheetId="5" hidden="1">{"'vert'!$A$1:$T$117"}</definedName>
    <definedName name="current_1_1" localSheetId="6" hidden="1">{"'vert'!$A$1:$T$117"}</definedName>
    <definedName name="current_1_1" hidden="1">{"'vert'!$A$1:$T$117"}</definedName>
    <definedName name="current_1_1_1" localSheetId="5" hidden="1">{"'vert'!$A$1:$T$117"}</definedName>
    <definedName name="current_1_1_1" localSheetId="6" hidden="1">{"'vert'!$A$1:$T$117"}</definedName>
    <definedName name="current_1_1_1" hidden="1">{"'vert'!$A$1:$T$117"}</definedName>
    <definedName name="current_1_2" localSheetId="5" hidden="1">{"'vert'!$A$1:$T$117"}</definedName>
    <definedName name="current_1_2" localSheetId="6" hidden="1">{"'vert'!$A$1:$T$117"}</definedName>
    <definedName name="current_1_2" hidden="1">{"'vert'!$A$1:$T$117"}</definedName>
    <definedName name="current_2" localSheetId="5" hidden="1">{"'vert'!$A$1:$T$117"}</definedName>
    <definedName name="current_2" localSheetId="6" hidden="1">{"'vert'!$A$1:$T$117"}</definedName>
    <definedName name="current_2" hidden="1">{"'vert'!$A$1:$T$117"}</definedName>
    <definedName name="current_2_1" localSheetId="5" hidden="1">{"'vert'!$A$1:$T$117"}</definedName>
    <definedName name="current_2_1" localSheetId="6" hidden="1">{"'vert'!$A$1:$T$117"}</definedName>
    <definedName name="current_2_1" hidden="1">{"'vert'!$A$1:$T$117"}</definedName>
    <definedName name="current_2_1_1" localSheetId="5" hidden="1">{"'vert'!$A$1:$T$117"}</definedName>
    <definedName name="current_2_1_1" localSheetId="6" hidden="1">{"'vert'!$A$1:$T$117"}</definedName>
    <definedName name="current_2_1_1" hidden="1">{"'vert'!$A$1:$T$117"}</definedName>
    <definedName name="current_2_2" localSheetId="5" hidden="1">{"'vert'!$A$1:$T$117"}</definedName>
    <definedName name="current_2_2" localSheetId="6" hidden="1">{"'vert'!$A$1:$T$117"}</definedName>
    <definedName name="current_2_2" hidden="1">{"'vert'!$A$1:$T$117"}</definedName>
    <definedName name="current_3" localSheetId="5" hidden="1">{"'vert'!$A$1:$T$117"}</definedName>
    <definedName name="current_3" localSheetId="6" hidden="1">{"'vert'!$A$1:$T$117"}</definedName>
    <definedName name="current_3" hidden="1">{"'vert'!$A$1:$T$117"}</definedName>
    <definedName name="current_3_1" localSheetId="5" hidden="1">{"'vert'!$A$1:$T$117"}</definedName>
    <definedName name="current_3_1" localSheetId="6" hidden="1">{"'vert'!$A$1:$T$117"}</definedName>
    <definedName name="current_3_1" hidden="1">{"'vert'!$A$1:$T$117"}</definedName>
    <definedName name="current_4" localSheetId="5" hidden="1">{"'vert'!$A$1:$T$117"}</definedName>
    <definedName name="current_4" localSheetId="6" hidden="1">{"'vert'!$A$1:$T$117"}</definedName>
    <definedName name="current_4" hidden="1">{"'vert'!$A$1:$T$117"}</definedName>
    <definedName name="Current_Month">[8]Input!$B$2</definedName>
    <definedName name="currentest" localSheetId="5" hidden="1">{"'vert'!$A$1:$T$117"}</definedName>
    <definedName name="currentest" localSheetId="6" hidden="1">{"'vert'!$A$1:$T$117"}</definedName>
    <definedName name="currentest" hidden="1">{"'vert'!$A$1:$T$117"}</definedName>
    <definedName name="currentest_1" localSheetId="5" hidden="1">{"'vert'!$A$1:$T$117"}</definedName>
    <definedName name="currentest_1" localSheetId="6" hidden="1">{"'vert'!$A$1:$T$117"}</definedName>
    <definedName name="currentest_1" hidden="1">{"'vert'!$A$1:$T$117"}</definedName>
    <definedName name="currentest_1_1" localSheetId="5" hidden="1">{"'vert'!$A$1:$T$117"}</definedName>
    <definedName name="currentest_1_1" localSheetId="6" hidden="1">{"'vert'!$A$1:$T$117"}</definedName>
    <definedName name="currentest_1_1" hidden="1">{"'vert'!$A$1:$T$117"}</definedName>
    <definedName name="currentest_1_1_1" localSheetId="5" hidden="1">{"'vert'!$A$1:$T$117"}</definedName>
    <definedName name="currentest_1_1_1" localSheetId="6" hidden="1">{"'vert'!$A$1:$T$117"}</definedName>
    <definedName name="currentest_1_1_1" hidden="1">{"'vert'!$A$1:$T$117"}</definedName>
    <definedName name="currentest_1_2" localSheetId="5" hidden="1">{"'vert'!$A$1:$T$117"}</definedName>
    <definedName name="currentest_1_2" localSheetId="6" hidden="1">{"'vert'!$A$1:$T$117"}</definedName>
    <definedName name="currentest_1_2" hidden="1">{"'vert'!$A$1:$T$117"}</definedName>
    <definedName name="currentest_2" localSheetId="5" hidden="1">{"'vert'!$A$1:$T$117"}</definedName>
    <definedName name="currentest_2" localSheetId="6" hidden="1">{"'vert'!$A$1:$T$117"}</definedName>
    <definedName name="currentest_2" hidden="1">{"'vert'!$A$1:$T$117"}</definedName>
    <definedName name="currentest_2_1" localSheetId="5" hidden="1">{"'vert'!$A$1:$T$117"}</definedName>
    <definedName name="currentest_2_1" localSheetId="6" hidden="1">{"'vert'!$A$1:$T$117"}</definedName>
    <definedName name="currentest_2_1" hidden="1">{"'vert'!$A$1:$T$117"}</definedName>
    <definedName name="currentest_2_1_1" localSheetId="5" hidden="1">{"'vert'!$A$1:$T$117"}</definedName>
    <definedName name="currentest_2_1_1" localSheetId="6" hidden="1">{"'vert'!$A$1:$T$117"}</definedName>
    <definedName name="currentest_2_1_1" hidden="1">{"'vert'!$A$1:$T$117"}</definedName>
    <definedName name="currentest_2_2" localSheetId="5" hidden="1">{"'vert'!$A$1:$T$117"}</definedName>
    <definedName name="currentest_2_2" localSheetId="6" hidden="1">{"'vert'!$A$1:$T$117"}</definedName>
    <definedName name="currentest_2_2" hidden="1">{"'vert'!$A$1:$T$117"}</definedName>
    <definedName name="currentest_3" localSheetId="5" hidden="1">{"'vert'!$A$1:$T$117"}</definedName>
    <definedName name="currentest_3" localSheetId="6" hidden="1">{"'vert'!$A$1:$T$117"}</definedName>
    <definedName name="currentest_3" hidden="1">{"'vert'!$A$1:$T$117"}</definedName>
    <definedName name="currentest_3_1" localSheetId="5" hidden="1">{"'vert'!$A$1:$T$117"}</definedName>
    <definedName name="currentest_3_1" localSheetId="6" hidden="1">{"'vert'!$A$1:$T$117"}</definedName>
    <definedName name="currentest_3_1" hidden="1">{"'vert'!$A$1:$T$117"}</definedName>
    <definedName name="currentest_4" localSheetId="5" hidden="1">{"'vert'!$A$1:$T$117"}</definedName>
    <definedName name="currentest_4" localSheetId="6" hidden="1">{"'vert'!$A$1:$T$117"}</definedName>
    <definedName name="currentest_4" hidden="1">{"'vert'!$A$1:$T$117"}</definedName>
    <definedName name="CurYear">[10]Admin!$E$2</definedName>
    <definedName name="Cwvu.GREY_ALL." hidden="1">#REF!</definedName>
    <definedName name="d" hidden="1">[29]Scorecard!$AP$3</definedName>
    <definedName name="da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da" localSheetId="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da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dadfa" localSheetId="5" hidden="1">{"'vert'!$A$1:$T$117"}</definedName>
    <definedName name="dadfa" localSheetId="6" hidden="1">{"'vert'!$A$1:$T$117"}</definedName>
    <definedName name="dadfa" hidden="1">{"'vert'!$A$1:$T$117"}</definedName>
    <definedName name="dadfa_1" localSheetId="5" hidden="1">{"'vert'!$A$1:$T$117"}</definedName>
    <definedName name="dadfa_1" localSheetId="6" hidden="1">{"'vert'!$A$1:$T$117"}</definedName>
    <definedName name="dadfa_1" hidden="1">{"'vert'!$A$1:$T$117"}</definedName>
    <definedName name="dadfa_1_1" localSheetId="5" hidden="1">{"'vert'!$A$1:$T$117"}</definedName>
    <definedName name="dadfa_1_1" localSheetId="6" hidden="1">{"'vert'!$A$1:$T$117"}</definedName>
    <definedName name="dadfa_1_1" hidden="1">{"'vert'!$A$1:$T$117"}</definedName>
    <definedName name="dadfa_1_2" localSheetId="5" hidden="1">{"'vert'!$A$1:$T$117"}</definedName>
    <definedName name="dadfa_1_2" localSheetId="6" hidden="1">{"'vert'!$A$1:$T$117"}</definedName>
    <definedName name="dadfa_1_2" hidden="1">{"'vert'!$A$1:$T$117"}</definedName>
    <definedName name="dadfa_2" localSheetId="5" hidden="1">{"'vert'!$A$1:$T$117"}</definedName>
    <definedName name="dadfa_2" localSheetId="6" hidden="1">{"'vert'!$A$1:$T$117"}</definedName>
    <definedName name="dadfa_2" hidden="1">{"'vert'!$A$1:$T$117"}</definedName>
    <definedName name="dadfa_3" localSheetId="5" hidden="1">{"'vert'!$A$1:$T$117"}</definedName>
    <definedName name="dadfa_3" localSheetId="6" hidden="1">{"'vert'!$A$1:$T$117"}</definedName>
    <definedName name="dadfa_3" hidden="1">{"'vert'!$A$1:$T$117"}</definedName>
    <definedName name="dare" localSheetId="5" hidden="1">{#N/A,#N/A,FALSE,"Sheet1"}</definedName>
    <definedName name="dare" localSheetId="6" hidden="1">{#N/A,#N/A,FALSE,"Sheet1"}</definedName>
    <definedName name="dare" hidden="1">{#N/A,#N/A,FALSE,"Sheet1"}</definedName>
    <definedName name="dasdaawww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dasdaawww" localSheetId="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dasdaawww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dasdasda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dasdasda" localSheetId="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dasdasda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dasfgads" localSheetId="5" hidden="1">{"'vert'!$A$1:$T$117"}</definedName>
    <definedName name="dasfgads" localSheetId="6" hidden="1">{"'vert'!$A$1:$T$117"}</definedName>
    <definedName name="dasfgads" hidden="1">{"'vert'!$A$1:$T$117"}</definedName>
    <definedName name="dasfgads_1" localSheetId="5" hidden="1">{"'vert'!$A$1:$T$117"}</definedName>
    <definedName name="dasfgads_1" localSheetId="6" hidden="1">{"'vert'!$A$1:$T$117"}</definedName>
    <definedName name="dasfgads_1" hidden="1">{"'vert'!$A$1:$T$117"}</definedName>
    <definedName name="dasfgads_1_1" localSheetId="5" hidden="1">{"'vert'!$A$1:$T$117"}</definedName>
    <definedName name="dasfgads_1_1" localSheetId="6" hidden="1">{"'vert'!$A$1:$T$117"}</definedName>
    <definedName name="dasfgads_1_1" hidden="1">{"'vert'!$A$1:$T$117"}</definedName>
    <definedName name="dasfgads_1_2" localSheetId="5" hidden="1">{"'vert'!$A$1:$T$117"}</definedName>
    <definedName name="dasfgads_1_2" localSheetId="6" hidden="1">{"'vert'!$A$1:$T$117"}</definedName>
    <definedName name="dasfgads_1_2" hidden="1">{"'vert'!$A$1:$T$117"}</definedName>
    <definedName name="dasfgads_2" localSheetId="5" hidden="1">{"'vert'!$A$1:$T$117"}</definedName>
    <definedName name="dasfgads_2" localSheetId="6" hidden="1">{"'vert'!$A$1:$T$117"}</definedName>
    <definedName name="dasfgads_2" hidden="1">{"'vert'!$A$1:$T$117"}</definedName>
    <definedName name="dasfgads_3" localSheetId="5" hidden="1">{"'vert'!$A$1:$T$117"}</definedName>
    <definedName name="dasfgads_3" localSheetId="6" hidden="1">{"'vert'!$A$1:$T$117"}</definedName>
    <definedName name="dasfgads_3" hidden="1">{"'vert'!$A$1:$T$117"}</definedName>
    <definedName name="Days" localSheetId="5">{0,1,2,3,4,5,6}</definedName>
    <definedName name="Days" localSheetId="6">{0,1,2,3,4,5,6}</definedName>
    <definedName name="Days">{0,1,2,3,4,5,6}</definedName>
    <definedName name="dd" localSheetId="5" hidden="1">{"'vert'!$A$1:$T$117"}</definedName>
    <definedName name="dd" localSheetId="6" hidden="1">{"'vert'!$A$1:$T$117"}</definedName>
    <definedName name="dd" hidden="1">{"'vert'!$A$1:$T$117"}</definedName>
    <definedName name="dddd" localSheetId="5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dddd" localSheetId="6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dddd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ddddd" localSheetId="5" hidden="1">{"'vert'!$A$1:$T$117"}</definedName>
    <definedName name="ddddd" localSheetId="6" hidden="1">{"'vert'!$A$1:$T$117"}</definedName>
    <definedName name="ddddd" hidden="1">{"'vert'!$A$1:$T$117"}</definedName>
    <definedName name="ddddd_1" localSheetId="5" hidden="1">{"'vert'!$A$1:$T$117"}</definedName>
    <definedName name="ddddd_1" localSheetId="6" hidden="1">{"'vert'!$A$1:$T$117"}</definedName>
    <definedName name="ddddd_1" hidden="1">{"'vert'!$A$1:$T$117"}</definedName>
    <definedName name="ddddd_1_1" localSheetId="5" hidden="1">{"'vert'!$A$1:$T$117"}</definedName>
    <definedName name="ddddd_1_1" localSheetId="6" hidden="1">{"'vert'!$A$1:$T$117"}</definedName>
    <definedName name="ddddd_1_1" hidden="1">{"'vert'!$A$1:$T$117"}</definedName>
    <definedName name="ddddd_1_1_1" localSheetId="5" hidden="1">{"'vert'!$A$1:$T$117"}</definedName>
    <definedName name="ddddd_1_1_1" localSheetId="6" hidden="1">{"'vert'!$A$1:$T$117"}</definedName>
    <definedName name="ddddd_1_1_1" hidden="1">{"'vert'!$A$1:$T$117"}</definedName>
    <definedName name="ddddd_1_2" localSheetId="5" hidden="1">{"'vert'!$A$1:$T$117"}</definedName>
    <definedName name="ddddd_1_2" localSheetId="6" hidden="1">{"'vert'!$A$1:$T$117"}</definedName>
    <definedName name="ddddd_1_2" hidden="1">{"'vert'!$A$1:$T$117"}</definedName>
    <definedName name="ddddd_2" localSheetId="5" hidden="1">{"'vert'!$A$1:$T$117"}</definedName>
    <definedName name="ddddd_2" localSheetId="6" hidden="1">{"'vert'!$A$1:$T$117"}</definedName>
    <definedName name="ddddd_2" hidden="1">{"'vert'!$A$1:$T$117"}</definedName>
    <definedName name="ddddd_2_1" localSheetId="5" hidden="1">{"'vert'!$A$1:$T$117"}</definedName>
    <definedName name="ddddd_2_1" localSheetId="6" hidden="1">{"'vert'!$A$1:$T$117"}</definedName>
    <definedName name="ddddd_2_1" hidden="1">{"'vert'!$A$1:$T$117"}</definedName>
    <definedName name="ddddd_2_1_1" localSheetId="5" hidden="1">{"'vert'!$A$1:$T$117"}</definedName>
    <definedName name="ddddd_2_1_1" localSheetId="6" hidden="1">{"'vert'!$A$1:$T$117"}</definedName>
    <definedName name="ddddd_2_1_1" hidden="1">{"'vert'!$A$1:$T$117"}</definedName>
    <definedName name="ddddd_2_2" localSheetId="5" hidden="1">{"'vert'!$A$1:$T$117"}</definedName>
    <definedName name="ddddd_2_2" localSheetId="6" hidden="1">{"'vert'!$A$1:$T$117"}</definedName>
    <definedName name="ddddd_2_2" hidden="1">{"'vert'!$A$1:$T$117"}</definedName>
    <definedName name="ddddd_3" localSheetId="5" hidden="1">{"'vert'!$A$1:$T$117"}</definedName>
    <definedName name="ddddd_3" localSheetId="6" hidden="1">{"'vert'!$A$1:$T$117"}</definedName>
    <definedName name="ddddd_3" hidden="1">{"'vert'!$A$1:$T$117"}</definedName>
    <definedName name="ddddd_3_1" localSheetId="5" hidden="1">{"'vert'!$A$1:$T$117"}</definedName>
    <definedName name="ddddd_3_1" localSheetId="6" hidden="1">{"'vert'!$A$1:$T$117"}</definedName>
    <definedName name="ddddd_3_1" hidden="1">{"'vert'!$A$1:$T$117"}</definedName>
    <definedName name="ddddd_4" localSheetId="5" hidden="1">{"'vert'!$A$1:$T$117"}</definedName>
    <definedName name="ddddd_4" localSheetId="6" hidden="1">{"'vert'!$A$1:$T$117"}</definedName>
    <definedName name="ddddd_4" hidden="1">{"'vert'!$A$1:$T$117"}</definedName>
    <definedName name="dddddd_1" localSheetId="5" hidden="1">{"'vert'!$A$1:$T$117"}</definedName>
    <definedName name="dddddd_1" localSheetId="6" hidden="1">{"'vert'!$A$1:$T$117"}</definedName>
    <definedName name="dddddd_1" hidden="1">{"'vert'!$A$1:$T$117"}</definedName>
    <definedName name="dddddd_1_1" localSheetId="5" hidden="1">{"'vert'!$A$1:$T$117"}</definedName>
    <definedName name="dddddd_1_1" localSheetId="6" hidden="1">{"'vert'!$A$1:$T$117"}</definedName>
    <definedName name="dddddd_1_1" hidden="1">{"'vert'!$A$1:$T$117"}</definedName>
    <definedName name="dddddd_1_2" localSheetId="5" hidden="1">{"'vert'!$A$1:$T$117"}</definedName>
    <definedName name="dddddd_1_2" localSheetId="6" hidden="1">{"'vert'!$A$1:$T$117"}</definedName>
    <definedName name="dddddd_1_2" hidden="1">{"'vert'!$A$1:$T$117"}</definedName>
    <definedName name="dddddd_2" localSheetId="5" hidden="1">{"'vert'!$A$1:$T$117"}</definedName>
    <definedName name="dddddd_2" localSheetId="6" hidden="1">{"'vert'!$A$1:$T$117"}</definedName>
    <definedName name="dddddd_2" hidden="1">{"'vert'!$A$1:$T$117"}</definedName>
    <definedName name="dddddd_3" localSheetId="5" hidden="1">{"'vert'!$A$1:$T$117"}</definedName>
    <definedName name="dddddd_3" localSheetId="6" hidden="1">{"'vert'!$A$1:$T$117"}</definedName>
    <definedName name="dddddd_3" hidden="1">{"'vert'!$A$1:$T$117"}</definedName>
    <definedName name="dddsfdsfd" localSheetId="5" hidden="1">{"'vert'!$A$1:$T$117"}</definedName>
    <definedName name="dddsfdsfd" localSheetId="6" hidden="1">{"'vert'!$A$1:$T$117"}</definedName>
    <definedName name="dddsfdsfd" hidden="1">{"'vert'!$A$1:$T$117"}</definedName>
    <definedName name="dddsfdsfd_1" localSheetId="5" hidden="1">{"'vert'!$A$1:$T$117"}</definedName>
    <definedName name="dddsfdsfd_1" localSheetId="6" hidden="1">{"'vert'!$A$1:$T$117"}</definedName>
    <definedName name="dddsfdsfd_1" hidden="1">{"'vert'!$A$1:$T$117"}</definedName>
    <definedName name="dddsfdsfd_1_1" localSheetId="5" hidden="1">{"'vert'!$A$1:$T$117"}</definedName>
    <definedName name="dddsfdsfd_1_1" localSheetId="6" hidden="1">{"'vert'!$A$1:$T$117"}</definedName>
    <definedName name="dddsfdsfd_1_1" hidden="1">{"'vert'!$A$1:$T$117"}</definedName>
    <definedName name="dddsfdsfd_1_2" localSheetId="5" hidden="1">{"'vert'!$A$1:$T$117"}</definedName>
    <definedName name="dddsfdsfd_1_2" localSheetId="6" hidden="1">{"'vert'!$A$1:$T$117"}</definedName>
    <definedName name="dddsfdsfd_1_2" hidden="1">{"'vert'!$A$1:$T$117"}</definedName>
    <definedName name="dddsfdsfd_2" localSheetId="5" hidden="1">{"'vert'!$A$1:$T$117"}</definedName>
    <definedName name="dddsfdsfd_2" localSheetId="6" hidden="1">{"'vert'!$A$1:$T$117"}</definedName>
    <definedName name="dddsfdsfd_2" hidden="1">{"'vert'!$A$1:$T$117"}</definedName>
    <definedName name="dddsfdsfd_3" localSheetId="5" hidden="1">{"'vert'!$A$1:$T$117"}</definedName>
    <definedName name="dddsfdsfd_3" localSheetId="6" hidden="1">{"'vert'!$A$1:$T$117"}</definedName>
    <definedName name="dddsfdsfd_3" hidden="1">{"'vert'!$A$1:$T$117"}</definedName>
    <definedName name="de" hidden="1">#REF!</definedName>
    <definedName name="DE_final" localSheetId="5" hidden="1">{"'vert'!$A$1:$T$117"}</definedName>
    <definedName name="DE_final" localSheetId="6" hidden="1">{"'vert'!$A$1:$T$117"}</definedName>
    <definedName name="DE_final" hidden="1">{"'vert'!$A$1:$T$117"}</definedName>
    <definedName name="DE_final_1" localSheetId="5" hidden="1">{"'vert'!$A$1:$T$117"}</definedName>
    <definedName name="DE_final_1" localSheetId="6" hidden="1">{"'vert'!$A$1:$T$117"}</definedName>
    <definedName name="DE_final_1" hidden="1">{"'vert'!$A$1:$T$117"}</definedName>
    <definedName name="DE_final_1_1" localSheetId="5" hidden="1">{"'vert'!$A$1:$T$117"}</definedName>
    <definedName name="DE_final_1_1" localSheetId="6" hidden="1">{"'vert'!$A$1:$T$117"}</definedName>
    <definedName name="DE_final_1_1" hidden="1">{"'vert'!$A$1:$T$117"}</definedName>
    <definedName name="DE_final_1_1_1" localSheetId="5" hidden="1">{"'vert'!$A$1:$T$117"}</definedName>
    <definedName name="DE_final_1_1_1" localSheetId="6" hidden="1">{"'vert'!$A$1:$T$117"}</definedName>
    <definedName name="DE_final_1_1_1" hidden="1">{"'vert'!$A$1:$T$117"}</definedName>
    <definedName name="DE_final_1_2" localSheetId="5" hidden="1">{"'vert'!$A$1:$T$117"}</definedName>
    <definedName name="DE_final_1_2" localSheetId="6" hidden="1">{"'vert'!$A$1:$T$117"}</definedName>
    <definedName name="DE_final_1_2" hidden="1">{"'vert'!$A$1:$T$117"}</definedName>
    <definedName name="DE_final_2" localSheetId="5" hidden="1">{"'vert'!$A$1:$T$117"}</definedName>
    <definedName name="DE_final_2" localSheetId="6" hidden="1">{"'vert'!$A$1:$T$117"}</definedName>
    <definedName name="DE_final_2" hidden="1">{"'vert'!$A$1:$T$117"}</definedName>
    <definedName name="DE_final_2_1" localSheetId="5" hidden="1">{"'vert'!$A$1:$T$117"}</definedName>
    <definedName name="DE_final_2_1" localSheetId="6" hidden="1">{"'vert'!$A$1:$T$117"}</definedName>
    <definedName name="DE_final_2_1" hidden="1">{"'vert'!$A$1:$T$117"}</definedName>
    <definedName name="DE_final_2_1_1" localSheetId="5" hidden="1">{"'vert'!$A$1:$T$117"}</definedName>
    <definedName name="DE_final_2_1_1" localSheetId="6" hidden="1">{"'vert'!$A$1:$T$117"}</definedName>
    <definedName name="DE_final_2_1_1" hidden="1">{"'vert'!$A$1:$T$117"}</definedName>
    <definedName name="DE_final_2_2" localSheetId="5" hidden="1">{"'vert'!$A$1:$T$117"}</definedName>
    <definedName name="DE_final_2_2" localSheetId="6" hidden="1">{"'vert'!$A$1:$T$117"}</definedName>
    <definedName name="DE_final_2_2" hidden="1">{"'vert'!$A$1:$T$117"}</definedName>
    <definedName name="DE_final_3" localSheetId="5" hidden="1">{"'vert'!$A$1:$T$117"}</definedName>
    <definedName name="DE_final_3" localSheetId="6" hidden="1">{"'vert'!$A$1:$T$117"}</definedName>
    <definedName name="DE_final_3" hidden="1">{"'vert'!$A$1:$T$117"}</definedName>
    <definedName name="DE_final_3_1" localSheetId="5" hidden="1">{"'vert'!$A$1:$T$117"}</definedName>
    <definedName name="DE_final_3_1" localSheetId="6" hidden="1">{"'vert'!$A$1:$T$117"}</definedName>
    <definedName name="DE_final_3_1" hidden="1">{"'vert'!$A$1:$T$117"}</definedName>
    <definedName name="DE_final_4" localSheetId="5" hidden="1">{"'vert'!$A$1:$T$117"}</definedName>
    <definedName name="DE_final_4" localSheetId="6" hidden="1">{"'vert'!$A$1:$T$117"}</definedName>
    <definedName name="DE_final_4" hidden="1">{"'vert'!$A$1:$T$117"}</definedName>
    <definedName name="ded" hidden="1">#REF!</definedName>
    <definedName name="dee" localSheetId="5" hidden="1">{#N/A,#N/A,FALSE,"Trading-Mult ";#N/A,#N/A,FALSE,"Trading-Cap";#N/A,#N/A,FALSE,"Trading-Inc";#N/A,#N/A,FALSE,"Cash Flow";#N/A,#N/A,FALSE,"M&amp;A info"}</definedName>
    <definedName name="dee" localSheetId="6" hidden="1">{#N/A,#N/A,FALSE,"Trading-Mult ";#N/A,#N/A,FALSE,"Trading-Cap";#N/A,#N/A,FALSE,"Trading-Inc";#N/A,#N/A,FALSE,"Cash Flow";#N/A,#N/A,FALSE,"M&amp;A info"}</definedName>
    <definedName name="dee" hidden="1">{#N/A,#N/A,FALSE,"Trading-Mult ";#N/A,#N/A,FALSE,"Trading-Cap";#N/A,#N/A,FALSE,"Trading-Inc";#N/A,#N/A,FALSE,"Cash Flow";#N/A,#N/A,FALSE,"M&amp;A info"}</definedName>
    <definedName name="def" localSheetId="5" hidden="1">{"'vert'!$A$1:$T$117"}</definedName>
    <definedName name="def" localSheetId="6" hidden="1">{"'vert'!$A$1:$T$117"}</definedName>
    <definedName name="def" hidden="1">{"'vert'!$A$1:$T$117"}</definedName>
    <definedName name="def_1" localSheetId="5" hidden="1">{"'vert'!$A$1:$T$117"}</definedName>
    <definedName name="def_1" localSheetId="6" hidden="1">{"'vert'!$A$1:$T$117"}</definedName>
    <definedName name="def_1" hidden="1">{"'vert'!$A$1:$T$117"}</definedName>
    <definedName name="def_1_1" localSheetId="5" hidden="1">{"'vert'!$A$1:$T$117"}</definedName>
    <definedName name="def_1_1" localSheetId="6" hidden="1">{"'vert'!$A$1:$T$117"}</definedName>
    <definedName name="def_1_1" hidden="1">{"'vert'!$A$1:$T$117"}</definedName>
    <definedName name="def_1_1_1" localSheetId="5" hidden="1">{"'vert'!$A$1:$T$117"}</definedName>
    <definedName name="def_1_1_1" localSheetId="6" hidden="1">{"'vert'!$A$1:$T$117"}</definedName>
    <definedName name="def_1_1_1" hidden="1">{"'vert'!$A$1:$T$117"}</definedName>
    <definedName name="def_1_1_1_1" localSheetId="5" hidden="1">{"'vert'!$A$1:$T$117"}</definedName>
    <definedName name="def_1_1_1_1" localSheetId="6" hidden="1">{"'vert'!$A$1:$T$117"}</definedName>
    <definedName name="def_1_1_1_1" hidden="1">{"'vert'!$A$1:$T$117"}</definedName>
    <definedName name="def_1_1_2" localSheetId="5" hidden="1">{"'vert'!$A$1:$T$117"}</definedName>
    <definedName name="def_1_1_2" localSheetId="6" hidden="1">{"'vert'!$A$1:$T$117"}</definedName>
    <definedName name="def_1_1_2" hidden="1">{"'vert'!$A$1:$T$117"}</definedName>
    <definedName name="def_1_2" localSheetId="5" hidden="1">{"'vert'!$A$1:$T$117"}</definedName>
    <definedName name="def_1_2" localSheetId="6" hidden="1">{"'vert'!$A$1:$T$117"}</definedName>
    <definedName name="def_1_2" hidden="1">{"'vert'!$A$1:$T$117"}</definedName>
    <definedName name="def_1_2_1" localSheetId="5" hidden="1">{"'vert'!$A$1:$T$117"}</definedName>
    <definedName name="def_1_2_1" localSheetId="6" hidden="1">{"'vert'!$A$1:$T$117"}</definedName>
    <definedName name="def_1_2_1" hidden="1">{"'vert'!$A$1:$T$117"}</definedName>
    <definedName name="def_1_2_1_1" localSheetId="5" hidden="1">{"'vert'!$A$1:$T$117"}</definedName>
    <definedName name="def_1_2_1_1" localSheetId="6" hidden="1">{"'vert'!$A$1:$T$117"}</definedName>
    <definedName name="def_1_2_1_1" hidden="1">{"'vert'!$A$1:$T$117"}</definedName>
    <definedName name="def_1_2_2" localSheetId="5" hidden="1">{"'vert'!$A$1:$T$117"}</definedName>
    <definedName name="def_1_2_2" localSheetId="6" hidden="1">{"'vert'!$A$1:$T$117"}</definedName>
    <definedName name="def_1_2_2" hidden="1">{"'vert'!$A$1:$T$117"}</definedName>
    <definedName name="def_1_3" localSheetId="5" hidden="1">{"'vert'!$A$1:$T$117"}</definedName>
    <definedName name="def_1_3" localSheetId="6" hidden="1">{"'vert'!$A$1:$T$117"}</definedName>
    <definedName name="def_1_3" hidden="1">{"'vert'!$A$1:$T$117"}</definedName>
    <definedName name="def_1_3_1" localSheetId="5" hidden="1">{"'vert'!$A$1:$T$117"}</definedName>
    <definedName name="def_1_3_1" localSheetId="6" hidden="1">{"'vert'!$A$1:$T$117"}</definedName>
    <definedName name="def_1_3_1" hidden="1">{"'vert'!$A$1:$T$117"}</definedName>
    <definedName name="def_1_4" localSheetId="5" hidden="1">{"'vert'!$A$1:$T$117"}</definedName>
    <definedName name="def_1_4" localSheetId="6" hidden="1">{"'vert'!$A$1:$T$117"}</definedName>
    <definedName name="def_1_4" hidden="1">{"'vert'!$A$1:$T$117"}</definedName>
    <definedName name="def_2" localSheetId="5" hidden="1">{"'vert'!$A$1:$T$117"}</definedName>
    <definedName name="def_2" localSheetId="6" hidden="1">{"'vert'!$A$1:$T$117"}</definedName>
    <definedName name="def_2" hidden="1">{"'vert'!$A$1:$T$117"}</definedName>
    <definedName name="def_2_1" localSheetId="5" hidden="1">{"'vert'!$A$1:$T$117"}</definedName>
    <definedName name="def_2_1" localSheetId="6" hidden="1">{"'vert'!$A$1:$T$117"}</definedName>
    <definedName name="def_2_1" hidden="1">{"'vert'!$A$1:$T$117"}</definedName>
    <definedName name="def_2_1_1" localSheetId="5" hidden="1">{"'vert'!$A$1:$T$117"}</definedName>
    <definedName name="def_2_1_1" localSheetId="6" hidden="1">{"'vert'!$A$1:$T$117"}</definedName>
    <definedName name="def_2_1_1" hidden="1">{"'vert'!$A$1:$T$117"}</definedName>
    <definedName name="def_2_2" localSheetId="5" hidden="1">{"'vert'!$A$1:$T$117"}</definedName>
    <definedName name="def_2_2" localSheetId="6" hidden="1">{"'vert'!$A$1:$T$117"}</definedName>
    <definedName name="def_2_2" hidden="1">{"'vert'!$A$1:$T$117"}</definedName>
    <definedName name="def_3" localSheetId="5" hidden="1">{"'vert'!$A$1:$T$117"}</definedName>
    <definedName name="def_3" localSheetId="6" hidden="1">{"'vert'!$A$1:$T$117"}</definedName>
    <definedName name="def_3" hidden="1">{"'vert'!$A$1:$T$117"}</definedName>
    <definedName name="def_3_1" localSheetId="5" hidden="1">{"'vert'!$A$1:$T$117"}</definedName>
    <definedName name="def_3_1" localSheetId="6" hidden="1">{"'vert'!$A$1:$T$117"}</definedName>
    <definedName name="def_3_1" hidden="1">{"'vert'!$A$1:$T$117"}</definedName>
    <definedName name="def_3_1_1" localSheetId="5" hidden="1">{"'vert'!$A$1:$T$117"}</definedName>
    <definedName name="def_3_1_1" localSheetId="6" hidden="1">{"'vert'!$A$1:$T$117"}</definedName>
    <definedName name="def_3_1_1" hidden="1">{"'vert'!$A$1:$T$117"}</definedName>
    <definedName name="def_3_2" localSheetId="5" hidden="1">{"'vert'!$A$1:$T$117"}</definedName>
    <definedName name="def_3_2" localSheetId="6" hidden="1">{"'vert'!$A$1:$T$117"}</definedName>
    <definedName name="def_3_2" hidden="1">{"'vert'!$A$1:$T$117"}</definedName>
    <definedName name="def_4" localSheetId="5" hidden="1">{"'vert'!$A$1:$T$117"}</definedName>
    <definedName name="def_4" localSheetId="6" hidden="1">{"'vert'!$A$1:$T$117"}</definedName>
    <definedName name="def_4" hidden="1">{"'vert'!$A$1:$T$117"}</definedName>
    <definedName name="def_4_1" localSheetId="5" hidden="1">{"'vert'!$A$1:$T$117"}</definedName>
    <definedName name="def_4_1" localSheetId="6" hidden="1">{"'vert'!$A$1:$T$117"}</definedName>
    <definedName name="def_4_1" hidden="1">{"'vert'!$A$1:$T$117"}</definedName>
    <definedName name="def_5" localSheetId="5" hidden="1">{"'vert'!$A$1:$T$117"}</definedName>
    <definedName name="def_5" localSheetId="6" hidden="1">{"'vert'!$A$1:$T$117"}</definedName>
    <definedName name="def_5" hidden="1">{"'vert'!$A$1:$T$117"}</definedName>
    <definedName name="dfd" localSheetId="5" hidden="1">{"'vert'!$A$1:$T$117"}</definedName>
    <definedName name="dfd" localSheetId="6" hidden="1">{"'vert'!$A$1:$T$117"}</definedName>
    <definedName name="dfd" hidden="1">{"'vert'!$A$1:$T$117"}</definedName>
    <definedName name="dfd_1" localSheetId="5" hidden="1">{"'vert'!$A$1:$T$117"}</definedName>
    <definedName name="dfd_1" localSheetId="6" hidden="1">{"'vert'!$A$1:$T$117"}</definedName>
    <definedName name="dfd_1" hidden="1">{"'vert'!$A$1:$T$117"}</definedName>
    <definedName name="dfd_1_1" localSheetId="5" hidden="1">{"'vert'!$A$1:$T$117"}</definedName>
    <definedName name="dfd_1_1" localSheetId="6" hidden="1">{"'vert'!$A$1:$T$117"}</definedName>
    <definedName name="dfd_1_1" hidden="1">{"'vert'!$A$1:$T$117"}</definedName>
    <definedName name="dfd_1_2" localSheetId="5" hidden="1">{"'vert'!$A$1:$T$117"}</definedName>
    <definedName name="dfd_1_2" localSheetId="6" hidden="1">{"'vert'!$A$1:$T$117"}</definedName>
    <definedName name="dfd_1_2" hidden="1">{"'vert'!$A$1:$T$117"}</definedName>
    <definedName name="dfd_2" localSheetId="5" hidden="1">{"'vert'!$A$1:$T$117"}</definedName>
    <definedName name="dfd_2" localSheetId="6" hidden="1">{"'vert'!$A$1:$T$117"}</definedName>
    <definedName name="dfd_2" hidden="1">{"'vert'!$A$1:$T$117"}</definedName>
    <definedName name="dfd_3" localSheetId="5" hidden="1">{"'vert'!$A$1:$T$117"}</definedName>
    <definedName name="dfd_3" localSheetId="6" hidden="1">{"'vert'!$A$1:$T$117"}</definedName>
    <definedName name="dfd_3" hidden="1">{"'vert'!$A$1:$T$117"}</definedName>
    <definedName name="dfdf" hidden="1">#REF!</definedName>
    <definedName name="dfdjk" localSheetId="5" hidden="1">{"'vert'!$A$1:$T$117"}</definedName>
    <definedName name="dfdjk" localSheetId="6" hidden="1">{"'vert'!$A$1:$T$117"}</definedName>
    <definedName name="dfdjk" hidden="1">{"'vert'!$A$1:$T$117"}</definedName>
    <definedName name="dfdjk_1" localSheetId="5" hidden="1">{"'vert'!$A$1:$T$117"}</definedName>
    <definedName name="dfdjk_1" localSheetId="6" hidden="1">{"'vert'!$A$1:$T$117"}</definedName>
    <definedName name="dfdjk_1" hidden="1">{"'vert'!$A$1:$T$117"}</definedName>
    <definedName name="dfdjk_1_1" localSheetId="5" hidden="1">{"'vert'!$A$1:$T$117"}</definedName>
    <definedName name="dfdjk_1_1" localSheetId="6" hidden="1">{"'vert'!$A$1:$T$117"}</definedName>
    <definedName name="dfdjk_1_1" hidden="1">{"'vert'!$A$1:$T$117"}</definedName>
    <definedName name="dfdjk_1_2" localSheetId="5" hidden="1">{"'vert'!$A$1:$T$117"}</definedName>
    <definedName name="dfdjk_1_2" localSheetId="6" hidden="1">{"'vert'!$A$1:$T$117"}</definedName>
    <definedName name="dfdjk_1_2" hidden="1">{"'vert'!$A$1:$T$117"}</definedName>
    <definedName name="dfdjk_2" localSheetId="5" hidden="1">{"'vert'!$A$1:$T$117"}</definedName>
    <definedName name="dfdjk_2" localSheetId="6" hidden="1">{"'vert'!$A$1:$T$117"}</definedName>
    <definedName name="dfdjk_2" hidden="1">{"'vert'!$A$1:$T$117"}</definedName>
    <definedName name="dfdjk_3" localSheetId="5" hidden="1">{"'vert'!$A$1:$T$117"}</definedName>
    <definedName name="dfdjk_3" localSheetId="6" hidden="1">{"'vert'!$A$1:$T$117"}</definedName>
    <definedName name="dfdjk_3" hidden="1">{"'vert'!$A$1:$T$117"}</definedName>
    <definedName name="dfdslfj" localSheetId="5" hidden="1">{"'vert'!$A$1:$T$117"}</definedName>
    <definedName name="dfdslfj" localSheetId="6" hidden="1">{"'vert'!$A$1:$T$117"}</definedName>
    <definedName name="dfdslfj" hidden="1">{"'vert'!$A$1:$T$117"}</definedName>
    <definedName name="dfdslfj_1" localSheetId="5" hidden="1">{"'vert'!$A$1:$T$117"}</definedName>
    <definedName name="dfdslfj_1" localSheetId="6" hidden="1">{"'vert'!$A$1:$T$117"}</definedName>
    <definedName name="dfdslfj_1" hidden="1">{"'vert'!$A$1:$T$117"}</definedName>
    <definedName name="dfdslfj_1_1" localSheetId="5" hidden="1">{"'vert'!$A$1:$T$117"}</definedName>
    <definedName name="dfdslfj_1_1" localSheetId="6" hidden="1">{"'vert'!$A$1:$T$117"}</definedName>
    <definedName name="dfdslfj_1_1" hidden="1">{"'vert'!$A$1:$T$117"}</definedName>
    <definedName name="dfdslfj_1_2" localSheetId="5" hidden="1">{"'vert'!$A$1:$T$117"}</definedName>
    <definedName name="dfdslfj_1_2" localSheetId="6" hidden="1">{"'vert'!$A$1:$T$117"}</definedName>
    <definedName name="dfdslfj_1_2" hidden="1">{"'vert'!$A$1:$T$117"}</definedName>
    <definedName name="dfdslfj_2" localSheetId="5" hidden="1">{"'vert'!$A$1:$T$117"}</definedName>
    <definedName name="dfdslfj_2" localSheetId="6" hidden="1">{"'vert'!$A$1:$T$117"}</definedName>
    <definedName name="dfdslfj_2" hidden="1">{"'vert'!$A$1:$T$117"}</definedName>
    <definedName name="dfdslfj_3" localSheetId="5" hidden="1">{"'vert'!$A$1:$T$117"}</definedName>
    <definedName name="dfdslfj_3" localSheetId="6" hidden="1">{"'vert'!$A$1:$T$117"}</definedName>
    <definedName name="dfdslfj_3" hidden="1">{"'vert'!$A$1:$T$117"}</definedName>
    <definedName name="dff" localSheetId="5" hidden="1">{0}</definedName>
    <definedName name="dff" localSheetId="6" hidden="1">{0}</definedName>
    <definedName name="dff" hidden="1">{0}</definedName>
    <definedName name="dfgdsfg" localSheetId="5" hidden="1">{"'vert'!$A$1:$T$117"}</definedName>
    <definedName name="dfgdsfg" localSheetId="6" hidden="1">{"'vert'!$A$1:$T$117"}</definedName>
    <definedName name="dfgdsfg" hidden="1">{"'vert'!$A$1:$T$117"}</definedName>
    <definedName name="dfgdsfg_1" localSheetId="5" hidden="1">{"'vert'!$A$1:$T$117"}</definedName>
    <definedName name="dfgdsfg_1" localSheetId="6" hidden="1">{"'vert'!$A$1:$T$117"}</definedName>
    <definedName name="dfgdsfg_1" hidden="1">{"'vert'!$A$1:$T$117"}</definedName>
    <definedName name="dfgdsfg_1_1" localSheetId="5" hidden="1">{"'vert'!$A$1:$T$117"}</definedName>
    <definedName name="dfgdsfg_1_1" localSheetId="6" hidden="1">{"'vert'!$A$1:$T$117"}</definedName>
    <definedName name="dfgdsfg_1_1" hidden="1">{"'vert'!$A$1:$T$117"}</definedName>
    <definedName name="dfgdsfg_1_1_1" localSheetId="5" hidden="1">{"'vert'!$A$1:$T$117"}</definedName>
    <definedName name="dfgdsfg_1_1_1" localSheetId="6" hidden="1">{"'vert'!$A$1:$T$117"}</definedName>
    <definedName name="dfgdsfg_1_1_1" hidden="1">{"'vert'!$A$1:$T$117"}</definedName>
    <definedName name="dfgdsfg_1_1_1_1" localSheetId="5" hidden="1">{"'vert'!$A$1:$T$117"}</definedName>
    <definedName name="dfgdsfg_1_1_1_1" localSheetId="6" hidden="1">{"'vert'!$A$1:$T$117"}</definedName>
    <definedName name="dfgdsfg_1_1_1_1" hidden="1">{"'vert'!$A$1:$T$117"}</definedName>
    <definedName name="dfgdsfg_1_1_2" localSheetId="5" hidden="1">{"'vert'!$A$1:$T$117"}</definedName>
    <definedName name="dfgdsfg_1_1_2" localSheetId="6" hidden="1">{"'vert'!$A$1:$T$117"}</definedName>
    <definedName name="dfgdsfg_1_1_2" hidden="1">{"'vert'!$A$1:$T$117"}</definedName>
    <definedName name="dfgdsfg_1_2" localSheetId="5" hidden="1">{"'vert'!$A$1:$T$117"}</definedName>
    <definedName name="dfgdsfg_1_2" localSheetId="6" hidden="1">{"'vert'!$A$1:$T$117"}</definedName>
    <definedName name="dfgdsfg_1_2" hidden="1">{"'vert'!$A$1:$T$117"}</definedName>
    <definedName name="dfgdsfg_1_2_1" localSheetId="5" hidden="1">{"'vert'!$A$1:$T$117"}</definedName>
    <definedName name="dfgdsfg_1_2_1" localSheetId="6" hidden="1">{"'vert'!$A$1:$T$117"}</definedName>
    <definedName name="dfgdsfg_1_2_1" hidden="1">{"'vert'!$A$1:$T$117"}</definedName>
    <definedName name="dfgdsfg_1_2_1_1" localSheetId="5" hidden="1">{"'vert'!$A$1:$T$117"}</definedName>
    <definedName name="dfgdsfg_1_2_1_1" localSheetId="6" hidden="1">{"'vert'!$A$1:$T$117"}</definedName>
    <definedName name="dfgdsfg_1_2_1_1" hidden="1">{"'vert'!$A$1:$T$117"}</definedName>
    <definedName name="dfgdsfg_1_2_2" localSheetId="5" hidden="1">{"'vert'!$A$1:$T$117"}</definedName>
    <definedName name="dfgdsfg_1_2_2" localSheetId="6" hidden="1">{"'vert'!$A$1:$T$117"}</definedName>
    <definedName name="dfgdsfg_1_2_2" hidden="1">{"'vert'!$A$1:$T$117"}</definedName>
    <definedName name="dfgdsfg_1_3" localSheetId="5" hidden="1">{"'vert'!$A$1:$T$117"}</definedName>
    <definedName name="dfgdsfg_1_3" localSheetId="6" hidden="1">{"'vert'!$A$1:$T$117"}</definedName>
    <definedName name="dfgdsfg_1_3" hidden="1">{"'vert'!$A$1:$T$117"}</definedName>
    <definedName name="dfgdsfg_1_3_1" localSheetId="5" hidden="1">{"'vert'!$A$1:$T$117"}</definedName>
    <definedName name="dfgdsfg_1_3_1" localSheetId="6" hidden="1">{"'vert'!$A$1:$T$117"}</definedName>
    <definedName name="dfgdsfg_1_3_1" hidden="1">{"'vert'!$A$1:$T$117"}</definedName>
    <definedName name="dfgdsfg_1_4" localSheetId="5" hidden="1">{"'vert'!$A$1:$T$117"}</definedName>
    <definedName name="dfgdsfg_1_4" localSheetId="6" hidden="1">{"'vert'!$A$1:$T$117"}</definedName>
    <definedName name="dfgdsfg_1_4" hidden="1">{"'vert'!$A$1:$T$117"}</definedName>
    <definedName name="dfgdsfg_2" localSheetId="5" hidden="1">{"'vert'!$A$1:$T$117"}</definedName>
    <definedName name="dfgdsfg_2" localSheetId="6" hidden="1">{"'vert'!$A$1:$T$117"}</definedName>
    <definedName name="dfgdsfg_2" hidden="1">{"'vert'!$A$1:$T$117"}</definedName>
    <definedName name="dfgdsfg_2_1" localSheetId="5" hidden="1">{"'vert'!$A$1:$T$117"}</definedName>
    <definedName name="dfgdsfg_2_1" localSheetId="6" hidden="1">{"'vert'!$A$1:$T$117"}</definedName>
    <definedName name="dfgdsfg_2_1" hidden="1">{"'vert'!$A$1:$T$117"}</definedName>
    <definedName name="dfgdsfg_2_1_1" localSheetId="5" hidden="1">{"'vert'!$A$1:$T$117"}</definedName>
    <definedName name="dfgdsfg_2_1_1" localSheetId="6" hidden="1">{"'vert'!$A$1:$T$117"}</definedName>
    <definedName name="dfgdsfg_2_1_1" hidden="1">{"'vert'!$A$1:$T$117"}</definedName>
    <definedName name="dfgdsfg_2_2" localSheetId="5" hidden="1">{"'vert'!$A$1:$T$117"}</definedName>
    <definedName name="dfgdsfg_2_2" localSheetId="6" hidden="1">{"'vert'!$A$1:$T$117"}</definedName>
    <definedName name="dfgdsfg_2_2" hidden="1">{"'vert'!$A$1:$T$117"}</definedName>
    <definedName name="dfgdsfg_3" localSheetId="5" hidden="1">{"'vert'!$A$1:$T$117"}</definedName>
    <definedName name="dfgdsfg_3" localSheetId="6" hidden="1">{"'vert'!$A$1:$T$117"}</definedName>
    <definedName name="dfgdsfg_3" hidden="1">{"'vert'!$A$1:$T$117"}</definedName>
    <definedName name="dfgdsfg_3_1" localSheetId="5" hidden="1">{"'vert'!$A$1:$T$117"}</definedName>
    <definedName name="dfgdsfg_3_1" localSheetId="6" hidden="1">{"'vert'!$A$1:$T$117"}</definedName>
    <definedName name="dfgdsfg_3_1" hidden="1">{"'vert'!$A$1:$T$117"}</definedName>
    <definedName name="dfgdsfg_3_1_1" localSheetId="5" hidden="1">{"'vert'!$A$1:$T$117"}</definedName>
    <definedName name="dfgdsfg_3_1_1" localSheetId="6" hidden="1">{"'vert'!$A$1:$T$117"}</definedName>
    <definedName name="dfgdsfg_3_1_1" hidden="1">{"'vert'!$A$1:$T$117"}</definedName>
    <definedName name="dfgdsfg_3_2" localSheetId="5" hidden="1">{"'vert'!$A$1:$T$117"}</definedName>
    <definedName name="dfgdsfg_3_2" localSheetId="6" hidden="1">{"'vert'!$A$1:$T$117"}</definedName>
    <definedName name="dfgdsfg_3_2" hidden="1">{"'vert'!$A$1:$T$117"}</definedName>
    <definedName name="dfgdsfg_4" localSheetId="5" hidden="1">{"'vert'!$A$1:$T$117"}</definedName>
    <definedName name="dfgdsfg_4" localSheetId="6" hidden="1">{"'vert'!$A$1:$T$117"}</definedName>
    <definedName name="dfgdsfg_4" hidden="1">{"'vert'!$A$1:$T$117"}</definedName>
    <definedName name="dfgdsfg_4_1" localSheetId="5" hidden="1">{"'vert'!$A$1:$T$117"}</definedName>
    <definedName name="dfgdsfg_4_1" localSheetId="6" hidden="1">{"'vert'!$A$1:$T$117"}</definedName>
    <definedName name="dfgdsfg_4_1" hidden="1">{"'vert'!$A$1:$T$117"}</definedName>
    <definedName name="dfgdsfg_5" localSheetId="5" hidden="1">{"'vert'!$A$1:$T$117"}</definedName>
    <definedName name="dfgdsfg_5" localSheetId="6" hidden="1">{"'vert'!$A$1:$T$117"}</definedName>
    <definedName name="dfgdsfg_5" hidden="1">{"'vert'!$A$1:$T$117"}</definedName>
    <definedName name="dfkjtrgj" localSheetId="5" hidden="1">{"'vert'!$A$1:$T$117"}</definedName>
    <definedName name="dfkjtrgj" localSheetId="6" hidden="1">{"'vert'!$A$1:$T$117"}</definedName>
    <definedName name="dfkjtrgj" hidden="1">{"'vert'!$A$1:$T$117"}</definedName>
    <definedName name="dfkjtrgj_1" localSheetId="5" hidden="1">{"'vert'!$A$1:$T$117"}</definedName>
    <definedName name="dfkjtrgj_1" localSheetId="6" hidden="1">{"'vert'!$A$1:$T$117"}</definedName>
    <definedName name="dfkjtrgj_1" hidden="1">{"'vert'!$A$1:$T$117"}</definedName>
    <definedName name="dfkjtrgj_1_1" localSheetId="5" hidden="1">{"'vert'!$A$1:$T$117"}</definedName>
    <definedName name="dfkjtrgj_1_1" localSheetId="6" hidden="1">{"'vert'!$A$1:$T$117"}</definedName>
    <definedName name="dfkjtrgj_1_1" hidden="1">{"'vert'!$A$1:$T$117"}</definedName>
    <definedName name="dfkjtrgj_1_2" localSheetId="5" hidden="1">{"'vert'!$A$1:$T$117"}</definedName>
    <definedName name="dfkjtrgj_1_2" localSheetId="6" hidden="1">{"'vert'!$A$1:$T$117"}</definedName>
    <definedName name="dfkjtrgj_1_2" hidden="1">{"'vert'!$A$1:$T$117"}</definedName>
    <definedName name="dfkjtrgj_2" localSheetId="5" hidden="1">{"'vert'!$A$1:$T$117"}</definedName>
    <definedName name="dfkjtrgj_2" localSheetId="6" hidden="1">{"'vert'!$A$1:$T$117"}</definedName>
    <definedName name="dfkjtrgj_2" hidden="1">{"'vert'!$A$1:$T$117"}</definedName>
    <definedName name="dfkjtrgj_3" localSheetId="5" hidden="1">{"'vert'!$A$1:$T$117"}</definedName>
    <definedName name="dfkjtrgj_3" localSheetId="6" hidden="1">{"'vert'!$A$1:$T$117"}</definedName>
    <definedName name="dfkjtrgj_3" hidden="1">{"'vert'!$A$1:$T$117"}</definedName>
    <definedName name="DFSD" hidden="1">#REF!</definedName>
    <definedName name="dirtydog" localSheetId="5" hidden="1">{"'weekly data'!$A$2:$AS$36"}</definedName>
    <definedName name="dirtydog" localSheetId="6" hidden="1">{"'weekly data'!$A$2:$AS$36"}</definedName>
    <definedName name="dirtydog" hidden="1">{"'weekly data'!$A$2:$AS$36"}</definedName>
    <definedName name="dirtydog_1" localSheetId="5" hidden="1">{"'weekly data'!$A$2:$AS$36"}</definedName>
    <definedName name="dirtydog_1" localSheetId="6" hidden="1">{"'weekly data'!$A$2:$AS$36"}</definedName>
    <definedName name="dirtydog_1" hidden="1">{"'weekly data'!$A$2:$AS$36"}</definedName>
    <definedName name="dirtydog_1_1" localSheetId="5" hidden="1">{"'weekly data'!$A$2:$AS$36"}</definedName>
    <definedName name="dirtydog_1_1" localSheetId="6" hidden="1">{"'weekly data'!$A$2:$AS$36"}</definedName>
    <definedName name="dirtydog_1_1" hidden="1">{"'weekly data'!$A$2:$AS$36"}</definedName>
    <definedName name="dirtydog_1_1_1" localSheetId="5" hidden="1">{"'weekly data'!$A$2:$AS$36"}</definedName>
    <definedName name="dirtydog_1_1_1" localSheetId="6" hidden="1">{"'weekly data'!$A$2:$AS$36"}</definedName>
    <definedName name="dirtydog_1_1_1" hidden="1">{"'weekly data'!$A$2:$AS$36"}</definedName>
    <definedName name="dirtydog_1_2" localSheetId="5" hidden="1">{"'weekly data'!$A$2:$AS$36"}</definedName>
    <definedName name="dirtydog_1_2" localSheetId="6" hidden="1">{"'weekly data'!$A$2:$AS$36"}</definedName>
    <definedName name="dirtydog_1_2" hidden="1">{"'weekly data'!$A$2:$AS$36"}</definedName>
    <definedName name="dirtydog_2" localSheetId="5" hidden="1">{"'weekly data'!$A$2:$AS$36"}</definedName>
    <definedName name="dirtydog_2" localSheetId="6" hidden="1">{"'weekly data'!$A$2:$AS$36"}</definedName>
    <definedName name="dirtydog_2" hidden="1">{"'weekly data'!$A$2:$AS$36"}</definedName>
    <definedName name="dirtydog_2_1" localSheetId="5" hidden="1">{"'weekly data'!$A$2:$AS$36"}</definedName>
    <definedName name="dirtydog_2_1" localSheetId="6" hidden="1">{"'weekly data'!$A$2:$AS$36"}</definedName>
    <definedName name="dirtydog_2_1" hidden="1">{"'weekly data'!$A$2:$AS$36"}</definedName>
    <definedName name="dirtydog_2_1_1" localSheetId="5" hidden="1">{"'weekly data'!$A$2:$AS$36"}</definedName>
    <definedName name="dirtydog_2_1_1" localSheetId="6" hidden="1">{"'weekly data'!$A$2:$AS$36"}</definedName>
    <definedName name="dirtydog_2_1_1" hidden="1">{"'weekly data'!$A$2:$AS$36"}</definedName>
    <definedName name="dirtydog_2_2" localSheetId="5" hidden="1">{"'weekly data'!$A$2:$AS$36"}</definedName>
    <definedName name="dirtydog_2_2" localSheetId="6" hidden="1">{"'weekly data'!$A$2:$AS$36"}</definedName>
    <definedName name="dirtydog_2_2" hidden="1">{"'weekly data'!$A$2:$AS$36"}</definedName>
    <definedName name="dirtydog_3" localSheetId="5" hidden="1">{"'weekly data'!$A$2:$AS$36"}</definedName>
    <definedName name="dirtydog_3" localSheetId="6" hidden="1">{"'weekly data'!$A$2:$AS$36"}</definedName>
    <definedName name="dirtydog_3" hidden="1">{"'weekly data'!$A$2:$AS$36"}</definedName>
    <definedName name="dirtydog_3_1" localSheetId="5" hidden="1">{"'weekly data'!$A$2:$AS$36"}</definedName>
    <definedName name="dirtydog_3_1" localSheetId="6" hidden="1">{"'weekly data'!$A$2:$AS$36"}</definedName>
    <definedName name="dirtydog_3_1" hidden="1">{"'weekly data'!$A$2:$AS$36"}</definedName>
    <definedName name="dirtydog_4" localSheetId="5" hidden="1">{"'weekly data'!$A$2:$AS$36"}</definedName>
    <definedName name="dirtydog_4" localSheetId="6" hidden="1">{"'weekly data'!$A$2:$AS$36"}</definedName>
    <definedName name="dirtydog_4" hidden="1">{"'weekly data'!$A$2:$AS$36"}</definedName>
    <definedName name="djfkdf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jfkdf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jfkdf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jfkdf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jfkdf_1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jfkdf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jfkdf_1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jfkdf_1_1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jfkdf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jfkdf_1_2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jfkdf_1_2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jfkdf_1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jfkdf_2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jfkdf_2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jfkdf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jfkdf_3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jfkdf_3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jfkdf_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l" localSheetId="5" hidden="1">{#N/A,#N/A,FALSE,"Sheet1"}</definedName>
    <definedName name="dl" localSheetId="6" hidden="1">{#N/A,#N/A,FALSE,"Sheet1"}</definedName>
    <definedName name="dl" hidden="1">{#N/A,#N/A,FALSE,"Sheet1"}</definedName>
    <definedName name="dlfjds" localSheetId="5" hidden="1">{"'vert'!$A$1:$T$117"}</definedName>
    <definedName name="dlfjds" localSheetId="6" hidden="1">{"'vert'!$A$1:$T$117"}</definedName>
    <definedName name="dlfjds" hidden="1">{"'vert'!$A$1:$T$117"}</definedName>
    <definedName name="dlfjds_1" localSheetId="5" hidden="1">{"'vert'!$A$1:$T$117"}</definedName>
    <definedName name="dlfjds_1" localSheetId="6" hidden="1">{"'vert'!$A$1:$T$117"}</definedName>
    <definedName name="dlfjds_1" hidden="1">{"'vert'!$A$1:$T$117"}</definedName>
    <definedName name="dlfjds_1_1" localSheetId="5" hidden="1">{"'vert'!$A$1:$T$117"}</definedName>
    <definedName name="dlfjds_1_1" localSheetId="6" hidden="1">{"'vert'!$A$1:$T$117"}</definedName>
    <definedName name="dlfjds_1_1" hidden="1">{"'vert'!$A$1:$T$117"}</definedName>
    <definedName name="dlfjds_1_2" localSheetId="5" hidden="1">{"'vert'!$A$1:$T$117"}</definedName>
    <definedName name="dlfjds_1_2" localSheetId="6" hidden="1">{"'vert'!$A$1:$T$117"}</definedName>
    <definedName name="dlfjds_1_2" hidden="1">{"'vert'!$A$1:$T$117"}</definedName>
    <definedName name="dlfjds_2" localSheetId="5" hidden="1">{"'vert'!$A$1:$T$117"}</definedName>
    <definedName name="dlfjds_2" localSheetId="6" hidden="1">{"'vert'!$A$1:$T$117"}</definedName>
    <definedName name="dlfjds_2" hidden="1">{"'vert'!$A$1:$T$117"}</definedName>
    <definedName name="dlfjds_3" localSheetId="5" hidden="1">{"'vert'!$A$1:$T$117"}</definedName>
    <definedName name="dlfjds_3" localSheetId="6" hidden="1">{"'vert'!$A$1:$T$117"}</definedName>
    <definedName name="dlfjds_3" hidden="1">{"'vert'!$A$1:$T$117"}</definedName>
    <definedName name="Drive_prospect_to_leads_email_open_rate_to_XX___US">#REF!</definedName>
    <definedName name="dsds222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dsds222" localSheetId="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dsds22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dsdsds" localSheetId="5" hidden="1">{"'vert'!$A$1:$T$117"}</definedName>
    <definedName name="dsdsds" localSheetId="6" hidden="1">{"'vert'!$A$1:$T$117"}</definedName>
    <definedName name="dsdsds" hidden="1">{"'vert'!$A$1:$T$117"}</definedName>
    <definedName name="dsdsds_1" localSheetId="5" hidden="1">{"'vert'!$A$1:$T$117"}</definedName>
    <definedName name="dsdsds_1" localSheetId="6" hidden="1">{"'vert'!$A$1:$T$117"}</definedName>
    <definedName name="dsdsds_1" hidden="1">{"'vert'!$A$1:$T$117"}</definedName>
    <definedName name="dsdsds_1_1" localSheetId="5" hidden="1">{"'vert'!$A$1:$T$117"}</definedName>
    <definedName name="dsdsds_1_1" localSheetId="6" hidden="1">{"'vert'!$A$1:$T$117"}</definedName>
    <definedName name="dsdsds_1_1" hidden="1">{"'vert'!$A$1:$T$117"}</definedName>
    <definedName name="dsdsds_1_1_1" localSheetId="5" hidden="1">{"'vert'!$A$1:$T$117"}</definedName>
    <definedName name="dsdsds_1_1_1" localSheetId="6" hidden="1">{"'vert'!$A$1:$T$117"}</definedName>
    <definedName name="dsdsds_1_1_1" hidden="1">{"'vert'!$A$1:$T$117"}</definedName>
    <definedName name="dsdsds_1_2" localSheetId="5" hidden="1">{"'vert'!$A$1:$T$117"}</definedName>
    <definedName name="dsdsds_1_2" localSheetId="6" hidden="1">{"'vert'!$A$1:$T$117"}</definedName>
    <definedName name="dsdsds_1_2" hidden="1">{"'vert'!$A$1:$T$117"}</definedName>
    <definedName name="dsdsds_2" localSheetId="5" hidden="1">{"'vert'!$A$1:$T$117"}</definedName>
    <definedName name="dsdsds_2" localSheetId="6" hidden="1">{"'vert'!$A$1:$T$117"}</definedName>
    <definedName name="dsdsds_2" hidden="1">{"'vert'!$A$1:$T$117"}</definedName>
    <definedName name="dsdsds_2_1" localSheetId="5" hidden="1">{"'vert'!$A$1:$T$117"}</definedName>
    <definedName name="dsdsds_2_1" localSheetId="6" hidden="1">{"'vert'!$A$1:$T$117"}</definedName>
    <definedName name="dsdsds_2_1" hidden="1">{"'vert'!$A$1:$T$117"}</definedName>
    <definedName name="dsdsds_2_1_1" localSheetId="5" hidden="1">{"'vert'!$A$1:$T$117"}</definedName>
    <definedName name="dsdsds_2_1_1" localSheetId="6" hidden="1">{"'vert'!$A$1:$T$117"}</definedName>
    <definedName name="dsdsds_2_1_1" hidden="1">{"'vert'!$A$1:$T$117"}</definedName>
    <definedName name="dsdsds_2_2" localSheetId="5" hidden="1">{"'vert'!$A$1:$T$117"}</definedName>
    <definedName name="dsdsds_2_2" localSheetId="6" hidden="1">{"'vert'!$A$1:$T$117"}</definedName>
    <definedName name="dsdsds_2_2" hidden="1">{"'vert'!$A$1:$T$117"}</definedName>
    <definedName name="dsdsds_3" localSheetId="5" hidden="1">{"'vert'!$A$1:$T$117"}</definedName>
    <definedName name="dsdsds_3" localSheetId="6" hidden="1">{"'vert'!$A$1:$T$117"}</definedName>
    <definedName name="dsdsds_3" hidden="1">{"'vert'!$A$1:$T$117"}</definedName>
    <definedName name="dsdsds_3_1" localSheetId="5" hidden="1">{"'vert'!$A$1:$T$117"}</definedName>
    <definedName name="dsdsds_3_1" localSheetId="6" hidden="1">{"'vert'!$A$1:$T$117"}</definedName>
    <definedName name="dsdsds_3_1" hidden="1">{"'vert'!$A$1:$T$117"}</definedName>
    <definedName name="dsdsds_4" localSheetId="5" hidden="1">{"'vert'!$A$1:$T$117"}</definedName>
    <definedName name="dsdsds_4" localSheetId="6" hidden="1">{"'vert'!$A$1:$T$117"}</definedName>
    <definedName name="dsdsds_4" hidden="1">{"'vert'!$A$1:$T$117"}</definedName>
    <definedName name="dsfadaew" localSheetId="5" hidden="1">{"'vert'!$A$1:$T$117"}</definedName>
    <definedName name="dsfadaew" localSheetId="6" hidden="1">{"'vert'!$A$1:$T$117"}</definedName>
    <definedName name="dsfadaew" hidden="1">{"'vert'!$A$1:$T$117"}</definedName>
    <definedName name="dsfds" localSheetId="5" hidden="1">{"'vert'!$A$1:$T$117"}</definedName>
    <definedName name="dsfds" localSheetId="6" hidden="1">{"'vert'!$A$1:$T$117"}</definedName>
    <definedName name="dsfds" hidden="1">{"'vert'!$A$1:$T$117"}</definedName>
    <definedName name="dsfds_1" localSheetId="5" hidden="1">{"'vert'!$A$1:$T$117"}</definedName>
    <definedName name="dsfds_1" localSheetId="6" hidden="1">{"'vert'!$A$1:$T$117"}</definedName>
    <definedName name="dsfds_1" hidden="1">{"'vert'!$A$1:$T$117"}</definedName>
    <definedName name="dsfds_1_1" localSheetId="5" hidden="1">{"'vert'!$A$1:$T$117"}</definedName>
    <definedName name="dsfds_1_1" localSheetId="6" hidden="1">{"'vert'!$A$1:$T$117"}</definedName>
    <definedName name="dsfds_1_1" hidden="1">{"'vert'!$A$1:$T$117"}</definedName>
    <definedName name="dsfds_1_2" localSheetId="5" hidden="1">{"'vert'!$A$1:$T$117"}</definedName>
    <definedName name="dsfds_1_2" localSheetId="6" hidden="1">{"'vert'!$A$1:$T$117"}</definedName>
    <definedName name="dsfds_1_2" hidden="1">{"'vert'!$A$1:$T$117"}</definedName>
    <definedName name="dsfds_2" localSheetId="5" hidden="1">{"'vert'!$A$1:$T$117"}</definedName>
    <definedName name="dsfds_2" localSheetId="6" hidden="1">{"'vert'!$A$1:$T$117"}</definedName>
    <definedName name="dsfds_2" hidden="1">{"'vert'!$A$1:$T$117"}</definedName>
    <definedName name="dsfds_3" localSheetId="5" hidden="1">{"'vert'!$A$1:$T$117"}</definedName>
    <definedName name="dsfds_3" localSheetId="6" hidden="1">{"'vert'!$A$1:$T$117"}</definedName>
    <definedName name="dsfds_3" hidden="1">{"'vert'!$A$1:$T$117"}</definedName>
    <definedName name="dsfff" localSheetId="5" hidden="1">{"'vert'!$A$1:$T$117"}</definedName>
    <definedName name="dsfff" localSheetId="6" hidden="1">{"'vert'!$A$1:$T$117"}</definedName>
    <definedName name="dsfff" hidden="1">{"'vert'!$A$1:$T$117"}</definedName>
    <definedName name="dsfff_1" localSheetId="5" hidden="1">{"'vert'!$A$1:$T$117"}</definedName>
    <definedName name="dsfff_1" localSheetId="6" hidden="1">{"'vert'!$A$1:$T$117"}</definedName>
    <definedName name="dsfff_1" hidden="1">{"'vert'!$A$1:$T$117"}</definedName>
    <definedName name="dsfff_1_1" localSheetId="5" hidden="1">{"'vert'!$A$1:$T$117"}</definedName>
    <definedName name="dsfff_1_1" localSheetId="6" hidden="1">{"'vert'!$A$1:$T$117"}</definedName>
    <definedName name="dsfff_1_1" hidden="1">{"'vert'!$A$1:$T$117"}</definedName>
    <definedName name="dsfff_1_2" localSheetId="5" hidden="1">{"'vert'!$A$1:$T$117"}</definedName>
    <definedName name="dsfff_1_2" localSheetId="6" hidden="1">{"'vert'!$A$1:$T$117"}</definedName>
    <definedName name="dsfff_1_2" hidden="1">{"'vert'!$A$1:$T$117"}</definedName>
    <definedName name="dsfff_2" localSheetId="5" hidden="1">{"'vert'!$A$1:$T$117"}</definedName>
    <definedName name="dsfff_2" localSheetId="6" hidden="1">{"'vert'!$A$1:$T$117"}</definedName>
    <definedName name="dsfff_2" hidden="1">{"'vert'!$A$1:$T$117"}</definedName>
    <definedName name="dsfff_3" localSheetId="5" hidden="1">{"'vert'!$A$1:$T$117"}</definedName>
    <definedName name="dsfff_3" localSheetId="6" hidden="1">{"'vert'!$A$1:$T$117"}</definedName>
    <definedName name="dsfff_3" hidden="1">{"'vert'!$A$1:$T$117"}</definedName>
    <definedName name="dssd" localSheetId="5" hidden="1">{"'vert'!$A$1:$T$117"}</definedName>
    <definedName name="dssd" localSheetId="6" hidden="1">{"'vert'!$A$1:$T$117"}</definedName>
    <definedName name="dssd" hidden="1">{"'vert'!$A$1:$T$117"}</definedName>
    <definedName name="dssd_1" localSheetId="5" hidden="1">{"'vert'!$A$1:$T$117"}</definedName>
    <definedName name="dssd_1" localSheetId="6" hidden="1">{"'vert'!$A$1:$T$117"}</definedName>
    <definedName name="dssd_1" hidden="1">{"'vert'!$A$1:$T$117"}</definedName>
    <definedName name="dssd_1_1" localSheetId="5" hidden="1">{"'vert'!$A$1:$T$117"}</definedName>
    <definedName name="dssd_1_1" localSheetId="6" hidden="1">{"'vert'!$A$1:$T$117"}</definedName>
    <definedName name="dssd_1_1" hidden="1">{"'vert'!$A$1:$T$117"}</definedName>
    <definedName name="dssd_1_1_1" localSheetId="5" hidden="1">{"'vert'!$A$1:$T$117"}</definedName>
    <definedName name="dssd_1_1_1" localSheetId="6" hidden="1">{"'vert'!$A$1:$T$117"}</definedName>
    <definedName name="dssd_1_1_1" hidden="1">{"'vert'!$A$1:$T$117"}</definedName>
    <definedName name="dssd_1_2" localSheetId="5" hidden="1">{"'vert'!$A$1:$T$117"}</definedName>
    <definedName name="dssd_1_2" localSheetId="6" hidden="1">{"'vert'!$A$1:$T$117"}</definedName>
    <definedName name="dssd_1_2" hidden="1">{"'vert'!$A$1:$T$117"}</definedName>
    <definedName name="dssd_2" localSheetId="5" hidden="1">{"'vert'!$A$1:$T$117"}</definedName>
    <definedName name="dssd_2" localSheetId="6" hidden="1">{"'vert'!$A$1:$T$117"}</definedName>
    <definedName name="dssd_2" hidden="1">{"'vert'!$A$1:$T$117"}</definedName>
    <definedName name="dssd_2_1" localSheetId="5" hidden="1">{"'vert'!$A$1:$T$117"}</definedName>
    <definedName name="dssd_2_1" localSheetId="6" hidden="1">{"'vert'!$A$1:$T$117"}</definedName>
    <definedName name="dssd_2_1" hidden="1">{"'vert'!$A$1:$T$117"}</definedName>
    <definedName name="dssd_2_1_1" localSheetId="5" hidden="1">{"'vert'!$A$1:$T$117"}</definedName>
    <definedName name="dssd_2_1_1" localSheetId="6" hidden="1">{"'vert'!$A$1:$T$117"}</definedName>
    <definedName name="dssd_2_1_1" hidden="1">{"'vert'!$A$1:$T$117"}</definedName>
    <definedName name="dssd_2_2" localSheetId="5" hidden="1">{"'vert'!$A$1:$T$117"}</definedName>
    <definedName name="dssd_2_2" localSheetId="6" hidden="1">{"'vert'!$A$1:$T$117"}</definedName>
    <definedName name="dssd_2_2" hidden="1">{"'vert'!$A$1:$T$117"}</definedName>
    <definedName name="dssd_3" localSheetId="5" hidden="1">{"'vert'!$A$1:$T$117"}</definedName>
    <definedName name="dssd_3" localSheetId="6" hidden="1">{"'vert'!$A$1:$T$117"}</definedName>
    <definedName name="dssd_3" hidden="1">{"'vert'!$A$1:$T$117"}</definedName>
    <definedName name="dssd_3_1" localSheetId="5" hidden="1">{"'vert'!$A$1:$T$117"}</definedName>
    <definedName name="dssd_3_1" localSheetId="6" hidden="1">{"'vert'!$A$1:$T$117"}</definedName>
    <definedName name="dssd_3_1" hidden="1">{"'vert'!$A$1:$T$117"}</definedName>
    <definedName name="dssd_4" localSheetId="5" hidden="1">{"'vert'!$A$1:$T$117"}</definedName>
    <definedName name="dssd_4" localSheetId="6" hidden="1">{"'vert'!$A$1:$T$117"}</definedName>
    <definedName name="dssd_4" hidden="1">{"'vert'!$A$1:$T$117"}</definedName>
    <definedName name="e" localSheetId="5" hidden="1">{"'vert'!$A$1:$T$117"}</definedName>
    <definedName name="e" localSheetId="6" hidden="1">{"'vert'!$A$1:$T$117"}</definedName>
    <definedName name="e" hidden="1">{"'vert'!$A$1:$T$117"}</definedName>
    <definedName name="eare" localSheetId="5" hidden="1">{"FCB_ALL",#N/A,FALSE,"FCB"}</definedName>
    <definedName name="eare" localSheetId="6" hidden="1">{"FCB_ALL",#N/A,FALSE,"FCB"}</definedName>
    <definedName name="eare" hidden="1">{"FCB_ALL",#N/A,FALSE,"FCB"}</definedName>
    <definedName name="earea" localSheetId="5" hidden="1">{#N/A,#N/A,FALSE,"Sheet1"}</definedName>
    <definedName name="earea" localSheetId="6" hidden="1">{#N/A,#N/A,FALSE,"Sheet1"}</definedName>
    <definedName name="earea" hidden="1">{#N/A,#N/A,FALSE,"Sheet1"}</definedName>
    <definedName name="eareare" localSheetId="5" hidden="1">{"FCB_ALL",#N/A,FALSE,"FCB"}</definedName>
    <definedName name="eareare" localSheetId="6" hidden="1">{"FCB_ALL",#N/A,FALSE,"FCB"}</definedName>
    <definedName name="eareare" hidden="1">{"FCB_ALL",#N/A,FALSE,"FCB"}</definedName>
    <definedName name="earer" localSheetId="5" hidden="1">{#N/A,#N/A,FALSE,"Sheet1"}</definedName>
    <definedName name="earer" localSheetId="6" hidden="1">{#N/A,#N/A,FALSE,"Sheet1"}</definedName>
    <definedName name="earer" hidden="1">{#N/A,#N/A,FALSE,"Sheet1"}</definedName>
    <definedName name="eccccebknlliujvbjlnbijentjldfjnbucvflktfvt" localSheetId="5" hidden="1">{"'vert'!$A$1:$T$117"}</definedName>
    <definedName name="eccccebknlliujvbjlnbijentjldfjnbucvflktfvt" localSheetId="6" hidden="1">{"'vert'!$A$1:$T$117"}</definedName>
    <definedName name="eccccebknlliujvbjlnbijentjldfjnbucvflktfvt" hidden="1">{"'vert'!$A$1:$T$117"}</definedName>
    <definedName name="ee" localSheetId="5" hidden="1">{"FCB_ALL",#N/A,FALSE,"FCB"}</definedName>
    <definedName name="ee" localSheetId="6" hidden="1">{"FCB_ALL",#N/A,FALSE,"FCB"}</definedName>
    <definedName name="ee" hidden="1">{"FCB_ALL",#N/A,FALSE,"FCB"}</definedName>
    <definedName name="eee" localSheetId="5" hidden="1">{"'weekly data'!$A$2:$AS$36"}</definedName>
    <definedName name="eee" localSheetId="6" hidden="1">{"'weekly data'!$A$2:$AS$36"}</definedName>
    <definedName name="eee" hidden="1">{"'weekly data'!$A$2:$AS$36"}</definedName>
    <definedName name="eee_1" localSheetId="5" hidden="1">{"'weekly data'!$A$2:$AS$36"}</definedName>
    <definedName name="eee_1" localSheetId="6" hidden="1">{"'weekly data'!$A$2:$AS$36"}</definedName>
    <definedName name="eee_1" hidden="1">{"'weekly data'!$A$2:$AS$36"}</definedName>
    <definedName name="eee_1_1" localSheetId="5" hidden="1">{"'weekly data'!$A$2:$AS$36"}</definedName>
    <definedName name="eee_1_1" localSheetId="6" hidden="1">{"'weekly data'!$A$2:$AS$36"}</definedName>
    <definedName name="eee_1_1" hidden="1">{"'weekly data'!$A$2:$AS$36"}</definedName>
    <definedName name="eee_1_2" localSheetId="5" hidden="1">{"'weekly data'!$A$2:$AS$36"}</definedName>
    <definedName name="eee_1_2" localSheetId="6" hidden="1">{"'weekly data'!$A$2:$AS$36"}</definedName>
    <definedName name="eee_1_2" hidden="1">{"'weekly data'!$A$2:$AS$36"}</definedName>
    <definedName name="eee_2" localSheetId="5" hidden="1">{"'weekly data'!$A$2:$AS$36"}</definedName>
    <definedName name="eee_2" localSheetId="6" hidden="1">{"'weekly data'!$A$2:$AS$36"}</definedName>
    <definedName name="eee_2" hidden="1">{"'weekly data'!$A$2:$AS$36"}</definedName>
    <definedName name="eee_3" localSheetId="5" hidden="1">{"'weekly data'!$A$2:$AS$36"}</definedName>
    <definedName name="eee_3" localSheetId="6" hidden="1">{"'weekly data'!$A$2:$AS$36"}</definedName>
    <definedName name="eee_3" hidden="1">{"'weekly data'!$A$2:$AS$36"}</definedName>
    <definedName name="eeee" localSheetId="5" hidden="1">{"'vert'!$A$1:$T$117"}</definedName>
    <definedName name="eeee" localSheetId="6" hidden="1">{"'vert'!$A$1:$T$117"}</definedName>
    <definedName name="eeee" hidden="1">{"'vert'!$A$1:$T$117"}</definedName>
    <definedName name="eeeee" localSheetId="5" hidden="1">{"'vert'!$A$1:$T$117"}</definedName>
    <definedName name="eeeee" localSheetId="6" hidden="1">{"'vert'!$A$1:$T$117"}</definedName>
    <definedName name="eeeee" hidden="1">{"'vert'!$A$1:$T$117"}</definedName>
    <definedName name="eeeee_1" localSheetId="5" hidden="1">{"'vert'!$A$1:$T$117"}</definedName>
    <definedName name="eeeee_1" localSheetId="6" hidden="1">{"'vert'!$A$1:$T$117"}</definedName>
    <definedName name="eeeee_1" hidden="1">{"'vert'!$A$1:$T$117"}</definedName>
    <definedName name="eeeee_1_1" localSheetId="5" hidden="1">{"'vert'!$A$1:$T$117"}</definedName>
    <definedName name="eeeee_1_1" localSheetId="6" hidden="1">{"'vert'!$A$1:$T$117"}</definedName>
    <definedName name="eeeee_1_1" hidden="1">{"'vert'!$A$1:$T$117"}</definedName>
    <definedName name="eeeee_1_1_1" localSheetId="5" hidden="1">{"'vert'!$A$1:$T$117"}</definedName>
    <definedName name="eeeee_1_1_1" localSheetId="6" hidden="1">{"'vert'!$A$1:$T$117"}</definedName>
    <definedName name="eeeee_1_1_1" hidden="1">{"'vert'!$A$1:$T$117"}</definedName>
    <definedName name="eeeee_1_2" localSheetId="5" hidden="1">{"'vert'!$A$1:$T$117"}</definedName>
    <definedName name="eeeee_1_2" localSheetId="6" hidden="1">{"'vert'!$A$1:$T$117"}</definedName>
    <definedName name="eeeee_1_2" hidden="1">{"'vert'!$A$1:$T$117"}</definedName>
    <definedName name="eeeee_2" localSheetId="5" hidden="1">{"'vert'!$A$1:$T$117"}</definedName>
    <definedName name="eeeee_2" localSheetId="6" hidden="1">{"'vert'!$A$1:$T$117"}</definedName>
    <definedName name="eeeee_2" hidden="1">{"'vert'!$A$1:$T$117"}</definedName>
    <definedName name="eeeee_2_1" localSheetId="5" hidden="1">{"'vert'!$A$1:$T$117"}</definedName>
    <definedName name="eeeee_2_1" localSheetId="6" hidden="1">{"'vert'!$A$1:$T$117"}</definedName>
    <definedName name="eeeee_2_1" hidden="1">{"'vert'!$A$1:$T$117"}</definedName>
    <definedName name="eeeee_2_1_1" localSheetId="5" hidden="1">{"'vert'!$A$1:$T$117"}</definedName>
    <definedName name="eeeee_2_1_1" localSheetId="6" hidden="1">{"'vert'!$A$1:$T$117"}</definedName>
    <definedName name="eeeee_2_1_1" hidden="1">{"'vert'!$A$1:$T$117"}</definedName>
    <definedName name="eeeee_2_2" localSheetId="5" hidden="1">{"'vert'!$A$1:$T$117"}</definedName>
    <definedName name="eeeee_2_2" localSheetId="6" hidden="1">{"'vert'!$A$1:$T$117"}</definedName>
    <definedName name="eeeee_2_2" hidden="1">{"'vert'!$A$1:$T$117"}</definedName>
    <definedName name="eeeee_3" localSheetId="5" hidden="1">{"'vert'!$A$1:$T$117"}</definedName>
    <definedName name="eeeee_3" localSheetId="6" hidden="1">{"'vert'!$A$1:$T$117"}</definedName>
    <definedName name="eeeee_3" hidden="1">{"'vert'!$A$1:$T$117"}</definedName>
    <definedName name="eeeee_3_1" localSheetId="5" hidden="1">{"'vert'!$A$1:$T$117"}</definedName>
    <definedName name="eeeee_3_1" localSheetId="6" hidden="1">{"'vert'!$A$1:$T$117"}</definedName>
    <definedName name="eeeee_3_1" hidden="1">{"'vert'!$A$1:$T$117"}</definedName>
    <definedName name="eeeee_4" localSheetId="5" hidden="1">{"'vert'!$A$1:$T$117"}</definedName>
    <definedName name="eeeee_4" localSheetId="6" hidden="1">{"'vert'!$A$1:$T$117"}</definedName>
    <definedName name="eeeee_4" hidden="1">{"'vert'!$A$1:$T$117"}</definedName>
    <definedName name="emily" localSheetId="5" hidden="1">{#N/A,#N/A,FALSE,"Calc";#N/A,#N/A,FALSE,"Sensitivity";#N/A,#N/A,FALSE,"LT Earn.Dil.";#N/A,#N/A,FALSE,"Dil. AVP"}</definedName>
    <definedName name="emily" localSheetId="6" hidden="1">{#N/A,#N/A,FALSE,"Calc";#N/A,#N/A,FALSE,"Sensitivity";#N/A,#N/A,FALSE,"LT Earn.Dil.";#N/A,#N/A,FALSE,"Dil. AVP"}</definedName>
    <definedName name="emily" hidden="1">{#N/A,#N/A,FALSE,"Calc";#N/A,#N/A,FALSE,"Sensitivity";#N/A,#N/A,FALSE,"LT Earn.Dil.";#N/A,#N/A,FALSE,"Dil. AVP"}</definedName>
    <definedName name="EmployeeType">[1]Lists!$C$33:$C$35</definedName>
    <definedName name="erarea" localSheetId="5" hidden="1">{#N/A,#N/A,FALSE,"Trading-Mult ";#N/A,#N/A,FALSE,"Trading-Cap";#N/A,#N/A,FALSE,"Trading-Inc";#N/A,#N/A,FALSE,"Cash Flow";#N/A,#N/A,FALSE,"M&amp;A info"}</definedName>
    <definedName name="erarea" localSheetId="6" hidden="1">{#N/A,#N/A,FALSE,"Trading-Mult ";#N/A,#N/A,FALSE,"Trading-Cap";#N/A,#N/A,FALSE,"Trading-Inc";#N/A,#N/A,FALSE,"Cash Flow";#N/A,#N/A,FALSE,"M&amp;A info"}</definedName>
    <definedName name="erarea" hidden="1">{#N/A,#N/A,FALSE,"Trading-Mult ";#N/A,#N/A,FALSE,"Trading-Cap";#N/A,#N/A,FALSE,"Trading-Inc";#N/A,#N/A,FALSE,"Cash Flow";#N/A,#N/A,FALSE,"M&amp;A info"}</definedName>
    <definedName name="ere" localSheetId="5" hidden="1">{"'weekly data'!$A$2:$AS$36"}</definedName>
    <definedName name="ere" localSheetId="6" hidden="1">{"'weekly data'!$A$2:$AS$36"}</definedName>
    <definedName name="ere" hidden="1">{"'weekly data'!$A$2:$AS$36"}</definedName>
    <definedName name="ere_1" localSheetId="5" hidden="1">{"'weekly data'!$A$2:$AS$36"}</definedName>
    <definedName name="ere_1" localSheetId="6" hidden="1">{"'weekly data'!$A$2:$AS$36"}</definedName>
    <definedName name="ere_1" hidden="1">{"'weekly data'!$A$2:$AS$36"}</definedName>
    <definedName name="ere_1_1" localSheetId="5" hidden="1">{"'weekly data'!$A$2:$AS$36"}</definedName>
    <definedName name="ere_1_1" localSheetId="6" hidden="1">{"'weekly data'!$A$2:$AS$36"}</definedName>
    <definedName name="ere_1_1" hidden="1">{"'weekly data'!$A$2:$AS$36"}</definedName>
    <definedName name="ere_1_2" localSheetId="5" hidden="1">{"'weekly data'!$A$2:$AS$36"}</definedName>
    <definedName name="ere_1_2" localSheetId="6" hidden="1">{"'weekly data'!$A$2:$AS$36"}</definedName>
    <definedName name="ere_1_2" hidden="1">{"'weekly data'!$A$2:$AS$36"}</definedName>
    <definedName name="ere_2" localSheetId="5" hidden="1">{"'weekly data'!$A$2:$AS$36"}</definedName>
    <definedName name="ere_2" localSheetId="6" hidden="1">{"'weekly data'!$A$2:$AS$36"}</definedName>
    <definedName name="ere_2" hidden="1">{"'weekly data'!$A$2:$AS$36"}</definedName>
    <definedName name="ere_3" localSheetId="5" hidden="1">{"'weekly data'!$A$2:$AS$36"}</definedName>
    <definedName name="ere_3" localSheetId="6" hidden="1">{"'weekly data'!$A$2:$AS$36"}</definedName>
    <definedName name="ere_3" hidden="1">{"'weekly data'!$A$2:$AS$36"}</definedName>
    <definedName name="erew" localSheetId="5" hidden="1">{#N/A,#N/A,FALSE,"Sheet1"}</definedName>
    <definedName name="erew" localSheetId="6" hidden="1">{#N/A,#N/A,FALSE,"Sheet1"}</definedName>
    <definedName name="erew" hidden="1">{#N/A,#N/A,FALSE,"Sheet1"}</definedName>
    <definedName name="erwewrrewrwerewrerqw3" hidden="1">#REF!</definedName>
    <definedName name="esd" localSheetId="5" hidden="1">{#N/A,#N/A,FALSE,"Trading-Mult ";#N/A,#N/A,FALSE,"M&amp;A info"}</definedName>
    <definedName name="esd" localSheetId="6" hidden="1">{#N/A,#N/A,FALSE,"Trading-Mult ";#N/A,#N/A,FALSE,"M&amp;A info"}</definedName>
    <definedName name="esd" hidden="1">{#N/A,#N/A,FALSE,"Trading-Mult ";#N/A,#N/A,FALSE,"M&amp;A info"}</definedName>
    <definedName name="Essbase2_1" localSheetId="5" hidden="1">{"'vert'!$A$1:$T$117"}</definedName>
    <definedName name="Essbase2_1" localSheetId="6" hidden="1">{"'vert'!$A$1:$T$117"}</definedName>
    <definedName name="Essbase2_1" hidden="1">{"'vert'!$A$1:$T$117"}</definedName>
    <definedName name="Essbase2_1_1" localSheetId="5" hidden="1">{"'vert'!$A$1:$T$117"}</definedName>
    <definedName name="Essbase2_1_1" localSheetId="6" hidden="1">{"'vert'!$A$1:$T$117"}</definedName>
    <definedName name="Essbase2_1_1" hidden="1">{"'vert'!$A$1:$T$117"}</definedName>
    <definedName name="Essbase2_1_2" localSheetId="5" hidden="1">{"'vert'!$A$1:$T$117"}</definedName>
    <definedName name="Essbase2_1_2" localSheetId="6" hidden="1">{"'vert'!$A$1:$T$117"}</definedName>
    <definedName name="Essbase2_1_2" hidden="1">{"'vert'!$A$1:$T$117"}</definedName>
    <definedName name="Essbase2_2" localSheetId="5" hidden="1">{"'vert'!$A$1:$T$117"}</definedName>
    <definedName name="Essbase2_2" localSheetId="6" hidden="1">{"'vert'!$A$1:$T$117"}</definedName>
    <definedName name="Essbase2_2" hidden="1">{"'vert'!$A$1:$T$117"}</definedName>
    <definedName name="Essbase2_3" localSheetId="5" hidden="1">{"'vert'!$A$1:$T$117"}</definedName>
    <definedName name="Essbase2_3" localSheetId="6" hidden="1">{"'vert'!$A$1:$T$117"}</definedName>
    <definedName name="Essbase2_3" hidden="1">{"'vert'!$A$1:$T$117"}</definedName>
    <definedName name="EUR">[10]Admin!$AG$20</definedName>
    <definedName name="EUR_to_USD">[25]FX!$B$2</definedName>
    <definedName name="eww" hidden="1">#REF!</definedName>
    <definedName name="Exch">" Sheet2!$F$2"</definedName>
    <definedName name="fa_1" localSheetId="5" hidden="1">{"'vert'!$A$1:$T$117"}</definedName>
    <definedName name="fa_1" localSheetId="6" hidden="1">{"'vert'!$A$1:$T$117"}</definedName>
    <definedName name="fa_1" hidden="1">{"'vert'!$A$1:$T$117"}</definedName>
    <definedName name="fa_1_1" localSheetId="5" hidden="1">{"'vert'!$A$1:$T$117"}</definedName>
    <definedName name="fa_1_1" localSheetId="6" hidden="1">{"'vert'!$A$1:$T$117"}</definedName>
    <definedName name="fa_1_1" hidden="1">{"'vert'!$A$1:$T$117"}</definedName>
    <definedName name="fa_1_2" localSheetId="5" hidden="1">{"'vert'!$A$1:$T$117"}</definedName>
    <definedName name="fa_1_2" localSheetId="6" hidden="1">{"'vert'!$A$1:$T$117"}</definedName>
    <definedName name="fa_1_2" hidden="1">{"'vert'!$A$1:$T$117"}</definedName>
    <definedName name="fa_2" localSheetId="5" hidden="1">{"'vert'!$A$1:$T$117"}</definedName>
    <definedName name="fa_2" localSheetId="6" hidden="1">{"'vert'!$A$1:$T$117"}</definedName>
    <definedName name="fa_2" hidden="1">{"'vert'!$A$1:$T$117"}</definedName>
    <definedName name="fa_3" localSheetId="5" hidden="1">{"'vert'!$A$1:$T$117"}</definedName>
    <definedName name="fa_3" localSheetId="6" hidden="1">{"'vert'!$A$1:$T$117"}</definedName>
    <definedName name="fa_3" hidden="1">{"'vert'!$A$1:$T$117"}</definedName>
    <definedName name="fcb" localSheetId="5" hidden="1">{"FCB_ALL",#N/A,FALSE,"FCB"}</definedName>
    <definedName name="fcb" localSheetId="6" hidden="1">{"FCB_ALL",#N/A,FALSE,"FCB"}</definedName>
    <definedName name="fcb" hidden="1">{"FCB_ALL",#N/A,FALSE,"FCB"}</definedName>
    <definedName name="fd" localSheetId="5" hidden="1">{"'vert'!$A$1:$T$117"}</definedName>
    <definedName name="fd" localSheetId="6" hidden="1">{"'vert'!$A$1:$T$117"}</definedName>
    <definedName name="fd" hidden="1">{"'vert'!$A$1:$T$117"}</definedName>
    <definedName name="fd_1" localSheetId="5" hidden="1">{"'vert'!$A$1:$T$117"}</definedName>
    <definedName name="fd_1" localSheetId="6" hidden="1">{"'vert'!$A$1:$T$117"}</definedName>
    <definedName name="fd_1" hidden="1">{"'vert'!$A$1:$T$117"}</definedName>
    <definedName name="fd_1_1" localSheetId="5" hidden="1">{"'vert'!$A$1:$T$117"}</definedName>
    <definedName name="fd_1_1" localSheetId="6" hidden="1">{"'vert'!$A$1:$T$117"}</definedName>
    <definedName name="fd_1_1" hidden="1">{"'vert'!$A$1:$T$117"}</definedName>
    <definedName name="fd_1_2" localSheetId="5" hidden="1">{"'vert'!$A$1:$T$117"}</definedName>
    <definedName name="fd_1_2" localSheetId="6" hidden="1">{"'vert'!$A$1:$T$117"}</definedName>
    <definedName name="fd_1_2" hidden="1">{"'vert'!$A$1:$T$117"}</definedName>
    <definedName name="fd_2" localSheetId="5" hidden="1">{"'vert'!$A$1:$T$117"}</definedName>
    <definedName name="fd_2" localSheetId="6" hidden="1">{"'vert'!$A$1:$T$117"}</definedName>
    <definedName name="fd_2" hidden="1">{"'vert'!$A$1:$T$117"}</definedName>
    <definedName name="fd_3" localSheetId="5" hidden="1">{"'vert'!$A$1:$T$117"}</definedName>
    <definedName name="fd_3" localSheetId="6" hidden="1">{"'vert'!$A$1:$T$117"}</definedName>
    <definedName name="fd_3" hidden="1">{"'vert'!$A$1:$T$117"}</definedName>
    <definedName name="fdddddddzshb" localSheetId="5" hidden="1">{"'vert'!$A$1:$T$117"}</definedName>
    <definedName name="fdddddddzshb" localSheetId="6" hidden="1">{"'vert'!$A$1:$T$117"}</definedName>
    <definedName name="fdddddddzshb" hidden="1">{"'vert'!$A$1:$T$117"}</definedName>
    <definedName name="fdddddddzshb_1" localSheetId="5" hidden="1">{"'vert'!$A$1:$T$117"}</definedName>
    <definedName name="fdddddddzshb_1" localSheetId="6" hidden="1">{"'vert'!$A$1:$T$117"}</definedName>
    <definedName name="fdddddddzshb_1" hidden="1">{"'vert'!$A$1:$T$117"}</definedName>
    <definedName name="fdddddddzshb_1_1" localSheetId="5" hidden="1">{"'vert'!$A$1:$T$117"}</definedName>
    <definedName name="fdddddddzshb_1_1" localSheetId="6" hidden="1">{"'vert'!$A$1:$T$117"}</definedName>
    <definedName name="fdddddddzshb_1_1" hidden="1">{"'vert'!$A$1:$T$117"}</definedName>
    <definedName name="fdddddddzshb_1_2" localSheetId="5" hidden="1">{"'vert'!$A$1:$T$117"}</definedName>
    <definedName name="fdddddddzshb_1_2" localSheetId="6" hidden="1">{"'vert'!$A$1:$T$117"}</definedName>
    <definedName name="fdddddddzshb_1_2" hidden="1">{"'vert'!$A$1:$T$117"}</definedName>
    <definedName name="fdddddddzshb_2" localSheetId="5" hidden="1">{"'vert'!$A$1:$T$117"}</definedName>
    <definedName name="fdddddddzshb_2" localSheetId="6" hidden="1">{"'vert'!$A$1:$T$117"}</definedName>
    <definedName name="fdddddddzshb_2" hidden="1">{"'vert'!$A$1:$T$117"}</definedName>
    <definedName name="fdddddddzshb_3" localSheetId="5" hidden="1">{"'vert'!$A$1:$T$117"}</definedName>
    <definedName name="fdddddddzshb_3" localSheetId="6" hidden="1">{"'vert'!$A$1:$T$117"}</definedName>
    <definedName name="fdddddddzshb_3" hidden="1">{"'vert'!$A$1:$T$117"}</definedName>
    <definedName name="fddgfgfdg_1" localSheetId="5" hidden="1">{"'vert'!$A$1:$T$117"}</definedName>
    <definedName name="fddgfgfdg_1" localSheetId="6" hidden="1">{"'vert'!$A$1:$T$117"}</definedName>
    <definedName name="fddgfgfdg_1" hidden="1">{"'vert'!$A$1:$T$117"}</definedName>
    <definedName name="fddgfgfdg_1_1" localSheetId="5" hidden="1">{"'vert'!$A$1:$T$117"}</definedName>
    <definedName name="fddgfgfdg_1_1" localSheetId="6" hidden="1">{"'vert'!$A$1:$T$117"}</definedName>
    <definedName name="fddgfgfdg_1_1" hidden="1">{"'vert'!$A$1:$T$117"}</definedName>
    <definedName name="fddgfgfdg_1_2" localSheetId="5" hidden="1">{"'vert'!$A$1:$T$117"}</definedName>
    <definedName name="fddgfgfdg_1_2" localSheetId="6" hidden="1">{"'vert'!$A$1:$T$117"}</definedName>
    <definedName name="fddgfgfdg_1_2" hidden="1">{"'vert'!$A$1:$T$117"}</definedName>
    <definedName name="fddgfgfdg_2" localSheetId="5" hidden="1">{"'vert'!$A$1:$T$117"}</definedName>
    <definedName name="fddgfgfdg_2" localSheetId="6" hidden="1">{"'vert'!$A$1:$T$117"}</definedName>
    <definedName name="fddgfgfdg_2" hidden="1">{"'vert'!$A$1:$T$117"}</definedName>
    <definedName name="fddgfgfdg_3" localSheetId="5" hidden="1">{"'vert'!$A$1:$T$117"}</definedName>
    <definedName name="fddgfgfdg_3" localSheetId="6" hidden="1">{"'vert'!$A$1:$T$117"}</definedName>
    <definedName name="fddgfgfdg_3" hidden="1">{"'vert'!$A$1:$T$117"}</definedName>
    <definedName name="fdfd" localSheetId="5" hidden="1">{"'vert'!$A$1:$T$117"}</definedName>
    <definedName name="fdfd" localSheetId="6" hidden="1">{"'vert'!$A$1:$T$117"}</definedName>
    <definedName name="fdfd" hidden="1">{"'vert'!$A$1:$T$117"}</definedName>
    <definedName name="fdfdfd" localSheetId="5" hidden="1">{"'vert'!$A$1:$T$117"}</definedName>
    <definedName name="fdfdfd" localSheetId="6" hidden="1">{"'vert'!$A$1:$T$117"}</definedName>
    <definedName name="fdfdfd" hidden="1">{"'vert'!$A$1:$T$117"}</definedName>
    <definedName name="fdfjsdk" localSheetId="5" hidden="1">{"'vert'!$A$1:$T$117"}</definedName>
    <definedName name="fdfjsdk" localSheetId="6" hidden="1">{"'vert'!$A$1:$T$117"}</definedName>
    <definedName name="fdfjsdk" hidden="1">{"'vert'!$A$1:$T$117"}</definedName>
    <definedName name="fdfjsdk_1" localSheetId="5" hidden="1">{"'vert'!$A$1:$T$117"}</definedName>
    <definedName name="fdfjsdk_1" localSheetId="6" hidden="1">{"'vert'!$A$1:$T$117"}</definedName>
    <definedName name="fdfjsdk_1" hidden="1">{"'vert'!$A$1:$T$117"}</definedName>
    <definedName name="fdfjsdk_1_1" localSheetId="5" hidden="1">{"'vert'!$A$1:$T$117"}</definedName>
    <definedName name="fdfjsdk_1_1" localSheetId="6" hidden="1">{"'vert'!$A$1:$T$117"}</definedName>
    <definedName name="fdfjsdk_1_1" hidden="1">{"'vert'!$A$1:$T$117"}</definedName>
    <definedName name="fdfjsdk_1_2" localSheetId="5" hidden="1">{"'vert'!$A$1:$T$117"}</definedName>
    <definedName name="fdfjsdk_1_2" localSheetId="6" hidden="1">{"'vert'!$A$1:$T$117"}</definedName>
    <definedName name="fdfjsdk_1_2" hidden="1">{"'vert'!$A$1:$T$117"}</definedName>
    <definedName name="fdfjsdk_2" localSheetId="5" hidden="1">{"'vert'!$A$1:$T$117"}</definedName>
    <definedName name="fdfjsdk_2" localSheetId="6" hidden="1">{"'vert'!$A$1:$T$117"}</definedName>
    <definedName name="fdfjsdk_2" hidden="1">{"'vert'!$A$1:$T$117"}</definedName>
    <definedName name="fdfjsdk_3" localSheetId="5" hidden="1">{"'vert'!$A$1:$T$117"}</definedName>
    <definedName name="fdfjsdk_3" localSheetId="6" hidden="1">{"'vert'!$A$1:$T$117"}</definedName>
    <definedName name="fdfjsdk_3" hidden="1">{"'vert'!$A$1:$T$117"}</definedName>
    <definedName name="fds" localSheetId="5" hidden="1">{#N/A,#N/A,FALSE,"Trading-Mult ";#N/A,#N/A,FALSE,"M&amp;A info"}</definedName>
    <definedName name="fds" localSheetId="6" hidden="1">{#N/A,#N/A,FALSE,"Trading-Mult ";#N/A,#N/A,FALSE,"M&amp;A info"}</definedName>
    <definedName name="fds" hidden="1">{#N/A,#N/A,FALSE,"Trading-Mult ";#N/A,#N/A,FALSE,"M&amp;A info"}</definedName>
    <definedName name="fds_1" localSheetId="5" hidden="1">{"'vert'!$A$1:$T$117"}</definedName>
    <definedName name="fds_1" localSheetId="6" hidden="1">{"'vert'!$A$1:$T$117"}</definedName>
    <definedName name="fds_1" hidden="1">{"'vert'!$A$1:$T$117"}</definedName>
    <definedName name="fds_1_1" localSheetId="5" hidden="1">{"'vert'!$A$1:$T$117"}</definedName>
    <definedName name="fds_1_1" localSheetId="6" hidden="1">{"'vert'!$A$1:$T$117"}</definedName>
    <definedName name="fds_1_1" hidden="1">{"'vert'!$A$1:$T$117"}</definedName>
    <definedName name="fds_1_2" localSheetId="5" hidden="1">{"'vert'!$A$1:$T$117"}</definedName>
    <definedName name="fds_1_2" localSheetId="6" hidden="1">{"'vert'!$A$1:$T$117"}</definedName>
    <definedName name="fds_1_2" hidden="1">{"'vert'!$A$1:$T$117"}</definedName>
    <definedName name="fds_2" localSheetId="5" hidden="1">{"'vert'!$A$1:$T$117"}</definedName>
    <definedName name="fds_2" localSheetId="6" hidden="1">{"'vert'!$A$1:$T$117"}</definedName>
    <definedName name="fds_2" hidden="1">{"'vert'!$A$1:$T$117"}</definedName>
    <definedName name="fds_3" localSheetId="5" hidden="1">{"'vert'!$A$1:$T$117"}</definedName>
    <definedName name="fds_3" localSheetId="6" hidden="1">{"'vert'!$A$1:$T$117"}</definedName>
    <definedName name="fds_3" hidden="1">{"'vert'!$A$1:$T$117"}</definedName>
    <definedName name="feb" localSheetId="5" hidden="1">{"'vert'!$A$1:$T$117"}</definedName>
    <definedName name="feb" localSheetId="6" hidden="1">{"'vert'!$A$1:$T$117"}</definedName>
    <definedName name="feb" hidden="1">{"'vert'!$A$1:$T$117"}</definedName>
    <definedName name="fff" localSheetId="5" hidden="1">{"'vert'!$A$1:$T$117"}</definedName>
    <definedName name="fff" localSheetId="6" hidden="1">{"'vert'!$A$1:$T$117"}</definedName>
    <definedName name="fff" hidden="1">{"'vert'!$A$1:$T$117"}</definedName>
    <definedName name="fff_1" localSheetId="5" hidden="1">{"'vert'!$A$1:$T$117"}</definedName>
    <definedName name="fff_1" localSheetId="6" hidden="1">{"'vert'!$A$1:$T$117"}</definedName>
    <definedName name="fff_1" hidden="1">{"'vert'!$A$1:$T$117"}</definedName>
    <definedName name="fff_1_1" localSheetId="5" hidden="1">{"'vert'!$A$1:$T$117"}</definedName>
    <definedName name="fff_1_1" localSheetId="6" hidden="1">{"'vert'!$A$1:$T$117"}</definedName>
    <definedName name="fff_1_1" hidden="1">{"'vert'!$A$1:$T$117"}</definedName>
    <definedName name="fff_1_1_1" localSheetId="5" hidden="1">{"'vert'!$A$1:$T$117"}</definedName>
    <definedName name="fff_1_1_1" localSheetId="6" hidden="1">{"'vert'!$A$1:$T$117"}</definedName>
    <definedName name="fff_1_1_1" hidden="1">{"'vert'!$A$1:$T$117"}</definedName>
    <definedName name="fff_1_2" localSheetId="5" hidden="1">{"'vert'!$A$1:$T$117"}</definedName>
    <definedName name="fff_1_2" localSheetId="6" hidden="1">{"'vert'!$A$1:$T$117"}</definedName>
    <definedName name="fff_1_2" hidden="1">{"'vert'!$A$1:$T$117"}</definedName>
    <definedName name="fff_2" localSheetId="5" hidden="1">{"'vert'!$A$1:$T$117"}</definedName>
    <definedName name="fff_2" localSheetId="6" hidden="1">{"'vert'!$A$1:$T$117"}</definedName>
    <definedName name="fff_2" hidden="1">{"'vert'!$A$1:$T$117"}</definedName>
    <definedName name="fff_2_1" localSheetId="5" hidden="1">{"'vert'!$A$1:$T$117"}</definedName>
    <definedName name="fff_2_1" localSheetId="6" hidden="1">{"'vert'!$A$1:$T$117"}</definedName>
    <definedName name="fff_2_1" hidden="1">{"'vert'!$A$1:$T$117"}</definedName>
    <definedName name="fff_2_1_1" localSheetId="5" hidden="1">{"'vert'!$A$1:$T$117"}</definedName>
    <definedName name="fff_2_1_1" localSheetId="6" hidden="1">{"'vert'!$A$1:$T$117"}</definedName>
    <definedName name="fff_2_1_1" hidden="1">{"'vert'!$A$1:$T$117"}</definedName>
    <definedName name="fff_2_2" localSheetId="5" hidden="1">{"'vert'!$A$1:$T$117"}</definedName>
    <definedName name="fff_2_2" localSheetId="6" hidden="1">{"'vert'!$A$1:$T$117"}</definedName>
    <definedName name="fff_2_2" hidden="1">{"'vert'!$A$1:$T$117"}</definedName>
    <definedName name="fff_3" localSheetId="5" hidden="1">{"'vert'!$A$1:$T$117"}</definedName>
    <definedName name="fff_3" localSheetId="6" hidden="1">{"'vert'!$A$1:$T$117"}</definedName>
    <definedName name="fff_3" hidden="1">{"'vert'!$A$1:$T$117"}</definedName>
    <definedName name="fff_3_1" localSheetId="5" hidden="1">{"'vert'!$A$1:$T$117"}</definedName>
    <definedName name="fff_3_1" localSheetId="6" hidden="1">{"'vert'!$A$1:$T$117"}</definedName>
    <definedName name="fff_3_1" hidden="1">{"'vert'!$A$1:$T$117"}</definedName>
    <definedName name="fff_4" localSheetId="5" hidden="1">{"'vert'!$A$1:$T$117"}</definedName>
    <definedName name="fff_4" localSheetId="6" hidden="1">{"'vert'!$A$1:$T$117"}</definedName>
    <definedName name="fff_4" hidden="1">{"'vert'!$A$1:$T$117"}</definedName>
    <definedName name="fffff" localSheetId="5" hidden="1">{"'vert'!$A$1:$T$117"}</definedName>
    <definedName name="fffff" localSheetId="6" hidden="1">{"'vert'!$A$1:$T$117"}</definedName>
    <definedName name="fffff" hidden="1">{"'vert'!$A$1:$T$117"}</definedName>
    <definedName name="fffff_1" localSheetId="5" hidden="1">{"'vert'!$A$1:$T$117"}</definedName>
    <definedName name="fffff_1" localSheetId="6" hidden="1">{"'vert'!$A$1:$T$117"}</definedName>
    <definedName name="fffff_1" hidden="1">{"'vert'!$A$1:$T$117"}</definedName>
    <definedName name="fffff_1_1" localSheetId="5" hidden="1">{"'vert'!$A$1:$T$117"}</definedName>
    <definedName name="fffff_1_1" localSheetId="6" hidden="1">{"'vert'!$A$1:$T$117"}</definedName>
    <definedName name="fffff_1_1" hidden="1">{"'vert'!$A$1:$T$117"}</definedName>
    <definedName name="fffff_1_1_1" localSheetId="5" hidden="1">{"'vert'!$A$1:$T$117"}</definedName>
    <definedName name="fffff_1_1_1" localSheetId="6" hidden="1">{"'vert'!$A$1:$T$117"}</definedName>
    <definedName name="fffff_1_1_1" hidden="1">{"'vert'!$A$1:$T$117"}</definedName>
    <definedName name="fffff_1_2" localSheetId="5" hidden="1">{"'vert'!$A$1:$T$117"}</definedName>
    <definedName name="fffff_1_2" localSheetId="6" hidden="1">{"'vert'!$A$1:$T$117"}</definedName>
    <definedName name="fffff_1_2" hidden="1">{"'vert'!$A$1:$T$117"}</definedName>
    <definedName name="fffff_2" localSheetId="5" hidden="1">{"'vert'!$A$1:$T$117"}</definedName>
    <definedName name="fffff_2" localSheetId="6" hidden="1">{"'vert'!$A$1:$T$117"}</definedName>
    <definedName name="fffff_2" hidden="1">{"'vert'!$A$1:$T$117"}</definedName>
    <definedName name="fffff_2_1" localSheetId="5" hidden="1">{"'vert'!$A$1:$T$117"}</definedName>
    <definedName name="fffff_2_1" localSheetId="6" hidden="1">{"'vert'!$A$1:$T$117"}</definedName>
    <definedName name="fffff_2_1" hidden="1">{"'vert'!$A$1:$T$117"}</definedName>
    <definedName name="fffff_2_1_1" localSheetId="5" hidden="1">{"'vert'!$A$1:$T$117"}</definedName>
    <definedName name="fffff_2_1_1" localSheetId="6" hidden="1">{"'vert'!$A$1:$T$117"}</definedName>
    <definedName name="fffff_2_1_1" hidden="1">{"'vert'!$A$1:$T$117"}</definedName>
    <definedName name="fffff_2_2" localSheetId="5" hidden="1">{"'vert'!$A$1:$T$117"}</definedName>
    <definedName name="fffff_2_2" localSheetId="6" hidden="1">{"'vert'!$A$1:$T$117"}</definedName>
    <definedName name="fffff_2_2" hidden="1">{"'vert'!$A$1:$T$117"}</definedName>
    <definedName name="fffff_3" localSheetId="5" hidden="1">{"'vert'!$A$1:$T$117"}</definedName>
    <definedName name="fffff_3" localSheetId="6" hidden="1">{"'vert'!$A$1:$T$117"}</definedName>
    <definedName name="fffff_3" hidden="1">{"'vert'!$A$1:$T$117"}</definedName>
    <definedName name="fffff_3_1" localSheetId="5" hidden="1">{"'vert'!$A$1:$T$117"}</definedName>
    <definedName name="fffff_3_1" localSheetId="6" hidden="1">{"'vert'!$A$1:$T$117"}</definedName>
    <definedName name="fffff_3_1" hidden="1">{"'vert'!$A$1:$T$117"}</definedName>
    <definedName name="fffff_4" localSheetId="5" hidden="1">{"'vert'!$A$1:$T$117"}</definedName>
    <definedName name="fffff_4" localSheetId="6" hidden="1">{"'vert'!$A$1:$T$117"}</definedName>
    <definedName name="fffff_4" hidden="1">{"'vert'!$A$1:$T$117"}</definedName>
    <definedName name="ffffff" localSheetId="5" hidden="1">{"'vert'!$A$1:$T$117"}</definedName>
    <definedName name="ffffff" localSheetId="6" hidden="1">{"'vert'!$A$1:$T$117"}</definedName>
    <definedName name="ffffff" hidden="1">{"'vert'!$A$1:$T$117"}</definedName>
    <definedName name="ffffff_1" localSheetId="5" hidden="1">{"'vert'!$A$1:$T$117"}</definedName>
    <definedName name="ffffff_1" localSheetId="6" hidden="1">{"'vert'!$A$1:$T$117"}</definedName>
    <definedName name="ffffff_1" hidden="1">{"'vert'!$A$1:$T$117"}</definedName>
    <definedName name="ffffff_1_1" localSheetId="5" hidden="1">{"'vert'!$A$1:$T$117"}</definedName>
    <definedName name="ffffff_1_1" localSheetId="6" hidden="1">{"'vert'!$A$1:$T$117"}</definedName>
    <definedName name="ffffff_1_1" hidden="1">{"'vert'!$A$1:$T$117"}</definedName>
    <definedName name="ffffff_1_2" localSheetId="5" hidden="1">{"'vert'!$A$1:$T$117"}</definedName>
    <definedName name="ffffff_1_2" localSheetId="6" hidden="1">{"'vert'!$A$1:$T$117"}</definedName>
    <definedName name="ffffff_1_2" hidden="1">{"'vert'!$A$1:$T$117"}</definedName>
    <definedName name="ffffff_2" localSheetId="5" hidden="1">{"'vert'!$A$1:$T$117"}</definedName>
    <definedName name="ffffff_2" localSheetId="6" hidden="1">{"'vert'!$A$1:$T$117"}</definedName>
    <definedName name="ffffff_2" hidden="1">{"'vert'!$A$1:$T$117"}</definedName>
    <definedName name="ffffff_3" localSheetId="5" hidden="1">{"'vert'!$A$1:$T$117"}</definedName>
    <definedName name="ffffff_3" localSheetId="6" hidden="1">{"'vert'!$A$1:$T$117"}</definedName>
    <definedName name="ffffff_3" hidden="1">{"'vert'!$A$1:$T$117"}</definedName>
    <definedName name="ffgagfa_1" localSheetId="5" hidden="1">{"'vert'!$A$1:$T$117"}</definedName>
    <definedName name="ffgagfa_1" localSheetId="6" hidden="1">{"'vert'!$A$1:$T$117"}</definedName>
    <definedName name="ffgagfa_1" hidden="1">{"'vert'!$A$1:$T$117"}</definedName>
    <definedName name="ffgagfa_1_1" localSheetId="5" hidden="1">{"'vert'!$A$1:$T$117"}</definedName>
    <definedName name="ffgagfa_1_1" localSheetId="6" hidden="1">{"'vert'!$A$1:$T$117"}</definedName>
    <definedName name="ffgagfa_1_1" hidden="1">{"'vert'!$A$1:$T$117"}</definedName>
    <definedName name="ffgagfa_1_2" localSheetId="5" hidden="1">{"'vert'!$A$1:$T$117"}</definedName>
    <definedName name="ffgagfa_1_2" localSheetId="6" hidden="1">{"'vert'!$A$1:$T$117"}</definedName>
    <definedName name="ffgagfa_1_2" hidden="1">{"'vert'!$A$1:$T$117"}</definedName>
    <definedName name="ffgagfa_2" localSheetId="5" hidden="1">{"'vert'!$A$1:$T$117"}</definedName>
    <definedName name="ffgagfa_2" localSheetId="6" hidden="1">{"'vert'!$A$1:$T$117"}</definedName>
    <definedName name="ffgagfa_2" hidden="1">{"'vert'!$A$1:$T$117"}</definedName>
    <definedName name="ffgagfa_3" localSheetId="5" hidden="1">{"'vert'!$A$1:$T$117"}</definedName>
    <definedName name="ffgagfa_3" localSheetId="6" hidden="1">{"'vert'!$A$1:$T$117"}</definedName>
    <definedName name="ffgagfa_3" hidden="1">{"'vert'!$A$1:$T$117"}</definedName>
    <definedName name="fgdfgdf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fgdfgdf" localSheetId="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fgdfgdf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fgggsgagda_1" localSheetId="5" hidden="1">{"'vert'!$A$1:$T$117"}</definedName>
    <definedName name="fgggsgagda_1" localSheetId="6" hidden="1">{"'vert'!$A$1:$T$117"}</definedName>
    <definedName name="fgggsgagda_1" hidden="1">{"'vert'!$A$1:$T$117"}</definedName>
    <definedName name="fgggsgagda_1_1" localSheetId="5" hidden="1">{"'vert'!$A$1:$T$117"}</definedName>
    <definedName name="fgggsgagda_1_1" localSheetId="6" hidden="1">{"'vert'!$A$1:$T$117"}</definedName>
    <definedName name="fgggsgagda_1_1" hidden="1">{"'vert'!$A$1:$T$117"}</definedName>
    <definedName name="fgggsgagda_1_2" localSheetId="5" hidden="1">{"'vert'!$A$1:$T$117"}</definedName>
    <definedName name="fgggsgagda_1_2" localSheetId="6" hidden="1">{"'vert'!$A$1:$T$117"}</definedName>
    <definedName name="fgggsgagda_1_2" hidden="1">{"'vert'!$A$1:$T$117"}</definedName>
    <definedName name="fgggsgagda_2" localSheetId="5" hidden="1">{"'vert'!$A$1:$T$117"}</definedName>
    <definedName name="fgggsgagda_2" localSheetId="6" hidden="1">{"'vert'!$A$1:$T$117"}</definedName>
    <definedName name="fgggsgagda_2" hidden="1">{"'vert'!$A$1:$T$117"}</definedName>
    <definedName name="fgggsgagda_3" localSheetId="5" hidden="1">{"'vert'!$A$1:$T$117"}</definedName>
    <definedName name="fgggsgagda_3" localSheetId="6" hidden="1">{"'vert'!$A$1:$T$117"}</definedName>
    <definedName name="fgggsgagda_3" hidden="1">{"'vert'!$A$1:$T$117"}</definedName>
    <definedName name="fgh" localSheetId="5" hidden="1">{#N/A,#N/A,FALSE,"Sheet1"}</definedName>
    <definedName name="fgh" localSheetId="6" hidden="1">{#N/A,#N/A,FALSE,"Sheet1"}</definedName>
    <definedName name="fgh" hidden="1">{#N/A,#N/A,FALSE,"Sheet1"}</definedName>
    <definedName name="fghfg56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fghfg56" localSheetId="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fghfg5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fixed" localSheetId="5" hidden="1">{"'vert'!$A$1:$T$117"}</definedName>
    <definedName name="fixed" localSheetId="6" hidden="1">{"'vert'!$A$1:$T$117"}</definedName>
    <definedName name="fixed" hidden="1">{"'vert'!$A$1:$T$117"}</definedName>
    <definedName name="fjsiojsoijfosijfofofjff_1" localSheetId="5" hidden="1">{"'vert'!$A$1:$T$117"}</definedName>
    <definedName name="fjsiojsoijfosijfofofjff_1" localSheetId="6" hidden="1">{"'vert'!$A$1:$T$117"}</definedName>
    <definedName name="fjsiojsoijfosijfofofjff_1" hidden="1">{"'vert'!$A$1:$T$117"}</definedName>
    <definedName name="fjsiojsoijfosijfofofjff_1_1" localSheetId="5" hidden="1">{"'vert'!$A$1:$T$117"}</definedName>
    <definedName name="fjsiojsoijfosijfofofjff_1_1" localSheetId="6" hidden="1">{"'vert'!$A$1:$T$117"}</definedName>
    <definedName name="fjsiojsoijfosijfofofjff_1_1" hidden="1">{"'vert'!$A$1:$T$117"}</definedName>
    <definedName name="fjsiojsoijfosijfofofjff_1_2" localSheetId="5" hidden="1">{"'vert'!$A$1:$T$117"}</definedName>
    <definedName name="fjsiojsoijfosijfofofjff_1_2" localSheetId="6" hidden="1">{"'vert'!$A$1:$T$117"}</definedName>
    <definedName name="fjsiojsoijfosijfofofjff_1_2" hidden="1">{"'vert'!$A$1:$T$117"}</definedName>
    <definedName name="fjsiojsoijfosijfofofjff_2" localSheetId="5" hidden="1">{"'vert'!$A$1:$T$117"}</definedName>
    <definedName name="fjsiojsoijfosijfofofjff_2" localSheetId="6" hidden="1">{"'vert'!$A$1:$T$117"}</definedName>
    <definedName name="fjsiojsoijfosijfofofjff_2" hidden="1">{"'vert'!$A$1:$T$117"}</definedName>
    <definedName name="fjsiojsoijfosijfofofjff_3" localSheetId="5" hidden="1">{"'vert'!$A$1:$T$117"}</definedName>
    <definedName name="fjsiojsoijfosijfofofjff_3" localSheetId="6" hidden="1">{"'vert'!$A$1:$T$117"}</definedName>
    <definedName name="fjsiojsoijfosijfofofjff_3" hidden="1">{"'vert'!$A$1:$T$117"}</definedName>
    <definedName name="fkdjfd" localSheetId="5" hidden="1">{"'vert'!$A$1:$T$117"}</definedName>
    <definedName name="fkdjfd" localSheetId="6" hidden="1">{"'vert'!$A$1:$T$117"}</definedName>
    <definedName name="fkdjfd" hidden="1">{"'vert'!$A$1:$T$117"}</definedName>
    <definedName name="fkdjfd_1" localSheetId="5" hidden="1">{"'vert'!$A$1:$T$117"}</definedName>
    <definedName name="fkdjfd_1" localSheetId="6" hidden="1">{"'vert'!$A$1:$T$117"}</definedName>
    <definedName name="fkdjfd_1" hidden="1">{"'vert'!$A$1:$T$117"}</definedName>
    <definedName name="fkdjfd_1_1" localSheetId="5" hidden="1">{"'vert'!$A$1:$T$117"}</definedName>
    <definedName name="fkdjfd_1_1" localSheetId="6" hidden="1">{"'vert'!$A$1:$T$117"}</definedName>
    <definedName name="fkdjfd_1_1" hidden="1">{"'vert'!$A$1:$T$117"}</definedName>
    <definedName name="fkdjfd_1_2" localSheetId="5" hidden="1">{"'vert'!$A$1:$T$117"}</definedName>
    <definedName name="fkdjfd_1_2" localSheetId="6" hidden="1">{"'vert'!$A$1:$T$117"}</definedName>
    <definedName name="fkdjfd_1_2" hidden="1">{"'vert'!$A$1:$T$117"}</definedName>
    <definedName name="fkdjfd_2" localSheetId="5" hidden="1">{"'vert'!$A$1:$T$117"}</definedName>
    <definedName name="fkdjfd_2" localSheetId="6" hidden="1">{"'vert'!$A$1:$T$117"}</definedName>
    <definedName name="fkdjfd_2" hidden="1">{"'vert'!$A$1:$T$117"}</definedName>
    <definedName name="fkdjfd_3" localSheetId="5" hidden="1">{"'vert'!$A$1:$T$117"}</definedName>
    <definedName name="fkdjfd_3" localSheetId="6" hidden="1">{"'vert'!$A$1:$T$117"}</definedName>
    <definedName name="fkdjfd_3" hidden="1">{"'vert'!$A$1:$T$117"}</definedName>
    <definedName name="foo" localSheetId="5" hidden="1">{"'vert'!$A$1:$T$117"}</definedName>
    <definedName name="foo" localSheetId="6" hidden="1">{"'vert'!$A$1:$T$117"}</definedName>
    <definedName name="foo" hidden="1">{"'vert'!$A$1:$T$117"}</definedName>
    <definedName name="foobar" localSheetId="5" hidden="1">{"'vert'!$A$1:$T$117"}</definedName>
    <definedName name="foobar" localSheetId="6" hidden="1">{"'vert'!$A$1:$T$117"}</definedName>
    <definedName name="foobar" hidden="1">{"'vert'!$A$1:$T$117"}</definedName>
    <definedName name="foobar_1" localSheetId="5" hidden="1">{"'vert'!$A$1:$T$117"}</definedName>
    <definedName name="foobar_1" localSheetId="6" hidden="1">{"'vert'!$A$1:$T$117"}</definedName>
    <definedName name="foobar_1" hidden="1">{"'vert'!$A$1:$T$117"}</definedName>
    <definedName name="foobar_1_1" localSheetId="5" hidden="1">{"'vert'!$A$1:$T$117"}</definedName>
    <definedName name="foobar_1_1" localSheetId="6" hidden="1">{"'vert'!$A$1:$T$117"}</definedName>
    <definedName name="foobar_1_1" hidden="1">{"'vert'!$A$1:$T$117"}</definedName>
    <definedName name="foobar_1_1_1" localSheetId="5" hidden="1">{"'vert'!$A$1:$T$117"}</definedName>
    <definedName name="foobar_1_1_1" localSheetId="6" hidden="1">{"'vert'!$A$1:$T$117"}</definedName>
    <definedName name="foobar_1_1_1" hidden="1">{"'vert'!$A$1:$T$117"}</definedName>
    <definedName name="foobar_1_2" localSheetId="5" hidden="1">{"'vert'!$A$1:$T$117"}</definedName>
    <definedName name="foobar_1_2" localSheetId="6" hidden="1">{"'vert'!$A$1:$T$117"}</definedName>
    <definedName name="foobar_1_2" hidden="1">{"'vert'!$A$1:$T$117"}</definedName>
    <definedName name="foobar_2" localSheetId="5" hidden="1">{"'vert'!$A$1:$T$117"}</definedName>
    <definedName name="foobar_2" localSheetId="6" hidden="1">{"'vert'!$A$1:$T$117"}</definedName>
    <definedName name="foobar_2" hidden="1">{"'vert'!$A$1:$T$117"}</definedName>
    <definedName name="foobar_2_1" localSheetId="5" hidden="1">{"'vert'!$A$1:$T$117"}</definedName>
    <definedName name="foobar_2_1" localSheetId="6" hidden="1">{"'vert'!$A$1:$T$117"}</definedName>
    <definedName name="foobar_2_1" hidden="1">{"'vert'!$A$1:$T$117"}</definedName>
    <definedName name="foobar_2_1_1" localSheetId="5" hidden="1">{"'vert'!$A$1:$T$117"}</definedName>
    <definedName name="foobar_2_1_1" localSheetId="6" hidden="1">{"'vert'!$A$1:$T$117"}</definedName>
    <definedName name="foobar_2_1_1" hidden="1">{"'vert'!$A$1:$T$117"}</definedName>
    <definedName name="foobar_2_2" localSheetId="5" hidden="1">{"'vert'!$A$1:$T$117"}</definedName>
    <definedName name="foobar_2_2" localSheetId="6" hidden="1">{"'vert'!$A$1:$T$117"}</definedName>
    <definedName name="foobar_2_2" hidden="1">{"'vert'!$A$1:$T$117"}</definedName>
    <definedName name="foobar_3" localSheetId="5" hidden="1">{"'vert'!$A$1:$T$117"}</definedName>
    <definedName name="foobar_3" localSheetId="6" hidden="1">{"'vert'!$A$1:$T$117"}</definedName>
    <definedName name="foobar_3" hidden="1">{"'vert'!$A$1:$T$117"}</definedName>
    <definedName name="foobar_3_1" localSheetId="5" hidden="1">{"'vert'!$A$1:$T$117"}</definedName>
    <definedName name="foobar_3_1" localSheetId="6" hidden="1">{"'vert'!$A$1:$T$117"}</definedName>
    <definedName name="foobar_3_1" hidden="1">{"'vert'!$A$1:$T$117"}</definedName>
    <definedName name="foobar_4" localSheetId="5" hidden="1">{"'vert'!$A$1:$T$117"}</definedName>
    <definedName name="foobar_4" localSheetId="6" hidden="1">{"'vert'!$A$1:$T$117"}</definedName>
    <definedName name="foobar_4" hidden="1">{"'vert'!$A$1:$T$117"}</definedName>
    <definedName name="foobar2" localSheetId="5" hidden="1">{"'weekly data'!$A$2:$AS$36"}</definedName>
    <definedName name="foobar2" localSheetId="6" hidden="1">{"'weekly data'!$A$2:$AS$36"}</definedName>
    <definedName name="foobar2" hidden="1">{"'weekly data'!$A$2:$AS$36"}</definedName>
    <definedName name="foobar2_1" localSheetId="5" hidden="1">{"'weekly data'!$A$2:$AS$36"}</definedName>
    <definedName name="foobar2_1" localSheetId="6" hidden="1">{"'weekly data'!$A$2:$AS$36"}</definedName>
    <definedName name="foobar2_1" hidden="1">{"'weekly data'!$A$2:$AS$36"}</definedName>
    <definedName name="foobar2_1_1" localSheetId="5" hidden="1">{"'weekly data'!$A$2:$AS$36"}</definedName>
    <definedName name="foobar2_1_1" localSheetId="6" hidden="1">{"'weekly data'!$A$2:$AS$36"}</definedName>
    <definedName name="foobar2_1_1" hidden="1">{"'weekly data'!$A$2:$AS$36"}</definedName>
    <definedName name="foobar2_1_1_1" localSheetId="5" hidden="1">{"'weekly data'!$A$2:$AS$36"}</definedName>
    <definedName name="foobar2_1_1_1" localSheetId="6" hidden="1">{"'weekly data'!$A$2:$AS$36"}</definedName>
    <definedName name="foobar2_1_1_1" hidden="1">{"'weekly data'!$A$2:$AS$36"}</definedName>
    <definedName name="foobar2_1_2" localSheetId="5" hidden="1">{"'weekly data'!$A$2:$AS$36"}</definedName>
    <definedName name="foobar2_1_2" localSheetId="6" hidden="1">{"'weekly data'!$A$2:$AS$36"}</definedName>
    <definedName name="foobar2_1_2" hidden="1">{"'weekly data'!$A$2:$AS$36"}</definedName>
    <definedName name="foobar2_2" localSheetId="5" hidden="1">{"'weekly data'!$A$2:$AS$36"}</definedName>
    <definedName name="foobar2_2" localSheetId="6" hidden="1">{"'weekly data'!$A$2:$AS$36"}</definedName>
    <definedName name="foobar2_2" hidden="1">{"'weekly data'!$A$2:$AS$36"}</definedName>
    <definedName name="foobar2_2_1" localSheetId="5" hidden="1">{"'weekly data'!$A$2:$AS$36"}</definedName>
    <definedName name="foobar2_2_1" localSheetId="6" hidden="1">{"'weekly data'!$A$2:$AS$36"}</definedName>
    <definedName name="foobar2_2_1" hidden="1">{"'weekly data'!$A$2:$AS$36"}</definedName>
    <definedName name="foobar2_2_1_1" localSheetId="5" hidden="1">{"'weekly data'!$A$2:$AS$36"}</definedName>
    <definedName name="foobar2_2_1_1" localSheetId="6" hidden="1">{"'weekly data'!$A$2:$AS$36"}</definedName>
    <definedName name="foobar2_2_1_1" hidden="1">{"'weekly data'!$A$2:$AS$36"}</definedName>
    <definedName name="foobar2_2_2" localSheetId="5" hidden="1">{"'weekly data'!$A$2:$AS$36"}</definedName>
    <definedName name="foobar2_2_2" localSheetId="6" hidden="1">{"'weekly data'!$A$2:$AS$36"}</definedName>
    <definedName name="foobar2_2_2" hidden="1">{"'weekly data'!$A$2:$AS$36"}</definedName>
    <definedName name="foobar2_3" localSheetId="5" hidden="1">{"'weekly data'!$A$2:$AS$36"}</definedName>
    <definedName name="foobar2_3" localSheetId="6" hidden="1">{"'weekly data'!$A$2:$AS$36"}</definedName>
    <definedName name="foobar2_3" hidden="1">{"'weekly data'!$A$2:$AS$36"}</definedName>
    <definedName name="foobar2_3_1" localSheetId="5" hidden="1">{"'weekly data'!$A$2:$AS$36"}</definedName>
    <definedName name="foobar2_3_1" localSheetId="6" hidden="1">{"'weekly data'!$A$2:$AS$36"}</definedName>
    <definedName name="foobar2_3_1" hidden="1">{"'weekly data'!$A$2:$AS$36"}</definedName>
    <definedName name="foobar2_4" localSheetId="5" hidden="1">{"'weekly data'!$A$2:$AS$36"}</definedName>
    <definedName name="foobar2_4" localSheetId="6" hidden="1">{"'weekly data'!$A$2:$AS$36"}</definedName>
    <definedName name="foobar2_4" hidden="1">{"'weekly data'!$A$2:$AS$36"}</definedName>
    <definedName name="foobar3" localSheetId="5" hidden="1">{"'weekly data'!$A$2:$AS$36"}</definedName>
    <definedName name="foobar3" localSheetId="6" hidden="1">{"'weekly data'!$A$2:$AS$36"}</definedName>
    <definedName name="foobar3" hidden="1">{"'weekly data'!$A$2:$AS$36"}</definedName>
    <definedName name="foobar3_1" localSheetId="5" hidden="1">{"'weekly data'!$A$2:$AS$36"}</definedName>
    <definedName name="foobar3_1" localSheetId="6" hidden="1">{"'weekly data'!$A$2:$AS$36"}</definedName>
    <definedName name="foobar3_1" hidden="1">{"'weekly data'!$A$2:$AS$36"}</definedName>
    <definedName name="foobar3_1_1" localSheetId="5" hidden="1">{"'weekly data'!$A$2:$AS$36"}</definedName>
    <definedName name="foobar3_1_1" localSheetId="6" hidden="1">{"'weekly data'!$A$2:$AS$36"}</definedName>
    <definedName name="foobar3_1_1" hidden="1">{"'weekly data'!$A$2:$AS$36"}</definedName>
    <definedName name="foobar3_1_1_1" localSheetId="5" hidden="1">{"'weekly data'!$A$2:$AS$36"}</definedName>
    <definedName name="foobar3_1_1_1" localSheetId="6" hidden="1">{"'weekly data'!$A$2:$AS$36"}</definedName>
    <definedName name="foobar3_1_1_1" hidden="1">{"'weekly data'!$A$2:$AS$36"}</definedName>
    <definedName name="foobar3_1_2" localSheetId="5" hidden="1">{"'weekly data'!$A$2:$AS$36"}</definedName>
    <definedName name="foobar3_1_2" localSheetId="6" hidden="1">{"'weekly data'!$A$2:$AS$36"}</definedName>
    <definedName name="foobar3_1_2" hidden="1">{"'weekly data'!$A$2:$AS$36"}</definedName>
    <definedName name="foobar3_2" localSheetId="5" hidden="1">{"'weekly data'!$A$2:$AS$36"}</definedName>
    <definedName name="foobar3_2" localSheetId="6" hidden="1">{"'weekly data'!$A$2:$AS$36"}</definedName>
    <definedName name="foobar3_2" hidden="1">{"'weekly data'!$A$2:$AS$36"}</definedName>
    <definedName name="foobar3_2_1" localSheetId="5" hidden="1">{"'weekly data'!$A$2:$AS$36"}</definedName>
    <definedName name="foobar3_2_1" localSheetId="6" hidden="1">{"'weekly data'!$A$2:$AS$36"}</definedName>
    <definedName name="foobar3_2_1" hidden="1">{"'weekly data'!$A$2:$AS$36"}</definedName>
    <definedName name="foobar3_2_1_1" localSheetId="5" hidden="1">{"'weekly data'!$A$2:$AS$36"}</definedName>
    <definedName name="foobar3_2_1_1" localSheetId="6" hidden="1">{"'weekly data'!$A$2:$AS$36"}</definedName>
    <definedName name="foobar3_2_1_1" hidden="1">{"'weekly data'!$A$2:$AS$36"}</definedName>
    <definedName name="foobar3_2_2" localSheetId="5" hidden="1">{"'weekly data'!$A$2:$AS$36"}</definedName>
    <definedName name="foobar3_2_2" localSheetId="6" hidden="1">{"'weekly data'!$A$2:$AS$36"}</definedName>
    <definedName name="foobar3_2_2" hidden="1">{"'weekly data'!$A$2:$AS$36"}</definedName>
    <definedName name="foobar3_3" localSheetId="5" hidden="1">{"'weekly data'!$A$2:$AS$36"}</definedName>
    <definedName name="foobar3_3" localSheetId="6" hidden="1">{"'weekly data'!$A$2:$AS$36"}</definedName>
    <definedName name="foobar3_3" hidden="1">{"'weekly data'!$A$2:$AS$36"}</definedName>
    <definedName name="foobar3_3_1" localSheetId="5" hidden="1">{"'weekly data'!$A$2:$AS$36"}</definedName>
    <definedName name="foobar3_3_1" localSheetId="6" hidden="1">{"'weekly data'!$A$2:$AS$36"}</definedName>
    <definedName name="foobar3_3_1" hidden="1">{"'weekly data'!$A$2:$AS$36"}</definedName>
    <definedName name="foobar3_4" localSheetId="5" hidden="1">{"'weekly data'!$A$2:$AS$36"}</definedName>
    <definedName name="foobar3_4" localSheetId="6" hidden="1">{"'weekly data'!$A$2:$AS$36"}</definedName>
    <definedName name="foobar3_4" hidden="1">{"'weekly data'!$A$2:$AS$36"}</definedName>
    <definedName name="foobar4" localSheetId="5" hidden="1">{"'vert'!$A$1:$T$117"}</definedName>
    <definedName name="foobar4" localSheetId="6" hidden="1">{"'vert'!$A$1:$T$117"}</definedName>
    <definedName name="foobar4" hidden="1">{"'vert'!$A$1:$T$117"}</definedName>
    <definedName name="foobar4_1" localSheetId="5" hidden="1">{"'vert'!$A$1:$T$117"}</definedName>
    <definedName name="foobar4_1" localSheetId="6" hidden="1">{"'vert'!$A$1:$T$117"}</definedName>
    <definedName name="foobar4_1" hidden="1">{"'vert'!$A$1:$T$117"}</definedName>
    <definedName name="foobar4_1_1" localSheetId="5" hidden="1">{"'vert'!$A$1:$T$117"}</definedName>
    <definedName name="foobar4_1_1" localSheetId="6" hidden="1">{"'vert'!$A$1:$T$117"}</definedName>
    <definedName name="foobar4_1_1" hidden="1">{"'vert'!$A$1:$T$117"}</definedName>
    <definedName name="foobar4_1_1_1" localSheetId="5" hidden="1">{"'vert'!$A$1:$T$117"}</definedName>
    <definedName name="foobar4_1_1_1" localSheetId="6" hidden="1">{"'vert'!$A$1:$T$117"}</definedName>
    <definedName name="foobar4_1_1_1" hidden="1">{"'vert'!$A$1:$T$117"}</definedName>
    <definedName name="foobar4_1_2" localSheetId="5" hidden="1">{"'vert'!$A$1:$T$117"}</definedName>
    <definedName name="foobar4_1_2" localSheetId="6" hidden="1">{"'vert'!$A$1:$T$117"}</definedName>
    <definedName name="foobar4_1_2" hidden="1">{"'vert'!$A$1:$T$117"}</definedName>
    <definedName name="foobar4_2" localSheetId="5" hidden="1">{"'vert'!$A$1:$T$117"}</definedName>
    <definedName name="foobar4_2" localSheetId="6" hidden="1">{"'vert'!$A$1:$T$117"}</definedName>
    <definedName name="foobar4_2" hidden="1">{"'vert'!$A$1:$T$117"}</definedName>
    <definedName name="foobar4_2_1" localSheetId="5" hidden="1">{"'vert'!$A$1:$T$117"}</definedName>
    <definedName name="foobar4_2_1" localSheetId="6" hidden="1">{"'vert'!$A$1:$T$117"}</definedName>
    <definedName name="foobar4_2_1" hidden="1">{"'vert'!$A$1:$T$117"}</definedName>
    <definedName name="foobar4_2_1_1" localSheetId="5" hidden="1">{"'vert'!$A$1:$T$117"}</definedName>
    <definedName name="foobar4_2_1_1" localSheetId="6" hidden="1">{"'vert'!$A$1:$T$117"}</definedName>
    <definedName name="foobar4_2_1_1" hidden="1">{"'vert'!$A$1:$T$117"}</definedName>
    <definedName name="foobar4_2_2" localSheetId="5" hidden="1">{"'vert'!$A$1:$T$117"}</definedName>
    <definedName name="foobar4_2_2" localSheetId="6" hidden="1">{"'vert'!$A$1:$T$117"}</definedName>
    <definedName name="foobar4_2_2" hidden="1">{"'vert'!$A$1:$T$117"}</definedName>
    <definedName name="foobar4_3" localSheetId="5" hidden="1">{"'vert'!$A$1:$T$117"}</definedName>
    <definedName name="foobar4_3" localSheetId="6" hidden="1">{"'vert'!$A$1:$T$117"}</definedName>
    <definedName name="foobar4_3" hidden="1">{"'vert'!$A$1:$T$117"}</definedName>
    <definedName name="foobar4_3_1" localSheetId="5" hidden="1">{"'vert'!$A$1:$T$117"}</definedName>
    <definedName name="foobar4_3_1" localSheetId="6" hidden="1">{"'vert'!$A$1:$T$117"}</definedName>
    <definedName name="foobar4_3_1" hidden="1">{"'vert'!$A$1:$T$117"}</definedName>
    <definedName name="foobar4_4" localSheetId="5" hidden="1">{"'vert'!$A$1:$T$117"}</definedName>
    <definedName name="foobar4_4" localSheetId="6" hidden="1">{"'vert'!$A$1:$T$117"}</definedName>
    <definedName name="foobar4_4" hidden="1">{"'vert'!$A$1:$T$117"}</definedName>
    <definedName name="ForumPages">[5]Traffic!$A$36:$IV$36</definedName>
    <definedName name="frs" localSheetId="5" hidden="1">{#N/A,#N/A,FALSE,"Sheet1"}</definedName>
    <definedName name="frs" localSheetId="6" hidden="1">{#N/A,#N/A,FALSE,"Sheet1"}</definedName>
    <definedName name="frs" hidden="1">{#N/A,#N/A,FALSE,"Sheet1"}</definedName>
    <definedName name="fsd" localSheetId="5" hidden="1">{#N/A,#N/A,FALSE,"Sheet1"}</definedName>
    <definedName name="fsd" localSheetId="6" hidden="1">{#N/A,#N/A,FALSE,"Sheet1"}</definedName>
    <definedName name="fsd" hidden="1">{#N/A,#N/A,FALSE,"Sheet1"}</definedName>
    <definedName name="fse" localSheetId="5" hidden="1">{#N/A,#N/A,FALSE,"Sheet1"}</definedName>
    <definedName name="fse" localSheetId="6" hidden="1">{#N/A,#N/A,FALSE,"Sheet1"}</definedName>
    <definedName name="fse" hidden="1">{#N/A,#N/A,FALSE,"Sheet1"}</definedName>
    <definedName name="FX">[5]Traffic!$A$6:$IV$6</definedName>
    <definedName name="FX_EUR">[5]Traffic!$A$7:$IV$7</definedName>
    <definedName name="FX_table">[10]Admin!$AF$7:$AG$21</definedName>
    <definedName name="g" localSheetId="5" hidden="1">{"'vert'!$A$1:$T$117"}</definedName>
    <definedName name="g" localSheetId="6" hidden="1">{"'vert'!$A$1:$T$117"}</definedName>
    <definedName name="g" hidden="1">{"'vert'!$A$1:$T$117"}</definedName>
    <definedName name="g_1" localSheetId="5" hidden="1">{"'vert'!$A$1:$T$117"}</definedName>
    <definedName name="g_1" localSheetId="6" hidden="1">{"'vert'!$A$1:$T$117"}</definedName>
    <definedName name="g_1" hidden="1">{"'vert'!$A$1:$T$117"}</definedName>
    <definedName name="g_1_1" localSheetId="5" hidden="1">{"'vert'!$A$1:$T$117"}</definedName>
    <definedName name="g_1_1" localSheetId="6" hidden="1">{"'vert'!$A$1:$T$117"}</definedName>
    <definedName name="g_1_1" hidden="1">{"'vert'!$A$1:$T$117"}</definedName>
    <definedName name="g_1_1_1" localSheetId="5" hidden="1">{"'vert'!$A$1:$T$117"}</definedName>
    <definedName name="g_1_1_1" localSheetId="6" hidden="1">{"'vert'!$A$1:$T$117"}</definedName>
    <definedName name="g_1_1_1" hidden="1">{"'vert'!$A$1:$T$117"}</definedName>
    <definedName name="g_1_2" localSheetId="5" hidden="1">{"'vert'!$A$1:$T$117"}</definedName>
    <definedName name="g_1_2" localSheetId="6" hidden="1">{"'vert'!$A$1:$T$117"}</definedName>
    <definedName name="g_1_2" hidden="1">{"'vert'!$A$1:$T$117"}</definedName>
    <definedName name="g_2" localSheetId="5" hidden="1">{"'vert'!$A$1:$T$117"}</definedName>
    <definedName name="g_2" localSheetId="6" hidden="1">{"'vert'!$A$1:$T$117"}</definedName>
    <definedName name="g_2" hidden="1">{"'vert'!$A$1:$T$117"}</definedName>
    <definedName name="g_2_1" localSheetId="5" hidden="1">{"'vert'!$A$1:$T$117"}</definedName>
    <definedName name="g_2_1" localSheetId="6" hidden="1">{"'vert'!$A$1:$T$117"}</definedName>
    <definedName name="g_2_1" hidden="1">{"'vert'!$A$1:$T$117"}</definedName>
    <definedName name="g_2_1_1" localSheetId="5" hidden="1">{"'vert'!$A$1:$T$117"}</definedName>
    <definedName name="g_2_1_1" localSheetId="6" hidden="1">{"'vert'!$A$1:$T$117"}</definedName>
    <definedName name="g_2_1_1" hidden="1">{"'vert'!$A$1:$T$117"}</definedName>
    <definedName name="g_2_2" localSheetId="5" hidden="1">{"'vert'!$A$1:$T$117"}</definedName>
    <definedName name="g_2_2" localSheetId="6" hidden="1">{"'vert'!$A$1:$T$117"}</definedName>
    <definedName name="g_2_2" hidden="1">{"'vert'!$A$1:$T$117"}</definedName>
    <definedName name="g_3" localSheetId="5" hidden="1">{"'vert'!$A$1:$T$117"}</definedName>
    <definedName name="g_3" localSheetId="6" hidden="1">{"'vert'!$A$1:$T$117"}</definedName>
    <definedName name="g_3" hidden="1">{"'vert'!$A$1:$T$117"}</definedName>
    <definedName name="g_3_1" localSheetId="5" hidden="1">{"'vert'!$A$1:$T$117"}</definedName>
    <definedName name="g_3_1" localSheetId="6" hidden="1">{"'vert'!$A$1:$T$117"}</definedName>
    <definedName name="g_3_1" hidden="1">{"'vert'!$A$1:$T$117"}</definedName>
    <definedName name="g_4" localSheetId="5" hidden="1">{"'vert'!$A$1:$T$117"}</definedName>
    <definedName name="g_4" localSheetId="6" hidden="1">{"'vert'!$A$1:$T$117"}</definedName>
    <definedName name="g_4" hidden="1">{"'vert'!$A$1:$T$117"}</definedName>
    <definedName name="GalleryPages">[5]Traffic!$A$20:$IV$20</definedName>
    <definedName name="gasagag_1" localSheetId="5" hidden="1">{"'vert'!$A$1:$T$117"}</definedName>
    <definedName name="gasagag_1" localSheetId="6" hidden="1">{"'vert'!$A$1:$T$117"}</definedName>
    <definedName name="gasagag_1" hidden="1">{"'vert'!$A$1:$T$117"}</definedName>
    <definedName name="gasagag_1_1" localSheetId="5" hidden="1">{"'vert'!$A$1:$T$117"}</definedName>
    <definedName name="gasagag_1_1" localSheetId="6" hidden="1">{"'vert'!$A$1:$T$117"}</definedName>
    <definedName name="gasagag_1_1" hidden="1">{"'vert'!$A$1:$T$117"}</definedName>
    <definedName name="gasagag_1_2" localSheetId="5" hidden="1">{"'vert'!$A$1:$T$117"}</definedName>
    <definedName name="gasagag_1_2" localSheetId="6" hidden="1">{"'vert'!$A$1:$T$117"}</definedName>
    <definedName name="gasagag_1_2" hidden="1">{"'vert'!$A$1:$T$117"}</definedName>
    <definedName name="gasagag_2" localSheetId="5" hidden="1">{"'vert'!$A$1:$T$117"}</definedName>
    <definedName name="gasagag_2" localSheetId="6" hidden="1">{"'vert'!$A$1:$T$117"}</definedName>
    <definedName name="gasagag_2" hidden="1">{"'vert'!$A$1:$T$117"}</definedName>
    <definedName name="gasagag_3" localSheetId="5" hidden="1">{"'vert'!$A$1:$T$117"}</definedName>
    <definedName name="gasagag_3" localSheetId="6" hidden="1">{"'vert'!$A$1:$T$117"}</definedName>
    <definedName name="gasagag_3" hidden="1">{"'vert'!$A$1:$T$117"}</definedName>
    <definedName name="GatewayPages">[5]Traffic!$A$19:$IV$19</definedName>
    <definedName name="GBP">[10]Admin!$AG$9</definedName>
    <definedName name="GBP_to_USD">[25]FX!$B$1</definedName>
    <definedName name="gfd" localSheetId="5" hidden="1">{"FCB_ALL",#N/A,FALSE,"FCB";"GREY_ALL",#N/A,FALSE,"GREY"}</definedName>
    <definedName name="gfd" localSheetId="6" hidden="1">{"FCB_ALL",#N/A,FALSE,"FCB";"GREY_ALL",#N/A,FALSE,"GREY"}</definedName>
    <definedName name="gfd" hidden="1">{"FCB_ALL",#N/A,FALSE,"FCB";"GREY_ALL",#N/A,FALSE,"GREY"}</definedName>
    <definedName name="ghjgh" localSheetId="5" hidden="1">{"'vert'!$A$1:$T$117"}</definedName>
    <definedName name="ghjgh" localSheetId="6" hidden="1">{"'vert'!$A$1:$T$117"}</definedName>
    <definedName name="ghjgh" hidden="1">{"'vert'!$A$1:$T$117"}</definedName>
    <definedName name="GMS_Band">'[12]3P GMS YTD MS'!$AA$2:$AA$1048576</definedName>
    <definedName name="gms_ttm">'[12]3P GMS YTD MS'!$E$2:$E$1048576</definedName>
    <definedName name="grap" hidden="1">#REF!</definedName>
    <definedName name="grapa" hidden="1">#REF!</definedName>
    <definedName name="gre" localSheetId="5" hidden="1">{"'vert'!$A$1:$T$117"}</definedName>
    <definedName name="gre" localSheetId="6" hidden="1">{"'vert'!$A$1:$T$117"}</definedName>
    <definedName name="gre" hidden="1">{"'vert'!$A$1:$T$117"}</definedName>
    <definedName name="gre_1" localSheetId="5" hidden="1">{"'vert'!$A$1:$T$117"}</definedName>
    <definedName name="gre_1" localSheetId="6" hidden="1">{"'vert'!$A$1:$T$117"}</definedName>
    <definedName name="gre_1" hidden="1">{"'vert'!$A$1:$T$117"}</definedName>
    <definedName name="gre_1_1" localSheetId="5" hidden="1">{"'vert'!$A$1:$T$117"}</definedName>
    <definedName name="gre_1_1" localSheetId="6" hidden="1">{"'vert'!$A$1:$T$117"}</definedName>
    <definedName name="gre_1_1" hidden="1">{"'vert'!$A$1:$T$117"}</definedName>
    <definedName name="gre_1_2" localSheetId="5" hidden="1">{"'vert'!$A$1:$T$117"}</definedName>
    <definedName name="gre_1_2" localSheetId="6" hidden="1">{"'vert'!$A$1:$T$117"}</definedName>
    <definedName name="gre_1_2" hidden="1">{"'vert'!$A$1:$T$117"}</definedName>
    <definedName name="gre_2" localSheetId="5" hidden="1">{"'vert'!$A$1:$T$117"}</definedName>
    <definedName name="gre_2" localSheetId="6" hidden="1">{"'vert'!$A$1:$T$117"}</definedName>
    <definedName name="gre_2" hidden="1">{"'vert'!$A$1:$T$117"}</definedName>
    <definedName name="gre_3" localSheetId="5" hidden="1">{"'vert'!$A$1:$T$117"}</definedName>
    <definedName name="gre_3" localSheetId="6" hidden="1">{"'vert'!$A$1:$T$117"}</definedName>
    <definedName name="gre_3" hidden="1">{"'vert'!$A$1:$T$117"}</definedName>
    <definedName name="H" localSheetId="5">{"'vert'!$A$1:$T$117"}</definedName>
    <definedName name="H" localSheetId="6">{"'vert'!$A$1:$T$117"}</definedName>
    <definedName name="H">{"'vert'!$A$1:$T$117"}</definedName>
    <definedName name="h_1" localSheetId="5" hidden="1">{"'vert'!$A$1:$T$117"}</definedName>
    <definedName name="h_1" localSheetId="6" hidden="1">{"'vert'!$A$1:$T$117"}</definedName>
    <definedName name="h_1" hidden="1">{"'vert'!$A$1:$T$117"}</definedName>
    <definedName name="h_1_1" localSheetId="5" hidden="1">{"'vert'!$A$1:$T$117"}</definedName>
    <definedName name="h_1_1" localSheetId="6" hidden="1">{"'vert'!$A$1:$T$117"}</definedName>
    <definedName name="h_1_1" hidden="1">{"'vert'!$A$1:$T$117"}</definedName>
    <definedName name="h_1_2" localSheetId="5" hidden="1">{"'vert'!$A$1:$T$117"}</definedName>
    <definedName name="h_1_2" localSheetId="6" hidden="1">{"'vert'!$A$1:$T$117"}</definedName>
    <definedName name="h_1_2" hidden="1">{"'vert'!$A$1:$T$117"}</definedName>
    <definedName name="h_2" localSheetId="5" hidden="1">{"'vert'!$A$1:$T$117"}</definedName>
    <definedName name="h_2" localSheetId="6" hidden="1">{"'vert'!$A$1:$T$117"}</definedName>
    <definedName name="h_2" hidden="1">{"'vert'!$A$1:$T$117"}</definedName>
    <definedName name="h_3" localSheetId="5" hidden="1">{"'vert'!$A$1:$T$117"}</definedName>
    <definedName name="h_3" localSheetId="6" hidden="1">{"'vert'!$A$1:$T$117"}</definedName>
    <definedName name="h_3" hidden="1">{"'vert'!$A$1:$T$117"}</definedName>
    <definedName name="hack" localSheetId="5" hidden="1">{"'weekly data'!$A$2:$AS$36"}</definedName>
    <definedName name="hack" localSheetId="6" hidden="1">{"'weekly data'!$A$2:$AS$36"}</definedName>
    <definedName name="hack" hidden="1">{"'weekly data'!$A$2:$AS$36"}</definedName>
    <definedName name="hack_1" localSheetId="5" hidden="1">{"'weekly data'!$A$2:$AS$36"}</definedName>
    <definedName name="hack_1" localSheetId="6" hidden="1">{"'weekly data'!$A$2:$AS$36"}</definedName>
    <definedName name="hack_1" hidden="1">{"'weekly data'!$A$2:$AS$36"}</definedName>
    <definedName name="hack_1_1" localSheetId="5" hidden="1">{"'weekly data'!$A$2:$AS$36"}</definedName>
    <definedName name="hack_1_1" localSheetId="6" hidden="1">{"'weekly data'!$A$2:$AS$36"}</definedName>
    <definedName name="hack_1_1" hidden="1">{"'weekly data'!$A$2:$AS$36"}</definedName>
    <definedName name="hack_1_1_1" localSheetId="5" hidden="1">{"'weekly data'!$A$2:$AS$36"}</definedName>
    <definedName name="hack_1_1_1" localSheetId="6" hidden="1">{"'weekly data'!$A$2:$AS$36"}</definedName>
    <definedName name="hack_1_1_1" hidden="1">{"'weekly data'!$A$2:$AS$36"}</definedName>
    <definedName name="hack_1_2" localSheetId="5" hidden="1">{"'weekly data'!$A$2:$AS$36"}</definedName>
    <definedName name="hack_1_2" localSheetId="6" hidden="1">{"'weekly data'!$A$2:$AS$36"}</definedName>
    <definedName name="hack_1_2" hidden="1">{"'weekly data'!$A$2:$AS$36"}</definedName>
    <definedName name="hack_2" localSheetId="5" hidden="1">{"'weekly data'!$A$2:$AS$36"}</definedName>
    <definedName name="hack_2" localSheetId="6" hidden="1">{"'weekly data'!$A$2:$AS$36"}</definedName>
    <definedName name="hack_2" hidden="1">{"'weekly data'!$A$2:$AS$36"}</definedName>
    <definedName name="hack_2_1" localSheetId="5" hidden="1">{"'weekly data'!$A$2:$AS$36"}</definedName>
    <definedName name="hack_2_1" localSheetId="6" hidden="1">{"'weekly data'!$A$2:$AS$36"}</definedName>
    <definedName name="hack_2_1" hidden="1">{"'weekly data'!$A$2:$AS$36"}</definedName>
    <definedName name="hack_2_1_1" localSheetId="5" hidden="1">{"'weekly data'!$A$2:$AS$36"}</definedName>
    <definedName name="hack_2_1_1" localSheetId="6" hidden="1">{"'weekly data'!$A$2:$AS$36"}</definedName>
    <definedName name="hack_2_1_1" hidden="1">{"'weekly data'!$A$2:$AS$36"}</definedName>
    <definedName name="hack_2_2" localSheetId="5" hidden="1">{"'weekly data'!$A$2:$AS$36"}</definedName>
    <definedName name="hack_2_2" localSheetId="6" hidden="1">{"'weekly data'!$A$2:$AS$36"}</definedName>
    <definedName name="hack_2_2" hidden="1">{"'weekly data'!$A$2:$AS$36"}</definedName>
    <definedName name="hack_3" localSheetId="5" hidden="1">{"'weekly data'!$A$2:$AS$36"}</definedName>
    <definedName name="hack_3" localSheetId="6" hidden="1">{"'weekly data'!$A$2:$AS$36"}</definedName>
    <definedName name="hack_3" hidden="1">{"'weekly data'!$A$2:$AS$36"}</definedName>
    <definedName name="hack_3_1" localSheetId="5" hidden="1">{"'weekly data'!$A$2:$AS$36"}</definedName>
    <definedName name="hack_3_1" localSheetId="6" hidden="1">{"'weekly data'!$A$2:$AS$36"}</definedName>
    <definedName name="hack_3_1" hidden="1">{"'weekly data'!$A$2:$AS$36"}</definedName>
    <definedName name="hack_4" localSheetId="5" hidden="1">{"'weekly data'!$A$2:$AS$36"}</definedName>
    <definedName name="hack_4" localSheetId="6" hidden="1">{"'weekly data'!$A$2:$AS$36"}</definedName>
    <definedName name="hack_4" hidden="1">{"'weekly data'!$A$2:$AS$36"}</definedName>
    <definedName name="helmut" localSheetId="5" hidden="1">{"'vert'!$A$1:$T$117"}</definedName>
    <definedName name="helmut" localSheetId="6" hidden="1">{"'vert'!$A$1:$T$117"}</definedName>
    <definedName name="helmut" hidden="1">{"'vert'!$A$1:$T$117"}</definedName>
    <definedName name="helmut_1" localSheetId="5" hidden="1">{"'vert'!$A$1:$T$117"}</definedName>
    <definedName name="helmut_1" localSheetId="6" hidden="1">{"'vert'!$A$1:$T$117"}</definedName>
    <definedName name="helmut_1" hidden="1">{"'vert'!$A$1:$T$117"}</definedName>
    <definedName name="helmut_1_1" localSheetId="5" hidden="1">{"'vert'!$A$1:$T$117"}</definedName>
    <definedName name="helmut_1_1" localSheetId="6" hidden="1">{"'vert'!$A$1:$T$117"}</definedName>
    <definedName name="helmut_1_1" hidden="1">{"'vert'!$A$1:$T$117"}</definedName>
    <definedName name="helmut_1_1_1" localSheetId="5" hidden="1">{"'vert'!$A$1:$T$117"}</definedName>
    <definedName name="helmut_1_1_1" localSheetId="6" hidden="1">{"'vert'!$A$1:$T$117"}</definedName>
    <definedName name="helmut_1_1_1" hidden="1">{"'vert'!$A$1:$T$117"}</definedName>
    <definedName name="helmut_1_2" localSheetId="5" hidden="1">{"'vert'!$A$1:$T$117"}</definedName>
    <definedName name="helmut_1_2" localSheetId="6" hidden="1">{"'vert'!$A$1:$T$117"}</definedName>
    <definedName name="helmut_1_2" hidden="1">{"'vert'!$A$1:$T$117"}</definedName>
    <definedName name="helmut_2" localSheetId="5" hidden="1">{"'vert'!$A$1:$T$117"}</definedName>
    <definedName name="helmut_2" localSheetId="6" hidden="1">{"'vert'!$A$1:$T$117"}</definedName>
    <definedName name="helmut_2" hidden="1">{"'vert'!$A$1:$T$117"}</definedName>
    <definedName name="helmut_2_1" localSheetId="5" hidden="1">{"'vert'!$A$1:$T$117"}</definedName>
    <definedName name="helmut_2_1" localSheetId="6" hidden="1">{"'vert'!$A$1:$T$117"}</definedName>
    <definedName name="helmut_2_1" hidden="1">{"'vert'!$A$1:$T$117"}</definedName>
    <definedName name="helmut_2_1_1" localSheetId="5" hidden="1">{"'vert'!$A$1:$T$117"}</definedName>
    <definedName name="helmut_2_1_1" localSheetId="6" hidden="1">{"'vert'!$A$1:$T$117"}</definedName>
    <definedName name="helmut_2_1_1" hidden="1">{"'vert'!$A$1:$T$117"}</definedName>
    <definedName name="helmut_2_2" localSheetId="5" hidden="1">{"'vert'!$A$1:$T$117"}</definedName>
    <definedName name="helmut_2_2" localSheetId="6" hidden="1">{"'vert'!$A$1:$T$117"}</definedName>
    <definedName name="helmut_2_2" hidden="1">{"'vert'!$A$1:$T$117"}</definedName>
    <definedName name="helmut_3" localSheetId="5" hidden="1">{"'vert'!$A$1:$T$117"}</definedName>
    <definedName name="helmut_3" localSheetId="6" hidden="1">{"'vert'!$A$1:$T$117"}</definedName>
    <definedName name="helmut_3" hidden="1">{"'vert'!$A$1:$T$117"}</definedName>
    <definedName name="helmut_3_1" localSheetId="5" hidden="1">{"'vert'!$A$1:$T$117"}</definedName>
    <definedName name="helmut_3_1" localSheetId="6" hidden="1">{"'vert'!$A$1:$T$117"}</definedName>
    <definedName name="helmut_3_1" hidden="1">{"'vert'!$A$1:$T$117"}</definedName>
    <definedName name="helmut_4" localSheetId="5" hidden="1">{"'vert'!$A$1:$T$117"}</definedName>
    <definedName name="helmut_4" localSheetId="6" hidden="1">{"'vert'!$A$1:$T$117"}</definedName>
    <definedName name="helmut_4" hidden="1">{"'vert'!$A$1:$T$117"}</definedName>
    <definedName name="help" localSheetId="5" hidden="1">{"'vert'!$A$1:$T$117"}</definedName>
    <definedName name="help" localSheetId="6" hidden="1">{"'vert'!$A$1:$T$117"}</definedName>
    <definedName name="help" hidden="1">{"'vert'!$A$1:$T$117"}</definedName>
    <definedName name="help_1" localSheetId="5" hidden="1">{"'vert'!$A$1:$T$117"}</definedName>
    <definedName name="help_1" localSheetId="6" hidden="1">{"'vert'!$A$1:$T$117"}</definedName>
    <definedName name="help_1" hidden="1">{"'vert'!$A$1:$T$117"}</definedName>
    <definedName name="help_1_1" localSheetId="5" hidden="1">{"'vert'!$A$1:$T$117"}</definedName>
    <definedName name="help_1_1" localSheetId="6" hidden="1">{"'vert'!$A$1:$T$117"}</definedName>
    <definedName name="help_1_1" hidden="1">{"'vert'!$A$1:$T$117"}</definedName>
    <definedName name="help_1_1_1" localSheetId="5" hidden="1">{"'vert'!$A$1:$T$117"}</definedName>
    <definedName name="help_1_1_1" localSheetId="6" hidden="1">{"'vert'!$A$1:$T$117"}</definedName>
    <definedName name="help_1_1_1" hidden="1">{"'vert'!$A$1:$T$117"}</definedName>
    <definedName name="help_1_2" localSheetId="5" hidden="1">{"'vert'!$A$1:$T$117"}</definedName>
    <definedName name="help_1_2" localSheetId="6" hidden="1">{"'vert'!$A$1:$T$117"}</definedName>
    <definedName name="help_1_2" hidden="1">{"'vert'!$A$1:$T$117"}</definedName>
    <definedName name="help_2" localSheetId="5" hidden="1">{"'vert'!$A$1:$T$117"}</definedName>
    <definedName name="help_2" localSheetId="6" hidden="1">{"'vert'!$A$1:$T$117"}</definedName>
    <definedName name="help_2" hidden="1">{"'vert'!$A$1:$T$117"}</definedName>
    <definedName name="help_2_1" localSheetId="5" hidden="1">{"'vert'!$A$1:$T$117"}</definedName>
    <definedName name="help_2_1" localSheetId="6" hidden="1">{"'vert'!$A$1:$T$117"}</definedName>
    <definedName name="help_2_1" hidden="1">{"'vert'!$A$1:$T$117"}</definedName>
    <definedName name="help_2_1_1" localSheetId="5" hidden="1">{"'vert'!$A$1:$T$117"}</definedName>
    <definedName name="help_2_1_1" localSheetId="6" hidden="1">{"'vert'!$A$1:$T$117"}</definedName>
    <definedName name="help_2_1_1" hidden="1">{"'vert'!$A$1:$T$117"}</definedName>
    <definedName name="help_2_2" localSheetId="5" hidden="1">{"'vert'!$A$1:$T$117"}</definedName>
    <definedName name="help_2_2" localSheetId="6" hidden="1">{"'vert'!$A$1:$T$117"}</definedName>
    <definedName name="help_2_2" hidden="1">{"'vert'!$A$1:$T$117"}</definedName>
    <definedName name="help_3" localSheetId="5" hidden="1">{"'vert'!$A$1:$T$117"}</definedName>
    <definedName name="help_3" localSheetId="6" hidden="1">{"'vert'!$A$1:$T$117"}</definedName>
    <definedName name="help_3" hidden="1">{"'vert'!$A$1:$T$117"}</definedName>
    <definedName name="help_3_1" localSheetId="5" hidden="1">{"'vert'!$A$1:$T$117"}</definedName>
    <definedName name="help_3_1" localSheetId="6" hidden="1">{"'vert'!$A$1:$T$117"}</definedName>
    <definedName name="help_3_1" hidden="1">{"'vert'!$A$1:$T$117"}</definedName>
    <definedName name="help_4" localSheetId="5" hidden="1">{"'vert'!$A$1:$T$117"}</definedName>
    <definedName name="help_4" localSheetId="6" hidden="1">{"'vert'!$A$1:$T$117"}</definedName>
    <definedName name="help_4" hidden="1">{"'vert'!$A$1:$T$117"}</definedName>
    <definedName name="hh" localSheetId="5" hidden="1">{#N/A,#N/A,FALSE,"Sheet1"}</definedName>
    <definedName name="hh" localSheetId="6" hidden="1">{#N/A,#N/A,FALSE,"Sheet1"}</definedName>
    <definedName name="hh" hidden="1">{#N/A,#N/A,FALSE,"Sheet1"}</definedName>
    <definedName name="hhh" localSheetId="5" hidden="1">{"FCB_ALL",#N/A,FALSE,"FCB"}</definedName>
    <definedName name="hhh" localSheetId="6" hidden="1">{"FCB_ALL",#N/A,FALSE,"FCB"}</definedName>
    <definedName name="hhh" hidden="1">{"FCB_ALL",#N/A,FALSE,"FCB"}</definedName>
    <definedName name="hhhhh" localSheetId="5" hidden="1">{"'vert'!$A$1:$T$117"}</definedName>
    <definedName name="hhhhh" localSheetId="6" hidden="1">{"'vert'!$A$1:$T$117"}</definedName>
    <definedName name="hhhhh" hidden="1">{"'vert'!$A$1:$T$117"}</definedName>
    <definedName name="hhhhh_1" localSheetId="5" hidden="1">{"'vert'!$A$1:$T$117"}</definedName>
    <definedName name="hhhhh_1" localSheetId="6" hidden="1">{"'vert'!$A$1:$T$117"}</definedName>
    <definedName name="hhhhh_1" hidden="1">{"'vert'!$A$1:$T$117"}</definedName>
    <definedName name="hhhhh_1_1" localSheetId="5" hidden="1">{"'vert'!$A$1:$T$117"}</definedName>
    <definedName name="hhhhh_1_1" localSheetId="6" hidden="1">{"'vert'!$A$1:$T$117"}</definedName>
    <definedName name="hhhhh_1_1" hidden="1">{"'vert'!$A$1:$T$117"}</definedName>
    <definedName name="hhhhh_1_1_1" localSheetId="5" hidden="1">{"'vert'!$A$1:$T$117"}</definedName>
    <definedName name="hhhhh_1_1_1" localSheetId="6" hidden="1">{"'vert'!$A$1:$T$117"}</definedName>
    <definedName name="hhhhh_1_1_1" hidden="1">{"'vert'!$A$1:$T$117"}</definedName>
    <definedName name="hhhhh_1_2" localSheetId="5" hidden="1">{"'vert'!$A$1:$T$117"}</definedName>
    <definedName name="hhhhh_1_2" localSheetId="6" hidden="1">{"'vert'!$A$1:$T$117"}</definedName>
    <definedName name="hhhhh_1_2" hidden="1">{"'vert'!$A$1:$T$117"}</definedName>
    <definedName name="hhhhh_2" localSheetId="5" hidden="1">{"'vert'!$A$1:$T$117"}</definedName>
    <definedName name="hhhhh_2" localSheetId="6" hidden="1">{"'vert'!$A$1:$T$117"}</definedName>
    <definedName name="hhhhh_2" hidden="1">{"'vert'!$A$1:$T$117"}</definedName>
    <definedName name="hhhhh_2_1" localSheetId="5" hidden="1">{"'vert'!$A$1:$T$117"}</definedName>
    <definedName name="hhhhh_2_1" localSheetId="6" hidden="1">{"'vert'!$A$1:$T$117"}</definedName>
    <definedName name="hhhhh_2_1" hidden="1">{"'vert'!$A$1:$T$117"}</definedName>
    <definedName name="hhhhh_2_1_1" localSheetId="5" hidden="1">{"'vert'!$A$1:$T$117"}</definedName>
    <definedName name="hhhhh_2_1_1" localSheetId="6" hidden="1">{"'vert'!$A$1:$T$117"}</definedName>
    <definedName name="hhhhh_2_1_1" hidden="1">{"'vert'!$A$1:$T$117"}</definedName>
    <definedName name="hhhhh_2_2" localSheetId="5" hidden="1">{"'vert'!$A$1:$T$117"}</definedName>
    <definedName name="hhhhh_2_2" localSheetId="6" hidden="1">{"'vert'!$A$1:$T$117"}</definedName>
    <definedName name="hhhhh_2_2" hidden="1">{"'vert'!$A$1:$T$117"}</definedName>
    <definedName name="hhhhh_3" localSheetId="5" hidden="1">{"'vert'!$A$1:$T$117"}</definedName>
    <definedName name="hhhhh_3" localSheetId="6" hidden="1">{"'vert'!$A$1:$T$117"}</definedName>
    <definedName name="hhhhh_3" hidden="1">{"'vert'!$A$1:$T$117"}</definedName>
    <definedName name="hhhhh_3_1" localSheetId="5" hidden="1">{"'vert'!$A$1:$T$117"}</definedName>
    <definedName name="hhhhh_3_1" localSheetId="6" hidden="1">{"'vert'!$A$1:$T$117"}</definedName>
    <definedName name="hhhhh_3_1" hidden="1">{"'vert'!$A$1:$T$117"}</definedName>
    <definedName name="hhhhh_4" localSheetId="5" hidden="1">{"'vert'!$A$1:$T$117"}</definedName>
    <definedName name="hhhhh_4" localSheetId="6" hidden="1">{"'vert'!$A$1:$T$117"}</definedName>
    <definedName name="hhhhh_4" hidden="1">{"'vert'!$A$1:$T$117"}</definedName>
    <definedName name="hiuyuyoyi" localSheetId="5" hidden="1">{"'vert'!$A$1:$T$117"}</definedName>
    <definedName name="hiuyuyoyi" localSheetId="6" hidden="1">{"'vert'!$A$1:$T$117"}</definedName>
    <definedName name="hiuyuyoyi" hidden="1">{"'vert'!$A$1:$T$117"}</definedName>
    <definedName name="HLOOKUP_TABLE">[31]Admin!$L$3:$O$19</definedName>
    <definedName name="Home">"Home"</definedName>
    <definedName name="htm" localSheetId="5" hidden="1">{"'vert'!$A$1:$T$117"}</definedName>
    <definedName name="htm" localSheetId="6" hidden="1">{"'vert'!$A$1:$T$117"}</definedName>
    <definedName name="htm" hidden="1">{"'vert'!$A$1:$T$117"}</definedName>
    <definedName name="htm_1" localSheetId="5" hidden="1">{"'vert'!$A$1:$T$117"}</definedName>
    <definedName name="htm_1" localSheetId="6" hidden="1">{"'vert'!$A$1:$T$117"}</definedName>
    <definedName name="htm_1" hidden="1">{"'vert'!$A$1:$T$117"}</definedName>
    <definedName name="htm_1_1" localSheetId="5" hidden="1">{"'vert'!$A$1:$T$117"}</definedName>
    <definedName name="htm_1_1" localSheetId="6" hidden="1">{"'vert'!$A$1:$T$117"}</definedName>
    <definedName name="htm_1_1" hidden="1">{"'vert'!$A$1:$T$117"}</definedName>
    <definedName name="htm_1_1_1" localSheetId="5" hidden="1">{"'vert'!$A$1:$T$117"}</definedName>
    <definedName name="htm_1_1_1" localSheetId="6" hidden="1">{"'vert'!$A$1:$T$117"}</definedName>
    <definedName name="htm_1_1_1" hidden="1">{"'vert'!$A$1:$T$117"}</definedName>
    <definedName name="htm_1_2" localSheetId="5" hidden="1">{"'vert'!$A$1:$T$117"}</definedName>
    <definedName name="htm_1_2" localSheetId="6" hidden="1">{"'vert'!$A$1:$T$117"}</definedName>
    <definedName name="htm_1_2" hidden="1">{"'vert'!$A$1:$T$117"}</definedName>
    <definedName name="htm_2" localSheetId="5" hidden="1">{"'vert'!$A$1:$T$117"}</definedName>
    <definedName name="htm_2" localSheetId="6" hidden="1">{"'vert'!$A$1:$T$117"}</definedName>
    <definedName name="htm_2" hidden="1">{"'vert'!$A$1:$T$117"}</definedName>
    <definedName name="htm_2_1" localSheetId="5" hidden="1">{"'vert'!$A$1:$T$117"}</definedName>
    <definedName name="htm_2_1" localSheetId="6" hidden="1">{"'vert'!$A$1:$T$117"}</definedName>
    <definedName name="htm_2_1" hidden="1">{"'vert'!$A$1:$T$117"}</definedName>
    <definedName name="htm_2_1_1" localSheetId="5" hidden="1">{"'vert'!$A$1:$T$117"}</definedName>
    <definedName name="htm_2_1_1" localSheetId="6" hidden="1">{"'vert'!$A$1:$T$117"}</definedName>
    <definedName name="htm_2_1_1" hidden="1">{"'vert'!$A$1:$T$117"}</definedName>
    <definedName name="htm_2_2" localSheetId="5" hidden="1">{"'vert'!$A$1:$T$117"}</definedName>
    <definedName name="htm_2_2" localSheetId="6" hidden="1">{"'vert'!$A$1:$T$117"}</definedName>
    <definedName name="htm_2_2" hidden="1">{"'vert'!$A$1:$T$117"}</definedName>
    <definedName name="htm_3" localSheetId="5" hidden="1">{"'vert'!$A$1:$T$117"}</definedName>
    <definedName name="htm_3" localSheetId="6" hidden="1">{"'vert'!$A$1:$T$117"}</definedName>
    <definedName name="htm_3" hidden="1">{"'vert'!$A$1:$T$117"}</definedName>
    <definedName name="htm_3_1" localSheetId="5" hidden="1">{"'vert'!$A$1:$T$117"}</definedName>
    <definedName name="htm_3_1" localSheetId="6" hidden="1">{"'vert'!$A$1:$T$117"}</definedName>
    <definedName name="htm_3_1" hidden="1">{"'vert'!$A$1:$T$117"}</definedName>
    <definedName name="htm_4" localSheetId="5" hidden="1">{"'vert'!$A$1:$T$117"}</definedName>
    <definedName name="htm_4" localSheetId="6" hidden="1">{"'vert'!$A$1:$T$117"}</definedName>
    <definedName name="htm_4" hidden="1">{"'vert'!$A$1:$T$117"}</definedName>
    <definedName name="HTML_CodePage" hidden="1">1252</definedName>
    <definedName name="HTML_Cont" localSheetId="5" hidden="1">{"'vert'!$A$1:$T$117"}</definedName>
    <definedName name="HTML_Cont" localSheetId="6" hidden="1">{"'vert'!$A$1:$T$117"}</definedName>
    <definedName name="HTML_Cont" hidden="1">{"'vert'!$A$1:$T$117"}</definedName>
    <definedName name="HTML_Cont_1" localSheetId="5" hidden="1">{"'vert'!$A$1:$T$117"}</definedName>
    <definedName name="HTML_Cont_1" localSheetId="6" hidden="1">{"'vert'!$A$1:$T$117"}</definedName>
    <definedName name="HTML_Cont_1" hidden="1">{"'vert'!$A$1:$T$117"}</definedName>
    <definedName name="HTML_Cont_1_1" localSheetId="5" hidden="1">{"'vert'!$A$1:$T$117"}</definedName>
    <definedName name="HTML_Cont_1_1" localSheetId="6" hidden="1">{"'vert'!$A$1:$T$117"}</definedName>
    <definedName name="HTML_Cont_1_1" hidden="1">{"'vert'!$A$1:$T$117"}</definedName>
    <definedName name="HTML_Cont_1_1_1" localSheetId="5" hidden="1">{"'vert'!$A$1:$T$117"}</definedName>
    <definedName name="HTML_Cont_1_1_1" localSheetId="6" hidden="1">{"'vert'!$A$1:$T$117"}</definedName>
    <definedName name="HTML_Cont_1_1_1" hidden="1">{"'vert'!$A$1:$T$117"}</definedName>
    <definedName name="HTML_Cont_1_1_1_1" localSheetId="5" hidden="1">{"'vert'!$A$1:$T$117"}</definedName>
    <definedName name="HTML_Cont_1_1_1_1" localSheetId="6" hidden="1">{"'vert'!$A$1:$T$117"}</definedName>
    <definedName name="HTML_Cont_1_1_1_1" hidden="1">{"'vert'!$A$1:$T$117"}</definedName>
    <definedName name="HTML_Cont_1_1_2" localSheetId="5" hidden="1">{"'vert'!$A$1:$T$117"}</definedName>
    <definedName name="HTML_Cont_1_1_2" localSheetId="6" hidden="1">{"'vert'!$A$1:$T$117"}</definedName>
    <definedName name="HTML_Cont_1_1_2" hidden="1">{"'vert'!$A$1:$T$117"}</definedName>
    <definedName name="HTML_Cont_1_2" localSheetId="5" hidden="1">{"'vert'!$A$1:$T$117"}</definedName>
    <definedName name="HTML_Cont_1_2" localSheetId="6" hidden="1">{"'vert'!$A$1:$T$117"}</definedName>
    <definedName name="HTML_Cont_1_2" hidden="1">{"'vert'!$A$1:$T$117"}</definedName>
    <definedName name="HTML_Cont_1_2_1" localSheetId="5" hidden="1">{"'vert'!$A$1:$T$117"}</definedName>
    <definedName name="HTML_Cont_1_2_1" localSheetId="6" hidden="1">{"'vert'!$A$1:$T$117"}</definedName>
    <definedName name="HTML_Cont_1_2_1" hidden="1">{"'vert'!$A$1:$T$117"}</definedName>
    <definedName name="HTML_Cont_1_2_1_1" localSheetId="5" hidden="1">{"'vert'!$A$1:$T$117"}</definedName>
    <definedName name="HTML_Cont_1_2_1_1" localSheetId="6" hidden="1">{"'vert'!$A$1:$T$117"}</definedName>
    <definedName name="HTML_Cont_1_2_1_1" hidden="1">{"'vert'!$A$1:$T$117"}</definedName>
    <definedName name="HTML_Cont_1_2_2" localSheetId="5" hidden="1">{"'vert'!$A$1:$T$117"}</definedName>
    <definedName name="HTML_Cont_1_2_2" localSheetId="6" hidden="1">{"'vert'!$A$1:$T$117"}</definedName>
    <definedName name="HTML_Cont_1_2_2" hidden="1">{"'vert'!$A$1:$T$117"}</definedName>
    <definedName name="HTML_Cont_1_3" localSheetId="5" hidden="1">{"'vert'!$A$1:$T$117"}</definedName>
    <definedName name="HTML_Cont_1_3" localSheetId="6" hidden="1">{"'vert'!$A$1:$T$117"}</definedName>
    <definedName name="HTML_Cont_1_3" hidden="1">{"'vert'!$A$1:$T$117"}</definedName>
    <definedName name="HTML_Cont_1_3_1" localSheetId="5" hidden="1">{"'vert'!$A$1:$T$117"}</definedName>
    <definedName name="HTML_Cont_1_3_1" localSheetId="6" hidden="1">{"'vert'!$A$1:$T$117"}</definedName>
    <definedName name="HTML_Cont_1_3_1" hidden="1">{"'vert'!$A$1:$T$117"}</definedName>
    <definedName name="HTML_Cont_1_4" localSheetId="5" hidden="1">{"'vert'!$A$1:$T$117"}</definedName>
    <definedName name="HTML_Cont_1_4" localSheetId="6" hidden="1">{"'vert'!$A$1:$T$117"}</definedName>
    <definedName name="HTML_Cont_1_4" hidden="1">{"'vert'!$A$1:$T$117"}</definedName>
    <definedName name="HTML_Cont_2" localSheetId="5" hidden="1">{"'vert'!$A$1:$T$117"}</definedName>
    <definedName name="HTML_Cont_2" localSheetId="6" hidden="1">{"'vert'!$A$1:$T$117"}</definedName>
    <definedName name="HTML_Cont_2" hidden="1">{"'vert'!$A$1:$T$117"}</definedName>
    <definedName name="HTML_Cont_2_1" localSheetId="5" hidden="1">{"'vert'!$A$1:$T$117"}</definedName>
    <definedName name="HTML_Cont_2_1" localSheetId="6" hidden="1">{"'vert'!$A$1:$T$117"}</definedName>
    <definedName name="HTML_Cont_2_1" hidden="1">{"'vert'!$A$1:$T$117"}</definedName>
    <definedName name="HTML_Cont_2_1_1" localSheetId="5" hidden="1">{"'vert'!$A$1:$T$117"}</definedName>
    <definedName name="HTML_Cont_2_1_1" localSheetId="6" hidden="1">{"'vert'!$A$1:$T$117"}</definedName>
    <definedName name="HTML_Cont_2_1_1" hidden="1">{"'vert'!$A$1:$T$117"}</definedName>
    <definedName name="HTML_Cont_2_2" localSheetId="5" hidden="1">{"'vert'!$A$1:$T$117"}</definedName>
    <definedName name="HTML_Cont_2_2" localSheetId="6" hidden="1">{"'vert'!$A$1:$T$117"}</definedName>
    <definedName name="HTML_Cont_2_2" hidden="1">{"'vert'!$A$1:$T$117"}</definedName>
    <definedName name="HTML_Cont_3" localSheetId="5" hidden="1">{"'vert'!$A$1:$T$117"}</definedName>
    <definedName name="HTML_Cont_3" localSheetId="6" hidden="1">{"'vert'!$A$1:$T$117"}</definedName>
    <definedName name="HTML_Cont_3" hidden="1">{"'vert'!$A$1:$T$117"}</definedName>
    <definedName name="HTML_Cont_3_1" localSheetId="5" hidden="1">{"'vert'!$A$1:$T$117"}</definedName>
    <definedName name="HTML_Cont_3_1" localSheetId="6" hidden="1">{"'vert'!$A$1:$T$117"}</definedName>
    <definedName name="HTML_Cont_3_1" hidden="1">{"'vert'!$A$1:$T$117"}</definedName>
    <definedName name="HTML_Cont_3_1_1" localSheetId="5" hidden="1">{"'vert'!$A$1:$T$117"}</definedName>
    <definedName name="HTML_Cont_3_1_1" localSheetId="6" hidden="1">{"'vert'!$A$1:$T$117"}</definedName>
    <definedName name="HTML_Cont_3_1_1" hidden="1">{"'vert'!$A$1:$T$117"}</definedName>
    <definedName name="HTML_Cont_3_2" localSheetId="5" hidden="1">{"'vert'!$A$1:$T$117"}</definedName>
    <definedName name="HTML_Cont_3_2" localSheetId="6" hidden="1">{"'vert'!$A$1:$T$117"}</definedName>
    <definedName name="HTML_Cont_3_2" hidden="1">{"'vert'!$A$1:$T$117"}</definedName>
    <definedName name="HTML_Cont_4" localSheetId="5" hidden="1">{"'vert'!$A$1:$T$117"}</definedName>
    <definedName name="HTML_Cont_4" localSheetId="6" hidden="1">{"'vert'!$A$1:$T$117"}</definedName>
    <definedName name="HTML_Cont_4" hidden="1">{"'vert'!$A$1:$T$117"}</definedName>
    <definedName name="HTML_Cont_4_1" localSheetId="5" hidden="1">{"'vert'!$A$1:$T$117"}</definedName>
    <definedName name="HTML_Cont_4_1" localSheetId="6" hidden="1">{"'vert'!$A$1:$T$117"}</definedName>
    <definedName name="HTML_Cont_4_1" hidden="1">{"'vert'!$A$1:$T$117"}</definedName>
    <definedName name="HTML_Cont_5" localSheetId="5" hidden="1">{"'vert'!$A$1:$T$117"}</definedName>
    <definedName name="HTML_Cont_5" localSheetId="6" hidden="1">{"'vert'!$A$1:$T$117"}</definedName>
    <definedName name="HTML_Cont_5" hidden="1">{"'vert'!$A$1:$T$117"}</definedName>
    <definedName name="HTML_Cont2" localSheetId="5" hidden="1">{"'vert'!$A$1:$T$117"}</definedName>
    <definedName name="HTML_Cont2" localSheetId="6" hidden="1">{"'vert'!$A$1:$T$117"}</definedName>
    <definedName name="HTML_Cont2" hidden="1">{"'vert'!$A$1:$T$117"}</definedName>
    <definedName name="html_contnew" localSheetId="5" hidden="1">{"'vert'!$A$1:$T$117"}</definedName>
    <definedName name="html_contnew" localSheetId="6" hidden="1">{"'vert'!$A$1:$T$117"}</definedName>
    <definedName name="html_contnew" hidden="1">{"'vert'!$A$1:$T$117"}</definedName>
    <definedName name="HTML_Control" localSheetId="5" hidden="1">{"'vert'!$A$1:$T$117"}</definedName>
    <definedName name="HTML_Control" localSheetId="6" hidden="1">{"'vert'!$A$1:$T$117"}</definedName>
    <definedName name="HTML_Control" hidden="1">{"'vert'!$A$1:$T$117"}</definedName>
    <definedName name="HTML_Control_1" localSheetId="5" hidden="1">{"'vert'!$A$1:$T$117"}</definedName>
    <definedName name="HTML_Control_1" localSheetId="6" hidden="1">{"'vert'!$A$1:$T$117"}</definedName>
    <definedName name="HTML_Control_1" hidden="1">{"'vert'!$A$1:$T$117"}</definedName>
    <definedName name="HTML_Control_1_1" localSheetId="5" hidden="1">{"'vert'!$A$1:$T$117"}</definedName>
    <definedName name="HTML_Control_1_1" localSheetId="6" hidden="1">{"'vert'!$A$1:$T$117"}</definedName>
    <definedName name="HTML_Control_1_1" hidden="1">{"'vert'!$A$1:$T$117"}</definedName>
    <definedName name="HTML_Control_1_1_1" localSheetId="5" hidden="1">{"'vert'!$A$1:$T$117"}</definedName>
    <definedName name="HTML_Control_1_1_1" localSheetId="6" hidden="1">{"'vert'!$A$1:$T$117"}</definedName>
    <definedName name="HTML_Control_1_1_1" hidden="1">{"'vert'!$A$1:$T$117"}</definedName>
    <definedName name="HTML_Control_1_1_1_1" localSheetId="5" hidden="1">{"'vert'!$A$1:$T$117"}</definedName>
    <definedName name="HTML_Control_1_1_1_1" localSheetId="6" hidden="1">{"'vert'!$A$1:$T$117"}</definedName>
    <definedName name="HTML_Control_1_1_1_1" hidden="1">{"'vert'!$A$1:$T$117"}</definedName>
    <definedName name="HTML_Control_1_1_2" localSheetId="5" hidden="1">{"'vert'!$A$1:$T$117"}</definedName>
    <definedName name="HTML_Control_1_1_2" localSheetId="6" hidden="1">{"'vert'!$A$1:$T$117"}</definedName>
    <definedName name="HTML_Control_1_1_2" hidden="1">{"'vert'!$A$1:$T$117"}</definedName>
    <definedName name="HTML_Control_1_2" localSheetId="5" hidden="1">{"'vert'!$A$1:$T$117"}</definedName>
    <definedName name="HTML_Control_1_2" localSheetId="6" hidden="1">{"'vert'!$A$1:$T$117"}</definedName>
    <definedName name="HTML_Control_1_2" hidden="1">{"'vert'!$A$1:$T$117"}</definedName>
    <definedName name="HTML_Control_1_2_1" localSheetId="5" hidden="1">{"'vert'!$A$1:$T$117"}</definedName>
    <definedName name="HTML_Control_1_2_1" localSheetId="6" hidden="1">{"'vert'!$A$1:$T$117"}</definedName>
    <definedName name="HTML_Control_1_2_1" hidden="1">{"'vert'!$A$1:$T$117"}</definedName>
    <definedName name="HTML_Control_1_2_1_1" localSheetId="5" hidden="1">{"'vert'!$A$1:$T$117"}</definedName>
    <definedName name="HTML_Control_1_2_1_1" localSheetId="6" hidden="1">{"'vert'!$A$1:$T$117"}</definedName>
    <definedName name="HTML_Control_1_2_1_1" hidden="1">{"'vert'!$A$1:$T$117"}</definedName>
    <definedName name="HTML_Control_1_2_2" localSheetId="5" hidden="1">{"'vert'!$A$1:$T$117"}</definedName>
    <definedName name="HTML_Control_1_2_2" localSheetId="6" hidden="1">{"'vert'!$A$1:$T$117"}</definedName>
    <definedName name="HTML_Control_1_2_2" hidden="1">{"'vert'!$A$1:$T$117"}</definedName>
    <definedName name="HTML_Control_1_3" localSheetId="5" hidden="1">{"'vert'!$A$1:$T$117"}</definedName>
    <definedName name="HTML_Control_1_3" localSheetId="6" hidden="1">{"'vert'!$A$1:$T$117"}</definedName>
    <definedName name="HTML_Control_1_3" hidden="1">{"'vert'!$A$1:$T$117"}</definedName>
    <definedName name="HTML_Control_1_3_1" localSheetId="5" hidden="1">{"'vert'!$A$1:$T$117"}</definedName>
    <definedName name="HTML_Control_1_3_1" localSheetId="6" hidden="1">{"'vert'!$A$1:$T$117"}</definedName>
    <definedName name="HTML_Control_1_3_1" hidden="1">{"'vert'!$A$1:$T$117"}</definedName>
    <definedName name="HTML_Control_1_4" localSheetId="5" hidden="1">{"'vert'!$A$1:$T$117"}</definedName>
    <definedName name="HTML_Control_1_4" localSheetId="6" hidden="1">{"'vert'!$A$1:$T$117"}</definedName>
    <definedName name="HTML_Control_1_4" hidden="1">{"'vert'!$A$1:$T$117"}</definedName>
    <definedName name="HTML_Control_2" localSheetId="5" hidden="1">{"'vert'!$A$1:$T$117"}</definedName>
    <definedName name="HTML_Control_2" localSheetId="6" hidden="1">{"'vert'!$A$1:$T$117"}</definedName>
    <definedName name="HTML_Control_2" hidden="1">{"'vert'!$A$1:$T$117"}</definedName>
    <definedName name="HTML_Control_2_1" localSheetId="5" hidden="1">{"'vert'!$A$1:$T$117"}</definedName>
    <definedName name="HTML_Control_2_1" localSheetId="6" hidden="1">{"'vert'!$A$1:$T$117"}</definedName>
    <definedName name="HTML_Control_2_1" hidden="1">{"'vert'!$A$1:$T$117"}</definedName>
    <definedName name="HTML_Control_2_1_1" localSheetId="5" hidden="1">{"'vert'!$A$1:$T$117"}</definedName>
    <definedName name="HTML_Control_2_1_1" localSheetId="6" hidden="1">{"'vert'!$A$1:$T$117"}</definedName>
    <definedName name="HTML_Control_2_1_1" hidden="1">{"'vert'!$A$1:$T$117"}</definedName>
    <definedName name="HTML_Control_2_1_1_1" localSheetId="5" hidden="1">{"'vert'!$A$1:$T$117"}</definedName>
    <definedName name="HTML_Control_2_1_1_1" localSheetId="6" hidden="1">{"'vert'!$A$1:$T$117"}</definedName>
    <definedName name="HTML_Control_2_1_1_1" hidden="1">{"'vert'!$A$1:$T$117"}</definedName>
    <definedName name="HTML_Control_2_1_2" localSheetId="5" hidden="1">{"'vert'!$A$1:$T$117"}</definedName>
    <definedName name="HTML_Control_2_1_2" localSheetId="6" hidden="1">{"'vert'!$A$1:$T$117"}</definedName>
    <definedName name="HTML_Control_2_1_2" hidden="1">{"'vert'!$A$1:$T$117"}</definedName>
    <definedName name="HTML_Control_2_2" localSheetId="5" hidden="1">{"'vert'!$A$1:$T$117"}</definedName>
    <definedName name="HTML_Control_2_2" localSheetId="6" hidden="1">{"'vert'!$A$1:$T$117"}</definedName>
    <definedName name="HTML_Control_2_2" hidden="1">{"'vert'!$A$1:$T$117"}</definedName>
    <definedName name="HTML_Control_2_2_1" localSheetId="5" hidden="1">{"'vert'!$A$1:$T$117"}</definedName>
    <definedName name="HTML_Control_2_2_1" localSheetId="6" hidden="1">{"'vert'!$A$1:$T$117"}</definedName>
    <definedName name="HTML_Control_2_2_1" hidden="1">{"'vert'!$A$1:$T$117"}</definedName>
    <definedName name="HTML_Control_2_2_1_1" localSheetId="5" hidden="1">{"'vert'!$A$1:$T$117"}</definedName>
    <definedName name="HTML_Control_2_2_1_1" localSheetId="6" hidden="1">{"'vert'!$A$1:$T$117"}</definedName>
    <definedName name="HTML_Control_2_2_1_1" hidden="1">{"'vert'!$A$1:$T$117"}</definedName>
    <definedName name="HTML_Control_2_2_2" localSheetId="5" hidden="1">{"'vert'!$A$1:$T$117"}</definedName>
    <definedName name="HTML_Control_2_2_2" localSheetId="6" hidden="1">{"'vert'!$A$1:$T$117"}</definedName>
    <definedName name="HTML_Control_2_2_2" hidden="1">{"'vert'!$A$1:$T$117"}</definedName>
    <definedName name="HTML_Control_2_3" localSheetId="5" hidden="1">{"'vert'!$A$1:$T$117"}</definedName>
    <definedName name="HTML_Control_2_3" localSheetId="6" hidden="1">{"'vert'!$A$1:$T$117"}</definedName>
    <definedName name="HTML_Control_2_3" hidden="1">{"'vert'!$A$1:$T$117"}</definedName>
    <definedName name="HTML_Control_2_3_1" localSheetId="5" hidden="1">{"'vert'!$A$1:$T$117"}</definedName>
    <definedName name="HTML_Control_2_3_1" localSheetId="6" hidden="1">{"'vert'!$A$1:$T$117"}</definedName>
    <definedName name="HTML_Control_2_3_1" hidden="1">{"'vert'!$A$1:$T$117"}</definedName>
    <definedName name="HTML_Control_2_4" localSheetId="5" hidden="1">{"'vert'!$A$1:$T$117"}</definedName>
    <definedName name="HTML_Control_2_4" localSheetId="6" hidden="1">{"'vert'!$A$1:$T$117"}</definedName>
    <definedName name="HTML_Control_2_4" hidden="1">{"'vert'!$A$1:$T$117"}</definedName>
    <definedName name="HTML_Control_3" localSheetId="5" hidden="1">{"'weekly data'!$A$2:$AS$36"}</definedName>
    <definedName name="HTML_Control_3" localSheetId="6" hidden="1">{"'weekly data'!$A$2:$AS$36"}</definedName>
    <definedName name="HTML_Control_3" hidden="1">{"'weekly data'!$A$2:$AS$36"}</definedName>
    <definedName name="HTML_Control_3_1" localSheetId="5" hidden="1">{"'weekly data'!$A$2:$AS$36"}</definedName>
    <definedName name="HTML_Control_3_1" localSheetId="6" hidden="1">{"'weekly data'!$A$2:$AS$36"}</definedName>
    <definedName name="HTML_Control_3_1" hidden="1">{"'weekly data'!$A$2:$AS$36"}</definedName>
    <definedName name="HTML_Control_3_1_1" localSheetId="5" hidden="1">{"'weekly data'!$A$2:$AS$36"}</definedName>
    <definedName name="HTML_Control_3_1_1" localSheetId="6" hidden="1">{"'weekly data'!$A$2:$AS$36"}</definedName>
    <definedName name="HTML_Control_3_1_1" hidden="1">{"'weekly data'!$A$2:$AS$36"}</definedName>
    <definedName name="HTML_Control_3_2" localSheetId="5" hidden="1">{"'weekly data'!$A$2:$AS$36"}</definedName>
    <definedName name="HTML_Control_3_2" localSheetId="6" hidden="1">{"'weekly data'!$A$2:$AS$36"}</definedName>
    <definedName name="HTML_Control_3_2" hidden="1">{"'weekly data'!$A$2:$AS$36"}</definedName>
    <definedName name="HTML_Control_4" localSheetId="5" hidden="1">{"'weekly data'!$A$2:$AS$36"}</definedName>
    <definedName name="HTML_Control_4" localSheetId="6" hidden="1">{"'weekly data'!$A$2:$AS$36"}</definedName>
    <definedName name="HTML_Control_4" hidden="1">{"'weekly data'!$A$2:$AS$36"}</definedName>
    <definedName name="HTML_Control_4_1" localSheetId="5" hidden="1">{"'weekly data'!$A$2:$AS$36"}</definedName>
    <definedName name="HTML_Control_4_1" localSheetId="6" hidden="1">{"'weekly data'!$A$2:$AS$36"}</definedName>
    <definedName name="HTML_Control_4_1" hidden="1">{"'weekly data'!$A$2:$AS$36"}</definedName>
    <definedName name="HTML_Control_4_1_1" localSheetId="5" hidden="1">{"'weekly data'!$A$2:$AS$36"}</definedName>
    <definedName name="HTML_Control_4_1_1" localSheetId="6" hidden="1">{"'weekly data'!$A$2:$AS$36"}</definedName>
    <definedName name="HTML_Control_4_1_1" hidden="1">{"'weekly data'!$A$2:$AS$36"}</definedName>
    <definedName name="HTML_Control_4_2" localSheetId="5" hidden="1">{"'weekly data'!$A$2:$AS$36"}</definedName>
    <definedName name="HTML_Control_4_2" localSheetId="6" hidden="1">{"'weekly data'!$A$2:$AS$36"}</definedName>
    <definedName name="HTML_Control_4_2" hidden="1">{"'weekly data'!$A$2:$AS$36"}</definedName>
    <definedName name="HTML_Control_5" localSheetId="5" hidden="1">{"'weekly data'!$A$2:$AS$36"}</definedName>
    <definedName name="HTML_Control_5" localSheetId="6" hidden="1">{"'weekly data'!$A$2:$AS$36"}</definedName>
    <definedName name="HTML_Control_5" hidden="1">{"'weekly data'!$A$2:$AS$36"}</definedName>
    <definedName name="HTML_Control_5_1" localSheetId="5" hidden="1">{"'weekly data'!$A$2:$AS$36"}</definedName>
    <definedName name="HTML_Control_5_1" localSheetId="6" hidden="1">{"'weekly data'!$A$2:$AS$36"}</definedName>
    <definedName name="HTML_Control_5_1" hidden="1">{"'weekly data'!$A$2:$AS$36"}</definedName>
    <definedName name="HTML_Control1" localSheetId="5" hidden="1">{"'vert'!$A$1:$T$117"}</definedName>
    <definedName name="HTML_Control1" localSheetId="6" hidden="1">{"'vert'!$A$1:$T$117"}</definedName>
    <definedName name="HTML_Control1" hidden="1">{"'vert'!$A$1:$T$117"}</definedName>
    <definedName name="HTML_Control1_1" localSheetId="5" hidden="1">{"'vert'!$A$1:$T$117"}</definedName>
    <definedName name="HTML_Control1_1" localSheetId="6" hidden="1">{"'vert'!$A$1:$T$117"}</definedName>
    <definedName name="HTML_Control1_1" hidden="1">{"'vert'!$A$1:$T$117"}</definedName>
    <definedName name="HTML_Control1_1_1" localSheetId="5" hidden="1">{"'vert'!$A$1:$T$117"}</definedName>
    <definedName name="HTML_Control1_1_1" localSheetId="6" hidden="1">{"'vert'!$A$1:$T$117"}</definedName>
    <definedName name="HTML_Control1_1_1" hidden="1">{"'vert'!$A$1:$T$117"}</definedName>
    <definedName name="HTML_Control1_1_1_1" localSheetId="5" hidden="1">{"'vert'!$A$1:$T$117"}</definedName>
    <definedName name="HTML_Control1_1_1_1" localSheetId="6" hidden="1">{"'vert'!$A$1:$T$117"}</definedName>
    <definedName name="HTML_Control1_1_1_1" hidden="1">{"'vert'!$A$1:$T$117"}</definedName>
    <definedName name="HTML_Control1_1_2" localSheetId="5" hidden="1">{"'vert'!$A$1:$T$117"}</definedName>
    <definedName name="HTML_Control1_1_2" localSheetId="6" hidden="1">{"'vert'!$A$1:$T$117"}</definedName>
    <definedName name="HTML_Control1_1_2" hidden="1">{"'vert'!$A$1:$T$117"}</definedName>
    <definedName name="HTML_Control1_2" localSheetId="5" hidden="1">{"'vert'!$A$1:$T$117"}</definedName>
    <definedName name="HTML_Control1_2" localSheetId="6" hidden="1">{"'vert'!$A$1:$T$117"}</definedName>
    <definedName name="HTML_Control1_2" hidden="1">{"'vert'!$A$1:$T$117"}</definedName>
    <definedName name="HTML_Control1_2_1" localSheetId="5" hidden="1">{"'vert'!$A$1:$T$117"}</definedName>
    <definedName name="HTML_Control1_2_1" localSheetId="6" hidden="1">{"'vert'!$A$1:$T$117"}</definedName>
    <definedName name="HTML_Control1_2_1" hidden="1">{"'vert'!$A$1:$T$117"}</definedName>
    <definedName name="HTML_Control1_2_1_1" localSheetId="5" hidden="1">{"'vert'!$A$1:$T$117"}</definedName>
    <definedName name="HTML_Control1_2_1_1" localSheetId="6" hidden="1">{"'vert'!$A$1:$T$117"}</definedName>
    <definedName name="HTML_Control1_2_1_1" hidden="1">{"'vert'!$A$1:$T$117"}</definedName>
    <definedName name="HTML_Control1_2_2" localSheetId="5" hidden="1">{"'vert'!$A$1:$T$117"}</definedName>
    <definedName name="HTML_Control1_2_2" localSheetId="6" hidden="1">{"'vert'!$A$1:$T$117"}</definedName>
    <definedName name="HTML_Control1_2_2" hidden="1">{"'vert'!$A$1:$T$117"}</definedName>
    <definedName name="HTML_Control1_3" localSheetId="5" hidden="1">{"'vert'!$A$1:$T$117"}</definedName>
    <definedName name="HTML_Control1_3" localSheetId="6" hidden="1">{"'vert'!$A$1:$T$117"}</definedName>
    <definedName name="HTML_Control1_3" hidden="1">{"'vert'!$A$1:$T$117"}</definedName>
    <definedName name="HTML_Control1_3_1" localSheetId="5" hidden="1">{"'vert'!$A$1:$T$117"}</definedName>
    <definedName name="HTML_Control1_3_1" localSheetId="6" hidden="1">{"'vert'!$A$1:$T$117"}</definedName>
    <definedName name="HTML_Control1_3_1" hidden="1">{"'vert'!$A$1:$T$117"}</definedName>
    <definedName name="HTML_Control1_4" localSheetId="5" hidden="1">{"'vert'!$A$1:$T$117"}</definedName>
    <definedName name="HTML_Control1_4" localSheetId="6" hidden="1">{"'vert'!$A$1:$T$117"}</definedName>
    <definedName name="HTML_Control1_4" hidden="1">{"'vert'!$A$1:$T$117"}</definedName>
    <definedName name="HTML_control2" localSheetId="5" hidden="1">{"'weekly data'!$A$2:$AS$36"}</definedName>
    <definedName name="HTML_control2" localSheetId="6" hidden="1">{"'weekly data'!$A$2:$AS$36"}</definedName>
    <definedName name="HTML_control2" hidden="1">{"'weekly data'!$A$2:$AS$36"}</definedName>
    <definedName name="HTML_control2_1" localSheetId="5" hidden="1">{"'weekly data'!$A$2:$AS$36"}</definedName>
    <definedName name="HTML_control2_1" localSheetId="6" hidden="1">{"'weekly data'!$A$2:$AS$36"}</definedName>
    <definedName name="HTML_control2_1" hidden="1">{"'weekly data'!$A$2:$AS$36"}</definedName>
    <definedName name="HTML_control2_1_1" localSheetId="5" hidden="1">{"'weekly data'!$A$2:$AS$36"}</definedName>
    <definedName name="HTML_control2_1_1" localSheetId="6" hidden="1">{"'weekly data'!$A$2:$AS$36"}</definedName>
    <definedName name="HTML_control2_1_1" hidden="1">{"'weekly data'!$A$2:$AS$36"}</definedName>
    <definedName name="HTML_control2_1_1_1" localSheetId="5" hidden="1">{"'weekly data'!$A$2:$AS$36"}</definedName>
    <definedName name="HTML_control2_1_1_1" localSheetId="6" hidden="1">{"'weekly data'!$A$2:$AS$36"}</definedName>
    <definedName name="HTML_control2_1_1_1" hidden="1">{"'weekly data'!$A$2:$AS$36"}</definedName>
    <definedName name="HTML_control2_1_2" localSheetId="5" hidden="1">{"'weekly data'!$A$2:$AS$36"}</definedName>
    <definedName name="HTML_control2_1_2" localSheetId="6" hidden="1">{"'weekly data'!$A$2:$AS$36"}</definedName>
    <definedName name="HTML_control2_1_2" hidden="1">{"'weekly data'!$A$2:$AS$36"}</definedName>
    <definedName name="HTML_control2_2" localSheetId="5" hidden="1">{"'weekly data'!$A$2:$AS$36"}</definedName>
    <definedName name="HTML_control2_2" localSheetId="6" hidden="1">{"'weekly data'!$A$2:$AS$36"}</definedName>
    <definedName name="HTML_control2_2" hidden="1">{"'weekly data'!$A$2:$AS$36"}</definedName>
    <definedName name="HTML_control2_2_1" localSheetId="5" hidden="1">{"'weekly data'!$A$2:$AS$36"}</definedName>
    <definedName name="HTML_control2_2_1" localSheetId="6" hidden="1">{"'weekly data'!$A$2:$AS$36"}</definedName>
    <definedName name="HTML_control2_2_1" hidden="1">{"'weekly data'!$A$2:$AS$36"}</definedName>
    <definedName name="HTML_control2_2_1_1" localSheetId="5" hidden="1">{"'weekly data'!$A$2:$AS$36"}</definedName>
    <definedName name="HTML_control2_2_1_1" localSheetId="6" hidden="1">{"'weekly data'!$A$2:$AS$36"}</definedName>
    <definedName name="HTML_control2_2_1_1" hidden="1">{"'weekly data'!$A$2:$AS$36"}</definedName>
    <definedName name="HTML_control2_2_2" localSheetId="5" hidden="1">{"'weekly data'!$A$2:$AS$36"}</definedName>
    <definedName name="HTML_control2_2_2" localSheetId="6" hidden="1">{"'weekly data'!$A$2:$AS$36"}</definedName>
    <definedName name="HTML_control2_2_2" hidden="1">{"'weekly data'!$A$2:$AS$36"}</definedName>
    <definedName name="HTML_control2_3" localSheetId="5" hidden="1">{"'weekly data'!$A$2:$AS$36"}</definedName>
    <definedName name="HTML_control2_3" localSheetId="6" hidden="1">{"'weekly data'!$A$2:$AS$36"}</definedName>
    <definedName name="HTML_control2_3" hidden="1">{"'weekly data'!$A$2:$AS$36"}</definedName>
    <definedName name="HTML_control2_3_1" localSheetId="5" hidden="1">{"'weekly data'!$A$2:$AS$36"}</definedName>
    <definedName name="HTML_control2_3_1" localSheetId="6" hidden="1">{"'weekly data'!$A$2:$AS$36"}</definedName>
    <definedName name="HTML_control2_3_1" hidden="1">{"'weekly data'!$A$2:$AS$36"}</definedName>
    <definedName name="HTML_control2_4" localSheetId="5" hidden="1">{"'weekly data'!$A$2:$AS$36"}</definedName>
    <definedName name="HTML_control2_4" localSheetId="6" hidden="1">{"'weekly data'!$A$2:$AS$36"}</definedName>
    <definedName name="HTML_control2_4" hidden="1">{"'weekly data'!$A$2:$AS$36"}</definedName>
    <definedName name="HTML_Control3" localSheetId="5" hidden="1">{"'weekly data'!$A$2:$AS$36"}</definedName>
    <definedName name="HTML_Control3" localSheetId="6" hidden="1">{"'weekly data'!$A$2:$AS$36"}</definedName>
    <definedName name="HTML_Control3" hidden="1">{"'weekly data'!$A$2:$AS$36"}</definedName>
    <definedName name="HTML_Control3_1" localSheetId="5" hidden="1">{"'weekly data'!$A$2:$AS$36"}</definedName>
    <definedName name="HTML_Control3_1" localSheetId="6" hidden="1">{"'weekly data'!$A$2:$AS$36"}</definedName>
    <definedName name="HTML_Control3_1" hidden="1">{"'weekly data'!$A$2:$AS$36"}</definedName>
    <definedName name="HTML_Control3_1_1" localSheetId="5" hidden="1">{"'weekly data'!$A$2:$AS$36"}</definedName>
    <definedName name="HTML_Control3_1_1" localSheetId="6" hidden="1">{"'weekly data'!$A$2:$AS$36"}</definedName>
    <definedName name="HTML_Control3_1_1" hidden="1">{"'weekly data'!$A$2:$AS$36"}</definedName>
    <definedName name="HTML_Control3_1_1_1" localSheetId="5" hidden="1">{"'weekly data'!$A$2:$AS$36"}</definedName>
    <definedName name="HTML_Control3_1_1_1" localSheetId="6" hidden="1">{"'weekly data'!$A$2:$AS$36"}</definedName>
    <definedName name="HTML_Control3_1_1_1" hidden="1">{"'weekly data'!$A$2:$AS$36"}</definedName>
    <definedName name="HTML_Control3_1_2" localSheetId="5" hidden="1">{"'weekly data'!$A$2:$AS$36"}</definedName>
    <definedName name="HTML_Control3_1_2" localSheetId="6" hidden="1">{"'weekly data'!$A$2:$AS$36"}</definedName>
    <definedName name="HTML_Control3_1_2" hidden="1">{"'weekly data'!$A$2:$AS$36"}</definedName>
    <definedName name="HTML_Control3_2" localSheetId="5" hidden="1">{"'weekly data'!$A$2:$AS$36"}</definedName>
    <definedName name="HTML_Control3_2" localSheetId="6" hidden="1">{"'weekly data'!$A$2:$AS$36"}</definedName>
    <definedName name="HTML_Control3_2" hidden="1">{"'weekly data'!$A$2:$AS$36"}</definedName>
    <definedName name="HTML_Control3_2_1" localSheetId="5" hidden="1">{"'weekly data'!$A$2:$AS$36"}</definedName>
    <definedName name="HTML_Control3_2_1" localSheetId="6" hidden="1">{"'weekly data'!$A$2:$AS$36"}</definedName>
    <definedName name="HTML_Control3_2_1" hidden="1">{"'weekly data'!$A$2:$AS$36"}</definedName>
    <definedName name="HTML_Control3_2_1_1" localSheetId="5" hidden="1">{"'weekly data'!$A$2:$AS$36"}</definedName>
    <definedName name="HTML_Control3_2_1_1" localSheetId="6" hidden="1">{"'weekly data'!$A$2:$AS$36"}</definedName>
    <definedName name="HTML_Control3_2_1_1" hidden="1">{"'weekly data'!$A$2:$AS$36"}</definedName>
    <definedName name="HTML_Control3_2_2" localSheetId="5" hidden="1">{"'weekly data'!$A$2:$AS$36"}</definedName>
    <definedName name="HTML_Control3_2_2" localSheetId="6" hidden="1">{"'weekly data'!$A$2:$AS$36"}</definedName>
    <definedName name="HTML_Control3_2_2" hidden="1">{"'weekly data'!$A$2:$AS$36"}</definedName>
    <definedName name="HTML_Control3_3" localSheetId="5" hidden="1">{"'weekly data'!$A$2:$AS$36"}</definedName>
    <definedName name="HTML_Control3_3" localSheetId="6" hidden="1">{"'weekly data'!$A$2:$AS$36"}</definedName>
    <definedName name="HTML_Control3_3" hidden="1">{"'weekly data'!$A$2:$AS$36"}</definedName>
    <definedName name="HTML_Control3_3_1" localSheetId="5" hidden="1">{"'weekly data'!$A$2:$AS$36"}</definedName>
    <definedName name="HTML_Control3_3_1" localSheetId="6" hidden="1">{"'weekly data'!$A$2:$AS$36"}</definedName>
    <definedName name="HTML_Control3_3_1" hidden="1">{"'weekly data'!$A$2:$AS$36"}</definedName>
    <definedName name="HTML_Control3_4" localSheetId="5" hidden="1">{"'weekly data'!$A$2:$AS$36"}</definedName>
    <definedName name="HTML_Control3_4" localSheetId="6" hidden="1">{"'weekly data'!$A$2:$AS$36"}</definedName>
    <definedName name="HTML_Control3_4" hidden="1">{"'weekly data'!$A$2:$AS$36"}</definedName>
    <definedName name="HTML_Control4" localSheetId="5" hidden="1">{"'weekly data'!$A$2:$AS$36"}</definedName>
    <definedName name="HTML_Control4" localSheetId="6" hidden="1">{"'weekly data'!$A$2:$AS$36"}</definedName>
    <definedName name="HTML_Control4" hidden="1">{"'weekly data'!$A$2:$AS$36"}</definedName>
    <definedName name="HTML_Control4_1" localSheetId="5" hidden="1">{"'weekly data'!$A$2:$AS$36"}</definedName>
    <definedName name="HTML_Control4_1" localSheetId="6" hidden="1">{"'weekly data'!$A$2:$AS$36"}</definedName>
    <definedName name="HTML_Control4_1" hidden="1">{"'weekly data'!$A$2:$AS$36"}</definedName>
    <definedName name="HTML_Control4_1_1" localSheetId="5" hidden="1">{"'weekly data'!$A$2:$AS$36"}</definedName>
    <definedName name="HTML_Control4_1_1" localSheetId="6" hidden="1">{"'weekly data'!$A$2:$AS$36"}</definedName>
    <definedName name="HTML_Control4_1_1" hidden="1">{"'weekly data'!$A$2:$AS$36"}</definedName>
    <definedName name="HTML_Control4_1_1_1" localSheetId="5" hidden="1">{"'weekly data'!$A$2:$AS$36"}</definedName>
    <definedName name="HTML_Control4_1_1_1" localSheetId="6" hidden="1">{"'weekly data'!$A$2:$AS$36"}</definedName>
    <definedName name="HTML_Control4_1_1_1" hidden="1">{"'weekly data'!$A$2:$AS$36"}</definedName>
    <definedName name="HTML_Control4_1_2" localSheetId="5" hidden="1">{"'weekly data'!$A$2:$AS$36"}</definedName>
    <definedName name="HTML_Control4_1_2" localSheetId="6" hidden="1">{"'weekly data'!$A$2:$AS$36"}</definedName>
    <definedName name="HTML_Control4_1_2" hidden="1">{"'weekly data'!$A$2:$AS$36"}</definedName>
    <definedName name="HTML_Control4_2" localSheetId="5" hidden="1">{"'weekly data'!$A$2:$AS$36"}</definedName>
    <definedName name="HTML_Control4_2" localSheetId="6" hidden="1">{"'weekly data'!$A$2:$AS$36"}</definedName>
    <definedName name="HTML_Control4_2" hidden="1">{"'weekly data'!$A$2:$AS$36"}</definedName>
    <definedName name="HTML_Control4_2_1" localSheetId="5" hidden="1">{"'weekly data'!$A$2:$AS$36"}</definedName>
    <definedName name="HTML_Control4_2_1" localSheetId="6" hidden="1">{"'weekly data'!$A$2:$AS$36"}</definedName>
    <definedName name="HTML_Control4_2_1" hidden="1">{"'weekly data'!$A$2:$AS$36"}</definedName>
    <definedName name="HTML_Control4_2_1_1" localSheetId="5" hidden="1">{"'weekly data'!$A$2:$AS$36"}</definedName>
    <definedName name="HTML_Control4_2_1_1" localSheetId="6" hidden="1">{"'weekly data'!$A$2:$AS$36"}</definedName>
    <definedName name="HTML_Control4_2_1_1" hidden="1">{"'weekly data'!$A$2:$AS$36"}</definedName>
    <definedName name="HTML_Control4_2_2" localSheetId="5" hidden="1">{"'weekly data'!$A$2:$AS$36"}</definedName>
    <definedName name="HTML_Control4_2_2" localSheetId="6" hidden="1">{"'weekly data'!$A$2:$AS$36"}</definedName>
    <definedName name="HTML_Control4_2_2" hidden="1">{"'weekly data'!$A$2:$AS$36"}</definedName>
    <definedName name="HTML_Control4_3" localSheetId="5" hidden="1">{"'weekly data'!$A$2:$AS$36"}</definedName>
    <definedName name="HTML_Control4_3" localSheetId="6" hidden="1">{"'weekly data'!$A$2:$AS$36"}</definedName>
    <definedName name="HTML_Control4_3" hidden="1">{"'weekly data'!$A$2:$AS$36"}</definedName>
    <definedName name="HTML_Control4_3_1" localSheetId="5" hidden="1">{"'weekly data'!$A$2:$AS$36"}</definedName>
    <definedName name="HTML_Control4_3_1" localSheetId="6" hidden="1">{"'weekly data'!$A$2:$AS$36"}</definedName>
    <definedName name="HTML_Control4_3_1" hidden="1">{"'weekly data'!$A$2:$AS$36"}</definedName>
    <definedName name="HTML_Control4_4" localSheetId="5" hidden="1">{"'weekly data'!$A$2:$AS$36"}</definedName>
    <definedName name="HTML_Control4_4" localSheetId="6" hidden="1">{"'weekly data'!$A$2:$AS$36"}</definedName>
    <definedName name="HTML_Control4_4" hidden="1">{"'weekly data'!$A$2:$AS$36"}</definedName>
    <definedName name="HTML_Description" hidden="1">""</definedName>
    <definedName name="HTML_Email" hidden="1">""</definedName>
    <definedName name="HTML_Header" hidden="1">"CS holiday scorecard"</definedName>
    <definedName name="HTML_LastUpdate" hidden="1">"10/25/00"</definedName>
    <definedName name="HTML_LineAfter" hidden="1">FALSE</definedName>
    <definedName name="HTML_LineBefore" hidden="1">FALSE</definedName>
    <definedName name="HTML_Name" hidden="1">"emily alford"</definedName>
    <definedName name="HTML_OBDlg2" hidden="1">TRUE</definedName>
    <definedName name="HTML_OBDlg4" hidden="1">TRUE</definedName>
    <definedName name="HTML_OS" hidden="1">0</definedName>
    <definedName name="HTML_PathFile" hidden="1">"I:\dept\cs\us\manager\metrics\secure\holidayscorecard.html.htm"</definedName>
    <definedName name="HTML_Title" hidden="1">"CS holiday scorecard"</definedName>
    <definedName name="HTML1_1" hidden="1">"[TB9.XLS]St_tot_94_95!$A$1:$J$428"</definedName>
    <definedName name="HTML1_10" hidden="1">""</definedName>
    <definedName name="HTML1_11" hidden="1">1</definedName>
    <definedName name="HTML1_12" hidden="1">"F:\USERS\ECON\Census95\Int\T9ST.htm"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"2/17/98"</definedName>
    <definedName name="HTML1_9" hidden="1">"BPH"</definedName>
    <definedName name="HTML2_1" hidden="1">"[TB9.XLS]St_tot_94_95!$A$1:$J$427"</definedName>
    <definedName name="HTML2_10" hidden="1">""</definedName>
    <definedName name="HTML2_11" hidden="1">1</definedName>
    <definedName name="HTML2_12" hidden="1">"F:\USERS\ECON\Census95\Int\T9ST.htm"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"2/17/98"</definedName>
    <definedName name="HTML2_9" hidden="1">"BPH"</definedName>
    <definedName name="HTML3_1" hidden="1">"[TB9.XLS]St_tot_94_95!$A$1:$H$427"</definedName>
    <definedName name="HTML3_10" hidden="1">""</definedName>
    <definedName name="HTML3_11" hidden="1">1</definedName>
    <definedName name="HTML3_12" hidden="1">"F:\USERS\ECON\Census95\Int\T9st.htm"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"2/17/98"</definedName>
    <definedName name="HTML3_9" hidden="1">"BPH"</definedName>
    <definedName name="HTMLCount" hidden="1">3</definedName>
    <definedName name="huh?????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1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1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1_1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1_1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1_1_1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1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1_2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1_2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1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2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2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2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2_1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2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2_1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2_1_1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2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2_2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2_2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2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3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3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3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3_1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4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4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4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ibla" localSheetId="5" hidden="1">{"'vert'!$A$1:$T$117"}</definedName>
    <definedName name="ibla" localSheetId="6" hidden="1">{"'vert'!$A$1:$T$117"}</definedName>
    <definedName name="ibla" hidden="1">{"'vert'!$A$1:$T$117"}</definedName>
    <definedName name="ibla2" localSheetId="5" hidden="1">{"'vert'!$A$1:$T$117"}</definedName>
    <definedName name="ibla2" localSheetId="6" hidden="1">{"'vert'!$A$1:$T$117"}</definedName>
    <definedName name="ibla2" hidden="1">{"'vert'!$A$1:$T$117"}</definedName>
    <definedName name="ibla3" localSheetId="5" hidden="1">{"'vert'!$A$1:$T$117"}</definedName>
    <definedName name="ibla3" localSheetId="6" hidden="1">{"'vert'!$A$1:$T$117"}</definedName>
    <definedName name="ibla3" hidden="1">{"'vert'!$A$1:$T$117"}</definedName>
    <definedName name="icoop2" localSheetId="5" hidden="1">{"'vert'!$A$1:$T$117"}</definedName>
    <definedName name="icoop2" localSheetId="6" hidden="1">{"'vert'!$A$1:$T$117"}</definedName>
    <definedName name="icoop2" hidden="1">{"'vert'!$A$1:$T$117"}</definedName>
    <definedName name="ignore" localSheetId="5" hidden="1">{"'weekly data'!$A$2:$AS$36"}</definedName>
    <definedName name="ignore" localSheetId="6" hidden="1">{"'weekly data'!$A$2:$AS$36"}</definedName>
    <definedName name="ignore" hidden="1">{"'weekly data'!$A$2:$AS$36"}</definedName>
    <definedName name="ignore_1" localSheetId="5" hidden="1">{"'weekly data'!$A$2:$AS$36"}</definedName>
    <definedName name="ignore_1" localSheetId="6" hidden="1">{"'weekly data'!$A$2:$AS$36"}</definedName>
    <definedName name="ignore_1" hidden="1">{"'weekly data'!$A$2:$AS$36"}</definedName>
    <definedName name="ignore_1_1" localSheetId="5" hidden="1">{"'weekly data'!$A$2:$AS$36"}</definedName>
    <definedName name="ignore_1_1" localSheetId="6" hidden="1">{"'weekly data'!$A$2:$AS$36"}</definedName>
    <definedName name="ignore_1_1" hidden="1">{"'weekly data'!$A$2:$AS$36"}</definedName>
    <definedName name="ignore_1_1_1" localSheetId="5" hidden="1">{"'weekly data'!$A$2:$AS$36"}</definedName>
    <definedName name="ignore_1_1_1" localSheetId="6" hidden="1">{"'weekly data'!$A$2:$AS$36"}</definedName>
    <definedName name="ignore_1_1_1" hidden="1">{"'weekly data'!$A$2:$AS$36"}</definedName>
    <definedName name="ignore_1_2" localSheetId="5" hidden="1">{"'weekly data'!$A$2:$AS$36"}</definedName>
    <definedName name="ignore_1_2" localSheetId="6" hidden="1">{"'weekly data'!$A$2:$AS$36"}</definedName>
    <definedName name="ignore_1_2" hidden="1">{"'weekly data'!$A$2:$AS$36"}</definedName>
    <definedName name="ignore_2" localSheetId="5" hidden="1">{"'weekly data'!$A$2:$AS$36"}</definedName>
    <definedName name="ignore_2" localSheetId="6" hidden="1">{"'weekly data'!$A$2:$AS$36"}</definedName>
    <definedName name="ignore_2" hidden="1">{"'weekly data'!$A$2:$AS$36"}</definedName>
    <definedName name="ignore_2_1" localSheetId="5" hidden="1">{"'weekly data'!$A$2:$AS$36"}</definedName>
    <definedName name="ignore_2_1" localSheetId="6" hidden="1">{"'weekly data'!$A$2:$AS$36"}</definedName>
    <definedName name="ignore_2_1" hidden="1">{"'weekly data'!$A$2:$AS$36"}</definedName>
    <definedName name="ignore_2_1_1" localSheetId="5" hidden="1">{"'weekly data'!$A$2:$AS$36"}</definedName>
    <definedName name="ignore_2_1_1" localSheetId="6" hidden="1">{"'weekly data'!$A$2:$AS$36"}</definedName>
    <definedName name="ignore_2_1_1" hidden="1">{"'weekly data'!$A$2:$AS$36"}</definedName>
    <definedName name="ignore_2_2" localSheetId="5" hidden="1">{"'weekly data'!$A$2:$AS$36"}</definedName>
    <definedName name="ignore_2_2" localSheetId="6" hidden="1">{"'weekly data'!$A$2:$AS$36"}</definedName>
    <definedName name="ignore_2_2" hidden="1">{"'weekly data'!$A$2:$AS$36"}</definedName>
    <definedName name="ignore_3" localSheetId="5" hidden="1">{"'weekly data'!$A$2:$AS$36"}</definedName>
    <definedName name="ignore_3" localSheetId="6" hidden="1">{"'weekly data'!$A$2:$AS$36"}</definedName>
    <definedName name="ignore_3" hidden="1">{"'weekly data'!$A$2:$AS$36"}</definedName>
    <definedName name="ignore_3_1" localSheetId="5" hidden="1">{"'weekly data'!$A$2:$AS$36"}</definedName>
    <definedName name="ignore_3_1" localSheetId="6" hidden="1">{"'weekly data'!$A$2:$AS$36"}</definedName>
    <definedName name="ignore_3_1" hidden="1">{"'weekly data'!$A$2:$AS$36"}</definedName>
    <definedName name="ignore_4" localSheetId="5" hidden="1">{"'weekly data'!$A$2:$AS$36"}</definedName>
    <definedName name="ignore_4" localSheetId="6" hidden="1">{"'weekly data'!$A$2:$AS$36"}</definedName>
    <definedName name="ignore_4" hidden="1">{"'weekly data'!$A$2:$AS$36"}</definedName>
    <definedName name="ihtml_cont" localSheetId="5" hidden="1">{"'vert'!$A$1:$T$117"}</definedName>
    <definedName name="ihtml_cont" localSheetId="6" hidden="1">{"'vert'!$A$1:$T$117"}</definedName>
    <definedName name="ihtml_cont" hidden="1">{"'vert'!$A$1:$T$117"}</definedName>
    <definedName name="Input_Team">'[34]Curve Creator'!$G$16</definedName>
    <definedName name="international" localSheetId="5" hidden="1">{"'vert'!$A$1:$T$117"}</definedName>
    <definedName name="international" localSheetId="6" hidden="1">{"'vert'!$A$1:$T$117"}</definedName>
    <definedName name="international" hidden="1">{"'vert'!$A$1:$T$117"}</definedName>
    <definedName name="iopoipoipiopoipD" localSheetId="5" hidden="1">{"'vert'!$A$1:$T$117"}</definedName>
    <definedName name="iopoipoipiopoipD" localSheetId="6" hidden="1">{"'vert'!$A$1:$T$117"}</definedName>
    <definedName name="iopoipoipiopoipD" hidden="1">{"'vert'!$A$1:$T$117"}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"IQ_ACCOUNT_CHANGE"</definedName>
    <definedName name="IQ_ACCOUNTS_PAY" hidden="1">"IQ_ACCOUNTS_PAY"</definedName>
    <definedName name="IQ_ACCRUED_EXP" hidden="1">"IQ_ACCRUED_EXP"</definedName>
    <definedName name="IQ_ACQUIRED_BY_REPORTING_BANK_FDIC" hidden="1">"c6535"</definedName>
    <definedName name="IQ_ADD_PAID_IN" hidden="1">"IQ_ADD_PAID_IN"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MENDED_BALANCE_PREVIOUS_YR_FDIC" hidden="1">"c6499"</definedName>
    <definedName name="IQ_AMORT_EXPENSE_FDIC" hidden="1">"c6677"</definedName>
    <definedName name="IQ_AMORTIZATION" hidden="1">"IQ_AMORTIZATION"</definedName>
    <definedName name="IQ_AMORTIZED_COST_FDIC" hidden="1">"c6426"</definedName>
    <definedName name="IQ_ASSET_BACKED_FDIC" hidden="1">"c6301"</definedName>
    <definedName name="IQ_ASSET_TURNS" hidden="1">"IQ_ASSET_TURNS"</definedName>
    <definedName name="IQ_ASSETS_HELD_FDIC" hidden="1">"c6305"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"IQ_BASIC_EPS_EXCL"</definedName>
    <definedName name="IQ_BASIC_EPS_INCL" hidden="1">"IQ_BASIC_EPS_INCL"</definedName>
    <definedName name="IQ_BASIC_NORMAL_EPS" hidden="1">"IQ_BASIC_NORMAL_EPS"</definedName>
    <definedName name="IQ_BASIC_WEIGHT" hidden="1">"IQ_BASIC_WEIGHT"</definedName>
    <definedName name="IQ_BONDRATING_FITCH" hidden="1">"IQ_BONDRATING_FITCH"</definedName>
    <definedName name="IQ_BONDRATING_SP" hidden="1">"IQ_BONDRATING_SP"</definedName>
    <definedName name="IQ_BOOK_VALUE" hidden="1">"IQ_BOOK_VALUE"</definedName>
    <definedName name="IQ_BROKERED_DEPOSITS_FDIC" hidden="1">"c6486"</definedName>
    <definedName name="IQ_BV_OVER_SHARES" hidden="1">"IQ_BV_OVER_SHARES"</definedName>
    <definedName name="IQ_CAPEX" hidden="1">"IQ_CAPEX"</definedName>
    <definedName name="IQ_CAPITAL_LEASE" hidden="1">"IQ_CAPITAL_LEASE"</definedName>
    <definedName name="IQ_CASH" hidden="1">"IQ_CASH"</definedName>
    <definedName name="IQ_CASH_DIVIDENDS_NET_INCOME_FDIC" hidden="1">"c6738"</definedName>
    <definedName name="IQ_CASH_DUE_BANKS" hidden="1">"IQ_CASH_DUE_BANKS"</definedName>
    <definedName name="IQ_CASH_EQUIV" hidden="1">"IQ_CASH_EQUIV"</definedName>
    <definedName name="IQ_CASH_IN_PROCESS_FDIC" hidden="1">"c6386"</definedName>
    <definedName name="IQ_CASH_INTEREST" hidden="1">"IQ_CASH_INTEREST"</definedName>
    <definedName name="IQ_CASH_ST" hidden="1">"IQ_CASH_ST"</definedName>
    <definedName name="IQ_CASH_TAXES" hidden="1">"IQ_CASH_TAXES"</definedName>
    <definedName name="IQ_CCE_FDIC" hidden="1">"c6296"</definedName>
    <definedName name="IQ_CH" hidden="1">110000</definedName>
    <definedName name="IQ_CHANGE_OTHER_NET_OPER_ASSETS_BR" hidden="1">"c3595"</definedName>
    <definedName name="IQ_CHANGES_WORK_CAP" hidden="1">"IQ_CHANGES_WORK_CAP"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ITY" hidden="1">"IQ_CITY"</definedName>
    <definedName name="IQ_CLOSEPRICE" hidden="1">"IQ_CLOSEPRICE"</definedName>
    <definedName name="IQ_CMO_FDIC" hidden="1">"c6406"</definedName>
    <definedName name="IQ_COLLECTION_DOMESTIC_FDIC" hidden="1">"c6387"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RE_CONSTRUCTION_LAND_DEV_FDIC" hidden="1">"c6526"</definedName>
    <definedName name="IQ_COMMERCIAL_RE_LOANS_FDIC" hidden="1">"c6312"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_FDIC" hidden="1">"c6350"</definedName>
    <definedName name="IQ_COMMON_STOCK" hidden="1">"IQ_COMMON_STOCK"</definedName>
    <definedName name="IQ_COMPANY_ADDRESS" hidden="1">"IQ_COMPANY_ADDRESS"</definedName>
    <definedName name="IQ_COMPANY_NAME" hidden="1">"IQ_COMPANY_NAME"</definedName>
    <definedName name="IQ_COMPANY_PHONE" hidden="1">"IQ_COMPANY_PHONE"</definedName>
    <definedName name="IQ_COMPANY_STREET1" hidden="1">"IQ_COMPANY_STREET1"</definedName>
    <definedName name="IQ_COMPANY_STREET2" hidden="1">"IQ_COMPANY_STREET2"</definedName>
    <definedName name="IQ_COMPANY_TICKER" hidden="1">"IQ_COMPANY_TICKER"</definedName>
    <definedName name="IQ_COMPANY_WEBSITE" hidden="1">"IQ_COMPANY_WEBSITE"</definedName>
    <definedName name="IQ_COMPANY_ZIP" hidden="1">"IQ_COMPANY_ZIP"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TRACTS_OTHER_COMMODITIES_EQUITIES_FDIC" hidden="1">"c6522"</definedName>
    <definedName name="IQ_CONVEYED_TO_OTHERS_FDIC" hidden="1">"c6534"</definedName>
    <definedName name="IQ_CORE_CAPITAL_RATIO_FDIC" hidden="1">"c6745"</definedName>
    <definedName name="IQ_COST_OF_FUNDING_ASSETS_FDIC" hidden="1">"c6725"</definedName>
    <definedName name="IQ_COST_REVENUE" hidden="1">"IQ_COST_REVENUE"</definedName>
    <definedName name="IQ_COUNTRY_NAME" hidden="1">"IQ_COUNTRY_NAME"</definedName>
    <definedName name="IQ_CQ" hidden="1">5000</definedName>
    <definedName name="IQ_CREDIT_CARD_CHARGE_OFFS_FDIC" hidden="1">"c6652"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PROVISION_NET_CHARGE_OFFS_FDIC" hidden="1">"c6734"</definedName>
    <definedName name="IQ_CURRENCY_COIN_DOMESTIC_FDIC" hidden="1">"c6388"</definedName>
    <definedName name="IQ_CURRENT_PORT" hidden="1">"IQ_CURRENT_PORT"</definedName>
    <definedName name="IQ_CURRENT_RATIO" hidden="1">"IQ_CURRENT_RATIO"</definedName>
    <definedName name="IQ_CY" hidden="1">10000</definedName>
    <definedName name="IQ_DAILY" hidden="1">500000</definedName>
    <definedName name="IQ_DAYS_PAY_OUTST" hidden="1">"IQ_DAYS_PAY_OUTST"</definedName>
    <definedName name="IQ_DAYS_SALES_OUTST" hidden="1">"IQ_DAYS_SALES_OUTST"</definedName>
    <definedName name="IQ_DEFERRED_INC_TAX" hidden="1">"IQ_DEFERRED_INC_TAX"</definedName>
    <definedName name="IQ_DEFERRED_TAXES" hidden="1">"IQ_DEFERRED_TAXES"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"IQ_DEPRE_AMORT"</definedName>
    <definedName name="IQ_DEPRE_AMORT_SUPPL" hidden="1">"IQ_DEPRE_AMORT_SUPPL"</definedName>
    <definedName name="IQ_DEPRE_DEPLE" hidden="1">"IQ_DEPRE_DEPLE"</definedName>
    <definedName name="IQ_DEPRE_SUPP" hidden="1">"IQ_DEPRE_SUPP"</definedName>
    <definedName name="IQ_DERIVATIVES_FDIC" hidden="1">"c6523"</definedName>
    <definedName name="IQ_DESCRIPTION_LONG" hidden="1">"IQ_DESCRIPTION_LONG"</definedName>
    <definedName name="IQ_DILUT_ADJUST" hidden="1">"IQ_DILUT_ADJUST"</definedName>
    <definedName name="IQ_DILUT_EPS_EXCL" hidden="1">"IQ_DILUT_EPS_EXCL"</definedName>
    <definedName name="IQ_DILUT_EPS_INCL" hidden="1">"IQ_DILUT_EPS_INCL"</definedName>
    <definedName name="IQ_DILUT_NORMAL_EPS" hidden="1">"IQ_DILUT_NORMAL_EPS"</definedName>
    <definedName name="IQ_DILUT_WEIGHT" hidden="1">"IQ_DILUT_WEIGHT"</definedName>
    <definedName name="IQ_DISCONT_OPER" hidden="1">"IQ_DISCONT_OPER"</definedName>
    <definedName name="IQ_DISTRIBUTABLE_CASH_EST_CIQ" hidden="1">"c4802"</definedName>
    <definedName name="IQ_DISTRIBUTABLE_CASH_HIGH_EST_CIQ" hidden="1">"c4805"</definedName>
    <definedName name="IQ_DISTRIBUTABLE_CASH_LOW_EST_CIQ" hidden="1">"c4806"</definedName>
    <definedName name="IQ_DISTRIBUTABLE_CASH_MEDIAN_EST_CIQ" hidden="1">"c4807"</definedName>
    <definedName name="IQ_DISTRIBUTABLE_CASH_NUM_EST_CIQ" hidden="1">"c4808"</definedName>
    <definedName name="IQ_DISTRIBUTABLE_CASH_SHARE_EST_CIQ" hidden="1">"c4810"</definedName>
    <definedName name="IQ_DISTRIBUTABLE_CASH_SHARE_HIGH_EST_CIQ" hidden="1">"c4813"</definedName>
    <definedName name="IQ_DISTRIBUTABLE_CASH_SHARE_LOW_EST_CIQ" hidden="1">"c4814"</definedName>
    <definedName name="IQ_DISTRIBUTABLE_CASH_SHARE_MEDIAN_EST_CIQ" hidden="1">"c4815"</definedName>
    <definedName name="IQ_DISTRIBUTABLE_CASH_SHARE_NUM_EST_CIQ" hidden="1">"c4816"</definedName>
    <definedName name="IQ_DISTRIBUTABLE_CASH_SHARE_STDDEV_EST_CIQ" hidden="1">"c4817"</definedName>
    <definedName name="IQ_DISTRIBUTABLE_CASH_STDDEV_EST_CIQ" hidden="1">"c4819"</definedName>
    <definedName name="IQ_DIVID_SHARE" hidden="1">"IQ_DIVID_SHARE"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EARNING_ASSETS_FDIC" hidden="1">"c6360"</definedName>
    <definedName name="IQ_EARNING_ASSETS_YIELD_FDIC" hidden="1">"c6724"</definedName>
    <definedName name="IQ_EARNINGS_COVERAGE_NET_CHARGE_OFFS_FDIC" hidden="1">"c6735"</definedName>
    <definedName name="IQ_EBIT" hidden="1">"IQ_EBIT"</definedName>
    <definedName name="IQ_EBIT_10K" hidden="1">"IQ_EBIT_10K"</definedName>
    <definedName name="IQ_EBIT_10Q" hidden="1">"IQ_EBIT_10Q"</definedName>
    <definedName name="IQ_EBIT_10Q1" hidden="1">"IQ_EBIT_10Q1"</definedName>
    <definedName name="IQ_EBIT_GROWTH_1" hidden="1">"IQ_EBIT_GROWTH_1"</definedName>
    <definedName name="IQ_EBIT_GROWTH_2" hidden="1">"IQ_EBIT_GROWTH_2"</definedName>
    <definedName name="IQ_EBIT_MARGIN" hidden="1">"IQ_EBIT_MARGIN"</definedName>
    <definedName name="IQ_EBIT_OVER_IE" hidden="1">"IQ_EBIT_OVER_IE"</definedName>
    <definedName name="IQ_EBITDA" hidden="1">"IQ_EBITDA"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CAPEX_OVER_TOTAL_IE" hidden="1">"IQ_EBITDA_CAPEX_OVER_TOTAL_IE"</definedName>
    <definedName name="IQ_EBITDA_GROWTH_1" hidden="1">"IQ_EBITDA_GROWTH_1"</definedName>
    <definedName name="IQ_EBITDA_GROWTH_2" hidden="1">"IQ_EBITDA_GROWTH_2"</definedName>
    <definedName name="IQ_EBITDA_MARGIN" hidden="1">"IQ_EBITDA_MARGIN"</definedName>
    <definedName name="IQ_EBITDA_OVER_TOTAL_IE" hidden="1">"IQ_EBITDA_OVER_TOTAL_IE"</definedName>
    <definedName name="IQ_EFFECT_SPECIAL_CHARGE" hidden="1">"IQ_EFFECT_SPECIAL_CHARGE"</definedName>
    <definedName name="IQ_EFFICIENCY_RATIO_FDIC" hidden="1">"c6736"</definedName>
    <definedName name="IQ_EMPLOYEES" hidden="1">"IQ_EMPLOYEES"</definedName>
    <definedName name="IQ_ENTERPRISE_VALUE" hidden="1">"IQ_ENTERPRISE_VALUE"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EST" hidden="1">"IQ_EPS_EST"</definedName>
    <definedName name="IQ_EPS_EST_1" hidden="1">"IQ_EPS_EST_1"</definedName>
    <definedName name="IQ_EQUITY_AFFIL" hidden="1">"IQ_EQUITY_AFFIL"</definedName>
    <definedName name="IQ_EQUITY_CAPITAL_ASSETS_FDIC" hidden="1">"c6744"</definedName>
    <definedName name="IQ_EQUITY_FDIC" hidden="1">"c6353"</definedName>
    <definedName name="IQ_EQUITY_SECURITIES_FDIC" hidden="1">"c6304"</definedName>
    <definedName name="IQ_EQUITY_SECURITY_EXPOSURES_FDIC" hidden="1">"c6664"</definedName>
    <definedName name="IQ_EQV_OVER_BV" hidden="1">"IQ_EQV_OVER_BV"</definedName>
    <definedName name="IQ_EQV_OVER_LTM_PRETAX_INC" hidden="1">"IQ_EQV_OVER_LTM_PRETAX_INC"</definedName>
    <definedName name="IQ_ESOP_DEBT" hidden="1">"IQ_ESOP_DEBT"</definedName>
    <definedName name="IQ_ESTIMATED_ASSESSABLE_DEPOSITS_FDIC" hidden="1">"c6490"</definedName>
    <definedName name="IQ_ESTIMATED_INSURED_DEPOSITS_FDIC" hidden="1">"c6491"</definedName>
    <definedName name="IQ_EV_OVER_EMPLOYEE" hidden="1">"IQ_EV_OVER_EMPLOYEE"</definedName>
    <definedName name="IQ_EV_OVER_LTM_EBIT" hidden="1">"IQ_EV_OVER_LTM_EBIT"</definedName>
    <definedName name="IQ_EV_OVER_LTM_EBITDA" hidden="1">"IQ_EV_OVER_LTM_EBITDA"</definedName>
    <definedName name="IQ_EV_OVER_LTM_REVENUE" hidden="1">"IQ_EV_OVER_LTM_REVENUE"</definedName>
    <definedName name="IQ_EV_OVER_REVENUE_EST" hidden="1">"IQ_EV_OVER_REVENUE_EST"</definedName>
    <definedName name="IQ_EV_OVER_REVENUE_EST_1" hidden="1">"IQ_EV_OVER_REVENUE_EST_1"</definedName>
    <definedName name="IQ_EXCHANGE" hidden="1">"IQ_EXCHANGE"</definedName>
    <definedName name="IQ_EXTRA_ITEMS" hidden="1">"IQ_EXTRA_ITEMS"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ED_FUNDS_PURCHASED_FDIC" hidden="1">"c6343"</definedName>
    <definedName name="IQ_FED_FUNDS_SOLD_FDIC" hidden="1">"c6307"</definedName>
    <definedName name="IQ_FFO_ADJ_EST_CIQ" hidden="1">"c4959"</definedName>
    <definedName name="IQ_FFO_ADJ_HIGH_EST_CIQ" hidden="1">"c4962"</definedName>
    <definedName name="IQ_FFO_ADJ_LOW_EST_CIQ" hidden="1">"c4963"</definedName>
    <definedName name="IQ_FFO_ADJ_MEDIAN_EST_CIQ" hidden="1">"c4964"</definedName>
    <definedName name="IQ_FFO_ADJ_NUM_EST_CIQ" hidden="1">"c4965"</definedName>
    <definedName name="IQ_FFO_ADJ_STDDEV_EST_CIQ" hidden="1">"c4966"</definedName>
    <definedName name="IQ_FFO_EST_CIQ" hidden="1">"c4970"</definedName>
    <definedName name="IQ_FFO_HIGH_EST_CIQ" hidden="1">"c4977"</definedName>
    <definedName name="IQ_FFO_LOW_EST_CIQ" hidden="1">"c4978"</definedName>
    <definedName name="IQ_FFO_MEDIAN_EST_CIQ" hidden="1">"c4979"</definedName>
    <definedName name="IQ_FFO_NUM_EST_CIQ" hidden="1">"c4980"</definedName>
    <definedName name="IQ_FFO_STDDEV_EST_CIQ" hidden="1">"c4981"</definedName>
    <definedName name="IQ_FH" hidden="1">100000</definedName>
    <definedName name="IQ_FHLB_ADVANCES_FDIC" hidden="1">"c6366"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NANCING_CASH" hidden="1">"IQ_FINANCING_CASH"</definedName>
    <definedName name="IQ_FIVE_YEAR_FIXED_AND_FLOATING_RATE_FDIC" hidden="1">"c6422"</definedName>
    <definedName name="IQ_FIVE_YEAR_MORTGAGE_PASS_THROUGHS_FDIC" hidden="1">"c6414"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"IQ_FOREIGN_EXCHANGE"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Q" hidden="1">500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1" hidden="1">"LTM"</definedName>
    <definedName name="IQ_FX_CONTRACTS_FDIC" hidden="1">"c6517"</definedName>
    <definedName name="IQ_FX_CONTRACTS_SPOT_FDIC" hidden="1">"c6356"</definedName>
    <definedName name="IQ_FY" hidden="1">1000</definedName>
    <definedName name="IQ_FY_DATE" hidden="1">"IQ_FY_DATE"</definedName>
    <definedName name="IQ_GAIN_SALE_ASSETS" hidden="1">"IQ_GAIN_SALE_ASSETS"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"IQ_GOODWILL_NET"</definedName>
    <definedName name="IQ_GROSS_DIVID" hidden="1">"IQ_GROSS_DIVID"</definedName>
    <definedName name="IQ_GROSS_MARGIN" hidden="1">"IQ_GROSS_MARGIN"</definedName>
    <definedName name="IQ_GROSS_PROFIT" hidden="1">"IQ_GROSS_PROFIT"</definedName>
    <definedName name="IQ_HELD_MATURITY_FDIC" hidden="1">"c6408"</definedName>
    <definedName name="IQ_HIGHPRICE" hidden="1">"IQ_HIGHPRICE"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INC_AFTER_TAX" hidden="1">"IQ_INC_AFTER_TAX"</definedName>
    <definedName name="IQ_INC_AVAIL_EXCL" hidden="1">"IQ_INC_AVAIL_EXCL"</definedName>
    <definedName name="IQ_INC_AVAIL_INCL" hidden="1">"IQ_INC_AVAIL_INCL"</definedName>
    <definedName name="IQ_INC_BEFORE_TAX" hidden="1">"IQ_INC_BEFORE_TAX"</definedName>
    <definedName name="IQ_INC_TAX" hidden="1">"IQ_INC_TAX"</definedName>
    <definedName name="IQ_INC_TAX_EXCL" hidden="1">"IQ_INC_TAX_EXCL"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PROVIDED_DIVIDEND" hidden="1">"c19252"</definedName>
    <definedName name="IQ_INDEXCONSTITUENT_CLOSEPRICE" hidden="1">"c19241"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IDER_LOANS_FDIC" hidden="1">"c6365"</definedName>
    <definedName name="IQ_INSTITUTIONS_EARNINGS_GAINS_FDIC" hidden="1">"c6723"</definedName>
    <definedName name="IQ_INSURANCE_COMMISSION_FEES_FDIC" hidden="1">"c6670"</definedName>
    <definedName name="IQ_INSURANCE_UNDERWRITING_INCOME_FDIC" hidden="1">"c6671"</definedName>
    <definedName name="IQ_INT_DEMAND_NOTES_FDIC" hidden="1">"c6567"</definedName>
    <definedName name="IQ_INT_DOMESTIC_DEPOSITS_FDIC" hidden="1">"c6564"</definedName>
    <definedName name="IQ_INT_EXP_TOTAL_FDIC" hidden="1">"c6569"</definedName>
    <definedName name="IQ_INT_FED_FUNDS_FDIC" hidden="1">"c6566"</definedName>
    <definedName name="IQ_INT_FOREIGN_DEPOSITS_FDIC" hidden="1">"c6565"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OREIGN_LOANS_FDIC" hidden="1">"c6556"</definedName>
    <definedName name="IQ_INT_INC_LEASE_RECEIVABLES_FDIC" hidden="1">"c6557"</definedName>
    <definedName name="IQ_INT_INC_OTHER_FDIC" hidden="1">"c6562"</definedName>
    <definedName name="IQ_INT_INC_SECURITIES_FDIC" hidden="1">"c6559"</definedName>
    <definedName name="IQ_INT_INC_TOTAL_FDIC" hidden="1">"c6563"</definedName>
    <definedName name="IQ_INT_INC_TRADING_ACCOUNTS_FDIC" hidden="1">"c6560"</definedName>
    <definedName name="IQ_INT_SUB_NOTES_FDIC" hidden="1">"c6568"</definedName>
    <definedName name="IQ_INTANGIBLES_NET" hidden="1">"IQ_INTANGIBLES_NET"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EXP_NET" hidden="1">"IQ_INTEREST_EXP_NET"</definedName>
    <definedName name="IQ_INTEREST_EXP_NON" hidden="1">"IQ_INTEREST_EXP_NON"</definedName>
    <definedName name="IQ_INTEREST_EXP_SUPPL" hidden="1">"IQ_INTEREST_EXP_SUPPL"</definedName>
    <definedName name="IQ_INTEREST_INC" hidden="1">"IQ_INTEREST_INC"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"IQ_INTEREST_INC_NON"</definedName>
    <definedName name="IQ_INTEREST_RATE_CONTRACTS_FDIC" hidden="1">"c6512"</definedName>
    <definedName name="IQ_INTEREST_RATE_EXPOSURES_FDIC" hidden="1">"c6662"</definedName>
    <definedName name="IQ_INVENTORY_TURNS" hidden="1">"IQ_INVENTORY_TURNS"</definedName>
    <definedName name="IQ_INVESTMENT_BANKING_OTHER_FEES_FDIC" hidden="1">"c6666"</definedName>
    <definedName name="IQ_IRA_KEOGH_ACCOUNTS_FDIC" hidden="1">"c6496"</definedName>
    <definedName name="IQ_ISS_DEBT_NET" hidden="1">"IQ_ISS_DEBT_NET"</definedName>
    <definedName name="IQ_ISS_STOCK_NET" hidden="1">"IQ_ISS_STOCK_NET"</definedName>
    <definedName name="IQ_ISSUED_GUARANTEED_US_FDIC" hidden="1">"c6404"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SALEPRICE" hidden="1">"IQ_LASTSALEPRICE"</definedName>
    <definedName name="IQ_LATEST" hidden="1">"1"</definedName>
    <definedName name="IQ_LATESTK" hidden="1">"1000"</definedName>
    <definedName name="IQ_LATESTKFR" hidden="1">"50"</definedName>
    <definedName name="IQ_LATESTQ" hidden="1">"500"</definedName>
    <definedName name="IQ_LATESTQFR" hidden="1">"100"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IFE_INSURANCE_ASSETS_FDIC" hidden="1">"c6372"</definedName>
    <definedName name="IQ_LOAN_COMMITMENTS_REVOLVING_FDIC" hidden="1">"c6524"</definedName>
    <definedName name="IQ_LOAN_LOSS" hidden="1">"IQ_LOAN_LOSS"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S_AND_LEASES_HELD_FDIC" hidden="1">"c6367"</definedName>
    <definedName name="IQ_LOANS_DEPOSITORY_INSTITUTIONS_FDIC" hidden="1">"c6382"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"IQ_LONG_TERM_DEBT"</definedName>
    <definedName name="IQ_LONG_TERM_DEBT_OVER_TOTAL_CAP" hidden="1">"IQ_LONG_TERM_DEBT_OVER_TOTAL_CAP"</definedName>
    <definedName name="IQ_LONG_TERM_GROWTH" hidden="1">"IQ_LONG_TERM_GROWTH"</definedName>
    <definedName name="IQ_LONG_TERM_INV" hidden="1">"IQ_LONG_TERM_INV"</definedName>
    <definedName name="IQ_LOSS_ALLOWANCE_LOANS_FDIC" hidden="1">"c6739"</definedName>
    <definedName name="IQ_LOWPRICE" hidden="1">"IQ_LOWPRICE"</definedName>
    <definedName name="IQ_LTM" hidden="1">2000</definedName>
    <definedName name="IQ_LTM_DATE" hidden="1">"IQ_LTM_DATE"</definedName>
    <definedName name="IQ_LTM_REVENUE_OVER_EMPLOYEES" hidden="1">"IQ_LTM_REVENUE_OVER_EMPLOYEES"</definedName>
    <definedName name="IQ_LTMMONTH" hidden="1">120000</definedName>
    <definedName name="IQ_MARKETCAP" hidden="1">"IQ_MARKETCAP"</definedName>
    <definedName name="IQ_MATURITY_ONE_YEAR_LESS_FDIC" hidden="1">"c6425"</definedName>
    <definedName name="IQ_MINORITY_INTEREST" hidden="1">"IQ_MINORITY_INTEREST"</definedName>
    <definedName name="IQ_MINORITY_INTEREST_IS" hidden="1">"IQ_MINORITY_INTEREST_IS"</definedName>
    <definedName name="IQ_MISC_EARN_ADJ" hidden="1">"IQ_MISC_EARN_ADJ"</definedName>
    <definedName name="IQ_MONEY_MARKET_DEPOSIT_ACCOUNTS_FDIC" hidden="1">"c6553"</definedName>
    <definedName name="IQ_MONTH" hidden="1">15000</definedName>
    <definedName name="IQ_MORTGAGE_BACKED_SECURITIES_FDIC" hidden="1">"c6402"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40736.3821990741</definedName>
    <definedName name="IQ_NET_CHANGE" hidden="1">"IQ_NET_CHANGE"</definedName>
    <definedName name="IQ_NET_CHARGE_OFFS_FDIC" hidden="1">"c6641"</definedName>
    <definedName name="IQ_NET_CHARGE_OFFS_LOANS_FDIC" hidden="1">"c6751"</definedName>
    <definedName name="IQ_NET_DEBT" hidden="1">"IQ_NET_DEBT"</definedName>
    <definedName name="IQ_NET_INC" hidden="1">"IQ_NET_INC"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"IQ_NET_INC_BEFORE"</definedName>
    <definedName name="IQ_NET_INC_GROWTH_1" hidden="1">"IQ_NET_INC_GROWTH_1"</definedName>
    <definedName name="IQ_NET_INC_GROWTH_2" hidden="1">"IQ_NET_INC_GROWTH_2"</definedName>
    <definedName name="IQ_NET_INC_MARGIN" hidden="1">"IQ_NET_INC_MARGIN"</definedName>
    <definedName name="IQ_NET_INCOME_FDIC" hidden="1">"c6587"</definedName>
    <definedName name="IQ_NET_INT_INC_BNK_FDIC" hidden="1">"c6570"</definedName>
    <definedName name="IQ_NET_INTEREST_INC" hidden="1">"IQ_NET_INTEREST_INC"</definedName>
    <definedName name="IQ_NET_INTEREST_INC_AFTER_LL" hidden="1">"IQ_NET_INTEREST_INC_AFTER_LL"</definedName>
    <definedName name="IQ_NET_INTEREST_MARGIN_FDIC" hidden="1">"c6726"</definedName>
    <definedName name="IQ_NET_LOANS" hidden="1">"IQ_NET_LOANS"</definedName>
    <definedName name="IQ_NET_LOANS_LEASES_CORE_DEPOSITS_FDIC" hidden="1">"c6743"</definedName>
    <definedName name="IQ_NET_LOANS_LEASES_DEPOSITS_FDIC" hidden="1">"c6742"</definedName>
    <definedName name="IQ_NET_OPERATING_INCOME_ASSETS_FDIC" hidden="1">"c6729"</definedName>
    <definedName name="IQ_NET_SECURITIZATION_INCOME_FDIC" hidden="1">"c6669"</definedName>
    <definedName name="IQ_NET_SERVICING_FEES_FDIC" hidden="1">"c6668"</definedName>
    <definedName name="IQ_NON_CASH" hidden="1">"IQ_NON_CASH"</definedName>
    <definedName name="IQ_NON_INT_EXP_FDIC" hidden="1">"c6579"</definedName>
    <definedName name="IQ_NON_INT_INC_FDIC" hidden="1">"c6575"</definedName>
    <definedName name="IQ_NON_INTEREST_EXP" hidden="1">"IQ_NON_INTEREST_EXP"</definedName>
    <definedName name="IQ_NON_INTEREST_INC" hidden="1">"IQ_NON_INTEREST_INC"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TRANSACTION_ACCOUNTS_FDIC" hidden="1">"c6552"</definedName>
    <definedName name="IQ_NORMAL_INC_AFTER" hidden="1">"IQ_NORMAL_INC_AFTER"</definedName>
    <definedName name="IQ_NORMAL_INC_AVAIL" hidden="1">"IQ_NORMAL_INC_AVAIL"</definedName>
    <definedName name="IQ_NORMAL_INC_BEFORE" hidden="1">"IQ_NORMAL_INC_BEFORE"</definedName>
    <definedName name="IQ_NOTES_PAY" hidden="1">"IQ_NOTES_PAY"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TM" hidden="1">6000</definedName>
    <definedName name="IQ_NUMBER_DEPOSITS_LESS_THAN_100K_FDIC" hidden="1">"c6495"</definedName>
    <definedName name="IQ_NUMBER_DEPOSITS_MORE_THAN_100K_FDIC" hidden="1">"c6493"</definedName>
    <definedName name="IQ_OBLIGATIONS_OF_STATES_TOTAL_LOANS_FOREIGN_FDIC" hidden="1">"c6447"</definedName>
    <definedName name="IQ_OBLIGATIONS_STATES_FDIC" hidden="1">"c6431"</definedName>
    <definedName name="IQ_OPENED55" hidden="1">1</definedName>
    <definedName name="IQ_OPENPRICE" hidden="1">"IQ_OPENPRICE"</definedName>
    <definedName name="IQ_OPER_INC" hidden="1">"IQ_OPER_INC"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MORT_BR" hidden="1">"c5566"</definedName>
    <definedName name="IQ_OTHER_ASSETS" hidden="1">"IQ_OTHER_ASSETS"</definedName>
    <definedName name="IQ_OTHER_ASSETS_FDIC" hidden="1">"c6338"</definedName>
    <definedName name="IQ_OTHER_BORROWED_FUNDS_FDIC" hidden="1">"c6345"</definedName>
    <definedName name="IQ_OTHER_COMPREHENSIVE_INCOME_FDIC" hidden="1">"c6503"</definedName>
    <definedName name="IQ_OTHER_CURRENT_ASSETS" hidden="1">"IQ_OTHER_CURRENT_ASSETS"</definedName>
    <definedName name="IQ_OTHER_CURRENT_LIAB" hidden="1">"IQ_OTHER_CURRENT_LIAB"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"IQ_OTHER_EARNING"</definedName>
    <definedName name="IQ_OTHER_EQUITY" hidden="1">"IQ_OTHER_EQUITY"</definedName>
    <definedName name="IQ_OTHER_INSURANCE_FEES_FDIC" hidden="1">"c6672"</definedName>
    <definedName name="IQ_OTHER_INTANGIBLE_FDIC" hidden="1">"c6337"</definedName>
    <definedName name="IQ_OTHER_INVESTING" hidden="1">"IQ_OTHER_INVESTING"</definedName>
    <definedName name="IQ_OTHER_LIAB" hidden="1">"IQ_OTHER_LIAB"</definedName>
    <definedName name="IQ_OTHER_LIABILITIES_FDIC" hidden="1">"c6347"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"IQ_OTHER_LONG_TERM"</definedName>
    <definedName name="IQ_OTHER_NET" hidden="1">"IQ_OTHER_NET"</definedName>
    <definedName name="IQ_OTHER_NON_INT_EXP_FDIC" hidden="1">"c6578"</definedName>
    <definedName name="IQ_OTHER_NON_INT_EXPENSE_FDIC" hidden="1">"c6679"</definedName>
    <definedName name="IQ_OTHER_NON_INT_INC_FDIC" hidden="1">"c6676"</definedName>
    <definedName name="IQ_OTHER_OFF_BS_LIAB_FDIC" hidden="1">"c6533"</definedName>
    <definedName name="IQ_OTHER_OPER" hidden="1">"IQ_OTHER_OPER"</definedName>
    <definedName name="IQ_OTHER_RE_OWNED_FDIC" hidden="1">"c6330"</definedName>
    <definedName name="IQ_OTHER_RECEIV" hidden="1">"IQ_OTHER_RECEIV"</definedName>
    <definedName name="IQ_OTHER_REVENUE" hidden="1">"IQ_OTHER_REVENUE"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"IQ_PAY_ACCRUED"</definedName>
    <definedName name="IQ_PERCENT_CHANGE_EST_FFO_12MONTHS_CIQ" hidden="1">"c3769"</definedName>
    <definedName name="IQ_PERCENT_CHANGE_EST_FFO_18MONTHS_CIQ" hidden="1">"c3770"</definedName>
    <definedName name="IQ_PERCENT_CHANGE_EST_FFO_3MONTHS_CIQ" hidden="1">"c3766"</definedName>
    <definedName name="IQ_PERCENT_CHANGE_EST_FFO_6MONTHS_CIQ" hidden="1">"c3767"</definedName>
    <definedName name="IQ_PERCENT_CHANGE_EST_FFO_9MONTHS_CIQ" hidden="1">"c3768"</definedName>
    <definedName name="IQ_PERCENT_CHANGE_EST_FFO_DAY_CIQ" hidden="1">"c3764"</definedName>
    <definedName name="IQ_PERCENT_CHANGE_EST_FFO_MONTH_CIQ" hidden="1">"c3765"</definedName>
    <definedName name="IQ_PERCENT_CHANGE_EST_FFO_SHARE_SHARE_12MONTHS" hidden="1">"c1828"</definedName>
    <definedName name="IQ_PERCENT_CHANGE_EST_FFO_SHARE_SHARE_12MONTHS_CIQ" hidden="1">"c3769"</definedName>
    <definedName name="IQ_PERCENT_CHANGE_EST_FFO_SHARE_SHARE_18MONTHS" hidden="1">"c1829"</definedName>
    <definedName name="IQ_PERCENT_CHANGE_EST_FFO_SHARE_SHARE_18MONTHS_CIQ" hidden="1">"c3770"</definedName>
    <definedName name="IQ_PERCENT_CHANGE_EST_FFO_SHARE_SHARE_3MONTHS" hidden="1">"c1825"</definedName>
    <definedName name="IQ_PERCENT_CHANGE_EST_FFO_SHARE_SHARE_3MONTHS_CIQ" hidden="1">"c3766"</definedName>
    <definedName name="IQ_PERCENT_CHANGE_EST_FFO_SHARE_SHARE_6MONTHS" hidden="1">"c1826"</definedName>
    <definedName name="IQ_PERCENT_CHANGE_EST_FFO_SHARE_SHARE_6MONTHS_CIQ" hidden="1">"c3767"</definedName>
    <definedName name="IQ_PERCENT_CHANGE_EST_FFO_SHARE_SHARE_9MONTHS" hidden="1">"c1827"</definedName>
    <definedName name="IQ_PERCENT_CHANGE_EST_FFO_SHARE_SHARE_9MONTHS_CIQ" hidden="1">"c3768"</definedName>
    <definedName name="IQ_PERCENT_CHANGE_EST_FFO_SHARE_SHARE_DAY" hidden="1">"c1822"</definedName>
    <definedName name="IQ_PERCENT_CHANGE_EST_FFO_SHARE_SHARE_DAY_CIQ" hidden="1">"c3764"</definedName>
    <definedName name="IQ_PERCENT_CHANGE_EST_FFO_SHARE_SHARE_MONTH" hidden="1">"c1824"</definedName>
    <definedName name="IQ_PERCENT_CHANGE_EST_FFO_SHARE_SHARE_MONTH_CIQ" hidden="1">"c3765"</definedName>
    <definedName name="IQ_PERCENT_CHANGE_EST_FFO_SHARE_SHARE_WEEK" hidden="1">"c1823"</definedName>
    <definedName name="IQ_PERCENT_CHANGE_EST_FFO_SHARE_SHARE_WEEK_CIQ" hidden="1">"c3795"</definedName>
    <definedName name="IQ_PERCENT_CHANGE_EST_FFO_WEEK_CIQ" hidden="1">"c3795"</definedName>
    <definedName name="IQ_PERCENT_INSURED_FDIC" hidden="1">"c6374"</definedName>
    <definedName name="IQ_PERIODDATE" hidden="1">"IQ_PERIODDATE"</definedName>
    <definedName name="IQ_PERIODDATE_FDIC" hidden="1">"c13646"</definedName>
    <definedName name="IQ_PLEDGED_SECURITIES_FDIC" hidden="1">"c6401"</definedName>
    <definedName name="IQ_PRE_TAX_INCOME_FDIC" hidden="1">"c6581"</definedName>
    <definedName name="IQ_PREF_DIVID" hidden="1">"IQ_PREF_DIVID"</definedName>
    <definedName name="IQ_PREF_STOCK" hidden="1">"IQ_PREF_STOCK"</definedName>
    <definedName name="IQ_PREFERRED_FDIC" hidden="1">"c6349"</definedName>
    <definedName name="IQ_PREMISES_EQUIPMENT_FDIC" hidden="1">"c6577"</definedName>
    <definedName name="IQ_PREPAID_EXPEN" hidden="1">"IQ_PREPAID_EXPEN"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RETURN_ASSETS_FDIC" hidden="1">"c6731"</definedName>
    <definedName name="IQ_PRICE_OVER_EPS_EST" hidden="1">"IQ_PRICE_OVER_EPS_EST"</definedName>
    <definedName name="IQ_PRICE_OVER_EPS_EST_1" hidden="1">"IQ_PRICE_OVER_EPS_EST_1"</definedName>
    <definedName name="IQ_PRICE_OVER_LTM_EPS" hidden="1">"IQ_PRICE_OVER_LTM_EPS"</definedName>
    <definedName name="IQ_PRICEDATE" hidden="1">"IQ_PRICEDATE"</definedName>
    <definedName name="IQ_PRICEDATETIME" hidden="1">"IQ_PRICEDATETIME"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"IQ_PRO_FORMA_BASIC_EPS"</definedName>
    <definedName name="IQ_PRO_FORMA_DILUT_EPS" hidden="1">"IQ_PRO_FORMA_DILUT_EPS"</definedName>
    <definedName name="IQ_PRO_FORMA_NET_INC" hidden="1">"IQ_PRO_FORMA_NET_INC"</definedName>
    <definedName name="IQ_PROPERTY_GROSS" hidden="1">"IQ_PROPERTY_GROSS"</definedName>
    <definedName name="IQ_PROPERTY_NET" hidden="1">"IQ_PROPERTY_NET"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QTD" hidden="1">750000</definedName>
    <definedName name="IQ_QUICK_RATIO" hidden="1">"IQ_QUICK_RATIO"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"IQ_REDEEM_PREF_STOCK"</definedName>
    <definedName name="IQ_RELATED_PLANS_FDIC" hidden="1">"c6320"</definedName>
    <definedName name="IQ_RESEARCH_DEV" hidden="1">"IQ_RESEARCH_DEV"</definedName>
    <definedName name="IQ_RESTATEMENTS_NET_FDIC" hidden="1">"c6500"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DEPOSITS_FDIC" hidden="1">"c6488"</definedName>
    <definedName name="IQ_RETAINED_EARN" hidden="1">"IQ_RETAINED_EARN"</definedName>
    <definedName name="IQ_RETAINED_EARNINGS_AVERAGE_EQUITY_FDIC" hidden="1">"c6733"</definedName>
    <definedName name="IQ_RETURN_ASSETS" hidden="1">"IQ_RETURN_ASSETS"</definedName>
    <definedName name="IQ_RETURN_ASSETS_FDIC" hidden="1">"c6730"</definedName>
    <definedName name="IQ_RETURN_EQUITY" hidden="1">"IQ_RETURN_EQUITY"</definedName>
    <definedName name="IQ_RETURN_EQUITY_FDIC" hidden="1">"c6732"</definedName>
    <definedName name="IQ_RETURN_INVESTMENT" hidden="1">"IQ_RETURN_INVESTMENT"</definedName>
    <definedName name="IQ_REVALUATION_GAINS_FDIC" hidden="1">"c6428"</definedName>
    <definedName name="IQ_REVALUATION_LOSSES_FDIC" hidden="1">"c6429"</definedName>
    <definedName name="IQ_REVENUE" hidden="1">"IQ_REVENUE"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EST" hidden="1">"IQ_REVENUE_EST"</definedName>
    <definedName name="IQ_REVENUE_EST_1" hidden="1">"IQ_REVENUE_EST_1"</definedName>
    <definedName name="IQ_REVENUE_GROWTH_1" hidden="1">"IQ_REVENUE_GROWTH_1"</definedName>
    <definedName name="IQ_REVENUE_GROWTH_2" hidden="1">"IQ_REVENUE_GROWTH_2"</definedName>
    <definedName name="IQ_RISK_WEIGHTED_ASSETS_FDIC" hidden="1">"c6370"</definedName>
    <definedName name="IQ_SALARY_FDIC" hidden="1">"c6576"</definedName>
    <definedName name="IQ_SALE_CONVERSION_RETIREMENT_STOCK_FDIC" hidden="1">"c6661"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RVICE_CHARGES_FDIC" hidden="1">"c6572"</definedName>
    <definedName name="IQ_SGA" hidden="1">"IQ_SGA"</definedName>
    <definedName name="IQ_SHARESOUTSTANDING" hidden="1">"IQ_SHARESOUTSTANDING"</definedName>
    <definedName name="IQ_SHORT_TERM_INVEST" hidden="1">"IQ_SHORT_TERM_INVEST"</definedName>
    <definedName name="IQ_STATE" hidden="1">"IQ_STATE"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OCK_BASED" hidden="1">"IQ_STOCK_BASED"</definedName>
    <definedName name="IQ_SUB_DEBT_FDIC" hidden="1">"c6346"</definedName>
    <definedName name="IQ_SURPLUS_FDIC" hidden="1">"c6351"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ME_DEPOSITS_LESS_THAN_100K_FDIC" hidden="1">"c6465"</definedName>
    <definedName name="IQ_TIME_DEPOSITS_MORE_THAN_100K_FDIC" hidden="1">"c6470"</definedName>
    <definedName name="IQ_TODAY" hidden="1">"0"</definedName>
    <definedName name="IQ_TOTAL_ASSETS" hidden="1">"IQ_TOTAL_ASSETS"</definedName>
    <definedName name="IQ_TOTAL_ASSETS_FDIC" hidden="1">"c6339"</definedName>
    <definedName name="IQ_TOTAL_CASH_DIVID" hidden="1">"IQ_TOTAL_CASH_DIVID"</definedName>
    <definedName name="IQ_TOTAL_CASH_FINAN" hidden="1">"IQ_TOTAL_CASH_FINAN"</definedName>
    <definedName name="IQ_TOTAL_CASH_INVEST" hidden="1">"IQ_TOTAL_CASH_INVEST"</definedName>
    <definedName name="IQ_TOTAL_CASH_OPER" hidden="1">"IQ_TOTAL_CASH_OPER"</definedName>
    <definedName name="IQ_TOTAL_CHARGE_OFFS_FDIC" hidden="1">"c6603"</definedName>
    <definedName name="IQ_TOTAL_COMMON" hidden="1">"IQ_TOTAL_COMMON"</definedName>
    <definedName name="IQ_TOTAL_CURRENT_ASSETS" hidden="1">"IQ_TOTAL_CURRENT_ASSETS"</definedName>
    <definedName name="IQ_TOTAL_CURRENT_LIAB" hidden="1">"IQ_TOTAL_CURRENT_LIAB"</definedName>
    <definedName name="IQ_TOTAL_DEBT" hidden="1">"IQ_TOTAL_DEBT"</definedName>
    <definedName name="IQ_TOTAL_DEBT_OVER_EBITDA" hidden="1">"IQ_TOTAL_DEBT_OVER_EBITDA"</definedName>
    <definedName name="IQ_TOTAL_DEBT_OVER_TOTAL_BV" hidden="1">"IQ_TOTAL_DEBT_OVER_TOTAL_BV"</definedName>
    <definedName name="IQ_TOTAL_DEBT_OVER_TOTAL_CAP" hidden="1">"IQ_TOTAL_DEBT_OVER_TOTAL_CAP"</definedName>
    <definedName name="IQ_TOTAL_DEBT_SECURITIES_FDIC" hidden="1">"c6410"</definedName>
    <definedName name="IQ_TOTAL_DEPOSITS_FDIC" hidden="1">"c6342"</definedName>
    <definedName name="IQ_TOTAL_EMPLOYEES_FDIC" hidden="1">"c6355"</definedName>
    <definedName name="IQ_TOTAL_EQUITY" hidden="1">"IQ_TOTAL_EQUITY"</definedName>
    <definedName name="IQ_TOTAL_INTEREST_EXP" hidden="1">"IQ_TOTAL_INTEREST_EXP"</definedName>
    <definedName name="IQ_TOTAL_INVENTORY" hidden="1">"IQ_TOTAL_INVENTORY"</definedName>
    <definedName name="IQ_TOTAL_LIAB" hidden="1">"IQ_TOTAL_LIAB"</definedName>
    <definedName name="IQ_TOTAL_LIAB_EQUITY_FDIC" hidden="1">"c6354"</definedName>
    <definedName name="IQ_TOTAL_LIAB_SHAREHOLD" hidden="1">"IQ_TOTAL_LIAB_SHAREHOLD"</definedName>
    <definedName name="IQ_TOTAL_LIABILITIES_FDIC" hidden="1">"c6348"</definedName>
    <definedName name="IQ_TOTAL_LONG_DEBT" hidden="1">"IQ_TOTAL_LONG_DEBT"</definedName>
    <definedName name="IQ_TOTAL_OPER_EXPEN" hidden="1">"IQ_TOTAL_OPER_EXPEN"</definedName>
    <definedName name="IQ_TOTAL_RECEIV" hidden="1">"IQ_TOTAL_RECEIV"</definedName>
    <definedName name="IQ_TOTAL_RECOVERIES_FDIC" hidden="1">"c6622"</definedName>
    <definedName name="IQ_TOTAL_REV_BNK_FDIC" hidden="1">"c6786"</definedName>
    <definedName name="IQ_TOTAL_REVENUE" hidden="1">"IQ_TOTAL_REVENUE"</definedName>
    <definedName name="IQ_TOTAL_RISK_BASED_CAPITAL_RATIO_FDIC" hidden="1">"c6747"</definedName>
    <definedName name="IQ_TOTAL_SECURITIES_FDIC" hidden="1">"c6306"</definedName>
    <definedName name="IQ_TOTAL_SPECIAL" hidden="1">"IQ_TOTAL_SPECIAL"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_BR" hidden="1">"c5517"</definedName>
    <definedName name="IQ_TRADE_AR" hidden="1">"IQ_TRADE_AR"</definedName>
    <definedName name="IQ_TRADING_ACCOUNT_GAINS_FEES_FDIC" hidden="1">"c6573"</definedName>
    <definedName name="IQ_TRADING_ASSETS_FDIC" hidden="1">"c6328"</definedName>
    <definedName name="IQ_TRADING_LIABILITIES_FDIC" hidden="1">"c6344"</definedName>
    <definedName name="IQ_TRANSACTION_ACCOUNTS_FDIC" hidden="1">"c6544"</definedName>
    <definedName name="IQ_TREASURY_STOCK" hidden="1">"IQ_TREASURY_STOCK"</definedName>
    <definedName name="IQ_TREASURY_STOCK_TRANSACTIONS_FDIC" hidden="1">"c6501"</definedName>
    <definedName name="IQ_TWELVE_MONTHS_FIXED_AND_FLOATING_FDIC" hidden="1">"c6420"</definedName>
    <definedName name="IQ_TWELVE_MONTHS_MORTGAGE_PASS_THROUGHS_FDIC" hidden="1">"c6412"</definedName>
    <definedName name="IQ_UNDIVIDED_PROFITS_FDIC" hidden="1">"c6352"</definedName>
    <definedName name="IQ_UNEARNED_INCOME_FDIC" hidden="1">"c6324"</definedName>
    <definedName name="IQ_UNEARNED_INCOME_FOREIGN_FDIC" hidden="1">"c6385"</definedName>
    <definedName name="IQ_UNPROFITABLE_INSTITUTIONS_FDIC" hidden="1">"c6722"</definedName>
    <definedName name="IQ_UNREALIZED_GAIN" hidden="1">"IQ_UNREALIZED_GAIN"</definedName>
    <definedName name="IQ_UNUSED_LOAN_COMMITMENTS_FDIC" hidden="1">"c6368"</definedName>
    <definedName name="IQ_UNUSUAL_EXP" hidden="1">"IQ_UNUSUAL_EXP"</definedName>
    <definedName name="IQ_US_BRANCHES_FOREIGN_BANK_LOANS_FDIC" hidden="1">"c6435"</definedName>
    <definedName name="IQ_US_BRANCHES_FOREIGN_BANKS_FDIC" hidden="1">"c6390"</definedName>
    <definedName name="IQ_US_GAAP" hidden="1">"IQ_US_GAAP"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VALUATION_ALLOWANCES_FDIC" hidden="1">"c6400"</definedName>
    <definedName name="IQ_VC_REVENUE_FDIC" hidden="1">"c6667"</definedName>
    <definedName name="IQ_VOLATILE_LIABILITIES_FDIC" hidden="1">"c6364"</definedName>
    <definedName name="IQ_VOLUME" hidden="1">"IQ_VOLUME"</definedName>
    <definedName name="IQ_WEEK" hidden="1">50000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YEARHIGH" hidden="1">"IQ_YEARHIGH"</definedName>
    <definedName name="IQ_YEARLOW" hidden="1">"IQ_YEARLOW"</definedName>
    <definedName name="IQ_YTD" hidden="1">3000</definedName>
    <definedName name="IQ_YTDMONTH" hidden="1">130000</definedName>
    <definedName name="IS_History_Lookup">'[26]Internal History'!$B$8:$AP$102</definedName>
    <definedName name="iuhiliu" localSheetId="5" hidden="1">{#N/A,#N/A,FALSE,"Sheet1"}</definedName>
    <definedName name="iuhiliu" localSheetId="6" hidden="1">{#N/A,#N/A,FALSE,"Sheet1"}</definedName>
    <definedName name="iuhiliu" hidden="1">{#N/A,#N/A,FALSE,"Sheet1"}</definedName>
    <definedName name="iui" hidden="1">#REF!</definedName>
    <definedName name="j" localSheetId="5" hidden="1">{"'vert'!$A$1:$T$117"}</definedName>
    <definedName name="j" localSheetId="6" hidden="1">{"'vert'!$A$1:$T$117"}</definedName>
    <definedName name="j" hidden="1">{"'vert'!$A$1:$T$117"}</definedName>
    <definedName name="j_1" localSheetId="5" hidden="1">{"'vert'!$A$1:$T$117"}</definedName>
    <definedName name="j_1" localSheetId="6" hidden="1">{"'vert'!$A$1:$T$117"}</definedName>
    <definedName name="j_1" hidden="1">{"'vert'!$A$1:$T$117"}</definedName>
    <definedName name="j_1_1" localSheetId="5" hidden="1">{"'vert'!$A$1:$T$117"}</definedName>
    <definedName name="j_1_1" localSheetId="6" hidden="1">{"'vert'!$A$1:$T$117"}</definedName>
    <definedName name="j_1_1" hidden="1">{"'vert'!$A$1:$T$117"}</definedName>
    <definedName name="j_1_2" localSheetId="5" hidden="1">{"'vert'!$A$1:$T$117"}</definedName>
    <definedName name="j_1_2" localSheetId="6" hidden="1">{"'vert'!$A$1:$T$117"}</definedName>
    <definedName name="j_1_2" hidden="1">{"'vert'!$A$1:$T$117"}</definedName>
    <definedName name="j_2" localSheetId="5" hidden="1">{"'vert'!$A$1:$T$117"}</definedName>
    <definedName name="j_2" localSheetId="6" hidden="1">{"'vert'!$A$1:$T$117"}</definedName>
    <definedName name="j_2" hidden="1">{"'vert'!$A$1:$T$117"}</definedName>
    <definedName name="j_3" localSheetId="5" hidden="1">{"'vert'!$A$1:$T$117"}</definedName>
    <definedName name="j_3" localSheetId="6" hidden="1">{"'vert'!$A$1:$T$117"}</definedName>
    <definedName name="j_3" hidden="1">{"'vert'!$A$1:$T$117"}</definedName>
    <definedName name="JAWApprovalStatus">[1]Lists!$G$33:$G$36</definedName>
    <definedName name="JAWVPDirect">[1]Lists!$A$33:$A$40</definedName>
    <definedName name="jhh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jhh" localSheetId="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jhh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jhl" localSheetId="5" hidden="1">{#N/A,#N/A,FALSE,"Sheet1"}</definedName>
    <definedName name="jhl" localSheetId="6" hidden="1">{#N/A,#N/A,FALSE,"Sheet1"}</definedName>
    <definedName name="jhl" hidden="1">{#N/A,#N/A,FALSE,"Sheet1"}</definedName>
    <definedName name="ji" localSheetId="5" hidden="1">{#N/A,#N/A,FALSE,"Sheet1"}</definedName>
    <definedName name="ji" localSheetId="6" hidden="1">{#N/A,#N/A,FALSE,"Sheet1"}</definedName>
    <definedName name="ji" hidden="1">{#N/A,#N/A,FALSE,"Sheet1"}</definedName>
    <definedName name="jjj" localSheetId="5" hidden="1">{#N/A,#N/A,FALSE,"Sheet1"}</definedName>
    <definedName name="jjj" localSheetId="6" hidden="1">{#N/A,#N/A,FALSE,"Sheet1"}</definedName>
    <definedName name="jjj" hidden="1">{#N/A,#N/A,FALSE,"Sheet1"}</definedName>
    <definedName name="jjj_1" localSheetId="5" hidden="1">{"'vert'!$A$1:$T$117"}</definedName>
    <definedName name="jjj_1" localSheetId="6" hidden="1">{"'vert'!$A$1:$T$117"}</definedName>
    <definedName name="jjj_1" hidden="1">{"'vert'!$A$1:$T$117"}</definedName>
    <definedName name="jjj_1_1" localSheetId="5" hidden="1">{"'vert'!$A$1:$T$117"}</definedName>
    <definedName name="jjj_1_1" localSheetId="6" hidden="1">{"'vert'!$A$1:$T$117"}</definedName>
    <definedName name="jjj_1_1" hidden="1">{"'vert'!$A$1:$T$117"}</definedName>
    <definedName name="jjj_1_1_1" localSheetId="5" hidden="1">{"'vert'!$A$1:$T$117"}</definedName>
    <definedName name="jjj_1_1_1" localSheetId="6" hidden="1">{"'vert'!$A$1:$T$117"}</definedName>
    <definedName name="jjj_1_1_1" hidden="1">{"'vert'!$A$1:$T$117"}</definedName>
    <definedName name="jjj_1_2" localSheetId="5" hidden="1">{"'vert'!$A$1:$T$117"}</definedName>
    <definedName name="jjj_1_2" localSheetId="6" hidden="1">{"'vert'!$A$1:$T$117"}</definedName>
    <definedName name="jjj_1_2" hidden="1">{"'vert'!$A$1:$T$117"}</definedName>
    <definedName name="jjj_2" localSheetId="5" hidden="1">{"'vert'!$A$1:$T$117"}</definedName>
    <definedName name="jjj_2" localSheetId="6" hidden="1">{"'vert'!$A$1:$T$117"}</definedName>
    <definedName name="jjj_2" hidden="1">{"'vert'!$A$1:$T$117"}</definedName>
    <definedName name="jjj_2_1" localSheetId="5" hidden="1">{"'vert'!$A$1:$T$117"}</definedName>
    <definedName name="jjj_2_1" localSheetId="6" hidden="1">{"'vert'!$A$1:$T$117"}</definedName>
    <definedName name="jjj_2_1" hidden="1">{"'vert'!$A$1:$T$117"}</definedName>
    <definedName name="jjj_2_1_1" localSheetId="5" hidden="1">{"'vert'!$A$1:$T$117"}</definedName>
    <definedName name="jjj_2_1_1" localSheetId="6" hidden="1">{"'vert'!$A$1:$T$117"}</definedName>
    <definedName name="jjj_2_1_1" hidden="1">{"'vert'!$A$1:$T$117"}</definedName>
    <definedName name="jjj_2_2" localSheetId="5" hidden="1">{"'vert'!$A$1:$T$117"}</definedName>
    <definedName name="jjj_2_2" localSheetId="6" hidden="1">{"'vert'!$A$1:$T$117"}</definedName>
    <definedName name="jjj_2_2" hidden="1">{"'vert'!$A$1:$T$117"}</definedName>
    <definedName name="jjj_3" localSheetId="5" hidden="1">{"'vert'!$A$1:$T$117"}</definedName>
    <definedName name="jjj_3" localSheetId="6" hidden="1">{"'vert'!$A$1:$T$117"}</definedName>
    <definedName name="jjj_3" hidden="1">{"'vert'!$A$1:$T$117"}</definedName>
    <definedName name="jjj_3_1" localSheetId="5" hidden="1">{"'vert'!$A$1:$T$117"}</definedName>
    <definedName name="jjj_3_1" localSheetId="6" hidden="1">{"'vert'!$A$1:$T$117"}</definedName>
    <definedName name="jjj_3_1" hidden="1">{"'vert'!$A$1:$T$117"}</definedName>
    <definedName name="jjj_4" localSheetId="5" hidden="1">{"'vert'!$A$1:$T$117"}</definedName>
    <definedName name="jjj_4" localSheetId="6" hidden="1">{"'vert'!$A$1:$T$117"}</definedName>
    <definedName name="jjj_4" hidden="1">{"'vert'!$A$1:$T$117"}</definedName>
    <definedName name="jjjjj" localSheetId="5" hidden="1">{"'vert'!$A$1:$T$117"}</definedName>
    <definedName name="jjjjj" localSheetId="6" hidden="1">{"'vert'!$A$1:$T$117"}</definedName>
    <definedName name="jjjjj" hidden="1">{"'vert'!$A$1:$T$117"}</definedName>
    <definedName name="jjjjj_1" localSheetId="5" hidden="1">{"'vert'!$A$1:$T$117"}</definedName>
    <definedName name="jjjjj_1" localSheetId="6" hidden="1">{"'vert'!$A$1:$T$117"}</definedName>
    <definedName name="jjjjj_1" hidden="1">{"'vert'!$A$1:$T$117"}</definedName>
    <definedName name="jjjjj_1_1" localSheetId="5" hidden="1">{"'vert'!$A$1:$T$117"}</definedName>
    <definedName name="jjjjj_1_1" localSheetId="6" hidden="1">{"'vert'!$A$1:$T$117"}</definedName>
    <definedName name="jjjjj_1_1" hidden="1">{"'vert'!$A$1:$T$117"}</definedName>
    <definedName name="jjjjj_1_1_1" localSheetId="5" hidden="1">{"'vert'!$A$1:$T$117"}</definedName>
    <definedName name="jjjjj_1_1_1" localSheetId="6" hidden="1">{"'vert'!$A$1:$T$117"}</definedName>
    <definedName name="jjjjj_1_1_1" hidden="1">{"'vert'!$A$1:$T$117"}</definedName>
    <definedName name="jjjjj_1_2" localSheetId="5" hidden="1">{"'vert'!$A$1:$T$117"}</definedName>
    <definedName name="jjjjj_1_2" localSheetId="6" hidden="1">{"'vert'!$A$1:$T$117"}</definedName>
    <definedName name="jjjjj_1_2" hidden="1">{"'vert'!$A$1:$T$117"}</definedName>
    <definedName name="jjjjj_2" localSheetId="5" hidden="1">{"'vert'!$A$1:$T$117"}</definedName>
    <definedName name="jjjjj_2" localSheetId="6" hidden="1">{"'vert'!$A$1:$T$117"}</definedName>
    <definedName name="jjjjj_2" hidden="1">{"'vert'!$A$1:$T$117"}</definedName>
    <definedName name="jjjjj_2_1" localSheetId="5" hidden="1">{"'vert'!$A$1:$T$117"}</definedName>
    <definedName name="jjjjj_2_1" localSheetId="6" hidden="1">{"'vert'!$A$1:$T$117"}</definedName>
    <definedName name="jjjjj_2_1" hidden="1">{"'vert'!$A$1:$T$117"}</definedName>
    <definedName name="jjjjj_2_1_1" localSheetId="5" hidden="1">{"'vert'!$A$1:$T$117"}</definedName>
    <definedName name="jjjjj_2_1_1" localSheetId="6" hidden="1">{"'vert'!$A$1:$T$117"}</definedName>
    <definedName name="jjjjj_2_1_1" hidden="1">{"'vert'!$A$1:$T$117"}</definedName>
    <definedName name="jjjjj_2_2" localSheetId="5" hidden="1">{"'vert'!$A$1:$T$117"}</definedName>
    <definedName name="jjjjj_2_2" localSheetId="6" hidden="1">{"'vert'!$A$1:$T$117"}</definedName>
    <definedName name="jjjjj_2_2" hidden="1">{"'vert'!$A$1:$T$117"}</definedName>
    <definedName name="jjjjj_3" localSheetId="5" hidden="1">{"'vert'!$A$1:$T$117"}</definedName>
    <definedName name="jjjjj_3" localSheetId="6" hidden="1">{"'vert'!$A$1:$T$117"}</definedName>
    <definedName name="jjjjj_3" hidden="1">{"'vert'!$A$1:$T$117"}</definedName>
    <definedName name="jjjjj_3_1" localSheetId="5" hidden="1">{"'vert'!$A$1:$T$117"}</definedName>
    <definedName name="jjjjj_3_1" localSheetId="6" hidden="1">{"'vert'!$A$1:$T$117"}</definedName>
    <definedName name="jjjjj_3_1" hidden="1">{"'vert'!$A$1:$T$117"}</definedName>
    <definedName name="jjjjj_4" localSheetId="5" hidden="1">{"'vert'!$A$1:$T$117"}</definedName>
    <definedName name="jjjjj_4" localSheetId="6" hidden="1">{"'vert'!$A$1:$T$117"}</definedName>
    <definedName name="jjjjj_4" hidden="1">{"'vert'!$A$1:$T$117"}</definedName>
    <definedName name="jkdjfdi" localSheetId="5" hidden="1">{"'vert'!$A$1:$T$117"}</definedName>
    <definedName name="jkdjfdi" localSheetId="6" hidden="1">{"'vert'!$A$1:$T$117"}</definedName>
    <definedName name="jkdjfdi" hidden="1">{"'vert'!$A$1:$T$117"}</definedName>
    <definedName name="jkdjfdi_1" localSheetId="5" hidden="1">{"'vert'!$A$1:$T$117"}</definedName>
    <definedName name="jkdjfdi_1" localSheetId="6" hidden="1">{"'vert'!$A$1:$T$117"}</definedName>
    <definedName name="jkdjfdi_1" hidden="1">{"'vert'!$A$1:$T$117"}</definedName>
    <definedName name="jkdjfdi_1_1" localSheetId="5" hidden="1">{"'vert'!$A$1:$T$117"}</definedName>
    <definedName name="jkdjfdi_1_1" localSheetId="6" hidden="1">{"'vert'!$A$1:$T$117"}</definedName>
    <definedName name="jkdjfdi_1_1" hidden="1">{"'vert'!$A$1:$T$117"}</definedName>
    <definedName name="jkdjfdi_1_2" localSheetId="5" hidden="1">{"'vert'!$A$1:$T$117"}</definedName>
    <definedName name="jkdjfdi_1_2" localSheetId="6" hidden="1">{"'vert'!$A$1:$T$117"}</definedName>
    <definedName name="jkdjfdi_1_2" hidden="1">{"'vert'!$A$1:$T$117"}</definedName>
    <definedName name="jkdjfdi_2" localSheetId="5" hidden="1">{"'vert'!$A$1:$T$117"}</definedName>
    <definedName name="jkdjfdi_2" localSheetId="6" hidden="1">{"'vert'!$A$1:$T$117"}</definedName>
    <definedName name="jkdjfdi_2" hidden="1">{"'vert'!$A$1:$T$117"}</definedName>
    <definedName name="jkdjfdi_3" localSheetId="5" hidden="1">{"'vert'!$A$1:$T$117"}</definedName>
    <definedName name="jkdjfdi_3" localSheetId="6" hidden="1">{"'vert'!$A$1:$T$117"}</definedName>
    <definedName name="jkdjfdi_3" hidden="1">{"'vert'!$A$1:$T$117"}</definedName>
    <definedName name="jo" hidden="1">[13]CLOSE!#REF!</definedName>
    <definedName name="JPY">[10]Admin!$AG$12</definedName>
    <definedName name="jskfjskfjsksss_1" localSheetId="5" hidden="1">{"'vert'!$A$1:$T$117"}</definedName>
    <definedName name="jskfjskfjsksss_1" localSheetId="6" hidden="1">{"'vert'!$A$1:$T$117"}</definedName>
    <definedName name="jskfjskfjsksss_1" hidden="1">{"'vert'!$A$1:$T$117"}</definedName>
    <definedName name="jskfjskfjsksss_1_1" localSheetId="5" hidden="1">{"'vert'!$A$1:$T$117"}</definedName>
    <definedName name="jskfjskfjsksss_1_1" localSheetId="6" hidden="1">{"'vert'!$A$1:$T$117"}</definedName>
    <definedName name="jskfjskfjsksss_1_1" hidden="1">{"'vert'!$A$1:$T$117"}</definedName>
    <definedName name="jskfjskfjsksss_1_2" localSheetId="5" hidden="1">{"'vert'!$A$1:$T$117"}</definedName>
    <definedName name="jskfjskfjsksss_1_2" localSheetId="6" hidden="1">{"'vert'!$A$1:$T$117"}</definedName>
    <definedName name="jskfjskfjsksss_1_2" hidden="1">{"'vert'!$A$1:$T$117"}</definedName>
    <definedName name="jskfjskfjsksss_2" localSheetId="5" hidden="1">{"'vert'!$A$1:$T$117"}</definedName>
    <definedName name="jskfjskfjsksss_2" localSheetId="6" hidden="1">{"'vert'!$A$1:$T$117"}</definedName>
    <definedName name="jskfjskfjsksss_2" hidden="1">{"'vert'!$A$1:$T$117"}</definedName>
    <definedName name="jskfjskfjsksss_3" localSheetId="5" hidden="1">{"'vert'!$A$1:$T$117"}</definedName>
    <definedName name="jskfjskfjsksss_3" localSheetId="6" hidden="1">{"'vert'!$A$1:$T$117"}</definedName>
    <definedName name="jskfjskfjsksss_3" hidden="1">{"'vert'!$A$1:$T$117"}</definedName>
    <definedName name="k" localSheetId="5" hidden="1">{"'vert'!$A$1:$T$117"}</definedName>
    <definedName name="k" localSheetId="6" hidden="1">{"'vert'!$A$1:$T$117"}</definedName>
    <definedName name="k" hidden="1">{"'vert'!$A$1:$T$117"}</definedName>
    <definedName name="k_1" localSheetId="5" hidden="1">{"'vert'!$A$1:$T$117"}</definedName>
    <definedName name="k_1" localSheetId="6" hidden="1">{"'vert'!$A$1:$T$117"}</definedName>
    <definedName name="k_1" hidden="1">{"'vert'!$A$1:$T$117"}</definedName>
    <definedName name="k_1_1" localSheetId="5" hidden="1">{"'vert'!$A$1:$T$117"}</definedName>
    <definedName name="k_1_1" localSheetId="6" hidden="1">{"'vert'!$A$1:$T$117"}</definedName>
    <definedName name="k_1_1" hidden="1">{"'vert'!$A$1:$T$117"}</definedName>
    <definedName name="k_1_2" localSheetId="5" hidden="1">{"'vert'!$A$1:$T$117"}</definedName>
    <definedName name="k_1_2" localSheetId="6" hidden="1">{"'vert'!$A$1:$T$117"}</definedName>
    <definedName name="k_1_2" hidden="1">{"'vert'!$A$1:$T$117"}</definedName>
    <definedName name="k_2" localSheetId="5" hidden="1">{"'vert'!$A$1:$T$117"}</definedName>
    <definedName name="k_2" localSheetId="6" hidden="1">{"'vert'!$A$1:$T$117"}</definedName>
    <definedName name="k_2" hidden="1">{"'vert'!$A$1:$T$117"}</definedName>
    <definedName name="k_3" localSheetId="5" hidden="1">{"'vert'!$A$1:$T$117"}</definedName>
    <definedName name="k_3" localSheetId="6" hidden="1">{"'vert'!$A$1:$T$117"}</definedName>
    <definedName name="k_3" hidden="1">{"'vert'!$A$1:$T$117"}</definedName>
    <definedName name="kdjfd" localSheetId="5" hidden="1">{"'vert'!$A$1:$T$117"}</definedName>
    <definedName name="kdjfd" localSheetId="6" hidden="1">{"'vert'!$A$1:$T$117"}</definedName>
    <definedName name="kdjfd" hidden="1">{"'vert'!$A$1:$T$117"}</definedName>
    <definedName name="kdjfd_1" localSheetId="5" hidden="1">{"'vert'!$A$1:$T$117"}</definedName>
    <definedName name="kdjfd_1" localSheetId="6" hidden="1">{"'vert'!$A$1:$T$117"}</definedName>
    <definedName name="kdjfd_1" hidden="1">{"'vert'!$A$1:$T$117"}</definedName>
    <definedName name="kdjfd_1_1" localSheetId="5" hidden="1">{"'vert'!$A$1:$T$117"}</definedName>
    <definedName name="kdjfd_1_1" localSheetId="6" hidden="1">{"'vert'!$A$1:$T$117"}</definedName>
    <definedName name="kdjfd_1_1" hidden="1">{"'vert'!$A$1:$T$117"}</definedName>
    <definedName name="kdjfd_1_2" localSheetId="5" hidden="1">{"'vert'!$A$1:$T$117"}</definedName>
    <definedName name="kdjfd_1_2" localSheetId="6" hidden="1">{"'vert'!$A$1:$T$117"}</definedName>
    <definedName name="kdjfd_1_2" hidden="1">{"'vert'!$A$1:$T$117"}</definedName>
    <definedName name="kdjfd_2" localSheetId="5" hidden="1">{"'vert'!$A$1:$T$117"}</definedName>
    <definedName name="kdjfd_2" localSheetId="6" hidden="1">{"'vert'!$A$1:$T$117"}</definedName>
    <definedName name="kdjfd_2" hidden="1">{"'vert'!$A$1:$T$117"}</definedName>
    <definedName name="kdjfd_3" localSheetId="5" hidden="1">{"'vert'!$A$1:$T$117"}</definedName>
    <definedName name="kdjfd_3" localSheetId="6" hidden="1">{"'vert'!$A$1:$T$117"}</definedName>
    <definedName name="kdjfd_3" hidden="1">{"'vert'!$A$1:$T$117"}</definedName>
    <definedName name="kdkd" localSheetId="5" hidden="1">{#N/A,#N/A,FALSE,"Sheet1"}</definedName>
    <definedName name="kdkd" localSheetId="6" hidden="1">{#N/A,#N/A,FALSE,"Sheet1"}</definedName>
    <definedName name="kdkd" hidden="1">{#N/A,#N/A,FALSE,"Sheet1"}</definedName>
    <definedName name="khj" localSheetId="5" hidden="1">{#N/A,#N/A,FALSE,"Sheet1"}</definedName>
    <definedName name="khj" localSheetId="6" hidden="1">{#N/A,#N/A,FALSE,"Sheet1"}</definedName>
    <definedName name="khj" hidden="1">{#N/A,#N/A,FALSE,"Sheet1"}</definedName>
    <definedName name="khsdfkj" localSheetId="5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khsdfkj" localSheetId="6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khsdfkj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kjdjdjd" localSheetId="5" hidden="1">{#N/A,#N/A,FALSE,"Sheet1"}</definedName>
    <definedName name="kjdjdjd" localSheetId="6" hidden="1">{#N/A,#N/A,FALSE,"Sheet1"}</definedName>
    <definedName name="kjdjdjd" hidden="1">{#N/A,#N/A,FALSE,"Sheet1"}</definedName>
    <definedName name="kjdslf" localSheetId="5" hidden="1">{#N/A,#N/A,FALSE,"Sheet1"}</definedName>
    <definedName name="kjdslf" localSheetId="6" hidden="1">{#N/A,#N/A,FALSE,"Sheet1"}</definedName>
    <definedName name="kjdslf" hidden="1">{#N/A,#N/A,FALSE,"Sheet1"}</definedName>
    <definedName name="kjh" localSheetId="5" hidden="1">{"'vert'!$A$1:$T$117"}</definedName>
    <definedName name="kjh" localSheetId="6" hidden="1">{"'vert'!$A$1:$T$117"}</definedName>
    <definedName name="kjh" hidden="1">{"'vert'!$A$1:$T$117"}</definedName>
    <definedName name="kjhkl" localSheetId="5" hidden="1">{#N/A,#N/A,FALSE,"Sheet1"}</definedName>
    <definedName name="kjhkl" localSheetId="6" hidden="1">{#N/A,#N/A,FALSE,"Sheet1"}</definedName>
    <definedName name="kjhkl" hidden="1">{#N/A,#N/A,FALSE,"Sheet1"}</definedName>
    <definedName name="kljasdf" localSheetId="5" hidden="1">{"'vert'!$A$1:$T$117"}</definedName>
    <definedName name="kljasdf" localSheetId="6" hidden="1">{"'vert'!$A$1:$T$117"}</definedName>
    <definedName name="kljasdf" hidden="1">{"'vert'!$A$1:$T$117"}</definedName>
    <definedName name="kljlkjkljlk" localSheetId="5" hidden="1">{"'vert'!$A$1:$T$117"}</definedName>
    <definedName name="kljlkjkljlk" localSheetId="6" hidden="1">{"'vert'!$A$1:$T$117"}</definedName>
    <definedName name="kljlkjkljlk" hidden="1">{"'vert'!$A$1:$T$117"}</definedName>
    <definedName name="kljlkjkljlk_1" localSheetId="5" hidden="1">{"'vert'!$A$1:$T$117"}</definedName>
    <definedName name="kljlkjkljlk_1" localSheetId="6" hidden="1">{"'vert'!$A$1:$T$117"}</definedName>
    <definedName name="kljlkjkljlk_1" hidden="1">{"'vert'!$A$1:$T$117"}</definedName>
    <definedName name="kljlkjkljlk_1_1" localSheetId="5" hidden="1">{"'vert'!$A$1:$T$117"}</definedName>
    <definedName name="kljlkjkljlk_1_1" localSheetId="6" hidden="1">{"'vert'!$A$1:$T$117"}</definedName>
    <definedName name="kljlkjkljlk_1_1" hidden="1">{"'vert'!$A$1:$T$117"}</definedName>
    <definedName name="kljlkjkljlk_1_2" localSheetId="5" hidden="1">{"'vert'!$A$1:$T$117"}</definedName>
    <definedName name="kljlkjkljlk_1_2" localSheetId="6" hidden="1">{"'vert'!$A$1:$T$117"}</definedName>
    <definedName name="kljlkjkljlk_1_2" hidden="1">{"'vert'!$A$1:$T$117"}</definedName>
    <definedName name="kljlkjkljlk_2" localSheetId="5" hidden="1">{"'vert'!$A$1:$T$117"}</definedName>
    <definedName name="kljlkjkljlk_2" localSheetId="6" hidden="1">{"'vert'!$A$1:$T$117"}</definedName>
    <definedName name="kljlkjkljlk_2" hidden="1">{"'vert'!$A$1:$T$117"}</definedName>
    <definedName name="kljlkjkljlk_3" localSheetId="5" hidden="1">{"'vert'!$A$1:$T$117"}</definedName>
    <definedName name="kljlkjkljlk_3" localSheetId="6" hidden="1">{"'vert'!$A$1:$T$117"}</definedName>
    <definedName name="kljlkjkljlk_3" hidden="1">{"'vert'!$A$1:$T$117"}</definedName>
    <definedName name="kshfd" localSheetId="5" hidden="1">{"'vert'!$A$1:$T$117"}</definedName>
    <definedName name="kshfd" localSheetId="6" hidden="1">{"'vert'!$A$1:$T$117"}</definedName>
    <definedName name="kshfd" hidden="1">{"'vert'!$A$1:$T$117"}</definedName>
    <definedName name="kshfd_1" localSheetId="5" hidden="1">{"'vert'!$A$1:$T$117"}</definedName>
    <definedName name="kshfd_1" localSheetId="6" hidden="1">{"'vert'!$A$1:$T$117"}</definedName>
    <definedName name="kshfd_1" hidden="1">{"'vert'!$A$1:$T$117"}</definedName>
    <definedName name="kshfd_1_1" localSheetId="5" hidden="1">{"'vert'!$A$1:$T$117"}</definedName>
    <definedName name="kshfd_1_1" localSheetId="6" hidden="1">{"'vert'!$A$1:$T$117"}</definedName>
    <definedName name="kshfd_1_1" hidden="1">{"'vert'!$A$1:$T$117"}</definedName>
    <definedName name="kshfd_1_2" localSheetId="5" hidden="1">{"'vert'!$A$1:$T$117"}</definedName>
    <definedName name="kshfd_1_2" localSheetId="6" hidden="1">{"'vert'!$A$1:$T$117"}</definedName>
    <definedName name="kshfd_1_2" hidden="1">{"'vert'!$A$1:$T$117"}</definedName>
    <definedName name="kshfd_2" localSheetId="5" hidden="1">{"'vert'!$A$1:$T$117"}</definedName>
    <definedName name="kshfd_2" localSheetId="6" hidden="1">{"'vert'!$A$1:$T$117"}</definedName>
    <definedName name="kshfd_2" hidden="1">{"'vert'!$A$1:$T$117"}</definedName>
    <definedName name="kshfd_3" localSheetId="5" hidden="1">{"'vert'!$A$1:$T$117"}</definedName>
    <definedName name="kshfd_3" localSheetId="6" hidden="1">{"'vert'!$A$1:$T$117"}</definedName>
    <definedName name="kshfd_3" hidden="1">{"'vert'!$A$1:$T$117"}</definedName>
    <definedName name="Launch_Yr">'[12]3P GMS YTD MS'!$AB$2:$AB$1048576</definedName>
    <definedName name="ldjfdl" localSheetId="5" hidden="1">{"'vert'!$A$1:$T$117"}</definedName>
    <definedName name="ldjfdl" localSheetId="6" hidden="1">{"'vert'!$A$1:$T$117"}</definedName>
    <definedName name="ldjfdl" hidden="1">{"'vert'!$A$1:$T$117"}</definedName>
    <definedName name="ldjfdl_1" localSheetId="5" hidden="1">{"'vert'!$A$1:$T$117"}</definedName>
    <definedName name="ldjfdl_1" localSheetId="6" hidden="1">{"'vert'!$A$1:$T$117"}</definedName>
    <definedName name="ldjfdl_1" hidden="1">{"'vert'!$A$1:$T$117"}</definedName>
    <definedName name="ldjfdl_1_1" localSheetId="5" hidden="1">{"'vert'!$A$1:$T$117"}</definedName>
    <definedName name="ldjfdl_1_1" localSheetId="6" hidden="1">{"'vert'!$A$1:$T$117"}</definedName>
    <definedName name="ldjfdl_1_1" hidden="1">{"'vert'!$A$1:$T$117"}</definedName>
    <definedName name="ldjfdl_1_2" localSheetId="5" hidden="1">{"'vert'!$A$1:$T$117"}</definedName>
    <definedName name="ldjfdl_1_2" localSheetId="6" hidden="1">{"'vert'!$A$1:$T$117"}</definedName>
    <definedName name="ldjfdl_1_2" hidden="1">{"'vert'!$A$1:$T$117"}</definedName>
    <definedName name="ldjfdl_2" localSheetId="5" hidden="1">{"'vert'!$A$1:$T$117"}</definedName>
    <definedName name="ldjfdl_2" localSheetId="6" hidden="1">{"'vert'!$A$1:$T$117"}</definedName>
    <definedName name="ldjfdl_2" hidden="1">{"'vert'!$A$1:$T$117"}</definedName>
    <definedName name="ldjfdl_3" localSheetId="5" hidden="1">{"'vert'!$A$1:$T$117"}</definedName>
    <definedName name="ldjfdl_3" localSheetId="6" hidden="1">{"'vert'!$A$1:$T$117"}</definedName>
    <definedName name="ldjfdl_3" hidden="1">{"'vert'!$A$1:$T$117"}</definedName>
    <definedName name="LeadGenSlide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eadGenSlide" localSheetId="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eadGenSlide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egal_mkp">[4]Inputs!$C$5</definedName>
    <definedName name="LensReviewPages">[5]Traffic!$A$30:$IV$30</definedName>
    <definedName name="LiftFactor">'[14]OPEX per FTE'!$D$47</definedName>
    <definedName name="ljdsfkld" localSheetId="5" hidden="1">{"'vert'!$A$1:$T$117"}</definedName>
    <definedName name="ljdsfkld" localSheetId="6" hidden="1">{"'vert'!$A$1:$T$117"}</definedName>
    <definedName name="ljdsfkld" hidden="1">{"'vert'!$A$1:$T$117"}</definedName>
    <definedName name="ljdsfkld_1" localSheetId="5" hidden="1">{"'vert'!$A$1:$T$117"}</definedName>
    <definedName name="ljdsfkld_1" localSheetId="6" hidden="1">{"'vert'!$A$1:$T$117"}</definedName>
    <definedName name="ljdsfkld_1" hidden="1">{"'vert'!$A$1:$T$117"}</definedName>
    <definedName name="ljdsfkld_1_1" localSheetId="5" hidden="1">{"'vert'!$A$1:$T$117"}</definedName>
    <definedName name="ljdsfkld_1_1" localSheetId="6" hidden="1">{"'vert'!$A$1:$T$117"}</definedName>
    <definedName name="ljdsfkld_1_1" hidden="1">{"'vert'!$A$1:$T$117"}</definedName>
    <definedName name="ljdsfkld_1_2" localSheetId="5" hidden="1">{"'vert'!$A$1:$T$117"}</definedName>
    <definedName name="ljdsfkld_1_2" localSheetId="6" hidden="1">{"'vert'!$A$1:$T$117"}</definedName>
    <definedName name="ljdsfkld_1_2" hidden="1">{"'vert'!$A$1:$T$117"}</definedName>
    <definedName name="ljdsfkld_2" localSheetId="5" hidden="1">{"'vert'!$A$1:$T$117"}</definedName>
    <definedName name="ljdsfkld_2" localSheetId="6" hidden="1">{"'vert'!$A$1:$T$117"}</definedName>
    <definedName name="ljdsfkld_2" hidden="1">{"'vert'!$A$1:$T$117"}</definedName>
    <definedName name="ljdsfkld_3" localSheetId="5" hidden="1">{"'vert'!$A$1:$T$117"}</definedName>
    <definedName name="ljdsfkld_3" localSheetId="6" hidden="1">{"'vert'!$A$1:$T$117"}</definedName>
    <definedName name="ljdsfkld_3" hidden="1">{"'vert'!$A$1:$T$117"}</definedName>
    <definedName name="lkklj" localSheetId="5" hidden="1">{"'vert'!$A$1:$T$117"}</definedName>
    <definedName name="lkklj" localSheetId="6" hidden="1">{"'vert'!$A$1:$T$117"}</definedName>
    <definedName name="lkklj" hidden="1">{"'vert'!$A$1:$T$117"}</definedName>
    <definedName name="lll" localSheetId="5" hidden="1">{#N/A,#N/A,FALSE,"Sheet1"}</definedName>
    <definedName name="lll" localSheetId="6" hidden="1">{#N/A,#N/A,FALSE,"Sheet1"}</definedName>
    <definedName name="lll" hidden="1">{#N/A,#N/A,FALSE,"Sheet1"}</definedName>
    <definedName name="lo" localSheetId="5" hidden="1">{#N/A,#N/A,FALSE,"Sheet1"}</definedName>
    <definedName name="lo" localSheetId="6" hidden="1">{#N/A,#N/A,FALSE,"Sheet1"}</definedName>
    <definedName name="lo" hidden="1">{#N/A,#N/A,FALSE,"Sheet1"}</definedName>
    <definedName name="LOCAL_MYSQL_DATE_FORMAT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v_Channel">[11]Home!$X$6:$X$98</definedName>
    <definedName name="Lv_Service_Type">[11]Home!$V$6:$V$98</definedName>
    <definedName name="Lv_Team">[11]Home!$Y$6:$Y$98</definedName>
    <definedName name="Lv_Type">[11]Home!$W$6:$W$98</definedName>
    <definedName name="maertinatoranr_1" localSheetId="5" hidden="1">{"'vert'!$A$1:$T$117"}</definedName>
    <definedName name="maertinatoranr_1" localSheetId="6" hidden="1">{"'vert'!$A$1:$T$117"}</definedName>
    <definedName name="maertinatoranr_1" hidden="1">{"'vert'!$A$1:$T$117"}</definedName>
    <definedName name="maertinatoranr_1_1" localSheetId="5" hidden="1">{"'vert'!$A$1:$T$117"}</definedName>
    <definedName name="maertinatoranr_1_1" localSheetId="6" hidden="1">{"'vert'!$A$1:$T$117"}</definedName>
    <definedName name="maertinatoranr_1_1" hidden="1">{"'vert'!$A$1:$T$117"}</definedName>
    <definedName name="maertinatoranr_1_2" localSheetId="5" hidden="1">{"'vert'!$A$1:$T$117"}</definedName>
    <definedName name="maertinatoranr_1_2" localSheetId="6" hidden="1">{"'vert'!$A$1:$T$117"}</definedName>
    <definedName name="maertinatoranr_1_2" hidden="1">{"'vert'!$A$1:$T$117"}</definedName>
    <definedName name="maertinatoranr_2" localSheetId="5" hidden="1">{"'vert'!$A$1:$T$117"}</definedName>
    <definedName name="maertinatoranr_2" localSheetId="6" hidden="1">{"'vert'!$A$1:$T$117"}</definedName>
    <definedName name="maertinatoranr_2" hidden="1">{"'vert'!$A$1:$T$117"}</definedName>
    <definedName name="maertinatoranr_3" localSheetId="5" hidden="1">{"'vert'!$A$1:$T$117"}</definedName>
    <definedName name="maertinatoranr_3" localSheetId="6" hidden="1">{"'vert'!$A$1:$T$117"}</definedName>
    <definedName name="maertinatoranr_3" hidden="1">{"'vert'!$A$1:$T$117"}</definedName>
    <definedName name="martina_1" localSheetId="5" hidden="1">{"'vert'!$A$1:$T$117"}</definedName>
    <definedName name="martina_1" localSheetId="6" hidden="1">{"'vert'!$A$1:$T$117"}</definedName>
    <definedName name="martina_1" hidden="1">{"'vert'!$A$1:$T$117"}</definedName>
    <definedName name="martina_1_1" localSheetId="5" hidden="1">{"'vert'!$A$1:$T$117"}</definedName>
    <definedName name="martina_1_1" localSheetId="6" hidden="1">{"'vert'!$A$1:$T$117"}</definedName>
    <definedName name="martina_1_1" hidden="1">{"'vert'!$A$1:$T$117"}</definedName>
    <definedName name="martina_1_2" localSheetId="5" hidden="1">{"'vert'!$A$1:$T$117"}</definedName>
    <definedName name="martina_1_2" localSheetId="6" hidden="1">{"'vert'!$A$1:$T$117"}</definedName>
    <definedName name="martina_1_2" hidden="1">{"'vert'!$A$1:$T$117"}</definedName>
    <definedName name="martina_2" localSheetId="5" hidden="1">{"'vert'!$A$1:$T$117"}</definedName>
    <definedName name="martina_2" localSheetId="6" hidden="1">{"'vert'!$A$1:$T$117"}</definedName>
    <definedName name="martina_2" hidden="1">{"'vert'!$A$1:$T$117"}</definedName>
    <definedName name="martina_3" localSheetId="5" hidden="1">{"'vert'!$A$1:$T$117"}</definedName>
    <definedName name="martina_3" localSheetId="6" hidden="1">{"'vert'!$A$1:$T$117"}</definedName>
    <definedName name="martina_3" hidden="1">{"'vert'!$A$1:$T$117"}</definedName>
    <definedName name="me" localSheetId="5" hidden="1">{"'vert'!$A$1:$T$117"}</definedName>
    <definedName name="me" localSheetId="6" hidden="1">{"'vert'!$A$1:$T$117"}</definedName>
    <definedName name="me" hidden="1">{"'vert'!$A$1:$T$117"}</definedName>
    <definedName name="me_1" localSheetId="5" hidden="1">{"'vert'!$A$1:$T$117"}</definedName>
    <definedName name="me_1" localSheetId="6" hidden="1">{"'vert'!$A$1:$T$117"}</definedName>
    <definedName name="me_1" hidden="1">{"'vert'!$A$1:$T$117"}</definedName>
    <definedName name="me_1_1" localSheetId="5" hidden="1">{"'vert'!$A$1:$T$117"}</definedName>
    <definedName name="me_1_1" localSheetId="6" hidden="1">{"'vert'!$A$1:$T$117"}</definedName>
    <definedName name="me_1_1" hidden="1">{"'vert'!$A$1:$T$117"}</definedName>
    <definedName name="me_1_1_1" localSheetId="5" hidden="1">{"'vert'!$A$1:$T$117"}</definedName>
    <definedName name="me_1_1_1" localSheetId="6" hidden="1">{"'vert'!$A$1:$T$117"}</definedName>
    <definedName name="me_1_1_1" hidden="1">{"'vert'!$A$1:$T$117"}</definedName>
    <definedName name="me_1_2" localSheetId="5" hidden="1">{"'vert'!$A$1:$T$117"}</definedName>
    <definedName name="me_1_2" localSheetId="6" hidden="1">{"'vert'!$A$1:$T$117"}</definedName>
    <definedName name="me_1_2" hidden="1">{"'vert'!$A$1:$T$117"}</definedName>
    <definedName name="me_2" localSheetId="5" hidden="1">{"'vert'!$A$1:$T$117"}</definedName>
    <definedName name="me_2" localSheetId="6" hidden="1">{"'vert'!$A$1:$T$117"}</definedName>
    <definedName name="me_2" hidden="1">{"'vert'!$A$1:$T$117"}</definedName>
    <definedName name="me_2_1" localSheetId="5" hidden="1">{"'vert'!$A$1:$T$117"}</definedName>
    <definedName name="me_2_1" localSheetId="6" hidden="1">{"'vert'!$A$1:$T$117"}</definedName>
    <definedName name="me_2_1" hidden="1">{"'vert'!$A$1:$T$117"}</definedName>
    <definedName name="me_2_1_1" localSheetId="5" hidden="1">{"'vert'!$A$1:$T$117"}</definedName>
    <definedName name="me_2_1_1" localSheetId="6" hidden="1">{"'vert'!$A$1:$T$117"}</definedName>
    <definedName name="me_2_1_1" hidden="1">{"'vert'!$A$1:$T$117"}</definedName>
    <definedName name="me_2_2" localSheetId="5" hidden="1">{"'vert'!$A$1:$T$117"}</definedName>
    <definedName name="me_2_2" localSheetId="6" hidden="1">{"'vert'!$A$1:$T$117"}</definedName>
    <definedName name="me_2_2" hidden="1">{"'vert'!$A$1:$T$117"}</definedName>
    <definedName name="me_3" localSheetId="5" hidden="1">{"'vert'!$A$1:$T$117"}</definedName>
    <definedName name="me_3" localSheetId="6" hidden="1">{"'vert'!$A$1:$T$117"}</definedName>
    <definedName name="me_3" hidden="1">{"'vert'!$A$1:$T$117"}</definedName>
    <definedName name="me_3_1" localSheetId="5" hidden="1">{"'vert'!$A$1:$T$117"}</definedName>
    <definedName name="me_3_1" localSheetId="6" hidden="1">{"'vert'!$A$1:$T$117"}</definedName>
    <definedName name="me_3_1" hidden="1">{"'vert'!$A$1:$T$117"}</definedName>
    <definedName name="me_4" localSheetId="5" hidden="1">{"'vert'!$A$1:$T$117"}</definedName>
    <definedName name="me_4" localSheetId="6" hidden="1">{"'vert'!$A$1:$T$117"}</definedName>
    <definedName name="me_4" hidden="1">{"'vert'!$A$1:$T$117"}</definedName>
    <definedName name="mer_class">'[32]DD List'!$A$1:$A$2</definedName>
    <definedName name="Misc" localSheetId="5" hidden="1">{"'vert'!$A$1:$T$117"}</definedName>
    <definedName name="Misc" localSheetId="6" hidden="1">{"'vert'!$A$1:$T$117"}</definedName>
    <definedName name="Misc" hidden="1">{"'vert'!$A$1:$T$117"}</definedName>
    <definedName name="MnthClosed">[10]Admin!$P$7</definedName>
    <definedName name="MnthClosed_No">[10]Admin!$E$4</definedName>
    <definedName name="Mon_Translate">[33]Sheet1!$A$5:$C$16</definedName>
    <definedName name="Months" localSheetId="5">{"January","February","March","April","May","June","July","August","September","October","November","December"}</definedName>
    <definedName name="Months" localSheetId="6">{"January","February","March","April","May","June","July","August","September","October","November","December"}</definedName>
    <definedName name="Months">{"January","February","March","April","May","June","July","August","September","October","November","December"}</definedName>
    <definedName name="n" localSheetId="5" hidden="1">{#N/A,#N/A,FALSE,"Sheet1"}</definedName>
    <definedName name="n" localSheetId="6" hidden="1">{#N/A,#N/A,FALSE,"Sheet1"}</definedName>
    <definedName name="n" hidden="1">{#N/A,#N/A,FALSE,"Sheet1"}</definedName>
    <definedName name="new" hidden="1">"ref"</definedName>
    <definedName name="NEW_HTML_Cont" localSheetId="5" hidden="1">{"'vert'!$A$1:$T$117"}</definedName>
    <definedName name="NEW_HTML_Cont" localSheetId="6" hidden="1">{"'vert'!$A$1:$T$117"}</definedName>
    <definedName name="NEW_HTML_Cont" hidden="1">{"'vert'!$A$1:$T$117"}</definedName>
    <definedName name="NewA" localSheetId="5" hidden="1">{"'vert'!$A$1:$T$117"}</definedName>
    <definedName name="NewA" localSheetId="6" hidden="1">{"'vert'!$A$1:$T$117"}</definedName>
    <definedName name="NewA" hidden="1">{"'vert'!$A$1:$T$117"}</definedName>
    <definedName name="NewAJALFDJ" localSheetId="5" hidden="1">{"'vert'!$A$1:$T$117"}</definedName>
    <definedName name="NewAJALFDJ" localSheetId="6" hidden="1">{"'vert'!$A$1:$T$117"}</definedName>
    <definedName name="NewAJALFDJ" hidden="1">{"'vert'!$A$1:$T$117"}</definedName>
    <definedName name="NewCOOP2" localSheetId="5" hidden="1">{"'vert'!$A$1:$T$117"}</definedName>
    <definedName name="NewCOOP2" localSheetId="6" hidden="1">{"'vert'!$A$1:$T$117"}</definedName>
    <definedName name="NewCOOP2" hidden="1">{"'vert'!$A$1:$T$117"}</definedName>
    <definedName name="NEWHTMP_CONTROL" localSheetId="5" hidden="1">{"'vert'!$A$1:$T$117"}</definedName>
    <definedName name="NEWHTMP_CONTROL" localSheetId="6" hidden="1">{"'vert'!$A$1:$T$117"}</definedName>
    <definedName name="NEWHTMP_CONTROL" hidden="1">{"'vert'!$A$1:$T$117"}</definedName>
    <definedName name="NewsPages">[5]Traffic!$A$21:$IV$21</definedName>
    <definedName name="noidea" localSheetId="5" hidden="1">{#N/A,#N/A,FALSE,"Calc";#N/A,#N/A,FALSE,"Sensitivity";#N/A,#N/A,FALSE,"LT Earn.Dil.";#N/A,#N/A,FALSE,"Dil. AVP"}</definedName>
    <definedName name="noidea" localSheetId="6" hidden="1">{#N/A,#N/A,FALSE,"Calc";#N/A,#N/A,FALSE,"Sensitivity";#N/A,#N/A,FALSE,"LT Earn.Dil.";#N/A,#N/A,FALSE,"Dil. AVP"}</definedName>
    <definedName name="noidea" hidden="1">{#N/A,#N/A,FALSE,"Calc";#N/A,#N/A,FALSE,"Sensitivity";#N/A,#N/A,FALSE,"LT Earn.Dil.";#N/A,#N/A,FALSE,"Dil. AVP"}</definedName>
    <definedName name="on" localSheetId="5" hidden="1">{#N/A,#N/A,FALSE,"Sheet1"}</definedName>
    <definedName name="on" localSheetId="6" hidden="1">{#N/A,#N/A,FALSE,"Sheet1"}</definedName>
    <definedName name="on" hidden="1">{#N/A,#N/A,FALSE,"Sheet1"}</definedName>
    <definedName name="Organization">[1]Lists!$A$33:$B$40</definedName>
    <definedName name="Oth_Fix_currency">'[10]Other Fixed'!$F$5</definedName>
    <definedName name="Oth_Fix_Emg_view">'[10]Other Fixed Emg'!$C$4</definedName>
    <definedName name="Oth_Fix_view">'[10]Other Fixed'!$C$4</definedName>
    <definedName name="Oth_Var_currency">'[10]Other Variables'!$F$5</definedName>
    <definedName name="Oth_Var_Emg_view">'[10]Other Variables Emg'!$C$4</definedName>
    <definedName name="Oth_Var_view">'[10]Other Variables'!$C$4</definedName>
    <definedName name="OtherPages">[5]Traffic!$A$23:$IV$23</definedName>
    <definedName name="owa" localSheetId="5" hidden="1">{"'weekly data'!$A$2:$AS$36"}</definedName>
    <definedName name="owa" localSheetId="6" hidden="1">{"'weekly data'!$A$2:$AS$36"}</definedName>
    <definedName name="owa" hidden="1">{"'weekly data'!$A$2:$AS$36"}</definedName>
    <definedName name="owa_1" localSheetId="5" hidden="1">{"'weekly data'!$A$2:$AS$36"}</definedName>
    <definedName name="owa_1" localSheetId="6" hidden="1">{"'weekly data'!$A$2:$AS$36"}</definedName>
    <definedName name="owa_1" hidden="1">{"'weekly data'!$A$2:$AS$36"}</definedName>
    <definedName name="owa_1_1" localSheetId="5" hidden="1">{"'weekly data'!$A$2:$AS$36"}</definedName>
    <definedName name="owa_1_1" localSheetId="6" hidden="1">{"'weekly data'!$A$2:$AS$36"}</definedName>
    <definedName name="owa_1_1" hidden="1">{"'weekly data'!$A$2:$AS$36"}</definedName>
    <definedName name="owa_1_1_1" localSheetId="5" hidden="1">{"'weekly data'!$A$2:$AS$36"}</definedName>
    <definedName name="owa_1_1_1" localSheetId="6" hidden="1">{"'weekly data'!$A$2:$AS$36"}</definedName>
    <definedName name="owa_1_1_1" hidden="1">{"'weekly data'!$A$2:$AS$36"}</definedName>
    <definedName name="owa_1_2" localSheetId="5" hidden="1">{"'weekly data'!$A$2:$AS$36"}</definedName>
    <definedName name="owa_1_2" localSheetId="6" hidden="1">{"'weekly data'!$A$2:$AS$36"}</definedName>
    <definedName name="owa_1_2" hidden="1">{"'weekly data'!$A$2:$AS$36"}</definedName>
    <definedName name="owa_2" localSheetId="5" hidden="1">{"'weekly data'!$A$2:$AS$36"}</definedName>
    <definedName name="owa_2" localSheetId="6" hidden="1">{"'weekly data'!$A$2:$AS$36"}</definedName>
    <definedName name="owa_2" hidden="1">{"'weekly data'!$A$2:$AS$36"}</definedName>
    <definedName name="owa_2_1" localSheetId="5" hidden="1">{"'weekly data'!$A$2:$AS$36"}</definedName>
    <definedName name="owa_2_1" localSheetId="6" hidden="1">{"'weekly data'!$A$2:$AS$36"}</definedName>
    <definedName name="owa_2_1" hidden="1">{"'weekly data'!$A$2:$AS$36"}</definedName>
    <definedName name="owa_2_1_1" localSheetId="5" hidden="1">{"'weekly data'!$A$2:$AS$36"}</definedName>
    <definedName name="owa_2_1_1" localSheetId="6" hidden="1">{"'weekly data'!$A$2:$AS$36"}</definedName>
    <definedName name="owa_2_1_1" hidden="1">{"'weekly data'!$A$2:$AS$36"}</definedName>
    <definedName name="owa_2_2" localSheetId="5" hidden="1">{"'weekly data'!$A$2:$AS$36"}</definedName>
    <definedName name="owa_2_2" localSheetId="6" hidden="1">{"'weekly data'!$A$2:$AS$36"}</definedName>
    <definedName name="owa_2_2" hidden="1">{"'weekly data'!$A$2:$AS$36"}</definedName>
    <definedName name="owa_3" localSheetId="5" hidden="1">{"'weekly data'!$A$2:$AS$36"}</definedName>
    <definedName name="owa_3" localSheetId="6" hidden="1">{"'weekly data'!$A$2:$AS$36"}</definedName>
    <definedName name="owa_3" hidden="1">{"'weekly data'!$A$2:$AS$36"}</definedName>
    <definedName name="owa_3_1" localSheetId="5" hidden="1">{"'weekly data'!$A$2:$AS$36"}</definedName>
    <definedName name="owa_3_1" localSheetId="6" hidden="1">{"'weekly data'!$A$2:$AS$36"}</definedName>
    <definedName name="owa_3_1" hidden="1">{"'weekly data'!$A$2:$AS$36"}</definedName>
    <definedName name="owa_4" localSheetId="5" hidden="1">{"'weekly data'!$A$2:$AS$36"}</definedName>
    <definedName name="owa_4" localSheetId="6" hidden="1">{"'weekly data'!$A$2:$AS$36"}</definedName>
    <definedName name="owa_4" hidden="1">{"'weekly data'!$A$2:$AS$36"}</definedName>
    <definedName name="P506_WOW">'[9]5.6- PaidEdu Overall View'!$AM$21,'[9]5.6- PaidEdu Overall View'!$AM$24,'[9]5.6- PaidEdu Overall View'!$AM$27,'[9]5.6- PaidEdu Overall View'!$AM$30,'[9]5.6- PaidEdu Overall View'!$AM$33</definedName>
    <definedName name="P507_">'[9]5.7- PE Enrollment by Channel'!$D$11:$AL$11,'[9]5.7- PE Enrollment by Channel'!$D$14:$AL$14,'[9]5.7- PE Enrollment by Channel'!$D$17:$AL$17,'[9]5.7- PE Enrollment by Channel'!$D$20:$AL$20,'[9]5.7- PE Enrollment by Channel'!$D$26:$AL$26,'[9]5.7- PE Enrollment by Channel'!$D$29:$AL$29,'[9]5.7- PE Enrollment by Channel'!$D$32:$AL$32,'[9]5.7- PE Enrollment by Channel'!$D$35:$AL$35,'[9]5.7- PE Enrollment by Channel'!$D$38:$AL$38</definedName>
    <definedName name="P507_WOW">'[9]5.7- PE Enrollment by Channel'!$AM$2,'[9]5.7- PE Enrollment by Channel'!$AM$5,'[9]5.7- PE Enrollment by Channel'!$AM$8,'[9]5.7- PE Enrollment by Channel'!$AM$11,'[9]5.7- PE Enrollment by Channel'!$AM$14,'[9]5.7- PE Enrollment by Channel'!$AM$17,'[9]5.7- PE Enrollment by Channel'!$AM$20,'[9]5.7- PE Enrollment by Channel'!$AM$23,'[9]5.7- PE Enrollment by Channel'!$AM$26,'[9]5.7- PE Enrollment by Channel'!$AM$29,'[9]5.7- PE Enrollment by Channel'!$AM$32,'[9]5.7- PE Enrollment by Channel'!$AM$35,'[9]5.7- PE Enrollment by Channel'!$AM$38</definedName>
    <definedName name="P507_YTD">'[9]5.7- PE Enrollment by Channel'!$AZ$2:$AZ$3,'[9]5.7- PE Enrollment by Channel'!$AZ$5:$AZ$6,'[9]5.7- PE Enrollment by Channel'!$AZ$8:$AZ$9,'[9]5.7- PE Enrollment by Channel'!$AZ$11:$AZ$12,'[9]5.7- PE Enrollment by Channel'!$AZ$14:$AZ$15,'[9]5.7- PE Enrollment by Channel'!$AZ$17:$AZ$18,'[9]5.7- PE Enrollment by Channel'!$AZ$20:$AZ$21,'[9]5.7- PE Enrollment by Channel'!$AZ$23:$AZ$24,'[9]5.7- PE Enrollment by Channel'!$AZ$26:$AZ$27,'[9]5.7- PE Enrollment by Channel'!$AZ$29:$AZ$30,'[9]5.7- PE Enrollment by Channel'!$AZ$32:$AZ$33,'[9]5.7- PE Enrollment by Channel'!$AZ$35:$AZ$36,'[9]5.7- PE Enrollment by Channel'!$AZ$38:$AZ$39</definedName>
    <definedName name="P508_">'[9]5.8-PE Enroll Rev by Channel'!$D$11:$AL$11,'[9]5.8-PE Enroll Rev by Channel'!$D$14:$AL$14,'[9]5.8-PE Enroll Rev by Channel'!$D$17:$AL$17,'[9]5.8-PE Enroll Rev by Channel'!$D$20:$AL$20,'[9]5.8-PE Enroll Rev by Channel'!$D$26:$AL$26,'[9]5.8-PE Enroll Rev by Channel'!$D$29:$AL$29,'[9]5.8-PE Enroll Rev by Channel'!$D$32:$AL$32,'[9]5.8-PE Enroll Rev by Channel'!$D$35:$AL$35,'[9]5.8-PE Enroll Rev by Channel'!$D$38:$AL$38</definedName>
    <definedName name="P508_WoW">'[9]5.8-PE Enroll Rev by Channel'!$AM$2,'[9]5.8-PE Enroll Rev by Channel'!$AM$5,'[9]5.8-PE Enroll Rev by Channel'!$AM$8,'[9]5.8-PE Enroll Rev by Channel'!$AM$11,'[9]5.8-PE Enroll Rev by Channel'!$AM$14,'[9]5.8-PE Enroll Rev by Channel'!$AM$17,'[9]5.8-PE Enroll Rev by Channel'!$AM$20,'[9]5.8-PE Enroll Rev by Channel'!$AM$23,'[9]5.8-PE Enroll Rev by Channel'!$AM$26,'[9]5.8-PE Enroll Rev by Channel'!$AM$29,'[9]5.8-PE Enroll Rev by Channel'!$AM$32,'[9]5.8-PE Enroll Rev by Channel'!$AM$35,'[9]5.8-PE Enroll Rev by Channel'!$AM$38</definedName>
    <definedName name="P508_YTD">'[9]5.8-PE Enroll Rev by Channel'!$AZ$2:$AZ$3,'[9]5.8-PE Enroll Rev by Channel'!$AZ$5:$AZ$6,'[9]5.8-PE Enroll Rev by Channel'!$AZ$8:$AZ$9,'[9]5.8-PE Enroll Rev by Channel'!$AZ$11:$AZ$12,'[9]5.8-PE Enroll Rev by Channel'!$AZ$14:$AZ$15,'[9]5.8-PE Enroll Rev by Channel'!$AZ$17:$AZ$18,'[9]5.8-PE Enroll Rev by Channel'!$AZ$20:$AZ$21,'[9]5.8-PE Enroll Rev by Channel'!$AZ$23:$AZ$24,'[9]5.8-PE Enroll Rev by Channel'!$AZ$26:$AZ$27,'[9]5.8-PE Enroll Rev by Channel'!$AZ$29:$AZ$30,'[9]5.8-PE Enroll Rev by Channel'!$AZ$32:$AZ$33,'[9]5.8-PE Enroll Rev by Channel'!$AZ$35:$AZ$36,'[9]5.8-PE Enroll Rev by Channel'!$AZ$38:$AZ$39</definedName>
    <definedName name="P509_">'[9]5.9- PE Payment by Channel'!$D$11:$AL$11,'[9]5.9- PE Payment by Channel'!$D$14:$AL$14,'[9]5.9- PE Payment by Channel'!$D$17:$AL$17,'[9]5.9- PE Payment by Channel'!$D$20:$AL$20,'[9]5.9- PE Payment by Channel'!$D$26:$AL$26,'[9]5.9- PE Payment by Channel'!$D$29:$AL$29,'[9]5.9- PE Payment by Channel'!$D$32:$AL$32,'[9]5.9- PE Payment by Channel'!$D$35:$AL$35,'[9]5.9- PE Payment by Channel'!$D$38:$AL$38,'[9]5.9- PE Payment by Channel'!$D$11</definedName>
    <definedName name="P509_WOW">'[9]5.9- PE Payment by Channel'!$AM$2,'[9]5.9- PE Payment by Channel'!$AM$5,'[9]5.9- PE Payment by Channel'!$AM$8,'[9]5.9- PE Payment by Channel'!$AM$11,'[9]5.9- PE Payment by Channel'!$AM$14,'[9]5.9- PE Payment by Channel'!$AM$17,'[9]5.9- PE Payment by Channel'!$AM$20,'[9]5.9- PE Payment by Channel'!$AM$23,'[9]5.9- PE Payment by Channel'!$AM$26,'[9]5.9- PE Payment by Channel'!$AM$29,'[9]5.9- PE Payment by Channel'!$AM$32,'[9]5.9- PE Payment by Channel'!$AM$35,'[9]5.9- PE Payment by Channel'!$AM$38</definedName>
    <definedName name="P509_YTD">'[9]5.9- PE Payment by Channel'!$AZ$2:$AZ$3,'[9]5.9- PE Payment by Channel'!$AZ$5:$AZ$6,'[9]5.9- PE Payment by Channel'!$AZ$8:$AZ$9,'[9]5.9- PE Payment by Channel'!$AZ$11:$AZ$12,'[9]5.9- PE Payment by Channel'!$AZ$14:$AZ$15,'[9]5.9- PE Payment by Channel'!$AZ$18,'[9]5.9- PE Payment by Channel'!$AZ$17,'[9]5.9- PE Payment by Channel'!$AZ$20:$AZ$21,'[9]5.9- PE Payment by Channel'!$AZ$23:$AZ$24,'[9]5.9- PE Payment by Channel'!$AZ$26:$AZ$27,'[9]5.9- PE Payment by Channel'!$AZ$29:$AZ$30,'[9]5.9- PE Payment by Channel'!$AZ$32:$AZ$33,'[9]5.9- PE Payment by Channel'!$AZ$35:$AZ$36,'[9]5.9- PE Payment by Channel'!$AZ$38:$AZ$39</definedName>
    <definedName name="P510_">'[9]5.10 PE Paymnt Rev By Channel'!$D$11:$AL$11,'[9]5.10 PE Paymnt Rev By Channel'!$D$14:$AL$14,'[9]5.10 PE Paymnt Rev By Channel'!$D$17:$AL$17,'[9]5.10 PE Paymnt Rev By Channel'!$D$20:$AL$20,'[9]5.10 PE Paymnt Rev By Channel'!$D$26:$AL$26,'[9]5.10 PE Paymnt Rev By Channel'!$D$29:$AL$29,'[9]5.10 PE Paymnt Rev By Channel'!$D$32:$AL$32,'[9]5.10 PE Paymnt Rev By Channel'!$D$35:$AL$35,'[9]5.10 PE Paymnt Rev By Channel'!$D$38:$AL$38</definedName>
    <definedName name="P510_WOW">'[9]5.10 PE Paymnt Rev By Channel'!$AM$38,'[9]5.10 PE Paymnt Rev By Channel'!$AM$35,'[9]5.10 PE Paymnt Rev By Channel'!$AM$32,'[9]5.10 PE Paymnt Rev By Channel'!$AM$29,'[9]5.10 PE Paymnt Rev By Channel'!$AM$26,'[9]5.10 PE Paymnt Rev By Channel'!$AM$23,'[9]5.10 PE Paymnt Rev By Channel'!$AM$20,'[9]5.10 PE Paymnt Rev By Channel'!$AM$17,'[9]5.10 PE Paymnt Rev By Channel'!$AM$14,'[9]5.10 PE Paymnt Rev By Channel'!$AM$11,'[9]5.10 PE Paymnt Rev By Channel'!$AM$8,'[9]5.10 PE Paymnt Rev By Channel'!$AM$5,'[9]5.10 PE Paymnt Rev By Channel'!$AM$2</definedName>
    <definedName name="P510_YTD">'[9]5.10 PE Paymnt Rev By Channel'!$AZ$2:$AZ$3,'[9]5.10 PE Paymnt Rev By Channel'!$AZ$5:$AZ$6,'[9]5.10 PE Paymnt Rev By Channel'!$AZ$8:$AZ$9,'[9]5.10 PE Paymnt Rev By Channel'!$AZ$11:$AZ$12,'[9]5.10 PE Paymnt Rev By Channel'!$AZ$14:$AZ$15,'[9]5.10 PE Paymnt Rev By Channel'!$AZ$17:$AZ$18,'[9]5.10 PE Paymnt Rev By Channel'!$AZ$20,'[9]5.10 PE Paymnt Rev By Channel'!$AZ$21,'[9]5.10 PE Paymnt Rev By Channel'!$AZ$23:$AZ$24,'[9]5.10 PE Paymnt Rev By Channel'!$AZ$26:$AZ$27,'[9]5.10 PE Paymnt Rev By Channel'!$AZ$29:$AZ$30,'[9]5.10 PE Paymnt Rev By Channel'!$AZ$32:$AZ$33,'[9]5.10 PE Paymnt Rev By Channel'!$AZ$35:$AZ$36,'[9]5.10 PE Paymnt Rev By Channel'!$AZ$38:$AZ$39</definedName>
    <definedName name="page" localSheetId="5" hidden="1">{"'vert'!$A$1:$T$117"}</definedName>
    <definedName name="page" localSheetId="6" hidden="1">{"'vert'!$A$1:$T$117"}</definedName>
    <definedName name="page" hidden="1">{"'vert'!$A$1:$T$117"}</definedName>
    <definedName name="page_1" localSheetId="5" hidden="1">{"'vert'!$A$1:$T$117"}</definedName>
    <definedName name="page_1" localSheetId="6" hidden="1">{"'vert'!$A$1:$T$117"}</definedName>
    <definedName name="page_1" hidden="1">{"'vert'!$A$1:$T$117"}</definedName>
    <definedName name="page_1_1" localSheetId="5" hidden="1">{"'vert'!$A$1:$T$117"}</definedName>
    <definedName name="page_1_1" localSheetId="6" hidden="1">{"'vert'!$A$1:$T$117"}</definedName>
    <definedName name="page_1_1" hidden="1">{"'vert'!$A$1:$T$117"}</definedName>
    <definedName name="page_1_1_1" localSheetId="5" hidden="1">{"'vert'!$A$1:$T$117"}</definedName>
    <definedName name="page_1_1_1" localSheetId="6" hidden="1">{"'vert'!$A$1:$T$117"}</definedName>
    <definedName name="page_1_1_1" hidden="1">{"'vert'!$A$1:$T$117"}</definedName>
    <definedName name="page_1_2" localSheetId="5" hidden="1">{"'vert'!$A$1:$T$117"}</definedName>
    <definedName name="page_1_2" localSheetId="6" hidden="1">{"'vert'!$A$1:$T$117"}</definedName>
    <definedName name="page_1_2" hidden="1">{"'vert'!$A$1:$T$117"}</definedName>
    <definedName name="page_2" localSheetId="5" hidden="1">{"'vert'!$A$1:$T$117"}</definedName>
    <definedName name="page_2" localSheetId="6" hidden="1">{"'vert'!$A$1:$T$117"}</definedName>
    <definedName name="page_2" hidden="1">{"'vert'!$A$1:$T$117"}</definedName>
    <definedName name="page_2_1" localSheetId="5" hidden="1">{"'vert'!$A$1:$T$117"}</definedName>
    <definedName name="page_2_1" localSheetId="6" hidden="1">{"'vert'!$A$1:$T$117"}</definedName>
    <definedName name="page_2_1" hidden="1">{"'vert'!$A$1:$T$117"}</definedName>
    <definedName name="page_2_1_1" localSheetId="5" hidden="1">{"'vert'!$A$1:$T$117"}</definedName>
    <definedName name="page_2_1_1" localSheetId="6" hidden="1">{"'vert'!$A$1:$T$117"}</definedName>
    <definedName name="page_2_1_1" hidden="1">{"'vert'!$A$1:$T$117"}</definedName>
    <definedName name="page_2_2" localSheetId="5" hidden="1">{"'vert'!$A$1:$T$117"}</definedName>
    <definedName name="page_2_2" localSheetId="6" hidden="1">{"'vert'!$A$1:$T$117"}</definedName>
    <definedName name="page_2_2" hidden="1">{"'vert'!$A$1:$T$117"}</definedName>
    <definedName name="page_3" localSheetId="5" hidden="1">{"'vert'!$A$1:$T$117"}</definedName>
    <definedName name="page_3" localSheetId="6" hidden="1">{"'vert'!$A$1:$T$117"}</definedName>
    <definedName name="page_3" hidden="1">{"'vert'!$A$1:$T$117"}</definedName>
    <definedName name="page_3_1" localSheetId="5" hidden="1">{"'vert'!$A$1:$T$117"}</definedName>
    <definedName name="page_3_1" localSheetId="6" hidden="1">{"'vert'!$A$1:$T$117"}</definedName>
    <definedName name="page_3_1" hidden="1">{"'vert'!$A$1:$T$117"}</definedName>
    <definedName name="page_4" localSheetId="5" hidden="1">{"'vert'!$A$1:$T$117"}</definedName>
    <definedName name="page_4" localSheetId="6" hidden="1">{"'vert'!$A$1:$T$117"}</definedName>
    <definedName name="page_4" hidden="1">{"'vert'!$A$1:$T$117"}</definedName>
    <definedName name="param_org_1" hidden="1">"%"</definedName>
    <definedName name="param_org_2" hidden="1">"%"</definedName>
    <definedName name="param_reg_region" hidden="1">"%"</definedName>
    <definedName name="param_region" hidden="1">"%"</definedName>
    <definedName name="param_steam_drr" hidden="1">"Agostini,Adrian"</definedName>
    <definedName name="param_steam_rr" hidden="1">"Gunningham,Sebastian"</definedName>
    <definedName name="PaymentTerms">[15]Lists!$I$2:$I$10</definedName>
    <definedName name="Period_View">[2]CurrYear_V1!$C$26</definedName>
    <definedName name="Pipe" localSheetId="5" hidden="1">{"'vert'!$A$1:$T$117"}</definedName>
    <definedName name="Pipe" localSheetId="6" hidden="1">{"'vert'!$A$1:$T$117"}</definedName>
    <definedName name="Pipe" hidden="1">{"'vert'!$A$1:$T$117"}</definedName>
    <definedName name="PopCache_GL_INTERFACE_REFERENCE7" hidden="1">[16]PopCache!$A$1:$A$2</definedName>
    <definedName name="prem_mkp">[4]Inputs!$C$4</definedName>
    <definedName name="Pres" localSheetId="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 localSheetId="6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v_Qtr">[8]Input!$B$8</definedName>
    <definedName name="Previous_Month">[8]Input!$B$3</definedName>
    <definedName name="ProdImprov_Seller">[7]Controls!$N$5</definedName>
    <definedName name="Products">[24]Admin!$B$7:$B$79</definedName>
    <definedName name="proj_start_dt">'[4]South Korea'!$O$3</definedName>
    <definedName name="Purpose">[27]definition!$B$3:$B$19</definedName>
    <definedName name="PY_1" localSheetId="5" hidden="1">{"'vert'!$A$1:$T$117"}</definedName>
    <definedName name="PY_1" localSheetId="6" hidden="1">{"'vert'!$A$1:$T$117"}</definedName>
    <definedName name="PY_1" hidden="1">{"'vert'!$A$1:$T$117"}</definedName>
    <definedName name="PY_1_1" localSheetId="5" hidden="1">{"'vert'!$A$1:$T$117"}</definedName>
    <definedName name="PY_1_1" localSheetId="6" hidden="1">{"'vert'!$A$1:$T$117"}</definedName>
    <definedName name="PY_1_1" hidden="1">{"'vert'!$A$1:$T$117"}</definedName>
    <definedName name="PY_1_1_1" localSheetId="5" hidden="1">{"'vert'!$A$1:$T$117"}</definedName>
    <definedName name="PY_1_1_1" localSheetId="6" hidden="1">{"'vert'!$A$1:$T$117"}</definedName>
    <definedName name="PY_1_1_1" hidden="1">{"'vert'!$A$1:$T$117"}</definedName>
    <definedName name="PY_1_2" localSheetId="5" hidden="1">{"'vert'!$A$1:$T$117"}</definedName>
    <definedName name="PY_1_2" localSheetId="6" hidden="1">{"'vert'!$A$1:$T$117"}</definedName>
    <definedName name="PY_1_2" hidden="1">{"'vert'!$A$1:$T$117"}</definedName>
    <definedName name="PY_2" localSheetId="5" hidden="1">{"'vert'!$A$1:$T$117"}</definedName>
    <definedName name="PY_2" localSheetId="6" hidden="1">{"'vert'!$A$1:$T$117"}</definedName>
    <definedName name="PY_2" hidden="1">{"'vert'!$A$1:$T$117"}</definedName>
    <definedName name="PY_2_1" localSheetId="5" hidden="1">{"'vert'!$A$1:$T$117"}</definedName>
    <definedName name="PY_2_1" localSheetId="6" hidden="1">{"'vert'!$A$1:$T$117"}</definedName>
    <definedName name="PY_2_1" hidden="1">{"'vert'!$A$1:$T$117"}</definedName>
    <definedName name="PY_2_1_1" localSheetId="5" hidden="1">{"'vert'!$A$1:$T$117"}</definedName>
    <definedName name="PY_2_1_1" localSheetId="6" hidden="1">{"'vert'!$A$1:$T$117"}</definedName>
    <definedName name="PY_2_1_1" hidden="1">{"'vert'!$A$1:$T$117"}</definedName>
    <definedName name="PY_2_2" localSheetId="5" hidden="1">{"'vert'!$A$1:$T$117"}</definedName>
    <definedName name="PY_2_2" localSheetId="6" hidden="1">{"'vert'!$A$1:$T$117"}</definedName>
    <definedName name="PY_2_2" hidden="1">{"'vert'!$A$1:$T$117"}</definedName>
    <definedName name="PY_3" localSheetId="5" hidden="1">{"'vert'!$A$1:$T$117"}</definedName>
    <definedName name="PY_3" localSheetId="6" hidden="1">{"'vert'!$A$1:$T$117"}</definedName>
    <definedName name="PY_3" hidden="1">{"'vert'!$A$1:$T$117"}</definedName>
    <definedName name="PY_3_1" localSheetId="5" hidden="1">{"'vert'!$A$1:$T$117"}</definedName>
    <definedName name="PY_3_1" localSheetId="6" hidden="1">{"'vert'!$A$1:$T$117"}</definedName>
    <definedName name="PY_3_1" hidden="1">{"'vert'!$A$1:$T$117"}</definedName>
    <definedName name="PY_4" localSheetId="5" hidden="1">{"'vert'!$A$1:$T$117"}</definedName>
    <definedName name="PY_4" localSheetId="6" hidden="1">{"'vert'!$A$1:$T$117"}</definedName>
    <definedName name="PY_4" hidden="1">{"'vert'!$A$1:$T$117"}</definedName>
    <definedName name="q" localSheetId="5" hidden="1">{"'vert'!$A$1:$T$117"}</definedName>
    <definedName name="q" localSheetId="6" hidden="1">{"'vert'!$A$1:$T$117"}</definedName>
    <definedName name="q" hidden="1">{"'vert'!$A$1:$T$117"}</definedName>
    <definedName name="q_1" localSheetId="5" hidden="1">{"'vert'!$A$1:$T$117"}</definedName>
    <definedName name="q_1" localSheetId="6" hidden="1">{"'vert'!$A$1:$T$117"}</definedName>
    <definedName name="q_1" hidden="1">{"'vert'!$A$1:$T$117"}</definedName>
    <definedName name="q_1_1" localSheetId="5" hidden="1">{"'vert'!$A$1:$T$117"}</definedName>
    <definedName name="q_1_1" localSheetId="6" hidden="1">{"'vert'!$A$1:$T$117"}</definedName>
    <definedName name="q_1_1" hidden="1">{"'vert'!$A$1:$T$117"}</definedName>
    <definedName name="q_1_1_1" localSheetId="5" hidden="1">{"'vert'!$A$1:$T$117"}</definedName>
    <definedName name="q_1_1_1" localSheetId="6" hidden="1">{"'vert'!$A$1:$T$117"}</definedName>
    <definedName name="q_1_1_1" hidden="1">{"'vert'!$A$1:$T$117"}</definedName>
    <definedName name="q_1_2" localSheetId="5" hidden="1">{"'vert'!$A$1:$T$117"}</definedName>
    <definedName name="q_1_2" localSheetId="6" hidden="1">{"'vert'!$A$1:$T$117"}</definedName>
    <definedName name="q_1_2" hidden="1">{"'vert'!$A$1:$T$117"}</definedName>
    <definedName name="q_2" localSheetId="5" hidden="1">{"'vert'!$A$1:$T$117"}</definedName>
    <definedName name="q_2" localSheetId="6" hidden="1">{"'vert'!$A$1:$T$117"}</definedName>
    <definedName name="q_2" hidden="1">{"'vert'!$A$1:$T$117"}</definedName>
    <definedName name="q_2_1" localSheetId="5" hidden="1">{"'vert'!$A$1:$T$117"}</definedName>
    <definedName name="q_2_1" localSheetId="6" hidden="1">{"'vert'!$A$1:$T$117"}</definedName>
    <definedName name="q_2_1" hidden="1">{"'vert'!$A$1:$T$117"}</definedName>
    <definedName name="q_2_1_1" localSheetId="5" hidden="1">{"'vert'!$A$1:$T$117"}</definedName>
    <definedName name="q_2_1_1" localSheetId="6" hidden="1">{"'vert'!$A$1:$T$117"}</definedName>
    <definedName name="q_2_1_1" hidden="1">{"'vert'!$A$1:$T$117"}</definedName>
    <definedName name="q_2_2" localSheetId="5" hidden="1">{"'vert'!$A$1:$T$117"}</definedName>
    <definedName name="q_2_2" localSheetId="6" hidden="1">{"'vert'!$A$1:$T$117"}</definedName>
    <definedName name="q_2_2" hidden="1">{"'vert'!$A$1:$T$117"}</definedName>
    <definedName name="q_3" localSheetId="5" hidden="1">{"'vert'!$A$1:$T$117"}</definedName>
    <definedName name="q_3" localSheetId="6" hidden="1">{"'vert'!$A$1:$T$117"}</definedName>
    <definedName name="q_3" hidden="1">{"'vert'!$A$1:$T$117"}</definedName>
    <definedName name="q_3_1" localSheetId="5" hidden="1">{"'vert'!$A$1:$T$117"}</definedName>
    <definedName name="q_3_1" localSheetId="6" hidden="1">{"'vert'!$A$1:$T$117"}</definedName>
    <definedName name="q_3_1" hidden="1">{"'vert'!$A$1:$T$117"}</definedName>
    <definedName name="q_4" localSheetId="5" hidden="1">{"'vert'!$A$1:$T$117"}</definedName>
    <definedName name="q_4" localSheetId="6" hidden="1">{"'vert'!$A$1:$T$117"}</definedName>
    <definedName name="q_4" hidden="1">{"'vert'!$A$1:$T$117"}</definedName>
    <definedName name="Q4TTMYr" localSheetId="5" hidden="1">{"'vert'!$A$1:$T$117"}</definedName>
    <definedName name="Q4TTMYr" localSheetId="6" hidden="1">{"'vert'!$A$1:$T$117"}</definedName>
    <definedName name="Q4TTMYr" hidden="1">{"'vert'!$A$1:$T$117"}</definedName>
    <definedName name="Q4TTMYr_1" localSheetId="5" hidden="1">{"'vert'!$A$1:$T$117"}</definedName>
    <definedName name="Q4TTMYr_1" localSheetId="6" hidden="1">{"'vert'!$A$1:$T$117"}</definedName>
    <definedName name="Q4TTMYr_1" hidden="1">{"'vert'!$A$1:$T$117"}</definedName>
    <definedName name="Q4TTMYr_1_1" localSheetId="5" hidden="1">{"'vert'!$A$1:$T$117"}</definedName>
    <definedName name="Q4TTMYr_1_1" localSheetId="6" hidden="1">{"'vert'!$A$1:$T$117"}</definedName>
    <definedName name="Q4TTMYr_1_1" hidden="1">{"'vert'!$A$1:$T$117"}</definedName>
    <definedName name="Q4TTMYr_1_1_1" localSheetId="5" hidden="1">{"'vert'!$A$1:$T$117"}</definedName>
    <definedName name="Q4TTMYr_1_1_1" localSheetId="6" hidden="1">{"'vert'!$A$1:$T$117"}</definedName>
    <definedName name="Q4TTMYr_1_1_1" hidden="1">{"'vert'!$A$1:$T$117"}</definedName>
    <definedName name="Q4TTMYr_1_2" localSheetId="5" hidden="1">{"'vert'!$A$1:$T$117"}</definedName>
    <definedName name="Q4TTMYr_1_2" localSheetId="6" hidden="1">{"'vert'!$A$1:$T$117"}</definedName>
    <definedName name="Q4TTMYr_1_2" hidden="1">{"'vert'!$A$1:$T$117"}</definedName>
    <definedName name="Q4TTMYr_2" localSheetId="5" hidden="1">{"'vert'!$A$1:$T$117"}</definedName>
    <definedName name="Q4TTMYr_2" localSheetId="6" hidden="1">{"'vert'!$A$1:$T$117"}</definedName>
    <definedName name="Q4TTMYr_2" hidden="1">{"'vert'!$A$1:$T$117"}</definedName>
    <definedName name="Q4TTMYr_2_1" localSheetId="5" hidden="1">{"'vert'!$A$1:$T$117"}</definedName>
    <definedName name="Q4TTMYr_2_1" localSheetId="6" hidden="1">{"'vert'!$A$1:$T$117"}</definedName>
    <definedName name="Q4TTMYr_2_1" hidden="1">{"'vert'!$A$1:$T$117"}</definedName>
    <definedName name="Q4TTMYr_2_1_1" localSheetId="5" hidden="1">{"'vert'!$A$1:$T$117"}</definedName>
    <definedName name="Q4TTMYr_2_1_1" localSheetId="6" hidden="1">{"'vert'!$A$1:$T$117"}</definedName>
    <definedName name="Q4TTMYr_2_1_1" hidden="1">{"'vert'!$A$1:$T$117"}</definedName>
    <definedName name="Q4TTMYr_2_2" localSheetId="5" hidden="1">{"'vert'!$A$1:$T$117"}</definedName>
    <definedName name="Q4TTMYr_2_2" localSheetId="6" hidden="1">{"'vert'!$A$1:$T$117"}</definedName>
    <definedName name="Q4TTMYr_2_2" hidden="1">{"'vert'!$A$1:$T$117"}</definedName>
    <definedName name="Q4TTMYr_3" localSheetId="5" hidden="1">{"'vert'!$A$1:$T$117"}</definedName>
    <definedName name="Q4TTMYr_3" localSheetId="6" hidden="1">{"'vert'!$A$1:$T$117"}</definedName>
    <definedName name="Q4TTMYr_3" hidden="1">{"'vert'!$A$1:$T$117"}</definedName>
    <definedName name="Q4TTMYr_3_1" localSheetId="5" hidden="1">{"'vert'!$A$1:$T$117"}</definedName>
    <definedName name="Q4TTMYr_3_1" localSheetId="6" hidden="1">{"'vert'!$A$1:$T$117"}</definedName>
    <definedName name="Q4TTMYr_3_1" hidden="1">{"'vert'!$A$1:$T$117"}</definedName>
    <definedName name="Q4TTMYr_4" localSheetId="5" hidden="1">{"'vert'!$A$1:$T$117"}</definedName>
    <definedName name="Q4TTMYr_4" localSheetId="6" hidden="1">{"'vert'!$A$1:$T$117"}</definedName>
    <definedName name="Q4TTMYr_4" hidden="1">{"'vert'!$A$1:$T$117"}</definedName>
    <definedName name="qqqq" localSheetId="5" hidden="1">{"'vert'!$A$1:$T$117"}</definedName>
    <definedName name="qqqq" localSheetId="6" hidden="1">{"'vert'!$A$1:$T$117"}</definedName>
    <definedName name="qqqq" hidden="1">{"'vert'!$A$1:$T$117"}</definedName>
    <definedName name="qretqet" localSheetId="5" hidden="1">{"'vert'!$A$1:$T$117"}</definedName>
    <definedName name="qretqet" localSheetId="6" hidden="1">{"'vert'!$A$1:$T$117"}</definedName>
    <definedName name="qretqet" hidden="1">{"'vert'!$A$1:$T$117"}</definedName>
    <definedName name="qretqet_1" localSheetId="5" hidden="1">{"'vert'!$A$1:$T$117"}</definedName>
    <definedName name="qretqet_1" localSheetId="6" hidden="1">{"'vert'!$A$1:$T$117"}</definedName>
    <definedName name="qretqet_1" hidden="1">{"'vert'!$A$1:$T$117"}</definedName>
    <definedName name="qretqet_1_1" localSheetId="5" hidden="1">{"'vert'!$A$1:$T$117"}</definedName>
    <definedName name="qretqet_1_1" localSheetId="6" hidden="1">{"'vert'!$A$1:$T$117"}</definedName>
    <definedName name="qretqet_1_1" hidden="1">{"'vert'!$A$1:$T$117"}</definedName>
    <definedName name="qretqet_1_2" localSheetId="5" hidden="1">{"'vert'!$A$1:$T$117"}</definedName>
    <definedName name="qretqet_1_2" localSheetId="6" hidden="1">{"'vert'!$A$1:$T$117"}</definedName>
    <definedName name="qretqet_1_2" hidden="1">{"'vert'!$A$1:$T$117"}</definedName>
    <definedName name="qretqet_2" localSheetId="5" hidden="1">{"'vert'!$A$1:$T$117"}</definedName>
    <definedName name="qretqet_2" localSheetId="6" hidden="1">{"'vert'!$A$1:$T$117"}</definedName>
    <definedName name="qretqet_2" hidden="1">{"'vert'!$A$1:$T$117"}</definedName>
    <definedName name="qretqet_3" localSheetId="5" hidden="1">{"'vert'!$A$1:$T$117"}</definedName>
    <definedName name="qretqet_3" localSheetId="6" hidden="1">{"'vert'!$A$1:$T$117"}</definedName>
    <definedName name="qretqet_3" hidden="1">{"'vert'!$A$1:$T$117"}</definedName>
    <definedName name="raeoasdn123" localSheetId="5" hidden="1">{"'vert'!$A$1:$T$117"}</definedName>
    <definedName name="raeoasdn123" localSheetId="6" hidden="1">{"'vert'!$A$1:$T$117"}</definedName>
    <definedName name="raeoasdn123" hidden="1">{"'vert'!$A$1:$T$117"}</definedName>
    <definedName name="raeoasdn123_1" localSheetId="5" hidden="1">{"'vert'!$A$1:$T$117"}</definedName>
    <definedName name="raeoasdn123_1" localSheetId="6" hidden="1">{"'vert'!$A$1:$T$117"}</definedName>
    <definedName name="raeoasdn123_1" hidden="1">{"'vert'!$A$1:$T$117"}</definedName>
    <definedName name="raeoasdn123_1_1" localSheetId="5" hidden="1">{"'vert'!$A$1:$T$117"}</definedName>
    <definedName name="raeoasdn123_1_1" localSheetId="6" hidden="1">{"'vert'!$A$1:$T$117"}</definedName>
    <definedName name="raeoasdn123_1_1" hidden="1">{"'vert'!$A$1:$T$117"}</definedName>
    <definedName name="raeoasdn123_1_1_1" localSheetId="5" hidden="1">{"'vert'!$A$1:$T$117"}</definedName>
    <definedName name="raeoasdn123_1_1_1" localSheetId="6" hidden="1">{"'vert'!$A$1:$T$117"}</definedName>
    <definedName name="raeoasdn123_1_1_1" hidden="1">{"'vert'!$A$1:$T$117"}</definedName>
    <definedName name="raeoasdn123_1_2" localSheetId="5" hidden="1">{"'vert'!$A$1:$T$117"}</definedName>
    <definedName name="raeoasdn123_1_2" localSheetId="6" hidden="1">{"'vert'!$A$1:$T$117"}</definedName>
    <definedName name="raeoasdn123_1_2" hidden="1">{"'vert'!$A$1:$T$117"}</definedName>
    <definedName name="raeoasdn123_2" localSheetId="5" hidden="1">{"'vert'!$A$1:$T$117"}</definedName>
    <definedName name="raeoasdn123_2" localSheetId="6" hidden="1">{"'vert'!$A$1:$T$117"}</definedName>
    <definedName name="raeoasdn123_2" hidden="1">{"'vert'!$A$1:$T$117"}</definedName>
    <definedName name="raeoasdn123_2_1" localSheetId="5" hidden="1">{"'vert'!$A$1:$T$117"}</definedName>
    <definedName name="raeoasdn123_2_1" localSheetId="6" hidden="1">{"'vert'!$A$1:$T$117"}</definedName>
    <definedName name="raeoasdn123_2_1" hidden="1">{"'vert'!$A$1:$T$117"}</definedName>
    <definedName name="raeoasdn123_2_1_1" localSheetId="5" hidden="1">{"'vert'!$A$1:$T$117"}</definedName>
    <definedName name="raeoasdn123_2_1_1" localSheetId="6" hidden="1">{"'vert'!$A$1:$T$117"}</definedName>
    <definedName name="raeoasdn123_2_1_1" hidden="1">{"'vert'!$A$1:$T$117"}</definedName>
    <definedName name="raeoasdn123_2_2" localSheetId="5" hidden="1">{"'vert'!$A$1:$T$117"}</definedName>
    <definedName name="raeoasdn123_2_2" localSheetId="6" hidden="1">{"'vert'!$A$1:$T$117"}</definedName>
    <definedName name="raeoasdn123_2_2" hidden="1">{"'vert'!$A$1:$T$117"}</definedName>
    <definedName name="raeoasdn123_3" localSheetId="5" hidden="1">{"'vert'!$A$1:$T$117"}</definedName>
    <definedName name="raeoasdn123_3" localSheetId="6" hidden="1">{"'vert'!$A$1:$T$117"}</definedName>
    <definedName name="raeoasdn123_3" hidden="1">{"'vert'!$A$1:$T$117"}</definedName>
    <definedName name="raeoasdn123_3_1" localSheetId="5" hidden="1">{"'vert'!$A$1:$T$117"}</definedName>
    <definedName name="raeoasdn123_3_1" localSheetId="6" hidden="1">{"'vert'!$A$1:$T$117"}</definedName>
    <definedName name="raeoasdn123_3_1" hidden="1">{"'vert'!$A$1:$T$117"}</definedName>
    <definedName name="raeoasdn123_4" localSheetId="5" hidden="1">{"'vert'!$A$1:$T$117"}</definedName>
    <definedName name="raeoasdn123_4" localSheetId="6" hidden="1">{"'vert'!$A$1:$T$117"}</definedName>
    <definedName name="raeoasdn123_4" hidden="1">{"'vert'!$A$1:$T$117"}</definedName>
    <definedName name="range_Test">[3]GMS!$4:$5,[3]GMS!$9:$10,[3]GMS!$14:$15,[3]GMS!$19:$20</definedName>
    <definedName name="Recos2" localSheetId="5" hidden="1">{"'vert'!$A$1:$T$117"}</definedName>
    <definedName name="Recos2" localSheetId="6" hidden="1">{"'vert'!$A$1:$T$117"}</definedName>
    <definedName name="Recos2" hidden="1">{"'vert'!$A$1:$T$117"}</definedName>
    <definedName name="Recos2_1" localSheetId="5" hidden="1">{"'vert'!$A$1:$T$117"}</definedName>
    <definedName name="Recos2_1" localSheetId="6" hidden="1">{"'vert'!$A$1:$T$117"}</definedName>
    <definedName name="Recos2_1" hidden="1">{"'vert'!$A$1:$T$117"}</definedName>
    <definedName name="Recos2_1_1" localSheetId="5" hidden="1">{"'vert'!$A$1:$T$117"}</definedName>
    <definedName name="Recos2_1_1" localSheetId="6" hidden="1">{"'vert'!$A$1:$T$117"}</definedName>
    <definedName name="Recos2_1_1" hidden="1">{"'vert'!$A$1:$T$117"}</definedName>
    <definedName name="Recos2_1_1_1" localSheetId="5" hidden="1">{"'vert'!$A$1:$T$117"}</definedName>
    <definedName name="Recos2_1_1_1" localSheetId="6" hidden="1">{"'vert'!$A$1:$T$117"}</definedName>
    <definedName name="Recos2_1_1_1" hidden="1">{"'vert'!$A$1:$T$117"}</definedName>
    <definedName name="Recos2_1_2" localSheetId="5" hidden="1">{"'vert'!$A$1:$T$117"}</definedName>
    <definedName name="Recos2_1_2" localSheetId="6" hidden="1">{"'vert'!$A$1:$T$117"}</definedName>
    <definedName name="Recos2_1_2" hidden="1">{"'vert'!$A$1:$T$117"}</definedName>
    <definedName name="Recos2_2" localSheetId="5" hidden="1">{"'vert'!$A$1:$T$117"}</definedName>
    <definedName name="Recos2_2" localSheetId="6" hidden="1">{"'vert'!$A$1:$T$117"}</definedName>
    <definedName name="Recos2_2" hidden="1">{"'vert'!$A$1:$T$117"}</definedName>
    <definedName name="Recos2_2_1" localSheetId="5" hidden="1">{"'vert'!$A$1:$T$117"}</definedName>
    <definedName name="Recos2_2_1" localSheetId="6" hidden="1">{"'vert'!$A$1:$T$117"}</definedName>
    <definedName name="Recos2_2_1" hidden="1">{"'vert'!$A$1:$T$117"}</definedName>
    <definedName name="Recos2_2_1_1" localSheetId="5" hidden="1">{"'vert'!$A$1:$T$117"}</definedName>
    <definedName name="Recos2_2_1_1" localSheetId="6" hidden="1">{"'vert'!$A$1:$T$117"}</definedName>
    <definedName name="Recos2_2_1_1" hidden="1">{"'vert'!$A$1:$T$117"}</definedName>
    <definedName name="Recos2_2_2" localSheetId="5" hidden="1">{"'vert'!$A$1:$T$117"}</definedName>
    <definedName name="Recos2_2_2" localSheetId="6" hidden="1">{"'vert'!$A$1:$T$117"}</definedName>
    <definedName name="Recos2_2_2" hidden="1">{"'vert'!$A$1:$T$117"}</definedName>
    <definedName name="Recos2_3" localSheetId="5" hidden="1">{"'vert'!$A$1:$T$117"}</definedName>
    <definedName name="Recos2_3" localSheetId="6" hidden="1">{"'vert'!$A$1:$T$117"}</definedName>
    <definedName name="Recos2_3" hidden="1">{"'vert'!$A$1:$T$117"}</definedName>
    <definedName name="Recos2_3_1" localSheetId="5" hidden="1">{"'vert'!$A$1:$T$117"}</definedName>
    <definedName name="Recos2_3_1" localSheetId="6" hidden="1">{"'vert'!$A$1:$T$117"}</definedName>
    <definedName name="Recos2_3_1" hidden="1">{"'vert'!$A$1:$T$117"}</definedName>
    <definedName name="Recos2_4" localSheetId="5" hidden="1">{"'vert'!$A$1:$T$117"}</definedName>
    <definedName name="Recos2_4" localSheetId="6" hidden="1">{"'vert'!$A$1:$T$117"}</definedName>
    <definedName name="Recos2_4" hidden="1">{"'vert'!$A$1:$T$117"}</definedName>
    <definedName name="reear" localSheetId="5" hidden="1">{#N/A,#N/A,FALSE,"Sheet1"}</definedName>
    <definedName name="reear" localSheetId="6" hidden="1">{#N/A,#N/A,FALSE,"Sheet1"}</definedName>
    <definedName name="reear" hidden="1">{#N/A,#N/A,FALSE,"Sheet1"}</definedName>
    <definedName name="reovn123" localSheetId="5" hidden="1">{"'vert'!$A$1:$T$117"}</definedName>
    <definedName name="reovn123" localSheetId="6" hidden="1">{"'vert'!$A$1:$T$117"}</definedName>
    <definedName name="reovn123" hidden="1">{"'vert'!$A$1:$T$117"}</definedName>
    <definedName name="reovn123_1" localSheetId="5" hidden="1">{"'vert'!$A$1:$T$117"}</definedName>
    <definedName name="reovn123_1" localSheetId="6" hidden="1">{"'vert'!$A$1:$T$117"}</definedName>
    <definedName name="reovn123_1" hidden="1">{"'vert'!$A$1:$T$117"}</definedName>
    <definedName name="reovn123_1_1" localSheetId="5" hidden="1">{"'vert'!$A$1:$T$117"}</definedName>
    <definedName name="reovn123_1_1" localSheetId="6" hidden="1">{"'vert'!$A$1:$T$117"}</definedName>
    <definedName name="reovn123_1_1" hidden="1">{"'vert'!$A$1:$T$117"}</definedName>
    <definedName name="reovn123_1_1_1" localSheetId="5" hidden="1">{"'vert'!$A$1:$T$117"}</definedName>
    <definedName name="reovn123_1_1_1" localSheetId="6" hidden="1">{"'vert'!$A$1:$T$117"}</definedName>
    <definedName name="reovn123_1_1_1" hidden="1">{"'vert'!$A$1:$T$117"}</definedName>
    <definedName name="reovn123_1_2" localSheetId="5" hidden="1">{"'vert'!$A$1:$T$117"}</definedName>
    <definedName name="reovn123_1_2" localSheetId="6" hidden="1">{"'vert'!$A$1:$T$117"}</definedName>
    <definedName name="reovn123_1_2" hidden="1">{"'vert'!$A$1:$T$117"}</definedName>
    <definedName name="reovn123_2" localSheetId="5" hidden="1">{"'vert'!$A$1:$T$117"}</definedName>
    <definedName name="reovn123_2" localSheetId="6" hidden="1">{"'vert'!$A$1:$T$117"}</definedName>
    <definedName name="reovn123_2" hidden="1">{"'vert'!$A$1:$T$117"}</definedName>
    <definedName name="reovn123_2_1" localSheetId="5" hidden="1">{"'vert'!$A$1:$T$117"}</definedName>
    <definedName name="reovn123_2_1" localSheetId="6" hidden="1">{"'vert'!$A$1:$T$117"}</definedName>
    <definedName name="reovn123_2_1" hidden="1">{"'vert'!$A$1:$T$117"}</definedName>
    <definedName name="reovn123_2_1_1" localSheetId="5" hidden="1">{"'vert'!$A$1:$T$117"}</definedName>
    <definedName name="reovn123_2_1_1" localSheetId="6" hidden="1">{"'vert'!$A$1:$T$117"}</definedName>
    <definedName name="reovn123_2_1_1" hidden="1">{"'vert'!$A$1:$T$117"}</definedName>
    <definedName name="reovn123_2_2" localSheetId="5" hidden="1">{"'vert'!$A$1:$T$117"}</definedName>
    <definedName name="reovn123_2_2" localSheetId="6" hidden="1">{"'vert'!$A$1:$T$117"}</definedName>
    <definedName name="reovn123_2_2" hidden="1">{"'vert'!$A$1:$T$117"}</definedName>
    <definedName name="reovn123_3" localSheetId="5" hidden="1">{"'vert'!$A$1:$T$117"}</definedName>
    <definedName name="reovn123_3" localSheetId="6" hidden="1">{"'vert'!$A$1:$T$117"}</definedName>
    <definedName name="reovn123_3" hidden="1">{"'vert'!$A$1:$T$117"}</definedName>
    <definedName name="reovn123_3_1" localSheetId="5" hidden="1">{"'vert'!$A$1:$T$117"}</definedName>
    <definedName name="reovn123_3_1" localSheetId="6" hidden="1">{"'vert'!$A$1:$T$117"}</definedName>
    <definedName name="reovn123_3_1" hidden="1">{"'vert'!$A$1:$T$117"}</definedName>
    <definedName name="reovn123_4" localSheetId="5" hidden="1">{"'vert'!$A$1:$T$117"}</definedName>
    <definedName name="reovn123_4" localSheetId="6" hidden="1">{"'vert'!$A$1:$T$117"}</definedName>
    <definedName name="reovn123_4" hidden="1">{"'vert'!$A$1:$T$117"}</definedName>
    <definedName name="report_crry">[2]CurrYear_V1!$J$26</definedName>
    <definedName name="reqqqag" localSheetId="5" hidden="1">{"'vert'!$A$1:$T$117"}</definedName>
    <definedName name="reqqqag" localSheetId="6" hidden="1">{"'vert'!$A$1:$T$117"}</definedName>
    <definedName name="reqqqag" hidden="1">{"'vert'!$A$1:$T$117"}</definedName>
    <definedName name="reqqqag_1" localSheetId="5" hidden="1">{"'vert'!$A$1:$T$117"}</definedName>
    <definedName name="reqqqag_1" localSheetId="6" hidden="1">{"'vert'!$A$1:$T$117"}</definedName>
    <definedName name="reqqqag_1" hidden="1">{"'vert'!$A$1:$T$117"}</definedName>
    <definedName name="reqqqag_1_1" localSheetId="5" hidden="1">{"'vert'!$A$1:$T$117"}</definedName>
    <definedName name="reqqqag_1_1" localSheetId="6" hidden="1">{"'vert'!$A$1:$T$117"}</definedName>
    <definedName name="reqqqag_1_1" hidden="1">{"'vert'!$A$1:$T$117"}</definedName>
    <definedName name="reqqqag_1_2" localSheetId="5" hidden="1">{"'vert'!$A$1:$T$117"}</definedName>
    <definedName name="reqqqag_1_2" localSheetId="6" hidden="1">{"'vert'!$A$1:$T$117"}</definedName>
    <definedName name="reqqqag_1_2" hidden="1">{"'vert'!$A$1:$T$117"}</definedName>
    <definedName name="reqqqag_2" localSheetId="5" hidden="1">{"'vert'!$A$1:$T$117"}</definedName>
    <definedName name="reqqqag_2" localSheetId="6" hidden="1">{"'vert'!$A$1:$T$117"}</definedName>
    <definedName name="reqqqag_2" hidden="1">{"'vert'!$A$1:$T$117"}</definedName>
    <definedName name="reqqqag_3" localSheetId="5" hidden="1">{"'vert'!$A$1:$T$117"}</definedName>
    <definedName name="reqqqag_3" localSheetId="6" hidden="1">{"'vert'!$A$1:$T$117"}</definedName>
    <definedName name="reqqqag_3" hidden="1">{"'vert'!$A$1:$T$117"}</definedName>
    <definedName name="rerere" localSheetId="5" hidden="1">{"'vert'!$A$1:$T$117"}</definedName>
    <definedName name="rerere" localSheetId="6" hidden="1">{"'vert'!$A$1:$T$117"}</definedName>
    <definedName name="rerere" hidden="1">{"'vert'!$A$1:$T$117"}</definedName>
    <definedName name="rerere_1" localSheetId="5" hidden="1">{"'vert'!$A$1:$T$117"}</definedName>
    <definedName name="rerere_1" localSheetId="6" hidden="1">{"'vert'!$A$1:$T$117"}</definedName>
    <definedName name="rerere_1" hidden="1">{"'vert'!$A$1:$T$117"}</definedName>
    <definedName name="rerere_1_1" localSheetId="5" hidden="1">{"'vert'!$A$1:$T$117"}</definedName>
    <definedName name="rerere_1_1" localSheetId="6" hidden="1">{"'vert'!$A$1:$T$117"}</definedName>
    <definedName name="rerere_1_1" hidden="1">{"'vert'!$A$1:$T$117"}</definedName>
    <definedName name="rerere_1_2" localSheetId="5" hidden="1">{"'vert'!$A$1:$T$117"}</definedName>
    <definedName name="rerere_1_2" localSheetId="6" hidden="1">{"'vert'!$A$1:$T$117"}</definedName>
    <definedName name="rerere_1_2" hidden="1">{"'vert'!$A$1:$T$117"}</definedName>
    <definedName name="rerere_2" localSheetId="5" hidden="1">{"'vert'!$A$1:$T$117"}</definedName>
    <definedName name="rerere_2" localSheetId="6" hidden="1">{"'vert'!$A$1:$T$117"}</definedName>
    <definedName name="rerere_2" hidden="1">{"'vert'!$A$1:$T$117"}</definedName>
    <definedName name="rerere_3" localSheetId="5" hidden="1">{"'vert'!$A$1:$T$117"}</definedName>
    <definedName name="rerere_3" localSheetId="6" hidden="1">{"'vert'!$A$1:$T$117"}</definedName>
    <definedName name="rerere_3" hidden="1">{"'vert'!$A$1:$T$117"}</definedName>
    <definedName name="Results" localSheetId="5" hidden="1">{"FCB_ALL",#N/A,FALSE,"FCB"}</definedName>
    <definedName name="Results" localSheetId="6" hidden="1">{"FCB_ALL",#N/A,FALSE,"FCB"}</definedName>
    <definedName name="Results" hidden="1">{"FCB_ALL",#N/A,FALSE,"FCB"}</definedName>
    <definedName name="resultscomp" localSheetId="5" hidden="1">{"FCB_ALL",#N/A,FALSE,"FCB"}</definedName>
    <definedName name="resultscomp" localSheetId="6" hidden="1">{"FCB_ALL",#N/A,FALSE,"FCB"}</definedName>
    <definedName name="resultscomp" hidden="1">{"FCB_ALL",#N/A,FALSE,"FCB"}</definedName>
    <definedName name="Retrieve_Actuals">'[6]Total U.S. Infrastructure'!$C$108:$P$226</definedName>
    <definedName name="Retrieve_Plan">'[6]Total U.S. Infrastructure'!$C$272:$P$387</definedName>
    <definedName name="ReviewPages">[5]Traffic!$A$18:$IV$18</definedName>
    <definedName name="robert" localSheetId="5" hidden="1">{"'vert'!$A$1:$T$117"}</definedName>
    <definedName name="robert" localSheetId="6" hidden="1">{"'vert'!$A$1:$T$117"}</definedName>
    <definedName name="robert" hidden="1">{"'vert'!$A$1:$T$117"}</definedName>
    <definedName name="rrrr" localSheetId="5" hidden="1">{"'vert'!$A$1:$T$117"}</definedName>
    <definedName name="rrrr" localSheetId="6" hidden="1">{"'vert'!$A$1:$T$117"}</definedName>
    <definedName name="rrrr" hidden="1">{"'vert'!$A$1:$T$117"}</definedName>
    <definedName name="s" hidden="1">#REF!</definedName>
    <definedName name="sa" hidden="1">[13]CLOSE!#REF!</definedName>
    <definedName name="sad" hidden="1">#REF!</definedName>
    <definedName name="sadf" localSheetId="5" hidden="1">{"'vert'!$A$1:$T$117"}</definedName>
    <definedName name="sadf" localSheetId="6" hidden="1">{"'vert'!$A$1:$T$117"}</definedName>
    <definedName name="sadf" hidden="1">{"'vert'!$A$1:$T$117"}</definedName>
    <definedName name="sadf_1" localSheetId="5" hidden="1">{"'vert'!$A$1:$T$117"}</definedName>
    <definedName name="sadf_1" localSheetId="6" hidden="1">{"'vert'!$A$1:$T$117"}</definedName>
    <definedName name="sadf_1" hidden="1">{"'vert'!$A$1:$T$117"}</definedName>
    <definedName name="sadf_1_1" localSheetId="5" hidden="1">{"'vert'!$A$1:$T$117"}</definedName>
    <definedName name="sadf_1_1" localSheetId="6" hidden="1">{"'vert'!$A$1:$T$117"}</definedName>
    <definedName name="sadf_1_1" hidden="1">{"'vert'!$A$1:$T$117"}</definedName>
    <definedName name="sadf_1_1_1" localSheetId="5" hidden="1">{"'vert'!$A$1:$T$117"}</definedName>
    <definedName name="sadf_1_1_1" localSheetId="6" hidden="1">{"'vert'!$A$1:$T$117"}</definedName>
    <definedName name="sadf_1_1_1" hidden="1">{"'vert'!$A$1:$T$117"}</definedName>
    <definedName name="sadf_1_2" localSheetId="5" hidden="1">{"'vert'!$A$1:$T$117"}</definedName>
    <definedName name="sadf_1_2" localSheetId="6" hidden="1">{"'vert'!$A$1:$T$117"}</definedName>
    <definedName name="sadf_1_2" hidden="1">{"'vert'!$A$1:$T$117"}</definedName>
    <definedName name="sadf_2" localSheetId="5" hidden="1">{"'vert'!$A$1:$T$117"}</definedName>
    <definedName name="sadf_2" localSheetId="6" hidden="1">{"'vert'!$A$1:$T$117"}</definedName>
    <definedName name="sadf_2" hidden="1">{"'vert'!$A$1:$T$117"}</definedName>
    <definedName name="sadf_2_1" localSheetId="5" hidden="1">{"'vert'!$A$1:$T$117"}</definedName>
    <definedName name="sadf_2_1" localSheetId="6" hidden="1">{"'vert'!$A$1:$T$117"}</definedName>
    <definedName name="sadf_2_1" hidden="1">{"'vert'!$A$1:$T$117"}</definedName>
    <definedName name="sadf_2_1_1" localSheetId="5" hidden="1">{"'vert'!$A$1:$T$117"}</definedName>
    <definedName name="sadf_2_1_1" localSheetId="6" hidden="1">{"'vert'!$A$1:$T$117"}</definedName>
    <definedName name="sadf_2_1_1" hidden="1">{"'vert'!$A$1:$T$117"}</definedName>
    <definedName name="sadf_2_2" localSheetId="5" hidden="1">{"'vert'!$A$1:$T$117"}</definedName>
    <definedName name="sadf_2_2" localSheetId="6" hidden="1">{"'vert'!$A$1:$T$117"}</definedName>
    <definedName name="sadf_2_2" hidden="1">{"'vert'!$A$1:$T$117"}</definedName>
    <definedName name="sadf_3" localSheetId="5" hidden="1">{"'vert'!$A$1:$T$117"}</definedName>
    <definedName name="sadf_3" localSheetId="6" hidden="1">{"'vert'!$A$1:$T$117"}</definedName>
    <definedName name="sadf_3" hidden="1">{"'vert'!$A$1:$T$117"}</definedName>
    <definedName name="sadf_3_1" localSheetId="5" hidden="1">{"'vert'!$A$1:$T$117"}</definedName>
    <definedName name="sadf_3_1" localSheetId="6" hidden="1">{"'vert'!$A$1:$T$117"}</definedName>
    <definedName name="sadf_3_1" hidden="1">{"'vert'!$A$1:$T$117"}</definedName>
    <definedName name="sadf_4" localSheetId="5" hidden="1">{"'vert'!$A$1:$T$117"}</definedName>
    <definedName name="sadf_4" localSheetId="6" hidden="1">{"'vert'!$A$1:$T$117"}</definedName>
    <definedName name="sadf_4" hidden="1">{"'vert'!$A$1:$T$117"}</definedName>
    <definedName name="sadsadf" localSheetId="5" hidden="1">{"'vert'!$A$1:$T$117"}</definedName>
    <definedName name="sadsadf" localSheetId="6" hidden="1">{"'vert'!$A$1:$T$117"}</definedName>
    <definedName name="sadsadf" hidden="1">{"'vert'!$A$1:$T$117"}</definedName>
    <definedName name="sadsadf_1" localSheetId="5" hidden="1">{"'vert'!$A$1:$T$117"}</definedName>
    <definedName name="sadsadf_1" localSheetId="6" hidden="1">{"'vert'!$A$1:$T$117"}</definedName>
    <definedName name="sadsadf_1" hidden="1">{"'vert'!$A$1:$T$117"}</definedName>
    <definedName name="sadsadf_1_1" localSheetId="5" hidden="1">{"'vert'!$A$1:$T$117"}</definedName>
    <definedName name="sadsadf_1_1" localSheetId="6" hidden="1">{"'vert'!$A$1:$T$117"}</definedName>
    <definedName name="sadsadf_1_1" hidden="1">{"'vert'!$A$1:$T$117"}</definedName>
    <definedName name="sadsadf_1_1_1" localSheetId="5" hidden="1">{"'vert'!$A$1:$T$117"}</definedName>
    <definedName name="sadsadf_1_1_1" localSheetId="6" hidden="1">{"'vert'!$A$1:$T$117"}</definedName>
    <definedName name="sadsadf_1_1_1" hidden="1">{"'vert'!$A$1:$T$117"}</definedName>
    <definedName name="sadsadf_1_2" localSheetId="5" hidden="1">{"'vert'!$A$1:$T$117"}</definedName>
    <definedName name="sadsadf_1_2" localSheetId="6" hidden="1">{"'vert'!$A$1:$T$117"}</definedName>
    <definedName name="sadsadf_1_2" hidden="1">{"'vert'!$A$1:$T$117"}</definedName>
    <definedName name="sadsadf_2" localSheetId="5" hidden="1">{"'vert'!$A$1:$T$117"}</definedName>
    <definedName name="sadsadf_2" localSheetId="6" hidden="1">{"'vert'!$A$1:$T$117"}</definedName>
    <definedName name="sadsadf_2" hidden="1">{"'vert'!$A$1:$T$117"}</definedName>
    <definedName name="sadsadf_2_1" localSheetId="5" hidden="1">{"'vert'!$A$1:$T$117"}</definedName>
    <definedName name="sadsadf_2_1" localSheetId="6" hidden="1">{"'vert'!$A$1:$T$117"}</definedName>
    <definedName name="sadsadf_2_1" hidden="1">{"'vert'!$A$1:$T$117"}</definedName>
    <definedName name="sadsadf_2_1_1" localSheetId="5" hidden="1">{"'vert'!$A$1:$T$117"}</definedName>
    <definedName name="sadsadf_2_1_1" localSheetId="6" hidden="1">{"'vert'!$A$1:$T$117"}</definedName>
    <definedName name="sadsadf_2_1_1" hidden="1">{"'vert'!$A$1:$T$117"}</definedName>
    <definedName name="sadsadf_2_2" localSheetId="5" hidden="1">{"'vert'!$A$1:$T$117"}</definedName>
    <definedName name="sadsadf_2_2" localSheetId="6" hidden="1">{"'vert'!$A$1:$T$117"}</definedName>
    <definedName name="sadsadf_2_2" hidden="1">{"'vert'!$A$1:$T$117"}</definedName>
    <definedName name="sadsadf_3" localSheetId="5" hidden="1">{"'vert'!$A$1:$T$117"}</definedName>
    <definedName name="sadsadf_3" localSheetId="6" hidden="1">{"'vert'!$A$1:$T$117"}</definedName>
    <definedName name="sadsadf_3" hidden="1">{"'vert'!$A$1:$T$117"}</definedName>
    <definedName name="sadsadf_3_1" localSheetId="5" hidden="1">{"'vert'!$A$1:$T$117"}</definedName>
    <definedName name="sadsadf_3_1" localSheetId="6" hidden="1">{"'vert'!$A$1:$T$117"}</definedName>
    <definedName name="sadsadf_3_1" hidden="1">{"'vert'!$A$1:$T$117"}</definedName>
    <definedName name="sadsadf_4" localSheetId="5" hidden="1">{"'vert'!$A$1:$T$117"}</definedName>
    <definedName name="sadsadf_4" localSheetId="6" hidden="1">{"'vert'!$A$1:$T$117"}</definedName>
    <definedName name="sadsadf_4" hidden="1">{"'vert'!$A$1:$T$117"}</definedName>
    <definedName name="sakdjaska_1" localSheetId="5" hidden="1">{"'vert'!$A$1:$T$117"}</definedName>
    <definedName name="sakdjaska_1" localSheetId="6" hidden="1">{"'vert'!$A$1:$T$117"}</definedName>
    <definedName name="sakdjaska_1" hidden="1">{"'vert'!$A$1:$T$117"}</definedName>
    <definedName name="sakdjaska_1_1" localSheetId="5" hidden="1">{"'vert'!$A$1:$T$117"}</definedName>
    <definedName name="sakdjaska_1_1" localSheetId="6" hidden="1">{"'vert'!$A$1:$T$117"}</definedName>
    <definedName name="sakdjaska_1_1" hidden="1">{"'vert'!$A$1:$T$117"}</definedName>
    <definedName name="sakdjaska_1_2" localSheetId="5" hidden="1">{"'vert'!$A$1:$T$117"}</definedName>
    <definedName name="sakdjaska_1_2" localSheetId="6" hidden="1">{"'vert'!$A$1:$T$117"}</definedName>
    <definedName name="sakdjaska_1_2" hidden="1">{"'vert'!$A$1:$T$117"}</definedName>
    <definedName name="sakdjaska_2" localSheetId="5" hidden="1">{"'vert'!$A$1:$T$117"}</definedName>
    <definedName name="sakdjaska_2" localSheetId="6" hidden="1">{"'vert'!$A$1:$T$117"}</definedName>
    <definedName name="sakdjaska_2" hidden="1">{"'vert'!$A$1:$T$117"}</definedName>
    <definedName name="sakdjaska_3" localSheetId="5" hidden="1">{"'vert'!$A$1:$T$117"}</definedName>
    <definedName name="sakdjaska_3" localSheetId="6" hidden="1">{"'vert'!$A$1:$T$117"}</definedName>
    <definedName name="sakdjaska_3" hidden="1">{"'vert'!$A$1:$T$117"}</definedName>
    <definedName name="sal_base_yr">[4]Inputs!$C$3</definedName>
    <definedName name="Scenarios">[31]Admin!$B$3:$B$20</definedName>
    <definedName name="sd" localSheetId="5" hidden="1">{#N/A,#N/A,FALSE,"Sheet1"}</definedName>
    <definedName name="sd" localSheetId="6" hidden="1">{#N/A,#N/A,FALSE,"Sheet1"}</definedName>
    <definedName name="sd" hidden="1">{#N/A,#N/A,FALSE,"Sheet1"}</definedName>
    <definedName name="sdafsdfzSDfasdf" localSheetId="5" hidden="1">{#N/A,#N/A,FALSE,"Sheet1"}</definedName>
    <definedName name="sdafsdfzSDfasdf" localSheetId="6" hidden="1">{#N/A,#N/A,FALSE,"Sheet1"}</definedName>
    <definedName name="sdafsdfzSDfasdf" hidden="1">{#N/A,#N/A,FALSE,"Sheet1"}</definedName>
    <definedName name="sdf" localSheetId="5" hidden="1">{"'vert'!$A$1:$T$117"}</definedName>
    <definedName name="sdf" localSheetId="6" hidden="1">{"'vert'!$A$1:$T$117"}</definedName>
    <definedName name="sdf" hidden="1">{"'vert'!$A$1:$T$117"}</definedName>
    <definedName name="sdf_1" localSheetId="5" hidden="1">{"'vert'!$A$1:$T$117"}</definedName>
    <definedName name="sdf_1" localSheetId="6" hidden="1">{"'vert'!$A$1:$T$117"}</definedName>
    <definedName name="sdf_1" hidden="1">{"'vert'!$A$1:$T$117"}</definedName>
    <definedName name="sdf_1_1" localSheetId="5" hidden="1">{"'vert'!$A$1:$T$117"}</definedName>
    <definedName name="sdf_1_1" localSheetId="6" hidden="1">{"'vert'!$A$1:$T$117"}</definedName>
    <definedName name="sdf_1_1" hidden="1">{"'vert'!$A$1:$T$117"}</definedName>
    <definedName name="sdf_1_2" localSheetId="5" hidden="1">{"'vert'!$A$1:$T$117"}</definedName>
    <definedName name="sdf_1_2" localSheetId="6" hidden="1">{"'vert'!$A$1:$T$117"}</definedName>
    <definedName name="sdf_1_2" hidden="1">{"'vert'!$A$1:$T$117"}</definedName>
    <definedName name="sdf_2" localSheetId="5" hidden="1">{"'vert'!$A$1:$T$117"}</definedName>
    <definedName name="sdf_2" localSheetId="6" hidden="1">{"'vert'!$A$1:$T$117"}</definedName>
    <definedName name="sdf_2" hidden="1">{"'vert'!$A$1:$T$117"}</definedName>
    <definedName name="sdf_3" localSheetId="5" hidden="1">{"'vert'!$A$1:$T$117"}</definedName>
    <definedName name="sdf_3" localSheetId="6" hidden="1">{"'vert'!$A$1:$T$117"}</definedName>
    <definedName name="sdf_3" hidden="1">{"'vert'!$A$1:$T$117"}</definedName>
    <definedName name="sdfdlk" localSheetId="5" hidden="1">{"'vert'!$A$1:$T$117"}</definedName>
    <definedName name="sdfdlk" localSheetId="6" hidden="1">{"'vert'!$A$1:$T$117"}</definedName>
    <definedName name="sdfdlk" hidden="1">{"'vert'!$A$1:$T$117"}</definedName>
    <definedName name="sdfdlk_1" localSheetId="5" hidden="1">{"'vert'!$A$1:$T$117"}</definedName>
    <definedName name="sdfdlk_1" localSheetId="6" hidden="1">{"'vert'!$A$1:$T$117"}</definedName>
    <definedName name="sdfdlk_1" hidden="1">{"'vert'!$A$1:$T$117"}</definedName>
    <definedName name="sdfdlk_1_1" localSheetId="5" hidden="1">{"'vert'!$A$1:$T$117"}</definedName>
    <definedName name="sdfdlk_1_1" localSheetId="6" hidden="1">{"'vert'!$A$1:$T$117"}</definedName>
    <definedName name="sdfdlk_1_1" hidden="1">{"'vert'!$A$1:$T$117"}</definedName>
    <definedName name="sdfdlk_1_2" localSheetId="5" hidden="1">{"'vert'!$A$1:$T$117"}</definedName>
    <definedName name="sdfdlk_1_2" localSheetId="6" hidden="1">{"'vert'!$A$1:$T$117"}</definedName>
    <definedName name="sdfdlk_1_2" hidden="1">{"'vert'!$A$1:$T$117"}</definedName>
    <definedName name="sdfdlk_2" localSheetId="5" hidden="1">{"'vert'!$A$1:$T$117"}</definedName>
    <definedName name="sdfdlk_2" localSheetId="6" hidden="1">{"'vert'!$A$1:$T$117"}</definedName>
    <definedName name="sdfdlk_2" hidden="1">{"'vert'!$A$1:$T$117"}</definedName>
    <definedName name="sdfdlk_3" localSheetId="5" hidden="1">{"'vert'!$A$1:$T$117"}</definedName>
    <definedName name="sdfdlk_3" localSheetId="6" hidden="1">{"'vert'!$A$1:$T$117"}</definedName>
    <definedName name="sdfdlk_3" hidden="1">{"'vert'!$A$1:$T$117"}</definedName>
    <definedName name="sdfds" localSheetId="5" hidden="1">{"'vert'!$A$1:$T$117"}</definedName>
    <definedName name="sdfds" localSheetId="6" hidden="1">{"'vert'!$A$1:$T$117"}</definedName>
    <definedName name="sdfds" hidden="1">{"'vert'!$A$1:$T$117"}</definedName>
    <definedName name="sdfds_1" localSheetId="5" hidden="1">{"'vert'!$A$1:$T$117"}</definedName>
    <definedName name="sdfds_1" localSheetId="6" hidden="1">{"'vert'!$A$1:$T$117"}</definedName>
    <definedName name="sdfds_1" hidden="1">{"'vert'!$A$1:$T$117"}</definedName>
    <definedName name="sdfds_1_1" localSheetId="5" hidden="1">{"'vert'!$A$1:$T$117"}</definedName>
    <definedName name="sdfds_1_1" localSheetId="6" hidden="1">{"'vert'!$A$1:$T$117"}</definedName>
    <definedName name="sdfds_1_1" hidden="1">{"'vert'!$A$1:$T$117"}</definedName>
    <definedName name="sdfds_1_2" localSheetId="5" hidden="1">{"'vert'!$A$1:$T$117"}</definedName>
    <definedName name="sdfds_1_2" localSheetId="6" hidden="1">{"'vert'!$A$1:$T$117"}</definedName>
    <definedName name="sdfds_1_2" hidden="1">{"'vert'!$A$1:$T$117"}</definedName>
    <definedName name="sdfds_2" localSheetId="5" hidden="1">{"'vert'!$A$1:$T$117"}</definedName>
    <definedName name="sdfds_2" localSheetId="6" hidden="1">{"'vert'!$A$1:$T$117"}</definedName>
    <definedName name="sdfds_2" hidden="1">{"'vert'!$A$1:$T$117"}</definedName>
    <definedName name="sdfds_3" localSheetId="5" hidden="1">{"'vert'!$A$1:$T$117"}</definedName>
    <definedName name="sdfds_3" localSheetId="6" hidden="1">{"'vert'!$A$1:$T$117"}</definedName>
    <definedName name="sdfds_3" hidden="1">{"'vert'!$A$1:$T$117"}</definedName>
    <definedName name="sdfdss" localSheetId="5" hidden="1">{"'vert'!$A$1:$T$117"}</definedName>
    <definedName name="sdfdss" localSheetId="6" hidden="1">{"'vert'!$A$1:$T$117"}</definedName>
    <definedName name="sdfdss" hidden="1">{"'vert'!$A$1:$T$117"}</definedName>
    <definedName name="sdfdss_1" localSheetId="5" hidden="1">{"'vert'!$A$1:$T$117"}</definedName>
    <definedName name="sdfdss_1" localSheetId="6" hidden="1">{"'vert'!$A$1:$T$117"}</definedName>
    <definedName name="sdfdss_1" hidden="1">{"'vert'!$A$1:$T$117"}</definedName>
    <definedName name="sdfdss_1_1" localSheetId="5" hidden="1">{"'vert'!$A$1:$T$117"}</definedName>
    <definedName name="sdfdss_1_1" localSheetId="6" hidden="1">{"'vert'!$A$1:$T$117"}</definedName>
    <definedName name="sdfdss_1_1" hidden="1">{"'vert'!$A$1:$T$117"}</definedName>
    <definedName name="sdfdss_1_2" localSheetId="5" hidden="1">{"'vert'!$A$1:$T$117"}</definedName>
    <definedName name="sdfdss_1_2" localSheetId="6" hidden="1">{"'vert'!$A$1:$T$117"}</definedName>
    <definedName name="sdfdss_1_2" hidden="1">{"'vert'!$A$1:$T$117"}</definedName>
    <definedName name="sdfdss_2" localSheetId="5" hidden="1">{"'vert'!$A$1:$T$117"}</definedName>
    <definedName name="sdfdss_2" localSheetId="6" hidden="1">{"'vert'!$A$1:$T$117"}</definedName>
    <definedName name="sdfdss_2" hidden="1">{"'vert'!$A$1:$T$117"}</definedName>
    <definedName name="sdfdss_3" localSheetId="5" hidden="1">{"'vert'!$A$1:$T$117"}</definedName>
    <definedName name="sdfdss_3" localSheetId="6" hidden="1">{"'vert'!$A$1:$T$117"}</definedName>
    <definedName name="sdfdss_3" hidden="1">{"'vert'!$A$1:$T$117"}</definedName>
    <definedName name="sdfsd" localSheetId="5" hidden="1">{"'vert'!$A$1:$T$117"}</definedName>
    <definedName name="sdfsd" localSheetId="6" hidden="1">{"'vert'!$A$1:$T$117"}</definedName>
    <definedName name="sdfsd" hidden="1">{"'vert'!$A$1:$T$117"}</definedName>
    <definedName name="sdfsd_1" localSheetId="5" hidden="1">{"'vert'!$A$1:$T$117"}</definedName>
    <definedName name="sdfsd_1" localSheetId="6" hidden="1">{"'vert'!$A$1:$T$117"}</definedName>
    <definedName name="sdfsd_1" hidden="1">{"'vert'!$A$1:$T$117"}</definedName>
    <definedName name="sdfsd_1_1" localSheetId="5" hidden="1">{"'vert'!$A$1:$T$117"}</definedName>
    <definedName name="sdfsd_1_1" localSheetId="6" hidden="1">{"'vert'!$A$1:$T$117"}</definedName>
    <definedName name="sdfsd_1_1" hidden="1">{"'vert'!$A$1:$T$117"}</definedName>
    <definedName name="sdfsd_1_1_1" localSheetId="5" hidden="1">{"'vert'!$A$1:$T$117"}</definedName>
    <definedName name="sdfsd_1_1_1" localSheetId="6" hidden="1">{"'vert'!$A$1:$T$117"}</definedName>
    <definedName name="sdfsd_1_1_1" hidden="1">{"'vert'!$A$1:$T$117"}</definedName>
    <definedName name="sdfsd_1_2" localSheetId="5" hidden="1">{"'vert'!$A$1:$T$117"}</definedName>
    <definedName name="sdfsd_1_2" localSheetId="6" hidden="1">{"'vert'!$A$1:$T$117"}</definedName>
    <definedName name="sdfsd_1_2" hidden="1">{"'vert'!$A$1:$T$117"}</definedName>
    <definedName name="sdfsd_2" localSheetId="5" hidden="1">{"'vert'!$A$1:$T$117"}</definedName>
    <definedName name="sdfsd_2" localSheetId="6" hidden="1">{"'vert'!$A$1:$T$117"}</definedName>
    <definedName name="sdfsd_2" hidden="1">{"'vert'!$A$1:$T$117"}</definedName>
    <definedName name="sdfsd_2_1" localSheetId="5" hidden="1">{"'vert'!$A$1:$T$117"}</definedName>
    <definedName name="sdfsd_2_1" localSheetId="6" hidden="1">{"'vert'!$A$1:$T$117"}</definedName>
    <definedName name="sdfsd_2_1" hidden="1">{"'vert'!$A$1:$T$117"}</definedName>
    <definedName name="sdfsd_2_1_1" localSheetId="5" hidden="1">{"'vert'!$A$1:$T$117"}</definedName>
    <definedName name="sdfsd_2_1_1" localSheetId="6" hidden="1">{"'vert'!$A$1:$T$117"}</definedName>
    <definedName name="sdfsd_2_1_1" hidden="1">{"'vert'!$A$1:$T$117"}</definedName>
    <definedName name="sdfsd_2_2" localSheetId="5" hidden="1">{"'vert'!$A$1:$T$117"}</definedName>
    <definedName name="sdfsd_2_2" localSheetId="6" hidden="1">{"'vert'!$A$1:$T$117"}</definedName>
    <definedName name="sdfsd_2_2" hidden="1">{"'vert'!$A$1:$T$117"}</definedName>
    <definedName name="sdfsd_3" localSheetId="5" hidden="1">{"'vert'!$A$1:$T$117"}</definedName>
    <definedName name="sdfsd_3" localSheetId="6" hidden="1">{"'vert'!$A$1:$T$117"}</definedName>
    <definedName name="sdfsd_3" hidden="1">{"'vert'!$A$1:$T$117"}</definedName>
    <definedName name="sdfsd_3_1" localSheetId="5" hidden="1">{"'vert'!$A$1:$T$117"}</definedName>
    <definedName name="sdfsd_3_1" localSheetId="6" hidden="1">{"'vert'!$A$1:$T$117"}</definedName>
    <definedName name="sdfsd_3_1" hidden="1">{"'vert'!$A$1:$T$117"}</definedName>
    <definedName name="sdfsd_4" localSheetId="5" hidden="1">{"'vert'!$A$1:$T$117"}</definedName>
    <definedName name="sdfsd_4" localSheetId="6" hidden="1">{"'vert'!$A$1:$T$117"}</definedName>
    <definedName name="sdfsd_4" hidden="1">{"'vert'!$A$1:$T$117"}</definedName>
    <definedName name="sdfsdfsdf" localSheetId="5" hidden="1">{"'vert'!$A$1:$T$117"}</definedName>
    <definedName name="sdfsdfsdf" localSheetId="6" hidden="1">{"'vert'!$A$1:$T$117"}</definedName>
    <definedName name="sdfsdfsdf" hidden="1">{"'vert'!$A$1:$T$117"}</definedName>
    <definedName name="sdfsf" localSheetId="5" hidden="1">{"'vert'!$A$1:$T$117"}</definedName>
    <definedName name="sdfsf" localSheetId="6" hidden="1">{"'vert'!$A$1:$T$117"}</definedName>
    <definedName name="sdfsf" hidden="1">{"'vert'!$A$1:$T$117"}</definedName>
    <definedName name="sdfsf_1" localSheetId="5" hidden="1">{"'vert'!$A$1:$T$117"}</definedName>
    <definedName name="sdfsf_1" localSheetId="6" hidden="1">{"'vert'!$A$1:$T$117"}</definedName>
    <definedName name="sdfsf_1" hidden="1">{"'vert'!$A$1:$T$117"}</definedName>
    <definedName name="sdfsf_1_1" localSheetId="5" hidden="1">{"'vert'!$A$1:$T$117"}</definedName>
    <definedName name="sdfsf_1_1" localSheetId="6" hidden="1">{"'vert'!$A$1:$T$117"}</definedName>
    <definedName name="sdfsf_1_1" hidden="1">{"'vert'!$A$1:$T$117"}</definedName>
    <definedName name="sdfsf_1_2" localSheetId="5" hidden="1">{"'vert'!$A$1:$T$117"}</definedName>
    <definedName name="sdfsf_1_2" localSheetId="6" hidden="1">{"'vert'!$A$1:$T$117"}</definedName>
    <definedName name="sdfsf_1_2" hidden="1">{"'vert'!$A$1:$T$117"}</definedName>
    <definedName name="sdfsf_2" localSheetId="5" hidden="1">{"'vert'!$A$1:$T$117"}</definedName>
    <definedName name="sdfsf_2" localSheetId="6" hidden="1">{"'vert'!$A$1:$T$117"}</definedName>
    <definedName name="sdfsf_2" hidden="1">{"'vert'!$A$1:$T$117"}</definedName>
    <definedName name="sdfsf_3" localSheetId="5" hidden="1">{"'vert'!$A$1:$T$117"}</definedName>
    <definedName name="sdfsf_3" localSheetId="6" hidden="1">{"'vert'!$A$1:$T$117"}</definedName>
    <definedName name="sdfsf_3" hidden="1">{"'vert'!$A$1:$T$117"}</definedName>
    <definedName name="sdgzrhze" localSheetId="5" hidden="1">{"'vert'!$A$1:$T$117"}</definedName>
    <definedName name="sdgzrhze" localSheetId="6" hidden="1">{"'vert'!$A$1:$T$117"}</definedName>
    <definedName name="sdgzrhze" hidden="1">{"'vert'!$A$1:$T$117"}</definedName>
    <definedName name="sds" localSheetId="5" hidden="1">{"'vert'!$A$1:$T$117"}</definedName>
    <definedName name="sds" localSheetId="6" hidden="1">{"'vert'!$A$1:$T$117"}</definedName>
    <definedName name="sds" hidden="1">{"'vert'!$A$1:$T$117"}</definedName>
    <definedName name="sds_1" localSheetId="5" hidden="1">{"'vert'!$A$1:$T$117"}</definedName>
    <definedName name="sds_1" localSheetId="6" hidden="1">{"'vert'!$A$1:$T$117"}</definedName>
    <definedName name="sds_1" hidden="1">{"'vert'!$A$1:$T$117"}</definedName>
    <definedName name="sds_1_1" localSheetId="5" hidden="1">{"'vert'!$A$1:$T$117"}</definedName>
    <definedName name="sds_1_1" localSheetId="6" hidden="1">{"'vert'!$A$1:$T$117"}</definedName>
    <definedName name="sds_1_1" hidden="1">{"'vert'!$A$1:$T$117"}</definedName>
    <definedName name="sds_1_1_1" localSheetId="5" hidden="1">{"'vert'!$A$1:$T$117"}</definedName>
    <definedName name="sds_1_1_1" localSheetId="6" hidden="1">{"'vert'!$A$1:$T$117"}</definedName>
    <definedName name="sds_1_1_1" hidden="1">{"'vert'!$A$1:$T$117"}</definedName>
    <definedName name="sds_1_2" localSheetId="5" hidden="1">{"'vert'!$A$1:$T$117"}</definedName>
    <definedName name="sds_1_2" localSheetId="6" hidden="1">{"'vert'!$A$1:$T$117"}</definedName>
    <definedName name="sds_1_2" hidden="1">{"'vert'!$A$1:$T$117"}</definedName>
    <definedName name="sds_2" localSheetId="5" hidden="1">{"'vert'!$A$1:$T$117"}</definedName>
    <definedName name="sds_2" localSheetId="6" hidden="1">{"'vert'!$A$1:$T$117"}</definedName>
    <definedName name="sds_2" hidden="1">{"'vert'!$A$1:$T$117"}</definedName>
    <definedName name="sds_2_1" localSheetId="5" hidden="1">{"'vert'!$A$1:$T$117"}</definedName>
    <definedName name="sds_2_1" localSheetId="6" hidden="1">{"'vert'!$A$1:$T$117"}</definedName>
    <definedName name="sds_2_1" hidden="1">{"'vert'!$A$1:$T$117"}</definedName>
    <definedName name="sds_2_1_1" localSheetId="5" hidden="1">{"'vert'!$A$1:$T$117"}</definedName>
    <definedName name="sds_2_1_1" localSheetId="6" hidden="1">{"'vert'!$A$1:$T$117"}</definedName>
    <definedName name="sds_2_1_1" hidden="1">{"'vert'!$A$1:$T$117"}</definedName>
    <definedName name="sds_2_2" localSheetId="5" hidden="1">{"'vert'!$A$1:$T$117"}</definedName>
    <definedName name="sds_2_2" localSheetId="6" hidden="1">{"'vert'!$A$1:$T$117"}</definedName>
    <definedName name="sds_2_2" hidden="1">{"'vert'!$A$1:$T$117"}</definedName>
    <definedName name="sds_3" localSheetId="5" hidden="1">{"'vert'!$A$1:$T$117"}</definedName>
    <definedName name="sds_3" localSheetId="6" hidden="1">{"'vert'!$A$1:$T$117"}</definedName>
    <definedName name="sds_3" hidden="1">{"'vert'!$A$1:$T$117"}</definedName>
    <definedName name="sds_3_1" localSheetId="5" hidden="1">{"'vert'!$A$1:$T$117"}</definedName>
    <definedName name="sds_3_1" localSheetId="6" hidden="1">{"'vert'!$A$1:$T$117"}</definedName>
    <definedName name="sds_3_1" hidden="1">{"'vert'!$A$1:$T$117"}</definedName>
    <definedName name="sds_4" localSheetId="5" hidden="1">{"'vert'!$A$1:$T$117"}</definedName>
    <definedName name="sds_4" localSheetId="6" hidden="1">{"'vert'!$A$1:$T$117"}</definedName>
    <definedName name="sds_4" hidden="1">{"'vert'!$A$1:$T$117"}</definedName>
    <definedName name="sdsd" localSheetId="5" hidden="1">{"'vert'!$A$1:$T$117"}</definedName>
    <definedName name="sdsd" localSheetId="6" hidden="1">{"'vert'!$A$1:$T$117"}</definedName>
    <definedName name="sdsd" hidden="1">{"'vert'!$A$1:$T$117"}</definedName>
    <definedName name="sdsd_1" localSheetId="5" hidden="1">{"'vert'!$A$1:$T$117"}</definedName>
    <definedName name="sdsd_1" localSheetId="6" hidden="1">{"'vert'!$A$1:$T$117"}</definedName>
    <definedName name="sdsd_1" hidden="1">{"'vert'!$A$1:$T$117"}</definedName>
    <definedName name="sdsd_1_1" localSheetId="5" hidden="1">{"'vert'!$A$1:$T$117"}</definedName>
    <definedName name="sdsd_1_1" localSheetId="6" hidden="1">{"'vert'!$A$1:$T$117"}</definedName>
    <definedName name="sdsd_1_1" hidden="1">{"'vert'!$A$1:$T$117"}</definedName>
    <definedName name="sdsd_1_1_1" localSheetId="5" hidden="1">{"'vert'!$A$1:$T$117"}</definedName>
    <definedName name="sdsd_1_1_1" localSheetId="6" hidden="1">{"'vert'!$A$1:$T$117"}</definedName>
    <definedName name="sdsd_1_1_1" hidden="1">{"'vert'!$A$1:$T$117"}</definedName>
    <definedName name="sdsd_1_2" localSheetId="5" hidden="1">{"'vert'!$A$1:$T$117"}</definedName>
    <definedName name="sdsd_1_2" localSheetId="6" hidden="1">{"'vert'!$A$1:$T$117"}</definedName>
    <definedName name="sdsd_1_2" hidden="1">{"'vert'!$A$1:$T$117"}</definedName>
    <definedName name="sdsd_2" localSheetId="5" hidden="1">{"'vert'!$A$1:$T$117"}</definedName>
    <definedName name="sdsd_2" localSheetId="6" hidden="1">{"'vert'!$A$1:$T$117"}</definedName>
    <definedName name="sdsd_2" hidden="1">{"'vert'!$A$1:$T$117"}</definedName>
    <definedName name="sdsd_2_1" localSheetId="5" hidden="1">{"'vert'!$A$1:$T$117"}</definedName>
    <definedName name="sdsd_2_1" localSheetId="6" hidden="1">{"'vert'!$A$1:$T$117"}</definedName>
    <definedName name="sdsd_2_1" hidden="1">{"'vert'!$A$1:$T$117"}</definedName>
    <definedName name="sdsd_2_1_1" localSheetId="5" hidden="1">{"'vert'!$A$1:$T$117"}</definedName>
    <definedName name="sdsd_2_1_1" localSheetId="6" hidden="1">{"'vert'!$A$1:$T$117"}</definedName>
    <definedName name="sdsd_2_1_1" hidden="1">{"'vert'!$A$1:$T$117"}</definedName>
    <definedName name="sdsd_2_2" localSheetId="5" hidden="1">{"'vert'!$A$1:$T$117"}</definedName>
    <definedName name="sdsd_2_2" localSheetId="6" hidden="1">{"'vert'!$A$1:$T$117"}</definedName>
    <definedName name="sdsd_2_2" hidden="1">{"'vert'!$A$1:$T$117"}</definedName>
    <definedName name="sdsd_3" localSheetId="5" hidden="1">{"'vert'!$A$1:$T$117"}</definedName>
    <definedName name="sdsd_3" localSheetId="6" hidden="1">{"'vert'!$A$1:$T$117"}</definedName>
    <definedName name="sdsd_3" hidden="1">{"'vert'!$A$1:$T$117"}</definedName>
    <definedName name="sdsd_3_1" localSheetId="5" hidden="1">{"'vert'!$A$1:$T$117"}</definedName>
    <definedName name="sdsd_3_1" localSheetId="6" hidden="1">{"'vert'!$A$1:$T$117"}</definedName>
    <definedName name="sdsd_3_1" hidden="1">{"'vert'!$A$1:$T$117"}</definedName>
    <definedName name="sdsd_4" localSheetId="5" hidden="1">{"'vert'!$A$1:$T$117"}</definedName>
    <definedName name="sdsd_4" localSheetId="6" hidden="1">{"'vert'!$A$1:$T$117"}</definedName>
    <definedName name="sdsd_4" hidden="1">{"'vert'!$A$1:$T$117"}</definedName>
    <definedName name="sefsd" localSheetId="5" hidden="1">{"'vert'!$A$1:$T$117"}</definedName>
    <definedName name="sefsd" localSheetId="6" hidden="1">{"'vert'!$A$1:$T$117"}</definedName>
    <definedName name="sefsd" hidden="1">{"'vert'!$A$1:$T$117"}</definedName>
    <definedName name="sencount" hidden="1">1</definedName>
    <definedName name="sfda" localSheetId="5" hidden="1">{"'vert'!$A$1:$T$117"}</definedName>
    <definedName name="sfda" localSheetId="6" hidden="1">{"'vert'!$A$1:$T$117"}</definedName>
    <definedName name="sfda" hidden="1">{"'vert'!$A$1:$T$117"}</definedName>
    <definedName name="sfda_1" localSheetId="5" hidden="1">{"'vert'!$A$1:$T$117"}</definedName>
    <definedName name="sfda_1" localSheetId="6" hidden="1">{"'vert'!$A$1:$T$117"}</definedName>
    <definedName name="sfda_1" hidden="1">{"'vert'!$A$1:$T$117"}</definedName>
    <definedName name="sfda_1_1" localSheetId="5" hidden="1">{"'vert'!$A$1:$T$117"}</definedName>
    <definedName name="sfda_1_1" localSheetId="6" hidden="1">{"'vert'!$A$1:$T$117"}</definedName>
    <definedName name="sfda_1_1" hidden="1">{"'vert'!$A$1:$T$117"}</definedName>
    <definedName name="sfda_1_1_1" localSheetId="5" hidden="1">{"'vert'!$A$1:$T$117"}</definedName>
    <definedName name="sfda_1_1_1" localSheetId="6" hidden="1">{"'vert'!$A$1:$T$117"}</definedName>
    <definedName name="sfda_1_1_1" hidden="1">{"'vert'!$A$1:$T$117"}</definedName>
    <definedName name="sfda_1_2" localSheetId="5" hidden="1">{"'vert'!$A$1:$T$117"}</definedName>
    <definedName name="sfda_1_2" localSheetId="6" hidden="1">{"'vert'!$A$1:$T$117"}</definedName>
    <definedName name="sfda_1_2" hidden="1">{"'vert'!$A$1:$T$117"}</definedName>
    <definedName name="sfda_2" localSheetId="5" hidden="1">{"'vert'!$A$1:$T$117"}</definedName>
    <definedName name="sfda_2" localSheetId="6" hidden="1">{"'vert'!$A$1:$T$117"}</definedName>
    <definedName name="sfda_2" hidden="1">{"'vert'!$A$1:$T$117"}</definedName>
    <definedName name="sfda_2_1" localSheetId="5" hidden="1">{"'vert'!$A$1:$T$117"}</definedName>
    <definedName name="sfda_2_1" localSheetId="6" hidden="1">{"'vert'!$A$1:$T$117"}</definedName>
    <definedName name="sfda_2_1" hidden="1">{"'vert'!$A$1:$T$117"}</definedName>
    <definedName name="sfda_2_1_1" localSheetId="5" hidden="1">{"'vert'!$A$1:$T$117"}</definedName>
    <definedName name="sfda_2_1_1" localSheetId="6" hidden="1">{"'vert'!$A$1:$T$117"}</definedName>
    <definedName name="sfda_2_1_1" hidden="1">{"'vert'!$A$1:$T$117"}</definedName>
    <definedName name="sfda_2_2" localSheetId="5" hidden="1">{"'vert'!$A$1:$T$117"}</definedName>
    <definedName name="sfda_2_2" localSheetId="6" hidden="1">{"'vert'!$A$1:$T$117"}</definedName>
    <definedName name="sfda_2_2" hidden="1">{"'vert'!$A$1:$T$117"}</definedName>
    <definedName name="sfda_3" localSheetId="5" hidden="1">{"'vert'!$A$1:$T$117"}</definedName>
    <definedName name="sfda_3" localSheetId="6" hidden="1">{"'vert'!$A$1:$T$117"}</definedName>
    <definedName name="sfda_3" hidden="1">{"'vert'!$A$1:$T$117"}</definedName>
    <definedName name="sfda_3_1" localSheetId="5" hidden="1">{"'vert'!$A$1:$T$117"}</definedName>
    <definedName name="sfda_3_1" localSheetId="6" hidden="1">{"'vert'!$A$1:$T$117"}</definedName>
    <definedName name="sfda_3_1" hidden="1">{"'vert'!$A$1:$T$117"}</definedName>
    <definedName name="sfda_4" localSheetId="5" hidden="1">{"'vert'!$A$1:$T$117"}</definedName>
    <definedName name="sfda_4" localSheetId="6" hidden="1">{"'vert'!$A$1:$T$117"}</definedName>
    <definedName name="sfda_4" hidden="1">{"'vert'!$A$1:$T$117"}</definedName>
    <definedName name="sheetNames">[3]Seller!$C$5</definedName>
    <definedName name="sheetNames2">[3]Category!$C$5</definedName>
    <definedName name="SomeChanges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omeChanges" localSheetId="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omeChanges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ourcing3" localSheetId="5" hidden="1">{"'vert'!$A$1:$T$117"}</definedName>
    <definedName name="Sourcing3" localSheetId="6" hidden="1">{"'vert'!$A$1:$T$117"}</definedName>
    <definedName name="Sourcing3" hidden="1">{"'vert'!$A$1:$T$117"}</definedName>
    <definedName name="Sourcing3_1" localSheetId="5" hidden="1">{"'vert'!$A$1:$T$117"}</definedName>
    <definedName name="Sourcing3_1" localSheetId="6" hidden="1">{"'vert'!$A$1:$T$117"}</definedName>
    <definedName name="Sourcing3_1" hidden="1">{"'vert'!$A$1:$T$117"}</definedName>
    <definedName name="Sourcing3_1_1" localSheetId="5" hidden="1">{"'vert'!$A$1:$T$117"}</definedName>
    <definedName name="Sourcing3_1_1" localSheetId="6" hidden="1">{"'vert'!$A$1:$T$117"}</definedName>
    <definedName name="Sourcing3_1_1" hidden="1">{"'vert'!$A$1:$T$117"}</definedName>
    <definedName name="Sourcing3_1_1_1" localSheetId="5" hidden="1">{"'vert'!$A$1:$T$117"}</definedName>
    <definedName name="Sourcing3_1_1_1" localSheetId="6" hidden="1">{"'vert'!$A$1:$T$117"}</definedName>
    <definedName name="Sourcing3_1_1_1" hidden="1">{"'vert'!$A$1:$T$117"}</definedName>
    <definedName name="Sourcing3_1_2" localSheetId="5" hidden="1">{"'vert'!$A$1:$T$117"}</definedName>
    <definedName name="Sourcing3_1_2" localSheetId="6" hidden="1">{"'vert'!$A$1:$T$117"}</definedName>
    <definedName name="Sourcing3_1_2" hidden="1">{"'vert'!$A$1:$T$117"}</definedName>
    <definedName name="Sourcing3_2" localSheetId="5" hidden="1">{"'vert'!$A$1:$T$117"}</definedName>
    <definedName name="Sourcing3_2" localSheetId="6" hidden="1">{"'vert'!$A$1:$T$117"}</definedName>
    <definedName name="Sourcing3_2" hidden="1">{"'vert'!$A$1:$T$117"}</definedName>
    <definedName name="Sourcing3_2_1" localSheetId="5" hidden="1">{"'vert'!$A$1:$T$117"}</definedName>
    <definedName name="Sourcing3_2_1" localSheetId="6" hidden="1">{"'vert'!$A$1:$T$117"}</definedName>
    <definedName name="Sourcing3_2_1" hidden="1">{"'vert'!$A$1:$T$117"}</definedName>
    <definedName name="Sourcing3_2_1_1" localSheetId="5" hidden="1">{"'vert'!$A$1:$T$117"}</definedName>
    <definedName name="Sourcing3_2_1_1" localSheetId="6" hidden="1">{"'vert'!$A$1:$T$117"}</definedName>
    <definedName name="Sourcing3_2_1_1" hidden="1">{"'vert'!$A$1:$T$117"}</definedName>
    <definedName name="Sourcing3_2_2" localSheetId="5" hidden="1">{"'vert'!$A$1:$T$117"}</definedName>
    <definedName name="Sourcing3_2_2" localSheetId="6" hidden="1">{"'vert'!$A$1:$T$117"}</definedName>
    <definedName name="Sourcing3_2_2" hidden="1">{"'vert'!$A$1:$T$117"}</definedName>
    <definedName name="Sourcing3_3" localSheetId="5" hidden="1">{"'vert'!$A$1:$T$117"}</definedName>
    <definedName name="Sourcing3_3" localSheetId="6" hidden="1">{"'vert'!$A$1:$T$117"}</definedName>
    <definedName name="Sourcing3_3" hidden="1">{"'vert'!$A$1:$T$117"}</definedName>
    <definedName name="Sourcing3_3_1" localSheetId="5" hidden="1">{"'vert'!$A$1:$T$117"}</definedName>
    <definedName name="Sourcing3_3_1" localSheetId="6" hidden="1">{"'vert'!$A$1:$T$117"}</definedName>
    <definedName name="Sourcing3_3_1" hidden="1">{"'vert'!$A$1:$T$117"}</definedName>
    <definedName name="Sourcing3_4" localSheetId="5" hidden="1">{"'vert'!$A$1:$T$117"}</definedName>
    <definedName name="Sourcing3_4" localSheetId="6" hidden="1">{"'vert'!$A$1:$T$117"}</definedName>
    <definedName name="Sourcing3_4" hidden="1">{"'vert'!$A$1:$T$117"}</definedName>
    <definedName name="ss" hidden="1">#REF!</definedName>
    <definedName name="SSSSS" localSheetId="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" localSheetId="6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artEndDate">[1]Lists!$F$33:$F$50</definedName>
    <definedName name="stef" localSheetId="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" localSheetId="6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range" localSheetId="5" hidden="1">{#N/A,#N/A,FALSE,"Sheet1"}</definedName>
    <definedName name="strange" localSheetId="6" hidden="1">{#N/A,#N/A,FALSE,"Sheet1"}</definedName>
    <definedName name="strange" hidden="1">{#N/A,#N/A,FALSE,"Sheet1"}</definedName>
    <definedName name="strange\" localSheetId="5" hidden="1">{#N/A,#N/A,FALSE,"Sheet1"}</definedName>
    <definedName name="strange\" localSheetId="6" hidden="1">{#N/A,#N/A,FALSE,"Sheet1"}</definedName>
    <definedName name="strange\" hidden="1">{#N/A,#N/A,FALSE,"Sheet1"}</definedName>
    <definedName name="strange2" localSheetId="5" hidden="1">{#N/A,#N/A,FALSE,"Sheet1"}</definedName>
    <definedName name="strange2" localSheetId="6" hidden="1">{#N/A,#N/A,FALSE,"Sheet1"}</definedName>
    <definedName name="strange2" hidden="1">{#N/A,#N/A,FALSE,"Sheet1"}</definedName>
    <definedName name="such" localSheetId="5" hidden="1">{"FCB_ALL",#N/A,FALSE,"FCB"}</definedName>
    <definedName name="such" localSheetId="6" hidden="1">{"FCB_ALL",#N/A,FALSE,"FCB"}</definedName>
    <definedName name="such" hidden="1">{"FCB_ALL",#N/A,FALSE,"FCB"}</definedName>
    <definedName name="sucker" localSheetId="5" hidden="1">{#N/A,#N/A,FALSE,"Sheet1"}</definedName>
    <definedName name="sucker" localSheetId="6" hidden="1">{#N/A,#N/A,FALSE,"Sheet1"}</definedName>
    <definedName name="sucker" hidden="1">{#N/A,#N/A,FALSE,"Sheet1"}</definedName>
    <definedName name="sucker2" localSheetId="5" hidden="1">{#N/A,#N/A,FALSE,"Sheet1"}</definedName>
    <definedName name="sucker2" localSheetId="6" hidden="1">{#N/A,#N/A,FALSE,"Sheet1"}</definedName>
    <definedName name="sucker2" hidden="1">{#N/A,#N/A,FALSE,"Sheet1"}</definedName>
    <definedName name="supp" localSheetId="5" hidden="1">{"'vert'!$A$1:$T$117"}</definedName>
    <definedName name="supp" localSheetId="6" hidden="1">{"'vert'!$A$1:$T$117"}</definedName>
    <definedName name="supp" hidden="1">{"'vert'!$A$1:$T$117"}</definedName>
    <definedName name="supp_1" localSheetId="5" hidden="1">{"'vert'!$A$1:$T$117"}</definedName>
    <definedName name="supp_1" localSheetId="6" hidden="1">{"'vert'!$A$1:$T$117"}</definedName>
    <definedName name="supp_1" hidden="1">{"'vert'!$A$1:$T$117"}</definedName>
    <definedName name="supp_1_1" localSheetId="5" hidden="1">{"'vert'!$A$1:$T$117"}</definedName>
    <definedName name="supp_1_1" localSheetId="6" hidden="1">{"'vert'!$A$1:$T$117"}</definedName>
    <definedName name="supp_1_1" hidden="1">{"'vert'!$A$1:$T$117"}</definedName>
    <definedName name="supp_1_2" localSheetId="5" hidden="1">{"'vert'!$A$1:$T$117"}</definedName>
    <definedName name="supp_1_2" localSheetId="6" hidden="1">{"'vert'!$A$1:$T$117"}</definedName>
    <definedName name="supp_1_2" hidden="1">{"'vert'!$A$1:$T$117"}</definedName>
    <definedName name="supp_2" localSheetId="5" hidden="1">{"'vert'!$A$1:$T$117"}</definedName>
    <definedName name="supp_2" localSheetId="6" hidden="1">{"'vert'!$A$1:$T$117"}</definedName>
    <definedName name="supp_2" hidden="1">{"'vert'!$A$1:$T$117"}</definedName>
    <definedName name="supp_3" localSheetId="5" hidden="1">{"'vert'!$A$1:$T$117"}</definedName>
    <definedName name="supp_3" localSheetId="6" hidden="1">{"'vert'!$A$1:$T$117"}</definedName>
    <definedName name="supp_3" hidden="1">{"'vert'!$A$1:$T$117"}</definedName>
    <definedName name="sw" hidden="1">[17]merger!#REF!</definedName>
    <definedName name="te" localSheetId="5" hidden="1">{"'vert'!$A$1:$T$117"}</definedName>
    <definedName name="te" localSheetId="6" hidden="1">{"'vert'!$A$1:$T$117"}</definedName>
    <definedName name="te" hidden="1">{"'vert'!$A$1:$T$117"}</definedName>
    <definedName name="te_1" localSheetId="5" hidden="1">{"'vert'!$A$1:$T$117"}</definedName>
    <definedName name="te_1" localSheetId="6" hidden="1">{"'vert'!$A$1:$T$117"}</definedName>
    <definedName name="te_1" hidden="1">{"'vert'!$A$1:$T$117"}</definedName>
    <definedName name="te_1_1" localSheetId="5" hidden="1">{"'vert'!$A$1:$T$117"}</definedName>
    <definedName name="te_1_1" localSheetId="6" hidden="1">{"'vert'!$A$1:$T$117"}</definedName>
    <definedName name="te_1_1" hidden="1">{"'vert'!$A$1:$T$117"}</definedName>
    <definedName name="te_1_1_1" localSheetId="5" hidden="1">{"'vert'!$A$1:$T$117"}</definedName>
    <definedName name="te_1_1_1" localSheetId="6" hidden="1">{"'vert'!$A$1:$T$117"}</definedName>
    <definedName name="te_1_1_1" hidden="1">{"'vert'!$A$1:$T$117"}</definedName>
    <definedName name="te_1_2" localSheetId="5" hidden="1">{"'vert'!$A$1:$T$117"}</definedName>
    <definedName name="te_1_2" localSheetId="6" hidden="1">{"'vert'!$A$1:$T$117"}</definedName>
    <definedName name="te_1_2" hidden="1">{"'vert'!$A$1:$T$117"}</definedName>
    <definedName name="te_2" localSheetId="5" hidden="1">{"'vert'!$A$1:$T$117"}</definedName>
    <definedName name="te_2" localSheetId="6" hidden="1">{"'vert'!$A$1:$T$117"}</definedName>
    <definedName name="te_2" hidden="1">{"'vert'!$A$1:$T$117"}</definedName>
    <definedName name="te_2_1" localSheetId="5" hidden="1">{"'vert'!$A$1:$T$117"}</definedName>
    <definedName name="te_2_1" localSheetId="6" hidden="1">{"'vert'!$A$1:$T$117"}</definedName>
    <definedName name="te_2_1" hidden="1">{"'vert'!$A$1:$T$117"}</definedName>
    <definedName name="te_2_1_1" localSheetId="5" hidden="1">{"'vert'!$A$1:$T$117"}</definedName>
    <definedName name="te_2_1_1" localSheetId="6" hidden="1">{"'vert'!$A$1:$T$117"}</definedName>
    <definedName name="te_2_1_1" hidden="1">{"'vert'!$A$1:$T$117"}</definedName>
    <definedName name="te_2_2" localSheetId="5" hidden="1">{"'vert'!$A$1:$T$117"}</definedName>
    <definedName name="te_2_2" localSheetId="6" hidden="1">{"'vert'!$A$1:$T$117"}</definedName>
    <definedName name="te_2_2" hidden="1">{"'vert'!$A$1:$T$117"}</definedName>
    <definedName name="te_3" localSheetId="5" hidden="1">{"'vert'!$A$1:$T$117"}</definedName>
    <definedName name="te_3" localSheetId="6" hidden="1">{"'vert'!$A$1:$T$117"}</definedName>
    <definedName name="te_3" hidden="1">{"'vert'!$A$1:$T$117"}</definedName>
    <definedName name="te_3_1" localSheetId="5" hidden="1">{"'vert'!$A$1:$T$117"}</definedName>
    <definedName name="te_3_1" localSheetId="6" hidden="1">{"'vert'!$A$1:$T$117"}</definedName>
    <definedName name="te_3_1" hidden="1">{"'vert'!$A$1:$T$117"}</definedName>
    <definedName name="te_4" localSheetId="5" hidden="1">{"'vert'!$A$1:$T$117"}</definedName>
    <definedName name="te_4" localSheetId="6" hidden="1">{"'vert'!$A$1:$T$117"}</definedName>
    <definedName name="te_4" hidden="1">{"'vert'!$A$1:$T$117"}</definedName>
    <definedName name="TechIndicator">[1]Lists!$A$2:$A$3</definedName>
    <definedName name="TEST" localSheetId="5" hidden="1">{"'vert'!$A$1:$T$117"}</definedName>
    <definedName name="TEST" localSheetId="6" hidden="1">{"'vert'!$A$1:$T$117"}</definedName>
    <definedName name="TEST" hidden="1">{"'vert'!$A$1:$T$117"}</definedName>
    <definedName name="Test_1" localSheetId="5" hidden="1">{"'vert'!$A$1:$T$117"}</definedName>
    <definedName name="Test_1" localSheetId="6" hidden="1">{"'vert'!$A$1:$T$117"}</definedName>
    <definedName name="Test_1" hidden="1">{"'vert'!$A$1:$T$117"}</definedName>
    <definedName name="Test_1_1" localSheetId="5" hidden="1">{"'vert'!$A$1:$T$117"}</definedName>
    <definedName name="Test_1_1" localSheetId="6" hidden="1">{"'vert'!$A$1:$T$117"}</definedName>
    <definedName name="Test_1_1" hidden="1">{"'vert'!$A$1:$T$117"}</definedName>
    <definedName name="Test_1_1_1" localSheetId="5" hidden="1">{"'vert'!$A$1:$T$117"}</definedName>
    <definedName name="Test_1_1_1" localSheetId="6" hidden="1">{"'vert'!$A$1:$T$117"}</definedName>
    <definedName name="Test_1_1_1" hidden="1">{"'vert'!$A$1:$T$117"}</definedName>
    <definedName name="Test_1_2" localSheetId="5" hidden="1">{"'vert'!$A$1:$T$117"}</definedName>
    <definedName name="Test_1_2" localSheetId="6" hidden="1">{"'vert'!$A$1:$T$117"}</definedName>
    <definedName name="Test_1_2" hidden="1">{"'vert'!$A$1:$T$117"}</definedName>
    <definedName name="Test_2" localSheetId="5" hidden="1">{"'vert'!$A$1:$T$117"}</definedName>
    <definedName name="Test_2" localSheetId="6" hidden="1">{"'vert'!$A$1:$T$117"}</definedName>
    <definedName name="Test_2" hidden="1">{"'vert'!$A$1:$T$117"}</definedName>
    <definedName name="Test_2_1" localSheetId="5" hidden="1">{"'vert'!$A$1:$T$117"}</definedName>
    <definedName name="Test_2_1" localSheetId="6" hidden="1">{"'vert'!$A$1:$T$117"}</definedName>
    <definedName name="Test_2_1" hidden="1">{"'vert'!$A$1:$T$117"}</definedName>
    <definedName name="Test_2_1_1" localSheetId="5" hidden="1">{"'vert'!$A$1:$T$117"}</definedName>
    <definedName name="Test_2_1_1" localSheetId="6" hidden="1">{"'vert'!$A$1:$T$117"}</definedName>
    <definedName name="Test_2_1_1" hidden="1">{"'vert'!$A$1:$T$117"}</definedName>
    <definedName name="Test_2_2" localSheetId="5" hidden="1">{"'vert'!$A$1:$T$117"}</definedName>
    <definedName name="Test_2_2" localSheetId="6" hidden="1">{"'vert'!$A$1:$T$117"}</definedName>
    <definedName name="Test_2_2" hidden="1">{"'vert'!$A$1:$T$117"}</definedName>
    <definedName name="Test_3" localSheetId="5" hidden="1">{"'vert'!$A$1:$T$117"}</definedName>
    <definedName name="Test_3" localSheetId="6" hidden="1">{"'vert'!$A$1:$T$117"}</definedName>
    <definedName name="Test_3" hidden="1">{"'vert'!$A$1:$T$117"}</definedName>
    <definedName name="Test_3_1" localSheetId="5" hidden="1">{"'vert'!$A$1:$T$117"}</definedName>
    <definedName name="Test_3_1" localSheetId="6" hidden="1">{"'vert'!$A$1:$T$117"}</definedName>
    <definedName name="Test_3_1" hidden="1">{"'vert'!$A$1:$T$117"}</definedName>
    <definedName name="Test_4" localSheetId="5" hidden="1">{"'vert'!$A$1:$T$117"}</definedName>
    <definedName name="Test_4" localSheetId="6" hidden="1">{"'vert'!$A$1:$T$117"}</definedName>
    <definedName name="Test_4" hidden="1">{"'vert'!$A$1:$T$117"}</definedName>
    <definedName name="test2" localSheetId="5" hidden="1">{"'vert'!$A$1:$T$117"}</definedName>
    <definedName name="test2" localSheetId="6" hidden="1">{"'vert'!$A$1:$T$117"}</definedName>
    <definedName name="test2" hidden="1">{"'vert'!$A$1:$T$117"}</definedName>
    <definedName name="test2_1" localSheetId="5" hidden="1">{"'vert'!$A$1:$T$117"}</definedName>
    <definedName name="test2_1" localSheetId="6" hidden="1">{"'vert'!$A$1:$T$117"}</definedName>
    <definedName name="test2_1" hidden="1">{"'vert'!$A$1:$T$117"}</definedName>
    <definedName name="test2_1_1" localSheetId="5" hidden="1">{"'vert'!$A$1:$T$117"}</definedName>
    <definedName name="test2_1_1" localSheetId="6" hidden="1">{"'vert'!$A$1:$T$117"}</definedName>
    <definedName name="test2_1_1" hidden="1">{"'vert'!$A$1:$T$117"}</definedName>
    <definedName name="test2_1_1_1" localSheetId="5" hidden="1">{"'vert'!$A$1:$T$117"}</definedName>
    <definedName name="test2_1_1_1" localSheetId="6" hidden="1">{"'vert'!$A$1:$T$117"}</definedName>
    <definedName name="test2_1_1_1" hidden="1">{"'vert'!$A$1:$T$117"}</definedName>
    <definedName name="test2_1_2" localSheetId="5" hidden="1">{"'vert'!$A$1:$T$117"}</definedName>
    <definedName name="test2_1_2" localSheetId="6" hidden="1">{"'vert'!$A$1:$T$117"}</definedName>
    <definedName name="test2_1_2" hidden="1">{"'vert'!$A$1:$T$117"}</definedName>
    <definedName name="test2_2" localSheetId="5" hidden="1">{"'vert'!$A$1:$T$117"}</definedName>
    <definedName name="test2_2" localSheetId="6" hidden="1">{"'vert'!$A$1:$T$117"}</definedName>
    <definedName name="test2_2" hidden="1">{"'vert'!$A$1:$T$117"}</definedName>
    <definedName name="test2_2_1" localSheetId="5" hidden="1">{"'vert'!$A$1:$T$117"}</definedName>
    <definedName name="test2_2_1" localSheetId="6" hidden="1">{"'vert'!$A$1:$T$117"}</definedName>
    <definedName name="test2_2_1" hidden="1">{"'vert'!$A$1:$T$117"}</definedName>
    <definedName name="test2_2_1_1" localSheetId="5" hidden="1">{"'vert'!$A$1:$T$117"}</definedName>
    <definedName name="test2_2_1_1" localSheetId="6" hidden="1">{"'vert'!$A$1:$T$117"}</definedName>
    <definedName name="test2_2_1_1" hidden="1">{"'vert'!$A$1:$T$117"}</definedName>
    <definedName name="test2_2_2" localSheetId="5" hidden="1">{"'vert'!$A$1:$T$117"}</definedName>
    <definedName name="test2_2_2" localSheetId="6" hidden="1">{"'vert'!$A$1:$T$117"}</definedName>
    <definedName name="test2_2_2" hidden="1">{"'vert'!$A$1:$T$117"}</definedName>
    <definedName name="test2_3" localSheetId="5" hidden="1">{"'vert'!$A$1:$T$117"}</definedName>
    <definedName name="test2_3" localSheetId="6" hidden="1">{"'vert'!$A$1:$T$117"}</definedName>
    <definedName name="test2_3" hidden="1">{"'vert'!$A$1:$T$117"}</definedName>
    <definedName name="test2_3_1" localSheetId="5" hidden="1">{"'vert'!$A$1:$T$117"}</definedName>
    <definedName name="test2_3_1" localSheetId="6" hidden="1">{"'vert'!$A$1:$T$117"}</definedName>
    <definedName name="test2_3_1" hidden="1">{"'vert'!$A$1:$T$117"}</definedName>
    <definedName name="test2_4" localSheetId="5" hidden="1">{"'vert'!$A$1:$T$117"}</definedName>
    <definedName name="test2_4" localSheetId="6" hidden="1">{"'vert'!$A$1:$T$117"}</definedName>
    <definedName name="test2_4" hidden="1">{"'vert'!$A$1:$T$117"}</definedName>
    <definedName name="test3" localSheetId="5" hidden="1">{"'vert'!$A$1:$T$117"}</definedName>
    <definedName name="test3" localSheetId="6" hidden="1">{"'vert'!$A$1:$T$117"}</definedName>
    <definedName name="test3" hidden="1">{"'vert'!$A$1:$T$117"}</definedName>
    <definedName name="test3_1" localSheetId="5" hidden="1">{"'vert'!$A$1:$T$117"}</definedName>
    <definedName name="test3_1" localSheetId="6" hidden="1">{"'vert'!$A$1:$T$117"}</definedName>
    <definedName name="test3_1" hidden="1">{"'vert'!$A$1:$T$117"}</definedName>
    <definedName name="test3_1_1" localSheetId="5" hidden="1">{"'vert'!$A$1:$T$117"}</definedName>
    <definedName name="test3_1_1" localSheetId="6" hidden="1">{"'vert'!$A$1:$T$117"}</definedName>
    <definedName name="test3_1_1" hidden="1">{"'vert'!$A$1:$T$117"}</definedName>
    <definedName name="test3_1_1_1" localSheetId="5" hidden="1">{"'vert'!$A$1:$T$117"}</definedName>
    <definedName name="test3_1_1_1" localSheetId="6" hidden="1">{"'vert'!$A$1:$T$117"}</definedName>
    <definedName name="test3_1_1_1" hidden="1">{"'vert'!$A$1:$T$117"}</definedName>
    <definedName name="test3_1_2" localSheetId="5" hidden="1">{"'vert'!$A$1:$T$117"}</definedName>
    <definedName name="test3_1_2" localSheetId="6" hidden="1">{"'vert'!$A$1:$T$117"}</definedName>
    <definedName name="test3_1_2" hidden="1">{"'vert'!$A$1:$T$117"}</definedName>
    <definedName name="test3_2" localSheetId="5" hidden="1">{"'vert'!$A$1:$T$117"}</definedName>
    <definedName name="test3_2" localSheetId="6" hidden="1">{"'vert'!$A$1:$T$117"}</definedName>
    <definedName name="test3_2" hidden="1">{"'vert'!$A$1:$T$117"}</definedName>
    <definedName name="test3_2_1" localSheetId="5" hidden="1">{"'vert'!$A$1:$T$117"}</definedName>
    <definedName name="test3_2_1" localSheetId="6" hidden="1">{"'vert'!$A$1:$T$117"}</definedName>
    <definedName name="test3_2_1" hidden="1">{"'vert'!$A$1:$T$117"}</definedName>
    <definedName name="test3_2_1_1" localSheetId="5" hidden="1">{"'vert'!$A$1:$T$117"}</definedName>
    <definedName name="test3_2_1_1" localSheetId="6" hidden="1">{"'vert'!$A$1:$T$117"}</definedName>
    <definedName name="test3_2_1_1" hidden="1">{"'vert'!$A$1:$T$117"}</definedName>
    <definedName name="test3_2_2" localSheetId="5" hidden="1">{"'vert'!$A$1:$T$117"}</definedName>
    <definedName name="test3_2_2" localSheetId="6" hidden="1">{"'vert'!$A$1:$T$117"}</definedName>
    <definedName name="test3_2_2" hidden="1">{"'vert'!$A$1:$T$117"}</definedName>
    <definedName name="test3_3" localSheetId="5" hidden="1">{"'vert'!$A$1:$T$117"}</definedName>
    <definedName name="test3_3" localSheetId="6" hidden="1">{"'vert'!$A$1:$T$117"}</definedName>
    <definedName name="test3_3" hidden="1">{"'vert'!$A$1:$T$117"}</definedName>
    <definedName name="test3_3_1" localSheetId="5" hidden="1">{"'vert'!$A$1:$T$117"}</definedName>
    <definedName name="test3_3_1" localSheetId="6" hidden="1">{"'vert'!$A$1:$T$117"}</definedName>
    <definedName name="test3_3_1" hidden="1">{"'vert'!$A$1:$T$117"}</definedName>
    <definedName name="test3_4" localSheetId="5" hidden="1">{"'vert'!$A$1:$T$117"}</definedName>
    <definedName name="test3_4" localSheetId="6" hidden="1">{"'vert'!$A$1:$T$117"}</definedName>
    <definedName name="test3_4" hidden="1">{"'vert'!$A$1:$T$117"}</definedName>
    <definedName name="test4" localSheetId="5" hidden="1">{"'vert'!$A$1:$T$117"}</definedName>
    <definedName name="test4" localSheetId="6" hidden="1">{"'vert'!$A$1:$T$117"}</definedName>
    <definedName name="test4" hidden="1">{"'vert'!$A$1:$T$117"}</definedName>
    <definedName name="test4_1" localSheetId="5" hidden="1">{"'vert'!$A$1:$T$117"}</definedName>
    <definedName name="test4_1" localSheetId="6" hidden="1">{"'vert'!$A$1:$T$117"}</definedName>
    <definedName name="test4_1" hidden="1">{"'vert'!$A$1:$T$117"}</definedName>
    <definedName name="test4_1_1" localSheetId="5" hidden="1">{"'vert'!$A$1:$T$117"}</definedName>
    <definedName name="test4_1_1" localSheetId="6" hidden="1">{"'vert'!$A$1:$T$117"}</definedName>
    <definedName name="test4_1_1" hidden="1">{"'vert'!$A$1:$T$117"}</definedName>
    <definedName name="test4_1_2" localSheetId="5" hidden="1">{"'vert'!$A$1:$T$117"}</definedName>
    <definedName name="test4_1_2" localSheetId="6" hidden="1">{"'vert'!$A$1:$T$117"}</definedName>
    <definedName name="test4_1_2" hidden="1">{"'vert'!$A$1:$T$117"}</definedName>
    <definedName name="test4_2" localSheetId="5" hidden="1">{"'vert'!$A$1:$T$117"}</definedName>
    <definedName name="test4_2" localSheetId="6" hidden="1">{"'vert'!$A$1:$T$117"}</definedName>
    <definedName name="test4_2" hidden="1">{"'vert'!$A$1:$T$117"}</definedName>
    <definedName name="test4_3" localSheetId="5" hidden="1">{"'vert'!$A$1:$T$117"}</definedName>
    <definedName name="test4_3" localSheetId="6" hidden="1">{"'vert'!$A$1:$T$117"}</definedName>
    <definedName name="test4_3" hidden="1">{"'vert'!$A$1:$T$117"}</definedName>
    <definedName name="test5" localSheetId="5" hidden="1">{"'vert'!$A$1:$T$117"}</definedName>
    <definedName name="test5" localSheetId="6" hidden="1">{"'vert'!$A$1:$T$117"}</definedName>
    <definedName name="test5" hidden="1">{"'vert'!$A$1:$T$117"}</definedName>
    <definedName name="test5_1" localSheetId="5" hidden="1">{"'vert'!$A$1:$T$117"}</definedName>
    <definedName name="test5_1" localSheetId="6" hidden="1">{"'vert'!$A$1:$T$117"}</definedName>
    <definedName name="test5_1" hidden="1">{"'vert'!$A$1:$T$117"}</definedName>
    <definedName name="test5_1_1" localSheetId="5" hidden="1">{"'vert'!$A$1:$T$117"}</definedName>
    <definedName name="test5_1_1" localSheetId="6" hidden="1">{"'vert'!$A$1:$T$117"}</definedName>
    <definedName name="test5_1_1" hidden="1">{"'vert'!$A$1:$T$117"}</definedName>
    <definedName name="test5_1_2" localSheetId="5" hidden="1">{"'vert'!$A$1:$T$117"}</definedName>
    <definedName name="test5_1_2" localSheetId="6" hidden="1">{"'vert'!$A$1:$T$117"}</definedName>
    <definedName name="test5_1_2" hidden="1">{"'vert'!$A$1:$T$117"}</definedName>
    <definedName name="test5_2" localSheetId="5" hidden="1">{"'vert'!$A$1:$T$117"}</definedName>
    <definedName name="test5_2" localSheetId="6" hidden="1">{"'vert'!$A$1:$T$117"}</definedName>
    <definedName name="test5_2" hidden="1">{"'vert'!$A$1:$T$117"}</definedName>
    <definedName name="test5_3" localSheetId="5" hidden="1">{"'vert'!$A$1:$T$117"}</definedName>
    <definedName name="test5_3" localSheetId="6" hidden="1">{"'vert'!$A$1:$T$117"}</definedName>
    <definedName name="test5_3" hidden="1">{"'vert'!$A$1:$T$117"}</definedName>
    <definedName name="tester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1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1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1_1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1_1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1_1_1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1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1_2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1_2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1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2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2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2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2_1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2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2_1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2_1_1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2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2_2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2_2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2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3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3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3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3_1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4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4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4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1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1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1_1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1_1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1_1_1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1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1_2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1_2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1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2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2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2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2_1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2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2_1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2_1_1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2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2_2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2_2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2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3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3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3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3_1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4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4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4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ss" localSheetId="5" hidden="1">{"'vert'!$A$1:$T$117"}</definedName>
    <definedName name="testss" localSheetId="6" hidden="1">{"'vert'!$A$1:$T$117"}</definedName>
    <definedName name="testss" hidden="1">{"'vert'!$A$1:$T$117"}</definedName>
    <definedName name="TM1REBUILDOPTION">1</definedName>
    <definedName name="TM1REBUILDOPTION_1">0</definedName>
    <definedName name="tradcomp" localSheetId="5" hidden="1">{#N/A,#N/A,FALSE,"Trading-Mult ";#N/A,#N/A,FALSE,"Trading-Cap";#N/A,#N/A,FALSE,"Trading-Inc";#N/A,#N/A,FALSE,"Cash Flow";#N/A,#N/A,FALSE,"M&amp;A info"}</definedName>
    <definedName name="tradcomp" localSheetId="6" hidden="1">{#N/A,#N/A,FALSE,"Trading-Mult ";#N/A,#N/A,FALSE,"Trading-Cap";#N/A,#N/A,FALSE,"Trading-Inc";#N/A,#N/A,FALSE,"Cash Flow";#N/A,#N/A,FALSE,"M&amp;A info"}</definedName>
    <definedName name="tradcomp" hidden="1">{#N/A,#N/A,FALSE,"Trading-Mult ";#N/A,#N/A,FALSE,"Trading-Cap";#N/A,#N/A,FALSE,"Trading-Inc";#N/A,#N/A,FALSE,"Cash Flow";#N/A,#N/A,FALSE,"M&amp;A info"}</definedName>
    <definedName name="tradcompar" localSheetId="5" hidden="1">{#N/A,#N/A,FALSE,"Trading-Mult ";#N/A,#N/A,FALSE,"Trading-Cap";#N/A,#N/A,FALSE,"Trading-Inc";#N/A,#N/A,FALSE,"Cash Flow";#N/A,#N/A,FALSE,"M&amp;A info"}</definedName>
    <definedName name="tradcompar" localSheetId="6" hidden="1">{#N/A,#N/A,FALSE,"Trading-Mult ";#N/A,#N/A,FALSE,"Trading-Cap";#N/A,#N/A,FALSE,"Trading-Inc";#N/A,#N/A,FALSE,"Cash Flow";#N/A,#N/A,FALSE,"M&amp;A info"}</definedName>
    <definedName name="tradcompar" hidden="1">{#N/A,#N/A,FALSE,"Trading-Mult ";#N/A,#N/A,FALSE,"Trading-Cap";#N/A,#N/A,FALSE,"Trading-Inc";#N/A,#N/A,FALSE,"Cash Flow";#N/A,#N/A,FALSE,"M&amp;A info"}</definedName>
    <definedName name="tradingcompar" localSheetId="5" hidden="1">{#N/A,#N/A,FALSE,"Trading-Mult ";#N/A,#N/A,FALSE,"Trading-Cap";#N/A,#N/A,FALSE,"Trading-Inc";#N/A,#N/A,FALSE,"Cash Flow";#N/A,#N/A,FALSE,"M&amp;A info"}</definedName>
    <definedName name="tradingcompar" localSheetId="6" hidden="1">{#N/A,#N/A,FALSE,"Trading-Mult ";#N/A,#N/A,FALSE,"Trading-Cap";#N/A,#N/A,FALSE,"Trading-Inc";#N/A,#N/A,FALSE,"Cash Flow";#N/A,#N/A,FALSE,"M&amp;A info"}</definedName>
    <definedName name="tradingcompar" hidden="1">{#N/A,#N/A,FALSE,"Trading-Mult ";#N/A,#N/A,FALSE,"Trading-Cap";#N/A,#N/A,FALSE,"Trading-Inc";#N/A,#N/A,FALSE,"Cash Flow";#N/A,#N/A,FALSE,"M&amp;A info"}</definedName>
    <definedName name="trhktrkh" localSheetId="5" hidden="1">{"'vert'!$A$1:$T$117"}</definedName>
    <definedName name="trhktrkh" localSheetId="6" hidden="1">{"'vert'!$A$1:$T$117"}</definedName>
    <definedName name="trhktrkh" hidden="1">{"'vert'!$A$1:$T$117"}</definedName>
    <definedName name="trhktrkh_1" localSheetId="5" hidden="1">{"'vert'!$A$1:$T$117"}</definedName>
    <definedName name="trhktrkh_1" localSheetId="6" hidden="1">{"'vert'!$A$1:$T$117"}</definedName>
    <definedName name="trhktrkh_1" hidden="1">{"'vert'!$A$1:$T$117"}</definedName>
    <definedName name="trhktrkh_1_1" localSheetId="5" hidden="1">{"'vert'!$A$1:$T$117"}</definedName>
    <definedName name="trhktrkh_1_1" localSheetId="6" hidden="1">{"'vert'!$A$1:$T$117"}</definedName>
    <definedName name="trhktrkh_1_1" hidden="1">{"'vert'!$A$1:$T$117"}</definedName>
    <definedName name="trhktrkh_1_1_1" localSheetId="5" hidden="1">{"'vert'!$A$1:$T$117"}</definedName>
    <definedName name="trhktrkh_1_1_1" localSheetId="6" hidden="1">{"'vert'!$A$1:$T$117"}</definedName>
    <definedName name="trhktrkh_1_1_1" hidden="1">{"'vert'!$A$1:$T$117"}</definedName>
    <definedName name="trhktrkh_1_2" localSheetId="5" hidden="1">{"'vert'!$A$1:$T$117"}</definedName>
    <definedName name="trhktrkh_1_2" localSheetId="6" hidden="1">{"'vert'!$A$1:$T$117"}</definedName>
    <definedName name="trhktrkh_1_2" hidden="1">{"'vert'!$A$1:$T$117"}</definedName>
    <definedName name="trhktrkh_2" localSheetId="5" hidden="1">{"'vert'!$A$1:$T$117"}</definedName>
    <definedName name="trhktrkh_2" localSheetId="6" hidden="1">{"'vert'!$A$1:$T$117"}</definedName>
    <definedName name="trhktrkh_2" hidden="1">{"'vert'!$A$1:$T$117"}</definedName>
    <definedName name="trhktrkh_2_1" localSheetId="5" hidden="1">{"'vert'!$A$1:$T$117"}</definedName>
    <definedName name="trhktrkh_2_1" localSheetId="6" hidden="1">{"'vert'!$A$1:$T$117"}</definedName>
    <definedName name="trhktrkh_2_1" hidden="1">{"'vert'!$A$1:$T$117"}</definedName>
    <definedName name="trhktrkh_2_1_1" localSheetId="5" hidden="1">{"'vert'!$A$1:$T$117"}</definedName>
    <definedName name="trhktrkh_2_1_1" localSheetId="6" hidden="1">{"'vert'!$A$1:$T$117"}</definedName>
    <definedName name="trhktrkh_2_1_1" hidden="1">{"'vert'!$A$1:$T$117"}</definedName>
    <definedName name="trhktrkh_2_2" localSheetId="5" hidden="1">{"'vert'!$A$1:$T$117"}</definedName>
    <definedName name="trhktrkh_2_2" localSheetId="6" hidden="1">{"'vert'!$A$1:$T$117"}</definedName>
    <definedName name="trhktrkh_2_2" hidden="1">{"'vert'!$A$1:$T$117"}</definedName>
    <definedName name="trhktrkh_3" localSheetId="5" hidden="1">{"'vert'!$A$1:$T$117"}</definedName>
    <definedName name="trhktrkh_3" localSheetId="6" hidden="1">{"'vert'!$A$1:$T$117"}</definedName>
    <definedName name="trhktrkh_3" hidden="1">{"'vert'!$A$1:$T$117"}</definedName>
    <definedName name="trhktrkh_3_1" localSheetId="5" hidden="1">{"'vert'!$A$1:$T$117"}</definedName>
    <definedName name="trhktrkh_3_1" localSheetId="6" hidden="1">{"'vert'!$A$1:$T$117"}</definedName>
    <definedName name="trhktrkh_3_1" hidden="1">{"'vert'!$A$1:$T$117"}</definedName>
    <definedName name="trhktrkh_4" localSheetId="5" hidden="1">{"'vert'!$A$1:$T$117"}</definedName>
    <definedName name="trhktrkh_4" localSheetId="6" hidden="1">{"'vert'!$A$1:$T$117"}</definedName>
    <definedName name="trhktrkh_4" hidden="1">{"'vert'!$A$1:$T$117"}</definedName>
    <definedName name="ttt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1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1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1_1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1_1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1_1_1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1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1_2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1_2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1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2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2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2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2_1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2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2_1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2_1_1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2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2_2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2_2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2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3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3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3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3_1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4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4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4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t" localSheetId="5" hidden="1">{"'vert'!$A$1:$T$117"}</definedName>
    <definedName name="tttt" localSheetId="6" hidden="1">{"'vert'!$A$1:$T$117"}</definedName>
    <definedName name="tttt" hidden="1">{"'vert'!$A$1:$T$117"}</definedName>
    <definedName name="USFC_Inventory_2" localSheetId="5" hidden="1">{"'vert'!$A$1:$T$117"}</definedName>
    <definedName name="USFC_Inventory_2" localSheetId="6" hidden="1">{"'vert'!$A$1:$T$117"}</definedName>
    <definedName name="USFC_Inventory_2" hidden="1">{"'vert'!$A$1:$T$117"}</definedName>
    <definedName name="USFC_Inventory_2_1" localSheetId="5" hidden="1">{"'vert'!$A$1:$T$117"}</definedName>
    <definedName name="USFC_Inventory_2_1" localSheetId="6" hidden="1">{"'vert'!$A$1:$T$117"}</definedName>
    <definedName name="USFC_Inventory_2_1" hidden="1">{"'vert'!$A$1:$T$117"}</definedName>
    <definedName name="USFC_Inventory_2_1_1" localSheetId="5" hidden="1">{"'vert'!$A$1:$T$117"}</definedName>
    <definedName name="USFC_Inventory_2_1_1" localSheetId="6" hidden="1">{"'vert'!$A$1:$T$117"}</definedName>
    <definedName name="USFC_Inventory_2_1_1" hidden="1">{"'vert'!$A$1:$T$117"}</definedName>
    <definedName name="USFC_Inventory_2_1_1_1" localSheetId="5" hidden="1">{"'vert'!$A$1:$T$117"}</definedName>
    <definedName name="USFC_Inventory_2_1_1_1" localSheetId="6" hidden="1">{"'vert'!$A$1:$T$117"}</definedName>
    <definedName name="USFC_Inventory_2_1_1_1" hidden="1">{"'vert'!$A$1:$T$117"}</definedName>
    <definedName name="USFC_Inventory_2_1_2" localSheetId="5" hidden="1">{"'vert'!$A$1:$T$117"}</definedName>
    <definedName name="USFC_Inventory_2_1_2" localSheetId="6" hidden="1">{"'vert'!$A$1:$T$117"}</definedName>
    <definedName name="USFC_Inventory_2_1_2" hidden="1">{"'vert'!$A$1:$T$117"}</definedName>
    <definedName name="USFC_Inventory_2_2" localSheetId="5" hidden="1">{"'vert'!$A$1:$T$117"}</definedName>
    <definedName name="USFC_Inventory_2_2" localSheetId="6" hidden="1">{"'vert'!$A$1:$T$117"}</definedName>
    <definedName name="USFC_Inventory_2_2" hidden="1">{"'vert'!$A$1:$T$117"}</definedName>
    <definedName name="USFC_Inventory_2_2_1" localSheetId="5" hidden="1">{"'vert'!$A$1:$T$117"}</definedName>
    <definedName name="USFC_Inventory_2_2_1" localSheetId="6" hidden="1">{"'vert'!$A$1:$T$117"}</definedName>
    <definedName name="USFC_Inventory_2_2_1" hidden="1">{"'vert'!$A$1:$T$117"}</definedName>
    <definedName name="USFC_Inventory_2_2_1_1" localSheetId="5" hidden="1">{"'vert'!$A$1:$T$117"}</definedName>
    <definedName name="USFC_Inventory_2_2_1_1" localSheetId="6" hidden="1">{"'vert'!$A$1:$T$117"}</definedName>
    <definedName name="USFC_Inventory_2_2_1_1" hidden="1">{"'vert'!$A$1:$T$117"}</definedName>
    <definedName name="USFC_Inventory_2_2_2" localSheetId="5" hidden="1">{"'vert'!$A$1:$T$117"}</definedName>
    <definedName name="USFC_Inventory_2_2_2" localSheetId="6" hidden="1">{"'vert'!$A$1:$T$117"}</definedName>
    <definedName name="USFC_Inventory_2_2_2" hidden="1">{"'vert'!$A$1:$T$117"}</definedName>
    <definedName name="USFC_Inventory_2_3" localSheetId="5" hidden="1">{"'vert'!$A$1:$T$117"}</definedName>
    <definedName name="USFC_Inventory_2_3" localSheetId="6" hidden="1">{"'vert'!$A$1:$T$117"}</definedName>
    <definedName name="USFC_Inventory_2_3" hidden="1">{"'vert'!$A$1:$T$117"}</definedName>
    <definedName name="USFC_Inventory_2_3_1" localSheetId="5" hidden="1">{"'vert'!$A$1:$T$117"}</definedName>
    <definedName name="USFC_Inventory_2_3_1" localSheetId="6" hidden="1">{"'vert'!$A$1:$T$117"}</definedName>
    <definedName name="USFC_Inventory_2_3_1" hidden="1">{"'vert'!$A$1:$T$117"}</definedName>
    <definedName name="USFC_Inventory_2_4" localSheetId="5" hidden="1">{"'vert'!$A$1:$T$117"}</definedName>
    <definedName name="USFC_Inventory_2_4" localSheetId="6" hidden="1">{"'vert'!$A$1:$T$117"}</definedName>
    <definedName name="USFC_Inventory_2_4" hidden="1">{"'vert'!$A$1:$T$117"}</definedName>
    <definedName name="V1_country">[10]CN!$B$3</definedName>
    <definedName name="V1_Country_Code">[2]CurrYear_V1!$C$28</definedName>
    <definedName name="V1_currency">[10]CN!$F$5</definedName>
    <definedName name="V1_view">[10]CN!$F$4</definedName>
    <definedName name="V1yoy_Period_View">[31]NA_Est_V1!$C$26</definedName>
    <definedName name="V2_Year">[2]V2!$C$24</definedName>
    <definedName name="vb" localSheetId="5" hidden="1">{"'vert'!$A$1:$T$117"}</definedName>
    <definedName name="vb" localSheetId="6" hidden="1">{"'vert'!$A$1:$T$117"}</definedName>
    <definedName name="vb" hidden="1">{"'vert'!$A$1:$T$117"}</definedName>
    <definedName name="VBA_Macros_Author" hidden="1">"Greg Lovern - http://PrecisionCalc.com - (425)747-1548 - Custom Microsoft Excel VBA Programming - Save Time - Reduce Errors"</definedName>
    <definedName name="VendorFunded">[1]Lists!$E$33:$E$34</definedName>
    <definedName name="vfdasvdfs" localSheetId="5" hidden="1">{"'vert'!$A$1:$T$117"}</definedName>
    <definedName name="vfdasvdfs" localSheetId="6" hidden="1">{"'vert'!$A$1:$T$117"}</definedName>
    <definedName name="vfdasvdfs" hidden="1">{"'vert'!$A$1:$T$117"}</definedName>
    <definedName name="VIEW">[10]Admin!$P$7:$P$11</definedName>
    <definedName name="waf" localSheetId="5" hidden="1">{"'vert'!$A$1:$T$117"}</definedName>
    <definedName name="waf" localSheetId="6" hidden="1">{"'vert'!$A$1:$T$117"}</definedName>
    <definedName name="waf" hidden="1">{"'vert'!$A$1:$T$117"}</definedName>
    <definedName name="waf_1" localSheetId="5" hidden="1">{"'vert'!$A$1:$T$117"}</definedName>
    <definedName name="waf_1" localSheetId="6" hidden="1">{"'vert'!$A$1:$T$117"}</definedName>
    <definedName name="waf_1" hidden="1">{"'vert'!$A$1:$T$117"}</definedName>
    <definedName name="waf_1_1" localSheetId="5" hidden="1">{"'vert'!$A$1:$T$117"}</definedName>
    <definedName name="waf_1_1" localSheetId="6" hidden="1">{"'vert'!$A$1:$T$117"}</definedName>
    <definedName name="waf_1_1" hidden="1">{"'vert'!$A$1:$T$117"}</definedName>
    <definedName name="waf_1_2" localSheetId="5" hidden="1">{"'vert'!$A$1:$T$117"}</definedName>
    <definedName name="waf_1_2" localSheetId="6" hidden="1">{"'vert'!$A$1:$T$117"}</definedName>
    <definedName name="waf_1_2" hidden="1">{"'vert'!$A$1:$T$117"}</definedName>
    <definedName name="waf_2" localSheetId="5" hidden="1">{"'vert'!$A$1:$T$117"}</definedName>
    <definedName name="waf_2" localSheetId="6" hidden="1">{"'vert'!$A$1:$T$117"}</definedName>
    <definedName name="waf_2" hidden="1">{"'vert'!$A$1:$T$117"}</definedName>
    <definedName name="waf_3" localSheetId="5" hidden="1">{"'vert'!$A$1:$T$117"}</definedName>
    <definedName name="waf_3" localSheetId="6" hidden="1">{"'vert'!$A$1:$T$117"}</definedName>
    <definedName name="waf_3" hidden="1">{"'vert'!$A$1:$T$117"}</definedName>
    <definedName name="Waterfall" localSheetId="5" hidden="1">{"'vert'!$A$1:$T$117"}</definedName>
    <definedName name="Waterfall" localSheetId="6" hidden="1">{"'vert'!$A$1:$T$117"}</definedName>
    <definedName name="Waterfall" hidden="1">{"'vert'!$A$1:$T$117"}</definedName>
    <definedName name="Waterfall_1" localSheetId="5" hidden="1">{"'vert'!$A$1:$T$117"}</definedName>
    <definedName name="Waterfall_1" localSheetId="6" hidden="1">{"'vert'!$A$1:$T$117"}</definedName>
    <definedName name="Waterfall_1" hidden="1">{"'vert'!$A$1:$T$117"}</definedName>
    <definedName name="Waterfall_1_1" localSheetId="5" hidden="1">{"'vert'!$A$1:$T$117"}</definedName>
    <definedName name="Waterfall_1_1" localSheetId="6" hidden="1">{"'vert'!$A$1:$T$117"}</definedName>
    <definedName name="Waterfall_1_1" hidden="1">{"'vert'!$A$1:$T$117"}</definedName>
    <definedName name="Waterfall_1_1_1" localSheetId="5" hidden="1">{"'vert'!$A$1:$T$117"}</definedName>
    <definedName name="Waterfall_1_1_1" localSheetId="6" hidden="1">{"'vert'!$A$1:$T$117"}</definedName>
    <definedName name="Waterfall_1_1_1" hidden="1">{"'vert'!$A$1:$T$117"}</definedName>
    <definedName name="Waterfall_1_1_1_1" localSheetId="5" hidden="1">{"'vert'!$A$1:$T$117"}</definedName>
    <definedName name="Waterfall_1_1_1_1" localSheetId="6" hidden="1">{"'vert'!$A$1:$T$117"}</definedName>
    <definedName name="Waterfall_1_1_1_1" hidden="1">{"'vert'!$A$1:$T$117"}</definedName>
    <definedName name="Waterfall_1_1_2" localSheetId="5" hidden="1">{"'vert'!$A$1:$T$117"}</definedName>
    <definedName name="Waterfall_1_1_2" localSheetId="6" hidden="1">{"'vert'!$A$1:$T$117"}</definedName>
    <definedName name="Waterfall_1_1_2" hidden="1">{"'vert'!$A$1:$T$117"}</definedName>
    <definedName name="Waterfall_1_2" localSheetId="5" hidden="1">{"'vert'!$A$1:$T$117"}</definedName>
    <definedName name="Waterfall_1_2" localSheetId="6" hidden="1">{"'vert'!$A$1:$T$117"}</definedName>
    <definedName name="Waterfall_1_2" hidden="1">{"'vert'!$A$1:$T$117"}</definedName>
    <definedName name="Waterfall_1_2_1" localSheetId="5" hidden="1">{"'vert'!$A$1:$T$117"}</definedName>
    <definedName name="Waterfall_1_2_1" localSheetId="6" hidden="1">{"'vert'!$A$1:$T$117"}</definedName>
    <definedName name="Waterfall_1_2_1" hidden="1">{"'vert'!$A$1:$T$117"}</definedName>
    <definedName name="Waterfall_1_2_1_1" localSheetId="5" hidden="1">{"'vert'!$A$1:$T$117"}</definedName>
    <definedName name="Waterfall_1_2_1_1" localSheetId="6" hidden="1">{"'vert'!$A$1:$T$117"}</definedName>
    <definedName name="Waterfall_1_2_1_1" hidden="1">{"'vert'!$A$1:$T$117"}</definedName>
    <definedName name="Waterfall_1_2_2" localSheetId="5" hidden="1">{"'vert'!$A$1:$T$117"}</definedName>
    <definedName name="Waterfall_1_2_2" localSheetId="6" hidden="1">{"'vert'!$A$1:$T$117"}</definedName>
    <definedName name="Waterfall_1_2_2" hidden="1">{"'vert'!$A$1:$T$117"}</definedName>
    <definedName name="Waterfall_1_3" localSheetId="5" hidden="1">{"'vert'!$A$1:$T$117"}</definedName>
    <definedName name="Waterfall_1_3" localSheetId="6" hidden="1">{"'vert'!$A$1:$T$117"}</definedName>
    <definedName name="Waterfall_1_3" hidden="1">{"'vert'!$A$1:$T$117"}</definedName>
    <definedName name="Waterfall_1_3_1" localSheetId="5" hidden="1">{"'vert'!$A$1:$T$117"}</definedName>
    <definedName name="Waterfall_1_3_1" localSheetId="6" hidden="1">{"'vert'!$A$1:$T$117"}</definedName>
    <definedName name="Waterfall_1_3_1" hidden="1">{"'vert'!$A$1:$T$117"}</definedName>
    <definedName name="Waterfall_1_4" localSheetId="5" hidden="1">{"'vert'!$A$1:$T$117"}</definedName>
    <definedName name="Waterfall_1_4" localSheetId="6" hidden="1">{"'vert'!$A$1:$T$117"}</definedName>
    <definedName name="Waterfall_1_4" hidden="1">{"'vert'!$A$1:$T$117"}</definedName>
    <definedName name="Waterfall_2" localSheetId="5" hidden="1">{"'vert'!$A$1:$T$117"}</definedName>
    <definedName name="Waterfall_2" localSheetId="6" hidden="1">{"'vert'!$A$1:$T$117"}</definedName>
    <definedName name="Waterfall_2" hidden="1">{"'vert'!$A$1:$T$117"}</definedName>
    <definedName name="Waterfall_2_1" localSheetId="5" hidden="1">{"'vert'!$A$1:$T$117"}</definedName>
    <definedName name="Waterfall_2_1" localSheetId="6" hidden="1">{"'vert'!$A$1:$T$117"}</definedName>
    <definedName name="Waterfall_2_1" hidden="1">{"'vert'!$A$1:$T$117"}</definedName>
    <definedName name="Waterfall_2_1_1" localSheetId="5" hidden="1">{"'vert'!$A$1:$T$117"}</definedName>
    <definedName name="Waterfall_2_1_1" localSheetId="6" hidden="1">{"'vert'!$A$1:$T$117"}</definedName>
    <definedName name="Waterfall_2_1_1" hidden="1">{"'vert'!$A$1:$T$117"}</definedName>
    <definedName name="Waterfall_2_2" localSheetId="5" hidden="1">{"'vert'!$A$1:$T$117"}</definedName>
    <definedName name="Waterfall_2_2" localSheetId="6" hidden="1">{"'vert'!$A$1:$T$117"}</definedName>
    <definedName name="Waterfall_2_2" hidden="1">{"'vert'!$A$1:$T$117"}</definedName>
    <definedName name="Waterfall_3" localSheetId="5" hidden="1">{"'vert'!$A$1:$T$117"}</definedName>
    <definedName name="Waterfall_3" localSheetId="6" hidden="1">{"'vert'!$A$1:$T$117"}</definedName>
    <definedName name="Waterfall_3" hidden="1">{"'vert'!$A$1:$T$117"}</definedName>
    <definedName name="Waterfall_3_1" localSheetId="5" hidden="1">{"'vert'!$A$1:$T$117"}</definedName>
    <definedName name="Waterfall_3_1" localSheetId="6" hidden="1">{"'vert'!$A$1:$T$117"}</definedName>
    <definedName name="Waterfall_3_1" hidden="1">{"'vert'!$A$1:$T$117"}</definedName>
    <definedName name="Waterfall_3_1_1" localSheetId="5" hidden="1">{"'vert'!$A$1:$T$117"}</definedName>
    <definedName name="Waterfall_3_1_1" localSheetId="6" hidden="1">{"'vert'!$A$1:$T$117"}</definedName>
    <definedName name="Waterfall_3_1_1" hidden="1">{"'vert'!$A$1:$T$117"}</definedName>
    <definedName name="Waterfall_3_2" localSheetId="5" hidden="1">{"'vert'!$A$1:$T$117"}</definedName>
    <definedName name="Waterfall_3_2" localSheetId="6" hidden="1">{"'vert'!$A$1:$T$117"}</definedName>
    <definedName name="Waterfall_3_2" hidden="1">{"'vert'!$A$1:$T$117"}</definedName>
    <definedName name="Waterfall_4" localSheetId="5" hidden="1">{"'vert'!$A$1:$T$117"}</definedName>
    <definedName name="Waterfall_4" localSheetId="6" hidden="1">{"'vert'!$A$1:$T$117"}</definedName>
    <definedName name="Waterfall_4" hidden="1">{"'vert'!$A$1:$T$117"}</definedName>
    <definedName name="Waterfall_4_1" localSheetId="5" hidden="1">{"'vert'!$A$1:$T$117"}</definedName>
    <definedName name="Waterfall_4_1" localSheetId="6" hidden="1">{"'vert'!$A$1:$T$117"}</definedName>
    <definedName name="Waterfall_4_1" hidden="1">{"'vert'!$A$1:$T$117"}</definedName>
    <definedName name="Waterfall_5" localSheetId="5" hidden="1">{"'vert'!$A$1:$T$117"}</definedName>
    <definedName name="Waterfall_5" localSheetId="6" hidden="1">{"'vert'!$A$1:$T$117"}</definedName>
    <definedName name="Waterfall_5" hidden="1">{"'vert'!$A$1:$T$117"}</definedName>
    <definedName name="Waterfall1" localSheetId="5" hidden="1">{"'vert'!$A$1:$T$117"}</definedName>
    <definedName name="Waterfall1" localSheetId="6" hidden="1">{"'vert'!$A$1:$T$117"}</definedName>
    <definedName name="Waterfall1" hidden="1">{"'vert'!$A$1:$T$117"}</definedName>
    <definedName name="Waterfall1_1" localSheetId="5" hidden="1">{"'vert'!$A$1:$T$117"}</definedName>
    <definedName name="Waterfall1_1" localSheetId="6" hidden="1">{"'vert'!$A$1:$T$117"}</definedName>
    <definedName name="Waterfall1_1" hidden="1">{"'vert'!$A$1:$T$117"}</definedName>
    <definedName name="Waterfall1_1_1" localSheetId="5" hidden="1">{"'vert'!$A$1:$T$117"}</definedName>
    <definedName name="Waterfall1_1_1" localSheetId="6" hidden="1">{"'vert'!$A$1:$T$117"}</definedName>
    <definedName name="Waterfall1_1_1" hidden="1">{"'vert'!$A$1:$T$117"}</definedName>
    <definedName name="Waterfall1_1_1_1" localSheetId="5" hidden="1">{"'vert'!$A$1:$T$117"}</definedName>
    <definedName name="Waterfall1_1_1_1" localSheetId="6" hidden="1">{"'vert'!$A$1:$T$117"}</definedName>
    <definedName name="Waterfall1_1_1_1" hidden="1">{"'vert'!$A$1:$T$117"}</definedName>
    <definedName name="Waterfall1_1_2" localSheetId="5" hidden="1">{"'vert'!$A$1:$T$117"}</definedName>
    <definedName name="Waterfall1_1_2" localSheetId="6" hidden="1">{"'vert'!$A$1:$T$117"}</definedName>
    <definedName name="Waterfall1_1_2" hidden="1">{"'vert'!$A$1:$T$117"}</definedName>
    <definedName name="Waterfall1_2" localSheetId="5" hidden="1">{"'vert'!$A$1:$T$117"}</definedName>
    <definedName name="Waterfall1_2" localSheetId="6" hidden="1">{"'vert'!$A$1:$T$117"}</definedName>
    <definedName name="Waterfall1_2" hidden="1">{"'vert'!$A$1:$T$117"}</definedName>
    <definedName name="Waterfall1_2_1" localSheetId="5" hidden="1">{"'vert'!$A$1:$T$117"}</definedName>
    <definedName name="Waterfall1_2_1" localSheetId="6" hidden="1">{"'vert'!$A$1:$T$117"}</definedName>
    <definedName name="Waterfall1_2_1" hidden="1">{"'vert'!$A$1:$T$117"}</definedName>
    <definedName name="Waterfall1_2_1_1" localSheetId="5" hidden="1">{"'vert'!$A$1:$T$117"}</definedName>
    <definedName name="Waterfall1_2_1_1" localSheetId="6" hidden="1">{"'vert'!$A$1:$T$117"}</definedName>
    <definedName name="Waterfall1_2_1_1" hidden="1">{"'vert'!$A$1:$T$117"}</definedName>
    <definedName name="Waterfall1_2_2" localSheetId="5" hidden="1">{"'vert'!$A$1:$T$117"}</definedName>
    <definedName name="Waterfall1_2_2" localSheetId="6" hidden="1">{"'vert'!$A$1:$T$117"}</definedName>
    <definedName name="Waterfall1_2_2" hidden="1">{"'vert'!$A$1:$T$117"}</definedName>
    <definedName name="Waterfall1_3" localSheetId="5" hidden="1">{"'vert'!$A$1:$T$117"}</definedName>
    <definedName name="Waterfall1_3" localSheetId="6" hidden="1">{"'vert'!$A$1:$T$117"}</definedName>
    <definedName name="Waterfall1_3" hidden="1">{"'vert'!$A$1:$T$117"}</definedName>
    <definedName name="Waterfall1_3_1" localSheetId="5" hidden="1">{"'vert'!$A$1:$T$117"}</definedName>
    <definedName name="Waterfall1_3_1" localSheetId="6" hidden="1">{"'vert'!$A$1:$T$117"}</definedName>
    <definedName name="Waterfall1_3_1" hidden="1">{"'vert'!$A$1:$T$117"}</definedName>
    <definedName name="Waterfall1_4" localSheetId="5" hidden="1">{"'vert'!$A$1:$T$117"}</definedName>
    <definedName name="Waterfall1_4" localSheetId="6" hidden="1">{"'vert'!$A$1:$T$117"}</definedName>
    <definedName name="Waterfall1_4" hidden="1">{"'vert'!$A$1:$T$117"}</definedName>
    <definedName name="Waterfall2" localSheetId="5" hidden="1">{"'vert'!$A$1:$T$117"}</definedName>
    <definedName name="Waterfall2" localSheetId="6" hidden="1">{"'vert'!$A$1:$T$117"}</definedName>
    <definedName name="Waterfall2" hidden="1">{"'vert'!$A$1:$T$117"}</definedName>
    <definedName name="Waterfall2_1" localSheetId="5" hidden="1">{"'vert'!$A$1:$T$117"}</definedName>
    <definedName name="Waterfall2_1" localSheetId="6" hidden="1">{"'vert'!$A$1:$T$117"}</definedName>
    <definedName name="Waterfall2_1" hidden="1">{"'vert'!$A$1:$T$117"}</definedName>
    <definedName name="Waterfall2_1_1" localSheetId="5" hidden="1">{"'vert'!$A$1:$T$117"}</definedName>
    <definedName name="Waterfall2_1_1" localSheetId="6" hidden="1">{"'vert'!$A$1:$T$117"}</definedName>
    <definedName name="Waterfall2_1_1" hidden="1">{"'vert'!$A$1:$T$117"}</definedName>
    <definedName name="Waterfall2_1_1_1" localSheetId="5" hidden="1">{"'vert'!$A$1:$T$117"}</definedName>
    <definedName name="Waterfall2_1_1_1" localSheetId="6" hidden="1">{"'vert'!$A$1:$T$117"}</definedName>
    <definedName name="Waterfall2_1_1_1" hidden="1">{"'vert'!$A$1:$T$117"}</definedName>
    <definedName name="Waterfall2_1_2" localSheetId="5" hidden="1">{"'vert'!$A$1:$T$117"}</definedName>
    <definedName name="Waterfall2_1_2" localSheetId="6" hidden="1">{"'vert'!$A$1:$T$117"}</definedName>
    <definedName name="Waterfall2_1_2" hidden="1">{"'vert'!$A$1:$T$117"}</definedName>
    <definedName name="Waterfall2_2" localSheetId="5" hidden="1">{"'vert'!$A$1:$T$117"}</definedName>
    <definedName name="Waterfall2_2" localSheetId="6" hidden="1">{"'vert'!$A$1:$T$117"}</definedName>
    <definedName name="Waterfall2_2" hidden="1">{"'vert'!$A$1:$T$117"}</definedName>
    <definedName name="Waterfall2_2_1" localSheetId="5" hidden="1">{"'vert'!$A$1:$T$117"}</definedName>
    <definedName name="Waterfall2_2_1" localSheetId="6" hidden="1">{"'vert'!$A$1:$T$117"}</definedName>
    <definedName name="Waterfall2_2_1" hidden="1">{"'vert'!$A$1:$T$117"}</definedName>
    <definedName name="Waterfall2_2_1_1" localSheetId="5" hidden="1">{"'vert'!$A$1:$T$117"}</definedName>
    <definedName name="Waterfall2_2_1_1" localSheetId="6" hidden="1">{"'vert'!$A$1:$T$117"}</definedName>
    <definedName name="Waterfall2_2_1_1" hidden="1">{"'vert'!$A$1:$T$117"}</definedName>
    <definedName name="Waterfall2_2_2" localSheetId="5" hidden="1">{"'vert'!$A$1:$T$117"}</definedName>
    <definedName name="Waterfall2_2_2" localSheetId="6" hidden="1">{"'vert'!$A$1:$T$117"}</definedName>
    <definedName name="Waterfall2_2_2" hidden="1">{"'vert'!$A$1:$T$117"}</definedName>
    <definedName name="Waterfall2_3" localSheetId="5" hidden="1">{"'vert'!$A$1:$T$117"}</definedName>
    <definedName name="Waterfall2_3" localSheetId="6" hidden="1">{"'vert'!$A$1:$T$117"}</definedName>
    <definedName name="Waterfall2_3" hidden="1">{"'vert'!$A$1:$T$117"}</definedName>
    <definedName name="Waterfall2_3_1" localSheetId="5" hidden="1">{"'vert'!$A$1:$T$117"}</definedName>
    <definedName name="Waterfall2_3_1" localSheetId="6" hidden="1">{"'vert'!$A$1:$T$117"}</definedName>
    <definedName name="Waterfall2_3_1" hidden="1">{"'vert'!$A$1:$T$117"}</definedName>
    <definedName name="Waterfall2_4" localSheetId="5" hidden="1">{"'vert'!$A$1:$T$117"}</definedName>
    <definedName name="Waterfall2_4" localSheetId="6" hidden="1">{"'vert'!$A$1:$T$117"}</definedName>
    <definedName name="Waterfall2_4" hidden="1">{"'vert'!$A$1:$T$117"}</definedName>
    <definedName name="WeekdayOption">#N/A</definedName>
    <definedName name="Weekdays" localSheetId="5">{"Monday","Tuesday","Wednesday","Thursday","Friday","Saturday","Sunday"}</definedName>
    <definedName name="Weekdays" localSheetId="6">{"Monday","Tuesday","Wednesday","Thursday","Friday","Saturday","Sunday"}</definedName>
    <definedName name="Weekdays">{"Monday","Tuesday","Wednesday","Thursday","Friday","Saturday","Sunday"}</definedName>
    <definedName name="WeekStart">#REF!</definedName>
    <definedName name="WeekStartValue">#N/A</definedName>
    <definedName name="wew" localSheetId="5" hidden="1">{#N/A,#N/A,FALSE,"Sheet1"}</definedName>
    <definedName name="wew" localSheetId="6" hidden="1">{#N/A,#N/A,FALSE,"Sheet1"}</definedName>
    <definedName name="wew" hidden="1">{#N/A,#N/A,FALSE,"Sheet1"}</definedName>
    <definedName name="What" localSheetId="5" hidden="1">{"'vert'!$A$1:$T$117"}</definedName>
    <definedName name="What" localSheetId="6" hidden="1">{"'vert'!$A$1:$T$117"}</definedName>
    <definedName name="What" hidden="1">{"'vert'!$A$1:$T$117"}</definedName>
    <definedName name="whoa" localSheetId="5" hidden="1">{"'weekly data'!$A$2:$AS$36"}</definedName>
    <definedName name="whoa" localSheetId="6" hidden="1">{"'weekly data'!$A$2:$AS$36"}</definedName>
    <definedName name="whoa" hidden="1">{"'weekly data'!$A$2:$AS$36"}</definedName>
    <definedName name="whoa_1" localSheetId="5" hidden="1">{"'weekly data'!$A$2:$AS$36"}</definedName>
    <definedName name="whoa_1" localSheetId="6" hidden="1">{"'weekly data'!$A$2:$AS$36"}</definedName>
    <definedName name="whoa_1" hidden="1">{"'weekly data'!$A$2:$AS$36"}</definedName>
    <definedName name="whoa_1_1" localSheetId="5" hidden="1">{"'weekly data'!$A$2:$AS$36"}</definedName>
    <definedName name="whoa_1_1" localSheetId="6" hidden="1">{"'weekly data'!$A$2:$AS$36"}</definedName>
    <definedName name="whoa_1_1" hidden="1">{"'weekly data'!$A$2:$AS$36"}</definedName>
    <definedName name="whoa_1_1_1" localSheetId="5" hidden="1">{"'weekly data'!$A$2:$AS$36"}</definedName>
    <definedName name="whoa_1_1_1" localSheetId="6" hidden="1">{"'weekly data'!$A$2:$AS$36"}</definedName>
    <definedName name="whoa_1_1_1" hidden="1">{"'weekly data'!$A$2:$AS$36"}</definedName>
    <definedName name="whoa_1_2" localSheetId="5" hidden="1">{"'weekly data'!$A$2:$AS$36"}</definedName>
    <definedName name="whoa_1_2" localSheetId="6" hidden="1">{"'weekly data'!$A$2:$AS$36"}</definedName>
    <definedName name="whoa_1_2" hidden="1">{"'weekly data'!$A$2:$AS$36"}</definedName>
    <definedName name="whoa_2" localSheetId="5" hidden="1">{"'weekly data'!$A$2:$AS$36"}</definedName>
    <definedName name="whoa_2" localSheetId="6" hidden="1">{"'weekly data'!$A$2:$AS$36"}</definedName>
    <definedName name="whoa_2" hidden="1">{"'weekly data'!$A$2:$AS$36"}</definedName>
    <definedName name="whoa_2_1" localSheetId="5" hidden="1">{"'weekly data'!$A$2:$AS$36"}</definedName>
    <definedName name="whoa_2_1" localSheetId="6" hidden="1">{"'weekly data'!$A$2:$AS$36"}</definedName>
    <definedName name="whoa_2_1" hidden="1">{"'weekly data'!$A$2:$AS$36"}</definedName>
    <definedName name="whoa_2_1_1" localSheetId="5" hidden="1">{"'weekly data'!$A$2:$AS$36"}</definedName>
    <definedName name="whoa_2_1_1" localSheetId="6" hidden="1">{"'weekly data'!$A$2:$AS$36"}</definedName>
    <definedName name="whoa_2_1_1" hidden="1">{"'weekly data'!$A$2:$AS$36"}</definedName>
    <definedName name="whoa_2_2" localSheetId="5" hidden="1">{"'weekly data'!$A$2:$AS$36"}</definedName>
    <definedName name="whoa_2_2" localSheetId="6" hidden="1">{"'weekly data'!$A$2:$AS$36"}</definedName>
    <definedName name="whoa_2_2" hidden="1">{"'weekly data'!$A$2:$AS$36"}</definedName>
    <definedName name="whoa_3" localSheetId="5" hidden="1">{"'weekly data'!$A$2:$AS$36"}</definedName>
    <definedName name="whoa_3" localSheetId="6" hidden="1">{"'weekly data'!$A$2:$AS$36"}</definedName>
    <definedName name="whoa_3" hidden="1">{"'weekly data'!$A$2:$AS$36"}</definedName>
    <definedName name="whoa_3_1" localSheetId="5" hidden="1">{"'weekly data'!$A$2:$AS$36"}</definedName>
    <definedName name="whoa_3_1" localSheetId="6" hidden="1">{"'weekly data'!$A$2:$AS$36"}</definedName>
    <definedName name="whoa_3_1" hidden="1">{"'weekly data'!$A$2:$AS$36"}</definedName>
    <definedName name="whoa_4" localSheetId="5" hidden="1">{"'weekly data'!$A$2:$AS$36"}</definedName>
    <definedName name="whoa_4" localSheetId="6" hidden="1">{"'weekly data'!$A$2:$AS$36"}</definedName>
    <definedName name="whoa_4" hidden="1">{"'weekly data'!$A$2:$AS$36"}</definedName>
    <definedName name="wrn" localSheetId="5" hidden="1">{#N/A,#N/A,FALSE,"Sheet1"}</definedName>
    <definedName name="wrn" localSheetId="6" hidden="1">{#N/A,#N/A,FALSE,"Sheet1"}</definedName>
    <definedName name="wrn" hidden="1">{#N/A,#N/A,FALSE,"Sheet1"}</definedName>
    <definedName name="wrn.1." localSheetId="5" hidden="1">{#N/A,#N/A,FALSE,"Calc";#N/A,#N/A,FALSE,"Sensitivity";#N/A,#N/A,FALSE,"LT Earn.Dil.";#N/A,#N/A,FALSE,"Dil. AVP"}</definedName>
    <definedName name="wrn.1." localSheetId="6" hidden="1">{#N/A,#N/A,FALSE,"Calc";#N/A,#N/A,FALSE,"Sensitivity";#N/A,#N/A,FALSE,"LT Earn.Dil.";#N/A,#N/A,FALSE,"Dil. AVP"}</definedName>
    <definedName name="wrn.1." hidden="1">{#N/A,#N/A,FALSE,"Calc";#N/A,#N/A,FALSE,"Sensitivity";#N/A,#N/A,FALSE,"LT Earn.Dil.";#N/A,#N/A,FALSE,"Dil. AVP"}</definedName>
    <definedName name="wrn.50._.50." localSheetId="5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_.50." localSheetId="6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_.50.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adj95." localSheetId="5" hidden="1">{"adj95mult",#N/A,FALSE,"COMPCO";"adj95est",#N/A,FALSE,"COMPCO"}</definedName>
    <definedName name="wrn.adj95." localSheetId="6" hidden="1">{"adj95mult",#N/A,FALSE,"COMPCO";"adj95est",#N/A,FALSE,"COMPCO"}</definedName>
    <definedName name="wrn.adj95." hidden="1">{"adj95mult",#N/A,FALSE,"COMPCO";"adj95est",#N/A,FALSE,"COMPCO"}</definedName>
    <definedName name="wrn.All." localSheetId="5" hidden="1">{"Matrix",#N/A,FALSE,"ACQMTRX";"Fees",#N/A,FALSE,"ACQMTRX"}</definedName>
    <definedName name="wrn.All." localSheetId="6" hidden="1">{"Matrix",#N/A,FALSE,"ACQMTRX";"Fees",#N/A,FALSE,"ACQMTRX"}</definedName>
    <definedName name="wrn.All." hidden="1">{"Matrix",#N/A,FALSE,"ACQMTRX";"Fees",#N/A,FALSE,"ACQMTRX"}</definedName>
    <definedName name="wrn.app_a" localSheetId="5" hidden="1">{#N/A,#N/A,FALSE,"toc";#N/A,#N/A,FALSE,"a1";#N/A,#N/A,FALSE,"a2";#N/A,#N/A,FALSE,"a3";#N/A,#N/A,FALSE,"a4";#N/A,#N/A,FALSE,"a5";#N/A,#N/A,FALSE,"a6";#N/A,#N/A,FALSE,"a7";#N/A,#N/A,FALSE,"a8";#N/A,#N/A,FALSE,"a9";#N/A,#N/A,FALSE,"a10";#N/A,#N/A,FALSE,"a11";#N/A,#N/A,FALSE,"a12";#N/A,#N/A,FALSE,"a13";#N/A,#N/A,FALSE,"a14a";#N/A,#N/A,FALSE,"a14b";#N/A,#N/A,FALSE,"a15";#N/A,#N/A,FALSE,"a16"}</definedName>
    <definedName name="wrn.app_a" localSheetId="6" hidden="1">{#N/A,#N/A,FALSE,"toc";#N/A,#N/A,FALSE,"a1";#N/A,#N/A,FALSE,"a2";#N/A,#N/A,FALSE,"a3";#N/A,#N/A,FALSE,"a4";#N/A,#N/A,FALSE,"a5";#N/A,#N/A,FALSE,"a6";#N/A,#N/A,FALSE,"a7";#N/A,#N/A,FALSE,"a8";#N/A,#N/A,FALSE,"a9";#N/A,#N/A,FALSE,"a10";#N/A,#N/A,FALSE,"a11";#N/A,#N/A,FALSE,"a12";#N/A,#N/A,FALSE,"a13";#N/A,#N/A,FALSE,"a14a";#N/A,#N/A,FALSE,"a14b";#N/A,#N/A,FALSE,"a15";#N/A,#N/A,FALSE,"a16"}</definedName>
    <definedName name="wrn.app_a" hidden="1">{#N/A,#N/A,FALSE,"toc";#N/A,#N/A,FALSE,"a1";#N/A,#N/A,FALSE,"a2";#N/A,#N/A,FALSE,"a3";#N/A,#N/A,FALSE,"a4";#N/A,#N/A,FALSE,"a5";#N/A,#N/A,FALSE,"a6";#N/A,#N/A,FALSE,"a7";#N/A,#N/A,FALSE,"a8";#N/A,#N/A,FALSE,"a9";#N/A,#N/A,FALSE,"a10";#N/A,#N/A,FALSE,"a11";#N/A,#N/A,FALSE,"a12";#N/A,#N/A,FALSE,"a13";#N/A,#N/A,FALSE,"a14a";#N/A,#N/A,FALSE,"a14b";#N/A,#N/A,FALSE,"a15";#N/A,#N/A,FALSE,"a16"}</definedName>
    <definedName name="wrn.app_a." localSheetId="5" hidden="1">{#N/A,#N/A,FALSE,"toc";#N/A,#N/A,FALSE,"a1";#N/A,#N/A,FALSE,"a2";#N/A,#N/A,FALSE,"a3";#N/A,#N/A,FALSE,"a4";#N/A,#N/A,FALSE,"a5";#N/A,#N/A,FALSE,"a6";#N/A,#N/A,FALSE,"a7";#N/A,#N/A,FALSE,"a8";#N/A,#N/A,FALSE,"a9";#N/A,#N/A,FALSE,"a10";#N/A,#N/A,FALSE,"a11";#N/A,#N/A,FALSE,"a12";#N/A,#N/A,FALSE,"a13";#N/A,#N/A,FALSE,"a14a";#N/A,#N/A,FALSE,"a14b";#N/A,#N/A,FALSE,"a15";#N/A,#N/A,FALSE,"a16"}</definedName>
    <definedName name="wrn.app_a." localSheetId="6" hidden="1">{#N/A,#N/A,FALSE,"toc";#N/A,#N/A,FALSE,"a1";#N/A,#N/A,FALSE,"a2";#N/A,#N/A,FALSE,"a3";#N/A,#N/A,FALSE,"a4";#N/A,#N/A,FALSE,"a5";#N/A,#N/A,FALSE,"a6";#N/A,#N/A,FALSE,"a7";#N/A,#N/A,FALSE,"a8";#N/A,#N/A,FALSE,"a9";#N/A,#N/A,FALSE,"a10";#N/A,#N/A,FALSE,"a11";#N/A,#N/A,FALSE,"a12";#N/A,#N/A,FALSE,"a13";#N/A,#N/A,FALSE,"a14a";#N/A,#N/A,FALSE,"a14b";#N/A,#N/A,FALSE,"a15";#N/A,#N/A,FALSE,"a16"}</definedName>
    <definedName name="wrn.app_a." hidden="1">{#N/A,#N/A,FALSE,"toc";#N/A,#N/A,FALSE,"a1";#N/A,#N/A,FALSE,"a2";#N/A,#N/A,FALSE,"a3";#N/A,#N/A,FALSE,"a4";#N/A,#N/A,FALSE,"a5";#N/A,#N/A,FALSE,"a6";#N/A,#N/A,FALSE,"a7";#N/A,#N/A,FALSE,"a8";#N/A,#N/A,FALSE,"a9";#N/A,#N/A,FALSE,"a10";#N/A,#N/A,FALSE,"a11";#N/A,#N/A,FALSE,"a12";#N/A,#N/A,FALSE,"a13";#N/A,#N/A,FALSE,"a14a";#N/A,#N/A,FALSE,"a14b";#N/A,#N/A,FALSE,"a15";#N/A,#N/A,FALSE,"a16"}</definedName>
    <definedName name="wrn.AppendixA." localSheetId="5" hidden="1">{#N/A,#N/A,FALSE,"toc";#N/A,#N/A,FALSE,"a1";#N/A,#N/A,FALSE,"a2";#N/A,#N/A,FALSE,"a3";#N/A,#N/A,FALSE,"a4";#N/A,#N/A,FALSE,"a5";#N/A,#N/A,FALSE,"a6";#N/A,#N/A,FALSE,"a7";#N/A,#N/A,FALSE,"a8";#N/A,#N/A,FALSE,"a9";#N/A,#N/A,FALSE,"a10";#N/A,#N/A,FALSE,"a11";#N/A,#N/A,FALSE,"a12";#N/A,#N/A,FALSE,"a13";#N/A,#N/A,FALSE,"a14";#N/A,#N/A,FALSE,"a15";#N/A,#N/A,FALSE,"a16";#N/A,#N/A,FALSE,"a17";#N/A,#N/A,FALSE,"a18";#N/A,#N/A,FALSE,"a19";#N/A,#N/A,FALSE,"a20";#N/A,#N/A,FALSE,"a21";#N/A,#N/A,FALSE,"a22";#N/A,#N/A,FALSE,"a23";#N/A,#N/A,FALSE,"a24";#N/A,#N/A,FALSE,"a25"}</definedName>
    <definedName name="wrn.AppendixA." localSheetId="6" hidden="1">{#N/A,#N/A,FALSE,"toc";#N/A,#N/A,FALSE,"a1";#N/A,#N/A,FALSE,"a2";#N/A,#N/A,FALSE,"a3";#N/A,#N/A,FALSE,"a4";#N/A,#N/A,FALSE,"a5";#N/A,#N/A,FALSE,"a6";#N/A,#N/A,FALSE,"a7";#N/A,#N/A,FALSE,"a8";#N/A,#N/A,FALSE,"a9";#N/A,#N/A,FALSE,"a10";#N/A,#N/A,FALSE,"a11";#N/A,#N/A,FALSE,"a12";#N/A,#N/A,FALSE,"a13";#N/A,#N/A,FALSE,"a14";#N/A,#N/A,FALSE,"a15";#N/A,#N/A,FALSE,"a16";#N/A,#N/A,FALSE,"a17";#N/A,#N/A,FALSE,"a18";#N/A,#N/A,FALSE,"a19";#N/A,#N/A,FALSE,"a20";#N/A,#N/A,FALSE,"a21";#N/A,#N/A,FALSE,"a22";#N/A,#N/A,FALSE,"a23";#N/A,#N/A,FALSE,"a24";#N/A,#N/A,FALSE,"a25"}</definedName>
    <definedName name="wrn.AppendixA." hidden="1">{#N/A,#N/A,FALSE,"toc";#N/A,#N/A,FALSE,"a1";#N/A,#N/A,FALSE,"a2";#N/A,#N/A,FALSE,"a3";#N/A,#N/A,FALSE,"a4";#N/A,#N/A,FALSE,"a5";#N/A,#N/A,FALSE,"a6";#N/A,#N/A,FALSE,"a7";#N/A,#N/A,FALSE,"a8";#N/A,#N/A,FALSE,"a9";#N/A,#N/A,FALSE,"a10";#N/A,#N/A,FALSE,"a11";#N/A,#N/A,FALSE,"a12";#N/A,#N/A,FALSE,"a13";#N/A,#N/A,FALSE,"a14";#N/A,#N/A,FALSE,"a15";#N/A,#N/A,FALSE,"a16";#N/A,#N/A,FALSE,"a17";#N/A,#N/A,FALSE,"a18";#N/A,#N/A,FALSE,"a19";#N/A,#N/A,FALSE,"a20";#N/A,#N/A,FALSE,"a21";#N/A,#N/A,FALSE,"a22";#N/A,#N/A,FALSE,"a23";#N/A,#N/A,FALSE,"a24";#N/A,#N/A,FALSE,"a25"}</definedName>
    <definedName name="wrn.Asia." localSheetId="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localSheetId="6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uto._.Comp." localSheetId="5" hidden="1">{#N/A,#N/A,FALSE,"Sheet1"}</definedName>
    <definedName name="wrn.Auto._.Comp." localSheetId="6" hidden="1">{#N/A,#N/A,FALSE,"Sheet1"}</definedName>
    <definedName name="wrn.Auto._.Comp." hidden="1">{#N/A,#N/A,FALSE,"Sheet1"}</definedName>
    <definedName name="wrn.Auto._.Comp2." localSheetId="5" hidden="1">{#N/A,#N/A,FALSE,"Sheet1"}</definedName>
    <definedName name="wrn.Auto._.Comp2." localSheetId="6" hidden="1">{#N/A,#N/A,FALSE,"Sheet1"}</definedName>
    <definedName name="wrn.Auto._.Comp2." hidden="1">{#N/A,#N/A,FALSE,"Sheet1"}</definedName>
    <definedName name="wrn.away." localSheetId="5" hidden="1">{"away stand alones",#N/A,FALSE,"Target"}</definedName>
    <definedName name="wrn.away." localSheetId="6" hidden="1">{"away stand alones",#N/A,FALSE,"Target"}</definedName>
    <definedName name="wrn.away." hidden="1">{"away stand alones",#N/A,FALSE,"Target"}</definedName>
    <definedName name="wrn.belknap._.package." localSheetId="5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elknap._.package." localSheetId="6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elknap._.package.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usiness._.Plan._.Package." localSheetId="5" hidden="1">{#N/A,#N/A,TRUE,"income statement";#N/A,#N/A,TRUE,"balance sheet";#N/A,#N/A,TRUE,"cash flow";#N/A,#N/A,TRUE,"borrowing base";#N/A,#N/A,TRUE,"sales summary"}</definedName>
    <definedName name="wrn.Business._.Plan._.Package." localSheetId="6" hidden="1">{#N/A,#N/A,TRUE,"income statement";#N/A,#N/A,TRUE,"balance sheet";#N/A,#N/A,TRUE,"cash flow";#N/A,#N/A,TRUE,"borrowing base";#N/A,#N/A,TRUE,"sales summary"}</definedName>
    <definedName name="wrn.Business._.Plan._.Package." hidden="1">{#N/A,#N/A,TRUE,"income statement";#N/A,#N/A,TRUE,"balance sheet";#N/A,#N/A,TRUE,"cash flow";#N/A,#N/A,TRUE,"borrowing base";#N/A,#N/A,TRUE,"sales summary"}</definedName>
    <definedName name="wrn.business._.plan._.with._.detail." localSheetId="5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business._.plan._.with._.detail." localSheetId="6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business._.plan._.with._.detail.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cash." localSheetId="5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ash." localSheetId="6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ash.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ompco." localSheetId="5" hidden="1">{"page1",#N/A,FALSE,"BHCOMPC5";"page2",#N/A,FALSE,"BHCOMPC5";"page3",#N/A,FALSE,"BHCOMPC5";"page4",#N/A,FALSE,"BHCOMPC5"}</definedName>
    <definedName name="wrn.compco." localSheetId="6" hidden="1">{"page1",#N/A,FALSE,"BHCOMPC5";"page2",#N/A,FALSE,"BHCOMPC5";"page3",#N/A,FALSE,"BHCOMPC5";"page4",#N/A,FALSE,"BHCOMPC5"}</definedName>
    <definedName name="wrn.compco." hidden="1">{"page1",#N/A,FALSE,"BHCOMPC5";"page2",#N/A,FALSE,"BHCOMPC5";"page3",#N/A,FALSE,"BHCOMPC5";"page4",#N/A,FALSE,"BHCOMPC5"}</definedName>
    <definedName name="wrn.Consolidated._.cash._.flows." localSheetId="5" hidden="1">{"Total consolidation",#N/A,FALSE,"Total Consolidation";"Chemical Anual",#N/A,FALSE,"Chemical";"Non Chemical Anual",#N/A,FALSE,"Non_Chemical";"Other cias consolidated anual",#N/A,FALSE,"Other_Consolidation"}</definedName>
    <definedName name="wrn.Consolidated._.cash._.flows." localSheetId="6" hidden="1">{"Total consolidation",#N/A,FALSE,"Total Consolidation";"Chemical Anual",#N/A,FALSE,"Chemical";"Non Chemical Anual",#N/A,FALSE,"Non_Chemical";"Other cias consolidated anual",#N/A,FALSE,"Other_Consolidation"}</definedName>
    <definedName name="wrn.Consolidated._.cash._.flows." hidden="1">{"Total consolidation",#N/A,FALSE,"Total Consolidation";"Chemical Anual",#N/A,FALSE,"Chemical";"Non Chemical Anual",#N/A,FALSE,"Non_Chemical";"Other cias consolidated anual",#N/A,FALSE,"Other_Consolidation"}</definedName>
    <definedName name="wrn.Cover." localSheetId="5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localSheetId="6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s." localSheetId="5" hidden="1">{#N/A,#N/A,FALSE,"FrntPg";#N/A,#N/A,FALSE,"IncACvr";#N/A,#N/A,FALSE,"CashACvr";#N/A,#N/A,FALSE,"CapxCvr";#N/A,#N/A,FALSE,"OtherCvr";#N/A,#N/A,FALSE,"RevCvr";#N/A,#N/A,FALSE,"ExpCvr";#N/A,#N/A,FALSE,"BegCvr"}</definedName>
    <definedName name="wrn.Covers." localSheetId="6" hidden="1">{#N/A,#N/A,FALSE,"FrntPg";#N/A,#N/A,FALSE,"IncACvr";#N/A,#N/A,FALSE,"CashACvr";#N/A,#N/A,FALSE,"CapxCvr";#N/A,#N/A,FALSE,"OtherCvr";#N/A,#N/A,FALSE,"RevCvr";#N/A,#N/A,FALSE,"ExpCvr";#N/A,#N/A,FALSE,"BegCvr"}</definedName>
    <definedName name="wrn.Covers." hidden="1">{#N/A,#N/A,FALSE,"FrntPg";#N/A,#N/A,FALSE,"IncACvr";#N/A,#N/A,FALSE,"CashACvr";#N/A,#N/A,FALSE,"CapxCvr";#N/A,#N/A,FALSE,"OtherCvr";#N/A,#N/A,FALSE,"RevCvr";#N/A,#N/A,FALSE,"ExpCvr";#N/A,#N/A,FALSE,"BegCvr"}</definedName>
    <definedName name="wrn.Covers._1" localSheetId="5" hidden="1">{#N/A,#N/A,FALSE,"FrntPg";#N/A,#N/A,FALSE,"IncACvr";#N/A,#N/A,FALSE,"CashACvr";#N/A,#N/A,FALSE,"CapxCvr";#N/A,#N/A,FALSE,"OtherCvr";#N/A,#N/A,FALSE,"RevCvr";#N/A,#N/A,FALSE,"ExpCvr";#N/A,#N/A,FALSE,"BegCvr"}</definedName>
    <definedName name="wrn.Covers._1" localSheetId="6" hidden="1">{#N/A,#N/A,FALSE,"FrntPg";#N/A,#N/A,FALSE,"IncACvr";#N/A,#N/A,FALSE,"CashACvr";#N/A,#N/A,FALSE,"CapxCvr";#N/A,#N/A,FALSE,"OtherCvr";#N/A,#N/A,FALSE,"RevCvr";#N/A,#N/A,FALSE,"ExpCvr";#N/A,#N/A,FALSE,"BegCvr"}</definedName>
    <definedName name="wrn.Covers._1" hidden="1">{#N/A,#N/A,FALSE,"FrntPg";#N/A,#N/A,FALSE,"IncACvr";#N/A,#N/A,FALSE,"CashACvr";#N/A,#N/A,FALSE,"CapxCvr";#N/A,#N/A,FALSE,"OtherCvr";#N/A,#N/A,FALSE,"RevCvr";#N/A,#N/A,FALSE,"ExpCvr";#N/A,#N/A,FALSE,"BegCvr"}</definedName>
    <definedName name="wrn.Covers._1_1" localSheetId="5" hidden="1">{#N/A,#N/A,FALSE,"FrntPg";#N/A,#N/A,FALSE,"IncACvr";#N/A,#N/A,FALSE,"CashACvr";#N/A,#N/A,FALSE,"CapxCvr";#N/A,#N/A,FALSE,"OtherCvr";#N/A,#N/A,FALSE,"RevCvr";#N/A,#N/A,FALSE,"ExpCvr";#N/A,#N/A,FALSE,"BegCvr"}</definedName>
    <definedName name="wrn.Covers._1_1" localSheetId="6" hidden="1">{#N/A,#N/A,FALSE,"FrntPg";#N/A,#N/A,FALSE,"IncACvr";#N/A,#N/A,FALSE,"CashACvr";#N/A,#N/A,FALSE,"CapxCvr";#N/A,#N/A,FALSE,"OtherCvr";#N/A,#N/A,FALSE,"RevCvr";#N/A,#N/A,FALSE,"ExpCvr";#N/A,#N/A,FALSE,"BegCvr"}</definedName>
    <definedName name="wrn.Covers._1_1" hidden="1">{#N/A,#N/A,FALSE,"FrntPg";#N/A,#N/A,FALSE,"IncACvr";#N/A,#N/A,FALSE,"CashACvr";#N/A,#N/A,FALSE,"CapxCvr";#N/A,#N/A,FALSE,"OtherCvr";#N/A,#N/A,FALSE,"RevCvr";#N/A,#N/A,FALSE,"ExpCvr";#N/A,#N/A,FALSE,"BegCvr"}</definedName>
    <definedName name="wrn.Covers._1_1_1" localSheetId="5" hidden="1">{#N/A,#N/A,FALSE,"FrntPg";#N/A,#N/A,FALSE,"IncACvr";#N/A,#N/A,FALSE,"CashACvr";#N/A,#N/A,FALSE,"CapxCvr";#N/A,#N/A,FALSE,"OtherCvr";#N/A,#N/A,FALSE,"RevCvr";#N/A,#N/A,FALSE,"ExpCvr";#N/A,#N/A,FALSE,"BegCvr"}</definedName>
    <definedName name="wrn.Covers._1_1_1" localSheetId="6" hidden="1">{#N/A,#N/A,FALSE,"FrntPg";#N/A,#N/A,FALSE,"IncACvr";#N/A,#N/A,FALSE,"CashACvr";#N/A,#N/A,FALSE,"CapxCvr";#N/A,#N/A,FALSE,"OtherCvr";#N/A,#N/A,FALSE,"RevCvr";#N/A,#N/A,FALSE,"ExpCvr";#N/A,#N/A,FALSE,"BegCvr"}</definedName>
    <definedName name="wrn.Covers._1_1_1" hidden="1">{#N/A,#N/A,FALSE,"FrntPg";#N/A,#N/A,FALSE,"IncACvr";#N/A,#N/A,FALSE,"CashACvr";#N/A,#N/A,FALSE,"CapxCvr";#N/A,#N/A,FALSE,"OtherCvr";#N/A,#N/A,FALSE,"RevCvr";#N/A,#N/A,FALSE,"ExpCvr";#N/A,#N/A,FALSE,"BegCvr"}</definedName>
    <definedName name="wrn.Covers._1_2" localSheetId="5" hidden="1">{#N/A,#N/A,FALSE,"FrntPg";#N/A,#N/A,FALSE,"IncACvr";#N/A,#N/A,FALSE,"CashACvr";#N/A,#N/A,FALSE,"CapxCvr";#N/A,#N/A,FALSE,"OtherCvr";#N/A,#N/A,FALSE,"RevCvr";#N/A,#N/A,FALSE,"ExpCvr";#N/A,#N/A,FALSE,"BegCvr"}</definedName>
    <definedName name="wrn.Covers._1_2" localSheetId="6" hidden="1">{#N/A,#N/A,FALSE,"FrntPg";#N/A,#N/A,FALSE,"IncACvr";#N/A,#N/A,FALSE,"CashACvr";#N/A,#N/A,FALSE,"CapxCvr";#N/A,#N/A,FALSE,"OtherCvr";#N/A,#N/A,FALSE,"RevCvr";#N/A,#N/A,FALSE,"ExpCvr";#N/A,#N/A,FALSE,"BegCvr"}</definedName>
    <definedName name="wrn.Covers._1_2" hidden="1">{#N/A,#N/A,FALSE,"FrntPg";#N/A,#N/A,FALSE,"IncACvr";#N/A,#N/A,FALSE,"CashACvr";#N/A,#N/A,FALSE,"CapxCvr";#N/A,#N/A,FALSE,"OtherCvr";#N/A,#N/A,FALSE,"RevCvr";#N/A,#N/A,FALSE,"ExpCvr";#N/A,#N/A,FALSE,"BegCvr"}</definedName>
    <definedName name="wrn.Covers._2" localSheetId="5" hidden="1">{#N/A,#N/A,FALSE,"FrntPg";#N/A,#N/A,FALSE,"IncACvr";#N/A,#N/A,FALSE,"CashACvr";#N/A,#N/A,FALSE,"CapxCvr";#N/A,#N/A,FALSE,"OtherCvr";#N/A,#N/A,FALSE,"RevCvr";#N/A,#N/A,FALSE,"ExpCvr";#N/A,#N/A,FALSE,"BegCvr"}</definedName>
    <definedName name="wrn.Covers._2" localSheetId="6" hidden="1">{#N/A,#N/A,FALSE,"FrntPg";#N/A,#N/A,FALSE,"IncACvr";#N/A,#N/A,FALSE,"CashACvr";#N/A,#N/A,FALSE,"CapxCvr";#N/A,#N/A,FALSE,"OtherCvr";#N/A,#N/A,FALSE,"RevCvr";#N/A,#N/A,FALSE,"ExpCvr";#N/A,#N/A,FALSE,"BegCvr"}</definedName>
    <definedName name="wrn.Covers._2" hidden="1">{#N/A,#N/A,FALSE,"FrntPg";#N/A,#N/A,FALSE,"IncACvr";#N/A,#N/A,FALSE,"CashACvr";#N/A,#N/A,FALSE,"CapxCvr";#N/A,#N/A,FALSE,"OtherCvr";#N/A,#N/A,FALSE,"RevCvr";#N/A,#N/A,FALSE,"ExpCvr";#N/A,#N/A,FALSE,"BegCvr"}</definedName>
    <definedName name="wrn.Covers._2_1" localSheetId="5" hidden="1">{#N/A,#N/A,FALSE,"FrntPg";#N/A,#N/A,FALSE,"IncACvr";#N/A,#N/A,FALSE,"CashACvr";#N/A,#N/A,FALSE,"CapxCvr";#N/A,#N/A,FALSE,"OtherCvr";#N/A,#N/A,FALSE,"RevCvr";#N/A,#N/A,FALSE,"ExpCvr";#N/A,#N/A,FALSE,"BegCvr"}</definedName>
    <definedName name="wrn.Covers._2_1" localSheetId="6" hidden="1">{#N/A,#N/A,FALSE,"FrntPg";#N/A,#N/A,FALSE,"IncACvr";#N/A,#N/A,FALSE,"CashACvr";#N/A,#N/A,FALSE,"CapxCvr";#N/A,#N/A,FALSE,"OtherCvr";#N/A,#N/A,FALSE,"RevCvr";#N/A,#N/A,FALSE,"ExpCvr";#N/A,#N/A,FALSE,"BegCvr"}</definedName>
    <definedName name="wrn.Covers._2_1" hidden="1">{#N/A,#N/A,FALSE,"FrntPg";#N/A,#N/A,FALSE,"IncACvr";#N/A,#N/A,FALSE,"CashACvr";#N/A,#N/A,FALSE,"CapxCvr";#N/A,#N/A,FALSE,"OtherCvr";#N/A,#N/A,FALSE,"RevCvr";#N/A,#N/A,FALSE,"ExpCvr";#N/A,#N/A,FALSE,"BegCvr"}</definedName>
    <definedName name="wrn.Covers._2_1_1" localSheetId="5" hidden="1">{#N/A,#N/A,FALSE,"FrntPg";#N/A,#N/A,FALSE,"IncACvr";#N/A,#N/A,FALSE,"CashACvr";#N/A,#N/A,FALSE,"CapxCvr";#N/A,#N/A,FALSE,"OtherCvr";#N/A,#N/A,FALSE,"RevCvr";#N/A,#N/A,FALSE,"ExpCvr";#N/A,#N/A,FALSE,"BegCvr"}</definedName>
    <definedName name="wrn.Covers._2_1_1" localSheetId="6" hidden="1">{#N/A,#N/A,FALSE,"FrntPg";#N/A,#N/A,FALSE,"IncACvr";#N/A,#N/A,FALSE,"CashACvr";#N/A,#N/A,FALSE,"CapxCvr";#N/A,#N/A,FALSE,"OtherCvr";#N/A,#N/A,FALSE,"RevCvr";#N/A,#N/A,FALSE,"ExpCvr";#N/A,#N/A,FALSE,"BegCvr"}</definedName>
    <definedName name="wrn.Covers._2_1_1" hidden="1">{#N/A,#N/A,FALSE,"FrntPg";#N/A,#N/A,FALSE,"IncACvr";#N/A,#N/A,FALSE,"CashACvr";#N/A,#N/A,FALSE,"CapxCvr";#N/A,#N/A,FALSE,"OtherCvr";#N/A,#N/A,FALSE,"RevCvr";#N/A,#N/A,FALSE,"ExpCvr";#N/A,#N/A,FALSE,"BegCvr"}</definedName>
    <definedName name="wrn.Covers._2_2" localSheetId="5" hidden="1">{#N/A,#N/A,FALSE,"FrntPg";#N/A,#N/A,FALSE,"IncACvr";#N/A,#N/A,FALSE,"CashACvr";#N/A,#N/A,FALSE,"CapxCvr";#N/A,#N/A,FALSE,"OtherCvr";#N/A,#N/A,FALSE,"RevCvr";#N/A,#N/A,FALSE,"ExpCvr";#N/A,#N/A,FALSE,"BegCvr"}</definedName>
    <definedName name="wrn.Covers._2_2" localSheetId="6" hidden="1">{#N/A,#N/A,FALSE,"FrntPg";#N/A,#N/A,FALSE,"IncACvr";#N/A,#N/A,FALSE,"CashACvr";#N/A,#N/A,FALSE,"CapxCvr";#N/A,#N/A,FALSE,"OtherCvr";#N/A,#N/A,FALSE,"RevCvr";#N/A,#N/A,FALSE,"ExpCvr";#N/A,#N/A,FALSE,"BegCvr"}</definedName>
    <definedName name="wrn.Covers._2_2" hidden="1">{#N/A,#N/A,FALSE,"FrntPg";#N/A,#N/A,FALSE,"IncACvr";#N/A,#N/A,FALSE,"CashACvr";#N/A,#N/A,FALSE,"CapxCvr";#N/A,#N/A,FALSE,"OtherCvr";#N/A,#N/A,FALSE,"RevCvr";#N/A,#N/A,FALSE,"ExpCvr";#N/A,#N/A,FALSE,"BegCvr"}</definedName>
    <definedName name="wrn.Covers._3" localSheetId="5" hidden="1">{#N/A,#N/A,FALSE,"FrntPg";#N/A,#N/A,FALSE,"IncACvr";#N/A,#N/A,FALSE,"CashACvr";#N/A,#N/A,FALSE,"CapxCvr";#N/A,#N/A,FALSE,"OtherCvr";#N/A,#N/A,FALSE,"RevCvr";#N/A,#N/A,FALSE,"ExpCvr";#N/A,#N/A,FALSE,"BegCvr"}</definedName>
    <definedName name="wrn.Covers._3" localSheetId="6" hidden="1">{#N/A,#N/A,FALSE,"FrntPg";#N/A,#N/A,FALSE,"IncACvr";#N/A,#N/A,FALSE,"CashACvr";#N/A,#N/A,FALSE,"CapxCvr";#N/A,#N/A,FALSE,"OtherCvr";#N/A,#N/A,FALSE,"RevCvr";#N/A,#N/A,FALSE,"ExpCvr";#N/A,#N/A,FALSE,"BegCvr"}</definedName>
    <definedName name="wrn.Covers._3" hidden="1">{#N/A,#N/A,FALSE,"FrntPg";#N/A,#N/A,FALSE,"IncACvr";#N/A,#N/A,FALSE,"CashACvr";#N/A,#N/A,FALSE,"CapxCvr";#N/A,#N/A,FALSE,"OtherCvr";#N/A,#N/A,FALSE,"RevCvr";#N/A,#N/A,FALSE,"ExpCvr";#N/A,#N/A,FALSE,"BegCvr"}</definedName>
    <definedName name="wrn.Covers._3_1" localSheetId="5" hidden="1">{#N/A,#N/A,FALSE,"FrntPg";#N/A,#N/A,FALSE,"IncACvr";#N/A,#N/A,FALSE,"CashACvr";#N/A,#N/A,FALSE,"CapxCvr";#N/A,#N/A,FALSE,"OtherCvr";#N/A,#N/A,FALSE,"RevCvr";#N/A,#N/A,FALSE,"ExpCvr";#N/A,#N/A,FALSE,"BegCvr"}</definedName>
    <definedName name="wrn.Covers._3_1" localSheetId="6" hidden="1">{#N/A,#N/A,FALSE,"FrntPg";#N/A,#N/A,FALSE,"IncACvr";#N/A,#N/A,FALSE,"CashACvr";#N/A,#N/A,FALSE,"CapxCvr";#N/A,#N/A,FALSE,"OtherCvr";#N/A,#N/A,FALSE,"RevCvr";#N/A,#N/A,FALSE,"ExpCvr";#N/A,#N/A,FALSE,"BegCvr"}</definedName>
    <definedName name="wrn.Covers._3_1" hidden="1">{#N/A,#N/A,FALSE,"FrntPg";#N/A,#N/A,FALSE,"IncACvr";#N/A,#N/A,FALSE,"CashACvr";#N/A,#N/A,FALSE,"CapxCvr";#N/A,#N/A,FALSE,"OtherCvr";#N/A,#N/A,FALSE,"RevCvr";#N/A,#N/A,FALSE,"ExpCvr";#N/A,#N/A,FALSE,"BegCvr"}</definedName>
    <definedName name="wrn.Covers._4" localSheetId="5" hidden="1">{#N/A,#N/A,FALSE,"FrntPg";#N/A,#N/A,FALSE,"IncACvr";#N/A,#N/A,FALSE,"CashACvr";#N/A,#N/A,FALSE,"CapxCvr";#N/A,#N/A,FALSE,"OtherCvr";#N/A,#N/A,FALSE,"RevCvr";#N/A,#N/A,FALSE,"ExpCvr";#N/A,#N/A,FALSE,"BegCvr"}</definedName>
    <definedName name="wrn.Covers._4" localSheetId="6" hidden="1">{#N/A,#N/A,FALSE,"FrntPg";#N/A,#N/A,FALSE,"IncACvr";#N/A,#N/A,FALSE,"CashACvr";#N/A,#N/A,FALSE,"CapxCvr";#N/A,#N/A,FALSE,"OtherCvr";#N/A,#N/A,FALSE,"RevCvr";#N/A,#N/A,FALSE,"ExpCvr";#N/A,#N/A,FALSE,"BegCvr"}</definedName>
    <definedName name="wrn.Covers._4" hidden="1">{#N/A,#N/A,FALSE,"FrntPg";#N/A,#N/A,FALSE,"IncACvr";#N/A,#N/A,FALSE,"CashACvr";#N/A,#N/A,FALSE,"CapxCvr";#N/A,#N/A,FALSE,"OtherCvr";#N/A,#N/A,FALSE,"RevCvr";#N/A,#N/A,FALSE,"ExpCvr";#N/A,#N/A,FALSE,"BegCvr"}</definedName>
    <definedName name="wrn.DCF." localSheetId="5" hidden="1">{"DCF1",#N/A,FALSE,"SIERRA DCF";"MATRIX1",#N/A,FALSE,"SIERRA DCF"}</definedName>
    <definedName name="wrn.DCF." localSheetId="6" hidden="1">{"DCF1",#N/A,FALSE,"SIERRA DCF";"MATRIX1",#N/A,FALSE,"SIERRA DCF"}</definedName>
    <definedName name="wrn.DCF." hidden="1">{"DCF1",#N/A,FALSE,"SIERRA DCF";"MATRIX1",#N/A,FALSE,"SIERRA DCF"}</definedName>
    <definedName name="wrn.Demographic._.report.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1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1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1_1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1_1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1_1_1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1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1_2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1_2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1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2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2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2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2_1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2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2_1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2_1_1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2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2_2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2_2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2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3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3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3_1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3_1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4" localSheetId="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4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4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tail._.anual._.by._.company." localSheetId="5" hidden="1">{"Iquisa anual",#N/A,FALSE,"Iquisa";"Sisa anual",#N/A,FALSE,"Sisa";"Policyd anual",#N/A,FALSE,"Policyd";"Rex anual",#N/A,FALSE,"Rex";"Mspk anual",#N/A,FALSE,"MSPK";"Crysel anual",#N/A,FALSE,"Crysel";"Dasa anual",#N/A,FALSE,"Dasa";"San marcos anual",#N/A,FALSE,"SanMarcos";"areoinmob anual",#N/A,FALSE,"Aero_Inmob";"Holding anual",#N/A,FALSE,"Holding";"Corporativo anual",#N/A,FALSE,"Corporativo"}</definedName>
    <definedName name="wrn.Detail._.anual._.by._.company." localSheetId="6" hidden="1">{"Iquisa anual",#N/A,FALSE,"Iquisa";"Sisa anual",#N/A,FALSE,"Sisa";"Policyd anual",#N/A,FALSE,"Policyd";"Rex anual",#N/A,FALSE,"Rex";"Mspk anual",#N/A,FALSE,"MSPK";"Crysel anual",#N/A,FALSE,"Crysel";"Dasa anual",#N/A,FALSE,"Dasa";"San marcos anual",#N/A,FALSE,"SanMarcos";"areoinmob anual",#N/A,FALSE,"Aero_Inmob";"Holding anual",#N/A,FALSE,"Holding";"Corporativo anual",#N/A,FALSE,"Corporativo"}</definedName>
    <definedName name="wrn.Detail._.anual._.by._.company." hidden="1">{"Iquisa anual",#N/A,FALSE,"Iquisa";"Sisa anual",#N/A,FALSE,"Sisa";"Policyd anual",#N/A,FALSE,"Policyd";"Rex anual",#N/A,FALSE,"Rex";"Mspk anual",#N/A,FALSE,"MSPK";"Crysel anual",#N/A,FALSE,"Crysel";"Dasa anual",#N/A,FALSE,"Dasa";"San marcos anual",#N/A,FALSE,"SanMarcos";"areoinmob anual",#N/A,FALSE,"Aero_Inmob";"Holding anual",#N/A,FALSE,"Holding";"Corporativo anual",#N/A,FALSE,"Corporativo"}</definedName>
    <definedName name="wrn.document." localSheetId="5" hidden="1">{"consolidated",#N/A,FALSE,"Sheet1";"cms",#N/A,FALSE,"Sheet1";"fse",#N/A,FALSE,"Sheet1"}</definedName>
    <definedName name="wrn.document." localSheetId="6" hidden="1">{"consolidated",#N/A,FALSE,"Sheet1";"cms",#N/A,FALSE,"Sheet1";"fse",#N/A,FALSE,"Sheet1"}</definedName>
    <definedName name="wrn.document." hidden="1">{"consolidated",#N/A,FALSE,"Sheet1";"cms",#N/A,FALSE,"Sheet1";"fse",#N/A,FALSE,"Sheet1"}</definedName>
    <definedName name="wrn.Economic._.Value._.Added._.Analysis." localSheetId="5" hidden="1">{"EVA",#N/A,FALSE,"EVA";"WACC",#N/A,FALSE,"WACC"}</definedName>
    <definedName name="wrn.Economic._.Value._.Added._.Analysis." localSheetId="6" hidden="1">{"EVA",#N/A,FALSE,"EVA";"WACC",#N/A,FALSE,"WACC"}</definedName>
    <definedName name="wrn.Economic._.Value._.Added._.Analysis." hidden="1">{"EVA",#N/A,FALSE,"EVA";"WACC",#N/A,FALSE,"WACC"}</definedName>
    <definedName name="wrn.Europe." localSheetId="5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localSheetId="6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FB" localSheetId="5" hidden="1">{"FCB_ALL",#N/A,FALSE,"FCB"}</definedName>
    <definedName name="wrn.FB" localSheetId="6" hidden="1">{"FCB_ALL",#N/A,FALSE,"FCB"}</definedName>
    <definedName name="wrn.FB" hidden="1">{"FCB_ALL",#N/A,FALSE,"FCB"}</definedName>
    <definedName name="wrn.FCB." localSheetId="5" hidden="1">{"FCB_ALL",#N/A,FALSE,"FCB"}</definedName>
    <definedName name="wrn.FCB." localSheetId="6" hidden="1">{"FCB_ALL",#N/A,FALSE,"FCB"}</definedName>
    <definedName name="wrn.FCB." hidden="1">{"FCB_ALL",#N/A,FALSE,"FCB"}</definedName>
    <definedName name="wrn.Financial._.Forecast." localSheetId="5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" localSheetId="6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1" localSheetId="5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1" localSheetId="6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1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1_1" localSheetId="5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1_1" localSheetId="6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1_1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1_1_1" localSheetId="5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1_1_1" localSheetId="6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1_1_1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1_2" localSheetId="5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1_2" localSheetId="6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1_2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2" localSheetId="5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2" localSheetId="6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2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2_1" localSheetId="5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2_1" localSheetId="6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2_1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2_1_1" localSheetId="5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2_1_1" localSheetId="6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2_1_1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2_2" localSheetId="5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2_2" localSheetId="6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2_2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3" localSheetId="5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3" localSheetId="6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3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3_1" localSheetId="5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3_1" localSheetId="6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3_1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4" localSheetId="5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4" localSheetId="6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4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lash." localSheetId="5" hidden="1">{#N/A,#N/A,FALSE,"JKFLASH2";#N/A,#N/A,FALSE,"Page 4";#N/A,#N/A,FALSE,"page 3"}</definedName>
    <definedName name="wrn.Flash." localSheetId="6" hidden="1">{#N/A,#N/A,FALSE,"JKFLASH2";#N/A,#N/A,FALSE,"Page 4";#N/A,#N/A,FALSE,"page 3"}</definedName>
    <definedName name="wrn.Flash." hidden="1">{#N/A,#N/A,FALSE,"JKFLASH2";#N/A,#N/A,FALSE,"Page 4";#N/A,#N/A,FALSE,"page 3"}</definedName>
    <definedName name="wrn.Full." localSheetId="5" hidden="1">{#N/A,#N/A,FALSE,"Cover";#N/A,#N/A,FALSE,"Pres";#N/A,#N/A,FALSE,"Outputs";#N/A,#N/A,FALSE,"Deal Inputs (In)";#N/A,#N/A,FALSE,"Bidder (In)";#N/A,#N/A,FALSE,"Target (In)";#N/A,#N/A,FALSE,"PL";#N/A,#N/A,FALSE,"EV";#N/A,#N/A,FALSE,"Options (In)";#N/A,#N/A,FALSE,"Disposal (In)";#N/A,#N/A,FALSE,"Check (In)"}</definedName>
    <definedName name="wrn.Full." localSheetId="6" hidden="1">{#N/A,#N/A,FALSE,"Cover";#N/A,#N/A,FALSE,"Pres";#N/A,#N/A,FALSE,"Outputs";#N/A,#N/A,FALSE,"Deal Inputs (In)";#N/A,#N/A,FALSE,"Bidder (In)";#N/A,#N/A,FALSE,"Target (In)";#N/A,#N/A,FALSE,"PL";#N/A,#N/A,FALSE,"EV";#N/A,#N/A,FALSE,"Options (In)";#N/A,#N/A,FALSE,"Disposal (In)";#N/A,#N/A,FALSE,"Check (In)"}</definedName>
    <definedName name="wrn.Full." hidden="1">{#N/A,#N/A,FALSE,"Cover";#N/A,#N/A,FALSE,"Pres";#N/A,#N/A,FALSE,"Outputs";#N/A,#N/A,FALSE,"Deal Inputs (In)";#N/A,#N/A,FALSE,"Bidder (In)";#N/A,#N/A,FALSE,"Target (In)";#N/A,#N/A,FALSE,"PL";#N/A,#N/A,FALSE,"EV";#N/A,#N/A,FALSE,"Options (In)";#N/A,#N/A,FALSE,"Disposal (In)";#N/A,#N/A,FALSE,"Check (In)"}</definedName>
    <definedName name="wrn.Full._.Model." localSheetId="5" hidden="1">{#N/A,#N/A,TRUE,"Cover sheet";#N/A,#N/A,TRUE,"DCF analysis";#N/A,#N/A,TRUE,"WACC calculation"}</definedName>
    <definedName name="wrn.Full._.Model." localSheetId="6" hidden="1">{#N/A,#N/A,TRUE,"Cover sheet";#N/A,#N/A,TRUE,"DCF analysis";#N/A,#N/A,TRUE,"WACC calculation"}</definedName>
    <definedName name="wrn.Full._.Model." hidden="1">{#N/A,#N/A,TRUE,"Cover sheet";#N/A,#N/A,TRUE,"DCF analysis";#N/A,#N/A,TRUE,"WACC calculation"}</definedName>
    <definedName name="wrn.Full._.Report." localSheetId="5" hidden="1">{"Assumptions",#N/A,FALSE,"Sheet1";"Main Report",#N/A,FALSE,"Sheet1";"Results",#N/A,FALSE,"Sheet1";"Advances",#N/A,FALSE,"Sheet1"}</definedName>
    <definedName name="wrn.Full._.Report." localSheetId="6" hidden="1">{"Assumptions",#N/A,FALSE,"Sheet1";"Main Report",#N/A,FALSE,"Sheet1";"Results",#N/A,FALSE,"Sheet1";"Advances",#N/A,FALSE,"Sheet1"}</definedName>
    <definedName name="wrn.Full._.Report." hidden="1">{"Assumptions",#N/A,FALSE,"Sheet1";"Main Report",#N/A,FALSE,"Sheet1";"Results",#N/A,FALSE,"Sheet1";"Advances",#N/A,FALSE,"Sheet1"}</definedName>
    <definedName name="wrn.input._.and._.output." localSheetId="5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output." localSheetId="6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merger." localSheetId="5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" localSheetId="6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offering." localSheetId="5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wrn.offering." localSheetId="6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wrn.offering.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wrn.OUTPUT." localSheetId="5" hidden="1">{"DCF","UPSIDE CASE",FALSE,"Sheet1";"DCF","BASE CASE",FALSE,"Sheet1";"DCF","DOWNSIDE CASE",FALSE,"Sheet1"}</definedName>
    <definedName name="wrn.OUTPUT." localSheetId="6" hidden="1">{"DCF","UPSIDE CASE",FALSE,"Sheet1";"DCF","BASE CASE",FALSE,"Sheet1";"DCF","DOWNSIDE CASE",FALSE,"Sheet1"}</definedName>
    <definedName name="wrn.OUTPUT." hidden="1">{"DCF","UPSIDE CASE",FALSE,"Sheet1";"DCF","BASE CASE",FALSE,"Sheet1";"DCF","DOWNSIDE CASE",FALSE,"Sheet1"}</definedName>
    <definedName name="wrn.OUTPUT._1" localSheetId="5" hidden="1">{"DCF","UPSIDE CASE",FALSE,"Sheet1";"DCF","BASE CASE",FALSE,"Sheet1";"DCF","DOWNSIDE CASE",FALSE,"Sheet1"}</definedName>
    <definedName name="wrn.OUTPUT._1" localSheetId="6" hidden="1">{"DCF","UPSIDE CASE",FALSE,"Sheet1";"DCF","BASE CASE",FALSE,"Sheet1";"DCF","DOWNSIDE CASE",FALSE,"Sheet1"}</definedName>
    <definedName name="wrn.OUTPUT._1" hidden="1">{"DCF","UPSIDE CASE",FALSE,"Sheet1";"DCF","BASE CASE",FALSE,"Sheet1";"DCF","DOWNSIDE CASE",FALSE,"Sheet1"}</definedName>
    <definedName name="wrn.OUTPUT._1_1" localSheetId="5" hidden="1">{"DCF","UPSIDE CASE",FALSE,"Sheet1";"DCF","BASE CASE",FALSE,"Sheet1";"DCF","DOWNSIDE CASE",FALSE,"Sheet1"}</definedName>
    <definedName name="wrn.OUTPUT._1_1" localSheetId="6" hidden="1">{"DCF","UPSIDE CASE",FALSE,"Sheet1";"DCF","BASE CASE",FALSE,"Sheet1";"DCF","DOWNSIDE CASE",FALSE,"Sheet1"}</definedName>
    <definedName name="wrn.OUTPUT._1_1" hidden="1">{"DCF","UPSIDE CASE",FALSE,"Sheet1";"DCF","BASE CASE",FALSE,"Sheet1";"DCF","DOWNSIDE CASE",FALSE,"Sheet1"}</definedName>
    <definedName name="wrn.OUTPUT._1_2" localSheetId="5" hidden="1">{"DCF","UPSIDE CASE",FALSE,"Sheet1";"DCF","BASE CASE",FALSE,"Sheet1";"DCF","DOWNSIDE CASE",FALSE,"Sheet1"}</definedName>
    <definedName name="wrn.OUTPUT._1_2" localSheetId="6" hidden="1">{"DCF","UPSIDE CASE",FALSE,"Sheet1";"DCF","BASE CASE",FALSE,"Sheet1";"DCF","DOWNSIDE CASE",FALSE,"Sheet1"}</definedName>
    <definedName name="wrn.OUTPUT._1_2" hidden="1">{"DCF","UPSIDE CASE",FALSE,"Sheet1";"DCF","BASE CASE",FALSE,"Sheet1";"DCF","DOWNSIDE CASE",FALSE,"Sheet1"}</definedName>
    <definedName name="wrn.OUTPUT._2" localSheetId="5" hidden="1">{"DCF","UPSIDE CASE",FALSE,"Sheet1";"DCF","BASE CASE",FALSE,"Sheet1";"DCF","DOWNSIDE CASE",FALSE,"Sheet1"}</definedName>
    <definedName name="wrn.OUTPUT._2" localSheetId="6" hidden="1">{"DCF","UPSIDE CASE",FALSE,"Sheet1";"DCF","BASE CASE",FALSE,"Sheet1";"DCF","DOWNSIDE CASE",FALSE,"Sheet1"}</definedName>
    <definedName name="wrn.OUTPUT._2" hidden="1">{"DCF","UPSIDE CASE",FALSE,"Sheet1";"DCF","BASE CASE",FALSE,"Sheet1";"DCF","DOWNSIDE CASE",FALSE,"Sheet1"}</definedName>
    <definedName name="wrn.OUTPUT._3" localSheetId="5" hidden="1">{"DCF","UPSIDE CASE",FALSE,"Sheet1";"DCF","BASE CASE",FALSE,"Sheet1";"DCF","DOWNSIDE CASE",FALSE,"Sheet1"}</definedName>
    <definedName name="wrn.OUTPUT._3" localSheetId="6" hidden="1">{"DCF","UPSIDE CASE",FALSE,"Sheet1";"DCF","BASE CASE",FALSE,"Sheet1";"DCF","DOWNSIDE CASE",FALSE,"Sheet1"}</definedName>
    <definedName name="wrn.OUTPUT._3" hidden="1">{"DCF","UPSIDE CASE",FALSE,"Sheet1";"DCF","BASE CASE",FALSE,"Sheet1";"DCF","DOWNSIDE CASE",FALSE,"Sheet1"}</definedName>
    <definedName name="wrn.Placer._.Dome." localSheetId="5" hidden="1">{"Placer Dome Mines",#N/A,FALSE,"PDG";"Placer Dome Summary",#N/A,FALSE,"PDG"}</definedName>
    <definedName name="wrn.Placer._.Dome." localSheetId="6" hidden="1">{"Placer Dome Mines",#N/A,FALSE,"PDG";"Placer Dome Summary",#N/A,FALSE,"PDG"}</definedName>
    <definedName name="wrn.Placer._.Dome." hidden="1">{"Placer Dome Mines",#N/A,FALSE,"PDG";"Placer Dome Summary",#N/A,FALSE,"PDG"}</definedName>
    <definedName name="wrn.Presentation." localSheetId="5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rn.Presentation." localSheetId="6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rn.Presentation.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rn.presentation2" localSheetId="5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rn.presentation2" localSheetId="6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rn.presentation2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rn.print" localSheetId="5" hidden="1">{#N/A,#N/A,FALSE,"Trading-Mult ";#N/A,#N/A,FALSE,"Trading-Cap";#N/A,#N/A,FALSE,"Trading-Inc";#N/A,#N/A,FALSE,"Cash Flow";#N/A,#N/A,FALSE,"M&amp;A info"}</definedName>
    <definedName name="wrn.print" localSheetId="6" hidden="1">{#N/A,#N/A,FALSE,"Trading-Mult ";#N/A,#N/A,FALSE,"Trading-Cap";#N/A,#N/A,FALSE,"Trading-Inc";#N/A,#N/A,FALSE,"Cash Flow";#N/A,#N/A,FALSE,"M&amp;A info"}</definedName>
    <definedName name="wrn.print" hidden="1">{#N/A,#N/A,FALSE,"Trading-Mult ";#N/A,#N/A,FALSE,"Trading-Cap";#N/A,#N/A,FALSE,"Trading-Inc";#N/A,#N/A,FALSE,"Cash Flow";#N/A,#N/A,FALSE,"M&amp;A info"}</definedName>
    <definedName name="wrn.Print." localSheetId="5" hidden="1">{#N/A,#N/A,FALSE,"Trading-Mult ";#N/A,#N/A,FALSE,"Trading-Cap";#N/A,#N/A,FALSE,"Trading-Inc";#N/A,#N/A,FALSE,"Cash Flow";#N/A,#N/A,FALSE,"M&amp;A info"}</definedName>
    <definedName name="wrn.Print." localSheetId="6" hidden="1">{#N/A,#N/A,FALSE,"Trading-Mult ";#N/A,#N/A,FALSE,"Trading-Cap";#N/A,#N/A,FALSE,"Trading-Inc";#N/A,#N/A,FALSE,"Cash Flow";#N/A,#N/A,FALSE,"M&amp;A info"}</definedName>
    <definedName name="wrn.Print." hidden="1">{#N/A,#N/A,FALSE,"Trading-Mult ";#N/A,#N/A,FALSE,"Trading-Cap";#N/A,#N/A,FALSE,"Trading-Inc";#N/A,#N/A,FALSE,"Cash Flow";#N/A,#N/A,FALSE,"M&amp;A info"}</definedName>
    <definedName name="wrn.PrintCap." localSheetId="5" hidden="1">{"page1",#N/A,FALSE,"Capital";"page2",#N/A,FALSE,"Capital";"page3",#N/A,FALSE,"Capital"}</definedName>
    <definedName name="wrn.PrintCap." localSheetId="6" hidden="1">{"page1",#N/A,FALSE,"Capital";"page2",#N/A,FALSE,"Capital";"page3",#N/A,FALSE,"Capital"}</definedName>
    <definedName name="wrn.PrintCap." hidden="1">{"page1",#N/A,FALSE,"Capital";"page2",#N/A,FALSE,"Capital";"page3",#N/A,FALSE,"Capital"}</definedName>
    <definedName name="wrn.SBEI." localSheetId="5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" localSheetId="6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m_Bus_Char." localSheetId="5" hidden="1">{#N/A,#N/A,TRUE,"Self_Emp_inv";#N/A,#N/A,TRUE,"Self_Emp_bus";#N/A,#N/A,TRUE,"Employees";#N/A,#N/A,TRUE,"Empl_Char";#N/A,#N/A,TRUE,"Empl_Age";#N/A,#N/A,TRUE,"Empl_Educ";#N/A,#N/A,TRUE,"Empl_Loc";#N/A,#N/A,TRUE,"Empl_Fin_Asst";#N/A,#N/A,TRUE,"Empl_Pens";#N/A,#N/A,TRUE,"Empl_Health"}</definedName>
    <definedName name="wrn.Sm_Bus_Char." localSheetId="6" hidden="1">{#N/A,#N/A,TRUE,"Self_Emp_inv";#N/A,#N/A,TRUE,"Self_Emp_bus";#N/A,#N/A,TRUE,"Employees";#N/A,#N/A,TRUE,"Empl_Char";#N/A,#N/A,TRUE,"Empl_Age";#N/A,#N/A,TRUE,"Empl_Educ";#N/A,#N/A,TRUE,"Empl_Loc";#N/A,#N/A,TRUE,"Empl_Fin_Asst";#N/A,#N/A,TRUE,"Empl_Pens";#N/A,#N/A,TRUE,"Empl_Health"}</definedName>
    <definedName name="wrn.Sm_Bus_Char." hidden="1">{#N/A,#N/A,TRUE,"Self_Emp_inv";#N/A,#N/A,TRUE,"Self_Emp_bus";#N/A,#N/A,TRUE,"Employees";#N/A,#N/A,TRUE,"Empl_Char";#N/A,#N/A,TRUE,"Empl_Age";#N/A,#N/A,TRUE,"Empl_Educ";#N/A,#N/A,TRUE,"Empl_Loc";#N/A,#N/A,TRUE,"Empl_Fin_Asst";#N/A,#N/A,TRUE,"Empl_Pens";#N/A,#N/A,TRUE,"Empl_Health"}</definedName>
    <definedName name="wrn.STAND_ALONE_BOTH." localSheetId="5" hidden="1">{"FCB_ALL",#N/A,FALSE,"FCB";"GREY_ALL",#N/A,FALSE,"GREY"}</definedName>
    <definedName name="wrn.STAND_ALONE_BOTH." localSheetId="6" hidden="1">{"FCB_ALL",#N/A,FALSE,"FCB";"GREY_ALL",#N/A,FALSE,"GREY"}</definedName>
    <definedName name="wrn.STAND_ALONE_BOTH." hidden="1">{"FCB_ALL",#N/A,FALSE,"FCB";"GREY_ALL",#N/A,FALSE,"GREY"}</definedName>
    <definedName name="wrn.Summary." localSheetId="5" hidden="1">{#N/A,#N/A,FALSE,"Inputs - Prices &amp; Forecasts"}</definedName>
    <definedName name="wrn.Summary." localSheetId="6" hidden="1">{#N/A,#N/A,FALSE,"Inputs - Prices &amp; Forecasts"}</definedName>
    <definedName name="wrn.Summary." hidden="1">{#N/A,#N/A,FALSE,"Inputs - Prices &amp; Forecasts"}</definedName>
    <definedName name="wrn.Summary._.with._.short._.outputs." localSheetId="5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Summary._.with._.short._.outputs." localSheetId="6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Summary._.with._.short._.outputs.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SUNRISE." localSheetId="5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SUNRISE." localSheetId="6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SUNRISE.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test." localSheetId="5" hidden="1">{"test2",#N/A,TRUE,"Prices"}</definedName>
    <definedName name="wrn.test." localSheetId="6" hidden="1">{"test2",#N/A,TRUE,"Prices"}</definedName>
    <definedName name="wrn.test." hidden="1">{"test2",#N/A,TRUE,"Prices"}</definedName>
    <definedName name="wrn.up." localSheetId="5" hidden="1">{"up stand alones",#N/A,FALSE,"Acquiror"}</definedName>
    <definedName name="wrn.up." localSheetId="6" hidden="1">{"up stand alones",#N/A,FALSE,"Acquiror"}</definedName>
    <definedName name="wrn.up." hidden="1">{"up stand alones",#N/A,FALSE,"Acquiror"}</definedName>
    <definedName name="wrn.zolfo._.package." localSheetId="5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rn.zolfo._.package." localSheetId="6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rn.zolfo._.package.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w_1" localSheetId="5" hidden="1">{"'vert'!$A$1:$T$117"}</definedName>
    <definedName name="ww_1" localSheetId="6" hidden="1">{"'vert'!$A$1:$T$117"}</definedName>
    <definedName name="ww_1" hidden="1">{"'vert'!$A$1:$T$117"}</definedName>
    <definedName name="ww_1_1" localSheetId="5" hidden="1">{"'vert'!$A$1:$T$117"}</definedName>
    <definedName name="ww_1_1" localSheetId="6" hidden="1">{"'vert'!$A$1:$T$117"}</definedName>
    <definedName name="ww_1_1" hidden="1">{"'vert'!$A$1:$T$117"}</definedName>
    <definedName name="ww_1_2" localSheetId="5" hidden="1">{"'vert'!$A$1:$T$117"}</definedName>
    <definedName name="ww_1_2" localSheetId="6" hidden="1">{"'vert'!$A$1:$T$117"}</definedName>
    <definedName name="ww_1_2" hidden="1">{"'vert'!$A$1:$T$117"}</definedName>
    <definedName name="ww_2" localSheetId="5" hidden="1">{"'vert'!$A$1:$T$117"}</definedName>
    <definedName name="ww_2" localSheetId="6" hidden="1">{"'vert'!$A$1:$T$117"}</definedName>
    <definedName name="ww_2" hidden="1">{"'vert'!$A$1:$T$117"}</definedName>
    <definedName name="ww_3" localSheetId="5" hidden="1">{"'vert'!$A$1:$T$117"}</definedName>
    <definedName name="ww_3" localSheetId="6" hidden="1">{"'vert'!$A$1:$T$117"}</definedName>
    <definedName name="ww_3" hidden="1">{"'vert'!$A$1:$T$117"}</definedName>
    <definedName name="wwww" localSheetId="5" hidden="1">{"'vert'!$A$1:$T$117"}</definedName>
    <definedName name="wwww" localSheetId="6" hidden="1">{"'vert'!$A$1:$T$117"}</definedName>
    <definedName name="wwww" hidden="1">{"'vert'!$A$1:$T$117"}</definedName>
    <definedName name="wxp">#REF!</definedName>
    <definedName name="x" localSheetId="5" hidden="1">{#N/A,#N/A,FALSE,"Sheet1"}</definedName>
    <definedName name="x" localSheetId="6" hidden="1">{#N/A,#N/A,FALSE,"Sheet1"}</definedName>
    <definedName name="x" hidden="1">{#N/A,#N/A,FALSE,"Sheet1"}</definedName>
    <definedName name="x1x" localSheetId="5" hidden="1">{"'vert'!$A$1:$T$117"}</definedName>
    <definedName name="x1x" localSheetId="6" hidden="1">{"'vert'!$A$1:$T$117"}</definedName>
    <definedName name="x1x" hidden="1">{"'vert'!$A$1:$T$117"}</definedName>
    <definedName name="xbasdf" localSheetId="5" hidden="1">{"'vert'!$A$1:$T$117"}</definedName>
    <definedName name="xbasdf" localSheetId="6" hidden="1">{"'vert'!$A$1:$T$117"}</definedName>
    <definedName name="xbasdf" hidden="1">{"'vert'!$A$1:$T$117"}</definedName>
    <definedName name="xx" localSheetId="5" hidden="1">{"'vert'!$A$1:$T$117"}</definedName>
    <definedName name="xx" localSheetId="6" hidden="1">{"'vert'!$A$1:$T$117"}</definedName>
    <definedName name="xx" hidden="1">{"'vert'!$A$1:$T$117"}</definedName>
    <definedName name="xxx" localSheetId="5" hidden="1">{"'vert'!$A$1:$T$117"}</definedName>
    <definedName name="xxx" localSheetId="6" hidden="1">{"'vert'!$A$1:$T$117"}</definedName>
    <definedName name="xxx" hidden="1">{"'vert'!$A$1:$T$117"}</definedName>
    <definedName name="xxx_1" localSheetId="5" hidden="1">{"'vert'!$A$1:$T$117"}</definedName>
    <definedName name="xxx_1" localSheetId="6" hidden="1">{"'vert'!$A$1:$T$117"}</definedName>
    <definedName name="xxx_1" hidden="1">{"'vert'!$A$1:$T$117"}</definedName>
    <definedName name="xxx_1_1" localSheetId="5" hidden="1">{"'vert'!$A$1:$T$117"}</definedName>
    <definedName name="xxx_1_1" localSheetId="6" hidden="1">{"'vert'!$A$1:$T$117"}</definedName>
    <definedName name="xxx_1_1" hidden="1">{"'vert'!$A$1:$T$117"}</definedName>
    <definedName name="xxx_1_1_1" localSheetId="5" hidden="1">{"'vert'!$A$1:$T$117"}</definedName>
    <definedName name="xxx_1_1_1" localSheetId="6" hidden="1">{"'vert'!$A$1:$T$117"}</definedName>
    <definedName name="xxx_1_1_1" hidden="1">{"'vert'!$A$1:$T$117"}</definedName>
    <definedName name="xxx_1_2" localSheetId="5" hidden="1">{"'vert'!$A$1:$T$117"}</definedName>
    <definedName name="xxx_1_2" localSheetId="6" hidden="1">{"'vert'!$A$1:$T$117"}</definedName>
    <definedName name="xxx_1_2" hidden="1">{"'vert'!$A$1:$T$117"}</definedName>
    <definedName name="xxx_2" localSheetId="5" hidden="1">{"'vert'!$A$1:$T$117"}</definedName>
    <definedName name="xxx_2" localSheetId="6" hidden="1">{"'vert'!$A$1:$T$117"}</definedName>
    <definedName name="xxx_2" hidden="1">{"'vert'!$A$1:$T$117"}</definedName>
    <definedName name="xxx_2_1" localSheetId="5" hidden="1">{"'vert'!$A$1:$T$117"}</definedName>
    <definedName name="xxx_2_1" localSheetId="6" hidden="1">{"'vert'!$A$1:$T$117"}</definedName>
    <definedName name="xxx_2_1" hidden="1">{"'vert'!$A$1:$T$117"}</definedName>
    <definedName name="xxx_2_1_1" localSheetId="5" hidden="1">{"'vert'!$A$1:$T$117"}</definedName>
    <definedName name="xxx_2_1_1" localSheetId="6" hidden="1">{"'vert'!$A$1:$T$117"}</definedName>
    <definedName name="xxx_2_1_1" hidden="1">{"'vert'!$A$1:$T$117"}</definedName>
    <definedName name="xxx_2_2" localSheetId="5" hidden="1">{"'vert'!$A$1:$T$117"}</definedName>
    <definedName name="xxx_2_2" localSheetId="6" hidden="1">{"'vert'!$A$1:$T$117"}</definedName>
    <definedName name="xxx_2_2" hidden="1">{"'vert'!$A$1:$T$117"}</definedName>
    <definedName name="xxx_3" localSheetId="5" hidden="1">{"'vert'!$A$1:$T$117"}</definedName>
    <definedName name="xxx_3" localSheetId="6" hidden="1">{"'vert'!$A$1:$T$117"}</definedName>
    <definedName name="xxx_3" hidden="1">{"'vert'!$A$1:$T$117"}</definedName>
    <definedName name="xxx_3_1" localSheetId="5" hidden="1">{"'vert'!$A$1:$T$117"}</definedName>
    <definedName name="xxx_3_1" localSheetId="6" hidden="1">{"'vert'!$A$1:$T$117"}</definedName>
    <definedName name="xxx_3_1" hidden="1">{"'vert'!$A$1:$T$117"}</definedName>
    <definedName name="xxx_4" localSheetId="5" hidden="1">{"'vert'!$A$1:$T$117"}</definedName>
    <definedName name="xxx_4" localSheetId="6" hidden="1">{"'vert'!$A$1:$T$117"}</definedName>
    <definedName name="xxx_4" hidden="1">{"'vert'!$A$1:$T$117"}</definedName>
    <definedName name="xyz" localSheetId="5" hidden="1">{"'vert'!$A$1:$T$117"}</definedName>
    <definedName name="xyz" localSheetId="6" hidden="1">{"'vert'!$A$1:$T$117"}</definedName>
    <definedName name="xyz" hidden="1">{"'vert'!$A$1:$T$117"}</definedName>
    <definedName name="y" localSheetId="5" hidden="1">{#N/A,#N/A,FALSE,"Sheet1"}</definedName>
    <definedName name="y" localSheetId="6" hidden="1">{#N/A,#N/A,FALSE,"Sheet1"}</definedName>
    <definedName name="y" hidden="1">{#N/A,#N/A,FALSE,"Sheet1"}</definedName>
    <definedName name="yo" localSheetId="5" hidden="1">{"'vert'!$A$1:$T$117"}</definedName>
    <definedName name="yo" localSheetId="6" hidden="1">{"'vert'!$A$1:$T$117"}</definedName>
    <definedName name="yo" hidden="1">{"'vert'!$A$1:$T$117"}</definedName>
    <definedName name="yy" localSheetId="5" hidden="1">{#N/A,#N/A,FALSE,"Sheet1"}</definedName>
    <definedName name="yy" localSheetId="6" hidden="1">{#N/A,#N/A,FALSE,"Sheet1"}</definedName>
    <definedName name="yy" hidden="1">{#N/A,#N/A,FALSE,"Sheet1"}</definedName>
    <definedName name="yy_1" localSheetId="5" hidden="1">{"'vert'!$A$1:$T$117"}</definedName>
    <definedName name="yy_1" localSheetId="6" hidden="1">{"'vert'!$A$1:$T$117"}</definedName>
    <definedName name="yy_1" hidden="1">{"'vert'!$A$1:$T$117"}</definedName>
    <definedName name="yy_1_1" localSheetId="5" hidden="1">{"'vert'!$A$1:$T$117"}</definedName>
    <definedName name="yy_1_1" localSheetId="6" hidden="1">{"'vert'!$A$1:$T$117"}</definedName>
    <definedName name="yy_1_1" hidden="1">{"'vert'!$A$1:$T$117"}</definedName>
    <definedName name="yy_1_2" localSheetId="5" hidden="1">{"'vert'!$A$1:$T$117"}</definedName>
    <definedName name="yy_1_2" localSheetId="6" hidden="1">{"'vert'!$A$1:$T$117"}</definedName>
    <definedName name="yy_1_2" hidden="1">{"'vert'!$A$1:$T$117"}</definedName>
    <definedName name="yy_2" localSheetId="5" hidden="1">{"'vert'!$A$1:$T$117"}</definedName>
    <definedName name="yy_2" localSheetId="6" hidden="1">{"'vert'!$A$1:$T$117"}</definedName>
    <definedName name="yy_2" hidden="1">{"'vert'!$A$1:$T$117"}</definedName>
    <definedName name="yy_3" localSheetId="5" hidden="1">{"'vert'!$A$1:$T$117"}</definedName>
    <definedName name="yy_3" localSheetId="6" hidden="1">{"'vert'!$A$1:$T$117"}</definedName>
    <definedName name="yy_3" hidden="1">{"'vert'!$A$1:$T$117"}</definedName>
    <definedName name="yyy" localSheetId="5" hidden="1">{"'vert'!$A$1:$T$117"}</definedName>
    <definedName name="yyy" localSheetId="6" hidden="1">{"'vert'!$A$1:$T$117"}</definedName>
    <definedName name="yyy" hidden="1">{"'vert'!$A$1:$T$117"}</definedName>
    <definedName name="yyy_1" localSheetId="5" hidden="1">{"'vert'!$A$1:$T$117"}</definedName>
    <definedName name="yyy_1" localSheetId="6" hidden="1">{"'vert'!$A$1:$T$117"}</definedName>
    <definedName name="yyy_1" hidden="1">{"'vert'!$A$1:$T$117"}</definedName>
    <definedName name="yyy_1_1" localSheetId="5" hidden="1">{"'vert'!$A$1:$T$117"}</definedName>
    <definedName name="yyy_1_1" localSheetId="6" hidden="1">{"'vert'!$A$1:$T$117"}</definedName>
    <definedName name="yyy_1_1" hidden="1">{"'vert'!$A$1:$T$117"}</definedName>
    <definedName name="yyy_1_2" localSheetId="5" hidden="1">{"'vert'!$A$1:$T$117"}</definedName>
    <definedName name="yyy_1_2" localSheetId="6" hidden="1">{"'vert'!$A$1:$T$117"}</definedName>
    <definedName name="yyy_1_2" hidden="1">{"'vert'!$A$1:$T$117"}</definedName>
    <definedName name="yyy_2" localSheetId="5" hidden="1">{"'vert'!$A$1:$T$117"}</definedName>
    <definedName name="yyy_2" localSheetId="6" hidden="1">{"'vert'!$A$1:$T$117"}</definedName>
    <definedName name="yyy_2" hidden="1">{"'vert'!$A$1:$T$117"}</definedName>
    <definedName name="yyy_3" localSheetId="5" hidden="1">{"'vert'!$A$1:$T$117"}</definedName>
    <definedName name="yyy_3" localSheetId="6" hidden="1">{"'vert'!$A$1:$T$117"}</definedName>
    <definedName name="yyy_3" hidden="1">{"'vert'!$A$1:$T$117"}</definedName>
    <definedName name="yyyyyyyyyyyyyyyyyyyyyyyyyyyyyyyyyyyyyyyyyyyyyyyyyyyyyyyyyyyyyyyyyyyyyyyyyyyyyyyyyyyyyyyyyyyyyyyyyyyyyyyyyyyyyyyyyyyyyyyyyyyyyyyyyyyyyyyyyyyyyyyyyyyyyyyyyyyyyyyyyy" hidden="1">#REF!</definedName>
    <definedName name="yyyyyyyyyyyyyyyyyyyyyyyyyyyyyyyyyyyyyyyyyyyyyyyyyyyyyyyyyyyyyyyyyyyyyyyyyyyyyyyyyyyyyyyyyyyyyyyyyyyyyyyyyyyyyyyyyyyyyyyyyyyyyyyyyyyyyyyyyyyyyyyyyyyyyyyyyyyyyyyyyyyyyyyyyyyyyyyyyyyyyyyyyyyyyyyyyyyyyyyyyyyyyyyyyyyyyyyyyyyyyyyyyyyyyyyyyyyyyyyyyyyyyyyyyyyyyyy" hidden="1">[17]merger!#REF!</definedName>
    <definedName name="z" localSheetId="5" hidden="1">{"'vert'!$A$1:$T$117"}</definedName>
    <definedName name="z" localSheetId="6" hidden="1">{"'vert'!$A$1:$T$117"}</definedName>
    <definedName name="z" hidden="1">{"'vert'!$A$1:$T$117"}</definedName>
    <definedName name="z_1" localSheetId="5" hidden="1">{"'vert'!$A$1:$T$117"}</definedName>
    <definedName name="z_1" localSheetId="6" hidden="1">{"'vert'!$A$1:$T$117"}</definedName>
    <definedName name="z_1" hidden="1">{"'vert'!$A$1:$T$117"}</definedName>
    <definedName name="z_1_1" localSheetId="5" hidden="1">{"'vert'!$A$1:$T$117"}</definedName>
    <definedName name="z_1_1" localSheetId="6" hidden="1">{"'vert'!$A$1:$T$117"}</definedName>
    <definedName name="z_1_1" hidden="1">{"'vert'!$A$1:$T$117"}</definedName>
    <definedName name="z_1_2" localSheetId="5" hidden="1">{"'vert'!$A$1:$T$117"}</definedName>
    <definedName name="z_1_2" localSheetId="6" hidden="1">{"'vert'!$A$1:$T$117"}</definedName>
    <definedName name="z_1_2" hidden="1">{"'vert'!$A$1:$T$117"}</definedName>
    <definedName name="z_2" localSheetId="5" hidden="1">{"'vert'!$A$1:$T$117"}</definedName>
    <definedName name="z_2" localSheetId="6" hidden="1">{"'vert'!$A$1:$T$117"}</definedName>
    <definedName name="z_2" hidden="1">{"'vert'!$A$1:$T$117"}</definedName>
    <definedName name="z_3" localSheetId="5" hidden="1">{"'vert'!$A$1:$T$117"}</definedName>
    <definedName name="z_3" localSheetId="6" hidden="1">{"'vert'!$A$1:$T$117"}</definedName>
    <definedName name="z_3" hidden="1">{"'vert'!$A$1:$T$117"}</definedName>
    <definedName name="zzz" localSheetId="5" hidden="1">{"'vert'!$A$1:$T$117"}</definedName>
    <definedName name="zzz" localSheetId="6" hidden="1">{"'vert'!$A$1:$T$117"}</definedName>
    <definedName name="zzz" hidden="1">{"'vert'!$A$1:$T$117"}</definedName>
    <definedName name="授权管理">OFFSET('[28]Categorty Definition'!$D$22,MATCH([28]Jan!$H1&amp;[28]Jan!$I1,'[28]Categorty Definition'!$B$22:$B$42&amp;'[28]Categorty Definition'!$C$22:$C$42,0)-1,,,10)</definedName>
    <definedName name="元データー" localSheetId="5" hidden="1">{"'vert'!$A$1:$T$117"}</definedName>
    <definedName name="元データー" localSheetId="6" hidden="1">{"'vert'!$A$1:$T$117"}</definedName>
    <definedName name="元データー" hidden="1">{"'vert'!$A$1:$T$117"}</definedName>
    <definedName name="元データー_1" localSheetId="5" hidden="1">{"'vert'!$A$1:$T$117"}</definedName>
    <definedName name="元データー_1" localSheetId="6" hidden="1">{"'vert'!$A$1:$T$117"}</definedName>
    <definedName name="元データー_1" hidden="1">{"'vert'!$A$1:$T$117"}</definedName>
    <definedName name="元データー_1_1" localSheetId="5" hidden="1">{"'vert'!$A$1:$T$117"}</definedName>
    <definedName name="元データー_1_1" localSheetId="6" hidden="1">{"'vert'!$A$1:$T$117"}</definedName>
    <definedName name="元データー_1_1" hidden="1">{"'vert'!$A$1:$T$117"}</definedName>
    <definedName name="元データー_1_1_1" localSheetId="5" hidden="1">{"'vert'!$A$1:$T$117"}</definedName>
    <definedName name="元データー_1_1_1" localSheetId="6" hidden="1">{"'vert'!$A$1:$T$117"}</definedName>
    <definedName name="元データー_1_1_1" hidden="1">{"'vert'!$A$1:$T$117"}</definedName>
    <definedName name="元データー_1_2" localSheetId="5" hidden="1">{"'vert'!$A$1:$T$117"}</definedName>
    <definedName name="元データー_1_2" localSheetId="6" hidden="1">{"'vert'!$A$1:$T$117"}</definedName>
    <definedName name="元データー_1_2" hidden="1">{"'vert'!$A$1:$T$117"}</definedName>
    <definedName name="元データー_2" localSheetId="5" hidden="1">{"'vert'!$A$1:$T$117"}</definedName>
    <definedName name="元データー_2" localSheetId="6" hidden="1">{"'vert'!$A$1:$T$117"}</definedName>
    <definedName name="元データー_2" hidden="1">{"'vert'!$A$1:$T$117"}</definedName>
    <definedName name="元データー_2_1" localSheetId="5" hidden="1">{"'vert'!$A$1:$T$117"}</definedName>
    <definedName name="元データー_2_1" localSheetId="6" hidden="1">{"'vert'!$A$1:$T$117"}</definedName>
    <definedName name="元データー_2_1" hidden="1">{"'vert'!$A$1:$T$117"}</definedName>
    <definedName name="元データー_2_1_1" localSheetId="5" hidden="1">{"'vert'!$A$1:$T$117"}</definedName>
    <definedName name="元データー_2_1_1" localSheetId="6" hidden="1">{"'vert'!$A$1:$T$117"}</definedName>
    <definedName name="元データー_2_1_1" hidden="1">{"'vert'!$A$1:$T$117"}</definedName>
    <definedName name="元データー_2_2" localSheetId="5" hidden="1">{"'vert'!$A$1:$T$117"}</definedName>
    <definedName name="元データー_2_2" localSheetId="6" hidden="1">{"'vert'!$A$1:$T$117"}</definedName>
    <definedName name="元データー_2_2" hidden="1">{"'vert'!$A$1:$T$117"}</definedName>
    <definedName name="元データー_3" localSheetId="5" hidden="1">{"'vert'!$A$1:$T$117"}</definedName>
    <definedName name="元データー_3" localSheetId="6" hidden="1">{"'vert'!$A$1:$T$117"}</definedName>
    <definedName name="元データー_3" hidden="1">{"'vert'!$A$1:$T$117"}</definedName>
    <definedName name="元データー_3_1" localSheetId="5" hidden="1">{"'vert'!$A$1:$T$117"}</definedName>
    <definedName name="元データー_3_1" localSheetId="6" hidden="1">{"'vert'!$A$1:$T$117"}</definedName>
    <definedName name="元データー_3_1" hidden="1">{"'vert'!$A$1:$T$117"}</definedName>
    <definedName name="元データー_4" localSheetId="5" hidden="1">{"'vert'!$A$1:$T$117"}</definedName>
    <definedName name="元データー_4" localSheetId="6" hidden="1">{"'vert'!$A$1:$T$117"}</definedName>
    <definedName name="元データー_4" hidden="1">{"'vert'!$A$1:$T$117"}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797" i="10" l="1"/>
  <c r="AD796" i="10"/>
  <c r="AD795" i="10"/>
  <c r="AD794" i="10"/>
  <c r="AD793" i="10"/>
  <c r="AD792" i="10"/>
  <c r="AD791" i="10"/>
  <c r="AD790" i="10"/>
  <c r="AD789" i="10"/>
  <c r="AD788" i="10"/>
  <c r="AD787" i="10"/>
  <c r="AD786" i="10"/>
  <c r="AD785" i="10"/>
  <c r="AD784" i="10"/>
  <c r="AD783" i="10"/>
  <c r="AD782" i="10"/>
  <c r="AD781" i="10"/>
  <c r="AD780" i="10"/>
  <c r="AD779" i="10"/>
  <c r="AD778" i="10"/>
  <c r="AD777" i="10"/>
  <c r="AD776" i="10"/>
  <c r="AD775" i="10"/>
  <c r="AD774" i="10"/>
  <c r="AD773" i="10"/>
  <c r="AD772" i="10"/>
  <c r="AD771" i="10"/>
  <c r="AD770" i="10"/>
  <c r="AD769" i="10"/>
  <c r="AD768" i="10"/>
  <c r="AD767" i="10"/>
  <c r="AD766" i="10"/>
  <c r="AD765" i="10"/>
  <c r="AD764" i="10"/>
  <c r="AD763" i="10"/>
  <c r="AD762" i="10"/>
  <c r="AD761" i="10"/>
  <c r="AD760" i="10"/>
  <c r="AD759" i="10"/>
  <c r="AD758" i="10"/>
  <c r="AD757" i="10"/>
  <c r="AD756" i="10"/>
  <c r="AD755" i="10"/>
  <c r="AD754" i="10"/>
  <c r="AD753" i="10"/>
  <c r="AD752" i="10"/>
  <c r="AD751" i="10"/>
  <c r="AD750" i="10"/>
  <c r="AD749" i="10"/>
  <c r="AD748" i="10"/>
  <c r="AD747" i="10"/>
  <c r="AD746" i="10"/>
  <c r="AD745" i="10"/>
  <c r="AD744" i="10"/>
  <c r="AD743" i="10"/>
  <c r="AD742" i="10"/>
  <c r="AD741" i="10"/>
  <c r="AD740" i="10"/>
  <c r="AD739" i="10"/>
  <c r="AD738" i="10"/>
  <c r="AD737" i="10"/>
  <c r="AD736" i="10"/>
  <c r="AD735" i="10"/>
  <c r="AD734" i="10"/>
  <c r="AD733" i="10"/>
  <c r="AD732" i="10"/>
  <c r="AD731" i="10"/>
  <c r="AD730" i="10"/>
  <c r="AD729" i="10"/>
  <c r="AD728" i="10"/>
  <c r="AD727" i="10"/>
  <c r="AD726" i="10"/>
  <c r="AD725" i="10"/>
  <c r="AD724" i="10"/>
  <c r="AD723" i="10"/>
  <c r="AD722" i="10"/>
  <c r="AD721" i="10"/>
  <c r="AD720" i="10"/>
  <c r="AD719" i="10"/>
  <c r="AD718" i="10"/>
  <c r="AD717" i="10"/>
  <c r="AD716" i="10"/>
  <c r="AD715" i="10"/>
  <c r="AD714" i="10"/>
  <c r="AD713" i="10"/>
  <c r="AD712" i="10"/>
  <c r="L712" i="10"/>
  <c r="AD711" i="10"/>
  <c r="L711" i="10"/>
  <c r="AD710" i="10"/>
  <c r="L710" i="10"/>
  <c r="AD709" i="10"/>
  <c r="L709" i="10"/>
  <c r="AD708" i="10"/>
  <c r="L708" i="10"/>
  <c r="AD707" i="10"/>
  <c r="L707" i="10"/>
  <c r="AD706" i="10"/>
  <c r="L706" i="10"/>
  <c r="AD705" i="10"/>
  <c r="L705" i="10"/>
  <c r="AD704" i="10"/>
  <c r="L704" i="10"/>
  <c r="AD703" i="10"/>
  <c r="L703" i="10"/>
  <c r="AD702" i="10"/>
  <c r="L702" i="10"/>
  <c r="AD701" i="10"/>
  <c r="L701" i="10"/>
  <c r="AD700" i="10"/>
  <c r="L700" i="10"/>
  <c r="AD699" i="10"/>
  <c r="L699" i="10"/>
  <c r="AD698" i="10"/>
  <c r="L698" i="10"/>
  <c r="AD697" i="10"/>
  <c r="L697" i="10"/>
  <c r="AD696" i="10"/>
  <c r="L696" i="10"/>
  <c r="AD695" i="10"/>
  <c r="L695" i="10"/>
  <c r="AD694" i="10"/>
  <c r="L694" i="10"/>
  <c r="AD693" i="10"/>
  <c r="L693" i="10"/>
  <c r="AD692" i="10"/>
  <c r="L692" i="10"/>
  <c r="AD691" i="10"/>
  <c r="L691" i="10"/>
  <c r="AD690" i="10"/>
  <c r="L690" i="10"/>
  <c r="AD689" i="10"/>
  <c r="L689" i="10"/>
  <c r="AD688" i="10"/>
  <c r="L688" i="10"/>
  <c r="AD687" i="10"/>
  <c r="L687" i="10"/>
  <c r="AD686" i="10"/>
  <c r="L686" i="10"/>
  <c r="AD685" i="10"/>
  <c r="L685" i="10"/>
  <c r="AD684" i="10"/>
  <c r="L684" i="10"/>
  <c r="AD683" i="10"/>
  <c r="L683" i="10"/>
  <c r="AD682" i="10"/>
  <c r="L682" i="10"/>
  <c r="AD681" i="10"/>
  <c r="L681" i="10"/>
  <c r="AD680" i="10"/>
  <c r="L680" i="10"/>
  <c r="AD679" i="10"/>
  <c r="L679" i="10"/>
  <c r="AD678" i="10"/>
  <c r="L678" i="10"/>
  <c r="AD677" i="10"/>
  <c r="L677" i="10"/>
  <c r="AD676" i="10"/>
  <c r="L676" i="10"/>
  <c r="AD675" i="10"/>
  <c r="L675" i="10"/>
  <c r="AD674" i="10"/>
  <c r="L674" i="10"/>
  <c r="AD673" i="10"/>
  <c r="L673" i="10"/>
  <c r="AD672" i="10"/>
  <c r="L672" i="10"/>
  <c r="AD671" i="10"/>
  <c r="L671" i="10"/>
  <c r="AD670" i="10"/>
  <c r="L670" i="10"/>
  <c r="AD669" i="10"/>
  <c r="L669" i="10"/>
  <c r="AD668" i="10"/>
  <c r="L668" i="10"/>
  <c r="AD667" i="10"/>
  <c r="L667" i="10"/>
  <c r="AD666" i="10"/>
  <c r="L666" i="10"/>
  <c r="AD665" i="10"/>
  <c r="L665" i="10"/>
  <c r="AD664" i="10"/>
  <c r="L664" i="10"/>
  <c r="AD663" i="10"/>
  <c r="L663" i="10"/>
  <c r="AD662" i="10"/>
  <c r="L662" i="10"/>
  <c r="AD661" i="10"/>
  <c r="L661" i="10"/>
  <c r="AD660" i="10"/>
  <c r="L660" i="10"/>
  <c r="AD659" i="10"/>
  <c r="L659" i="10"/>
  <c r="AD658" i="10"/>
  <c r="L658" i="10"/>
  <c r="AD657" i="10"/>
  <c r="L657" i="10"/>
  <c r="AD656" i="10"/>
  <c r="L656" i="10"/>
  <c r="AD655" i="10"/>
  <c r="L655" i="10"/>
  <c r="AD654" i="10"/>
  <c r="L654" i="10"/>
  <c r="AD653" i="10"/>
  <c r="L653" i="10"/>
  <c r="AD652" i="10"/>
  <c r="L652" i="10"/>
  <c r="AD651" i="10"/>
  <c r="L651" i="10"/>
  <c r="AD650" i="10"/>
  <c r="L650" i="10"/>
  <c r="AD649" i="10"/>
  <c r="L649" i="10"/>
  <c r="AD648" i="10"/>
  <c r="L648" i="10"/>
  <c r="AD647" i="10"/>
  <c r="L647" i="10"/>
  <c r="AD646" i="10"/>
  <c r="L646" i="10"/>
  <c r="AD645" i="10"/>
  <c r="L645" i="10"/>
  <c r="AD644" i="10"/>
  <c r="L644" i="10"/>
  <c r="AD643" i="10"/>
  <c r="L643" i="10"/>
  <c r="AD642" i="10"/>
  <c r="L642" i="10"/>
  <c r="AD641" i="10"/>
  <c r="L641" i="10"/>
  <c r="AD640" i="10"/>
  <c r="L640" i="10"/>
  <c r="AD639" i="10"/>
  <c r="L639" i="10"/>
  <c r="AD638" i="10"/>
  <c r="L638" i="10"/>
  <c r="AD637" i="10"/>
  <c r="L637" i="10"/>
  <c r="AD636" i="10"/>
  <c r="L636" i="10"/>
  <c r="AD635" i="10"/>
  <c r="L635" i="10"/>
  <c r="AD634" i="10"/>
  <c r="L634" i="10"/>
  <c r="AD633" i="10"/>
  <c r="L633" i="10"/>
  <c r="AD632" i="10"/>
  <c r="L632" i="10"/>
  <c r="AD631" i="10"/>
  <c r="L631" i="10"/>
  <c r="AD630" i="10"/>
  <c r="L630" i="10"/>
  <c r="AD629" i="10"/>
  <c r="L629" i="10"/>
  <c r="AD628" i="10"/>
  <c r="L628" i="10"/>
  <c r="AD627" i="10"/>
  <c r="L627" i="10"/>
  <c r="AD626" i="10"/>
  <c r="L626" i="10"/>
  <c r="AD625" i="10"/>
  <c r="L625" i="10"/>
  <c r="AD624" i="10"/>
  <c r="L624" i="10"/>
  <c r="AD623" i="10"/>
  <c r="L623" i="10"/>
  <c r="AD622" i="10"/>
  <c r="L622" i="10"/>
  <c r="AD621" i="10"/>
  <c r="L621" i="10"/>
  <c r="AD620" i="10"/>
  <c r="L620" i="10"/>
  <c r="AD619" i="10"/>
  <c r="L619" i="10"/>
  <c r="AD618" i="10"/>
  <c r="L618" i="10"/>
  <c r="AD617" i="10"/>
  <c r="L617" i="10"/>
  <c r="AD616" i="10"/>
  <c r="L616" i="10"/>
  <c r="AD615" i="10"/>
  <c r="L615" i="10"/>
  <c r="AD614" i="10"/>
  <c r="L614" i="10"/>
  <c r="AD613" i="10"/>
  <c r="L613" i="10"/>
  <c r="AD612" i="10"/>
  <c r="L612" i="10"/>
  <c r="AD611" i="10"/>
  <c r="L611" i="10"/>
  <c r="AD610" i="10"/>
  <c r="L610" i="10"/>
  <c r="AD609" i="10"/>
  <c r="L609" i="10"/>
  <c r="AD608" i="10"/>
  <c r="L608" i="10"/>
  <c r="AD607" i="10"/>
  <c r="L607" i="10"/>
  <c r="AD606" i="10"/>
  <c r="L606" i="10"/>
  <c r="AD605" i="10"/>
  <c r="L605" i="10"/>
  <c r="AD604" i="10"/>
  <c r="L604" i="10"/>
  <c r="AD603" i="10"/>
  <c r="L603" i="10"/>
  <c r="AD602" i="10"/>
  <c r="L602" i="10"/>
  <c r="AD601" i="10"/>
  <c r="L601" i="10"/>
  <c r="AD600" i="10"/>
  <c r="L600" i="10"/>
  <c r="AD599" i="10"/>
  <c r="L599" i="10"/>
  <c r="AD598" i="10"/>
  <c r="L598" i="10"/>
  <c r="AD597" i="10"/>
  <c r="L597" i="10"/>
  <c r="AD596" i="10"/>
  <c r="L596" i="10"/>
  <c r="AD595" i="10"/>
  <c r="L595" i="10"/>
  <c r="AD594" i="10"/>
  <c r="L594" i="10"/>
  <c r="AD593" i="10"/>
  <c r="L593" i="10"/>
  <c r="AD592" i="10"/>
  <c r="L592" i="10"/>
  <c r="AD591" i="10"/>
  <c r="L591" i="10"/>
  <c r="AD590" i="10"/>
  <c r="L590" i="10"/>
  <c r="AD589" i="10"/>
  <c r="L589" i="10"/>
  <c r="AD588" i="10"/>
  <c r="L588" i="10"/>
  <c r="AD587" i="10"/>
  <c r="L587" i="10"/>
  <c r="AD586" i="10"/>
  <c r="L586" i="10"/>
  <c r="AD585" i="10"/>
  <c r="L585" i="10"/>
  <c r="AD584" i="10"/>
  <c r="L584" i="10"/>
  <c r="AD583" i="10"/>
  <c r="L583" i="10"/>
  <c r="AD582" i="10"/>
  <c r="L582" i="10"/>
  <c r="AD581" i="10"/>
  <c r="L581" i="10"/>
  <c r="AD580" i="10"/>
  <c r="L580" i="10"/>
  <c r="AD579" i="10"/>
  <c r="L579" i="10"/>
  <c r="AD578" i="10"/>
  <c r="L578" i="10"/>
  <c r="AD577" i="10"/>
  <c r="L577" i="10"/>
  <c r="AD576" i="10"/>
  <c r="L576" i="10"/>
  <c r="AD575" i="10"/>
  <c r="L575" i="10"/>
  <c r="AD574" i="10"/>
  <c r="L574" i="10"/>
  <c r="AD573" i="10"/>
  <c r="L573" i="10"/>
  <c r="AD572" i="10"/>
  <c r="L572" i="10"/>
  <c r="AD571" i="10"/>
  <c r="L571" i="10"/>
  <c r="AD570" i="10"/>
  <c r="L570" i="10"/>
  <c r="AD569" i="10"/>
  <c r="L569" i="10"/>
  <c r="AD568" i="10"/>
  <c r="L568" i="10"/>
  <c r="AD567" i="10"/>
  <c r="L567" i="10"/>
  <c r="AD566" i="10"/>
  <c r="L566" i="10"/>
  <c r="AD565" i="10"/>
  <c r="L565" i="10"/>
  <c r="AD564" i="10"/>
  <c r="L564" i="10"/>
  <c r="AD563" i="10"/>
  <c r="L563" i="10"/>
  <c r="AD562" i="10"/>
  <c r="L562" i="10"/>
  <c r="AD561" i="10"/>
  <c r="L561" i="10"/>
  <c r="AD560" i="10"/>
  <c r="L560" i="10"/>
  <c r="AD559" i="10"/>
  <c r="L559" i="10"/>
  <c r="AD558" i="10"/>
  <c r="L558" i="10"/>
  <c r="AD557" i="10"/>
  <c r="L557" i="10"/>
  <c r="AD556" i="10"/>
  <c r="L556" i="10"/>
  <c r="AD555" i="10"/>
  <c r="L555" i="10"/>
  <c r="AD554" i="10"/>
  <c r="L554" i="10"/>
  <c r="AD553" i="10"/>
  <c r="L553" i="10"/>
  <c r="AD552" i="10"/>
  <c r="L552" i="10"/>
  <c r="AD551" i="10"/>
  <c r="L551" i="10"/>
  <c r="AD550" i="10"/>
  <c r="L550" i="10"/>
  <c r="AD549" i="10"/>
  <c r="L549" i="10"/>
  <c r="AD548" i="10"/>
  <c r="L548" i="10"/>
  <c r="AD547" i="10"/>
  <c r="L547" i="10"/>
  <c r="AD546" i="10"/>
  <c r="L546" i="10"/>
  <c r="AD545" i="10"/>
  <c r="L545" i="10"/>
  <c r="AD544" i="10"/>
  <c r="L544" i="10"/>
  <c r="AD543" i="10"/>
  <c r="L543" i="10"/>
  <c r="AD542" i="10"/>
  <c r="L542" i="10"/>
  <c r="AD541" i="10"/>
  <c r="L541" i="10"/>
  <c r="AD540" i="10"/>
  <c r="L540" i="10"/>
  <c r="AD539" i="10"/>
  <c r="L539" i="10"/>
  <c r="AD538" i="10"/>
  <c r="L538" i="10"/>
  <c r="AD537" i="10"/>
  <c r="L537" i="10"/>
  <c r="AD536" i="10"/>
  <c r="L536" i="10"/>
  <c r="AD535" i="10"/>
  <c r="L535" i="10"/>
  <c r="AD534" i="10"/>
  <c r="L534" i="10"/>
  <c r="AD533" i="10"/>
  <c r="L533" i="10"/>
  <c r="AD532" i="10"/>
  <c r="L532" i="10"/>
  <c r="AD531" i="10"/>
  <c r="L531" i="10"/>
  <c r="AD530" i="10"/>
  <c r="L530" i="10"/>
  <c r="AD529" i="10"/>
  <c r="L529" i="10"/>
  <c r="AD528" i="10"/>
  <c r="L528" i="10"/>
  <c r="AD527" i="10"/>
  <c r="L527" i="10"/>
  <c r="AD526" i="10"/>
  <c r="L526" i="10"/>
  <c r="AD525" i="10"/>
  <c r="L525" i="10"/>
  <c r="AD524" i="10"/>
  <c r="L524" i="10"/>
  <c r="AD523" i="10"/>
  <c r="L523" i="10"/>
  <c r="AD522" i="10"/>
  <c r="L522" i="10"/>
  <c r="AD521" i="10"/>
  <c r="L521" i="10"/>
  <c r="AD520" i="10"/>
  <c r="L520" i="10"/>
  <c r="AD519" i="10"/>
  <c r="L519" i="10"/>
  <c r="AD518" i="10"/>
  <c r="L518" i="10"/>
  <c r="AD517" i="10"/>
  <c r="L517" i="10"/>
  <c r="AD516" i="10"/>
  <c r="L516" i="10"/>
  <c r="AD515" i="10"/>
  <c r="L515" i="10"/>
  <c r="AD514" i="10"/>
  <c r="L514" i="10"/>
  <c r="AD513" i="10"/>
  <c r="L513" i="10"/>
  <c r="AD512" i="10"/>
  <c r="L512" i="10"/>
  <c r="AD511" i="10"/>
  <c r="L511" i="10"/>
  <c r="AD510" i="10"/>
  <c r="L510" i="10"/>
  <c r="AD509" i="10"/>
  <c r="L509" i="10"/>
  <c r="AD508" i="10"/>
  <c r="L508" i="10"/>
  <c r="AD507" i="10"/>
  <c r="L507" i="10"/>
  <c r="AD506" i="10"/>
  <c r="L506" i="10"/>
  <c r="AD505" i="10"/>
  <c r="L505" i="10"/>
  <c r="AD504" i="10"/>
  <c r="L504" i="10"/>
  <c r="AD503" i="10"/>
  <c r="L503" i="10"/>
  <c r="AD502" i="10"/>
  <c r="L502" i="10"/>
  <c r="AD501" i="10"/>
  <c r="L501" i="10"/>
  <c r="AD500" i="10"/>
  <c r="L500" i="10"/>
  <c r="AD499" i="10"/>
  <c r="L499" i="10"/>
  <c r="AD498" i="10"/>
  <c r="L498" i="10"/>
  <c r="AD497" i="10"/>
  <c r="L497" i="10"/>
  <c r="AD496" i="10"/>
  <c r="L496" i="10"/>
  <c r="AD495" i="10"/>
  <c r="L495" i="10"/>
  <c r="AD494" i="10"/>
  <c r="L494" i="10"/>
  <c r="AD493" i="10"/>
  <c r="L493" i="10"/>
  <c r="AD492" i="10"/>
  <c r="L492" i="10"/>
  <c r="AD491" i="10"/>
  <c r="L491" i="10"/>
  <c r="AD490" i="10"/>
  <c r="L490" i="10"/>
  <c r="AD489" i="10"/>
  <c r="L489" i="10"/>
  <c r="AD488" i="10"/>
  <c r="L488" i="10"/>
  <c r="AD487" i="10"/>
  <c r="L487" i="10"/>
  <c r="AD486" i="10"/>
  <c r="L486" i="10"/>
  <c r="AD485" i="10"/>
  <c r="L485" i="10"/>
  <c r="AD484" i="10"/>
  <c r="L484" i="10"/>
  <c r="AD483" i="10"/>
  <c r="L483" i="10"/>
  <c r="AD482" i="10"/>
  <c r="L482" i="10"/>
  <c r="AD481" i="10"/>
  <c r="L481" i="10"/>
  <c r="AD480" i="10"/>
  <c r="L480" i="10"/>
  <c r="AD479" i="10"/>
  <c r="L479" i="10"/>
  <c r="AD478" i="10"/>
  <c r="L478" i="10"/>
  <c r="AD477" i="10"/>
  <c r="L477" i="10"/>
  <c r="AD476" i="10"/>
  <c r="L476" i="10"/>
  <c r="AD475" i="10"/>
  <c r="L475" i="10"/>
  <c r="AD474" i="10"/>
  <c r="L474" i="10"/>
  <c r="AD473" i="10"/>
  <c r="L473" i="10"/>
  <c r="AD472" i="10"/>
  <c r="L472" i="10"/>
  <c r="AD471" i="10"/>
  <c r="L471" i="10"/>
  <c r="AD470" i="10"/>
  <c r="L470" i="10"/>
  <c r="AD469" i="10"/>
  <c r="L469" i="10"/>
  <c r="AD468" i="10"/>
  <c r="L468" i="10"/>
  <c r="AD467" i="10"/>
  <c r="L467" i="10"/>
  <c r="AD466" i="10"/>
  <c r="L466" i="10"/>
  <c r="AD465" i="10"/>
  <c r="L465" i="10"/>
  <c r="AD464" i="10"/>
  <c r="L464" i="10"/>
  <c r="AD463" i="10"/>
  <c r="L463" i="10"/>
  <c r="AD462" i="10"/>
  <c r="L462" i="10"/>
  <c r="AD461" i="10"/>
  <c r="L461" i="10"/>
  <c r="AD460" i="10"/>
  <c r="L460" i="10"/>
  <c r="AD459" i="10"/>
  <c r="L459" i="10"/>
  <c r="AD458" i="10"/>
  <c r="L458" i="10"/>
  <c r="AD457" i="10"/>
  <c r="L457" i="10"/>
  <c r="AD456" i="10"/>
  <c r="L456" i="10"/>
  <c r="AD455" i="10"/>
  <c r="L455" i="10"/>
  <c r="AD454" i="10"/>
  <c r="L454" i="10"/>
  <c r="AD453" i="10"/>
  <c r="L453" i="10"/>
  <c r="AD452" i="10"/>
  <c r="L452" i="10"/>
  <c r="AD451" i="10"/>
  <c r="L451" i="10"/>
  <c r="AD450" i="10"/>
  <c r="L450" i="10"/>
  <c r="AD449" i="10"/>
  <c r="L449" i="10"/>
  <c r="AD448" i="10"/>
  <c r="L448" i="10"/>
  <c r="AD447" i="10"/>
  <c r="L447" i="10"/>
  <c r="AD446" i="10"/>
  <c r="L446" i="10"/>
  <c r="AD445" i="10"/>
  <c r="L445" i="10"/>
  <c r="AD444" i="10"/>
  <c r="L444" i="10"/>
  <c r="AD443" i="10"/>
  <c r="L443" i="10"/>
  <c r="AD442" i="10"/>
  <c r="L442" i="10"/>
  <c r="AD441" i="10"/>
  <c r="L441" i="10"/>
  <c r="AD440" i="10"/>
  <c r="L440" i="10"/>
  <c r="AD439" i="10"/>
  <c r="L439" i="10"/>
  <c r="AD438" i="10"/>
  <c r="L438" i="10"/>
  <c r="AD437" i="10"/>
  <c r="L437" i="10"/>
  <c r="AD436" i="10"/>
  <c r="L436" i="10"/>
  <c r="AD435" i="10"/>
  <c r="L435" i="10"/>
  <c r="AD434" i="10"/>
  <c r="L434" i="10"/>
  <c r="AD433" i="10"/>
  <c r="L433" i="10"/>
  <c r="AD425" i="10"/>
  <c r="AD424" i="10"/>
  <c r="AD423" i="10"/>
  <c r="AD422" i="10"/>
  <c r="AD421" i="10"/>
  <c r="AD420" i="10"/>
  <c r="AD419" i="10"/>
  <c r="AD418" i="10"/>
  <c r="AD417" i="10"/>
  <c r="AD416" i="10"/>
  <c r="AD415" i="10"/>
  <c r="AD414" i="10"/>
  <c r="AD413" i="10"/>
  <c r="AD412" i="10"/>
  <c r="AD411" i="10"/>
  <c r="AD410" i="10"/>
  <c r="AD409" i="10"/>
  <c r="AD408" i="10"/>
  <c r="AD407" i="10"/>
  <c r="AD406" i="10"/>
  <c r="AD405" i="10"/>
  <c r="AD404" i="10"/>
  <c r="AD403" i="10"/>
  <c r="AD402" i="10"/>
  <c r="AD401" i="10"/>
  <c r="AD400" i="10"/>
  <c r="AD399" i="10"/>
  <c r="AD398" i="10"/>
  <c r="AD397" i="10"/>
  <c r="AD396" i="10"/>
  <c r="AD395" i="10"/>
  <c r="AD394" i="10"/>
  <c r="AD393" i="10"/>
  <c r="AD392" i="10"/>
  <c r="AD391" i="10"/>
  <c r="AD390" i="10"/>
  <c r="AD389" i="10"/>
  <c r="AD388" i="10"/>
  <c r="AD387" i="10"/>
  <c r="AD386" i="10"/>
  <c r="AD385" i="10"/>
  <c r="AD384" i="10"/>
  <c r="AD383" i="10"/>
  <c r="AD382" i="10"/>
  <c r="AD381" i="10"/>
  <c r="AD380" i="10"/>
  <c r="AD379" i="10"/>
  <c r="AD378" i="10"/>
  <c r="AD377" i="10"/>
  <c r="AD376" i="10"/>
  <c r="AD375" i="10"/>
  <c r="AD374" i="10"/>
  <c r="AD373" i="10"/>
  <c r="AD372" i="10"/>
  <c r="AD371" i="10"/>
  <c r="AD370" i="10"/>
  <c r="AD369" i="10"/>
  <c r="AD368" i="10"/>
  <c r="AD367" i="10"/>
  <c r="AD366" i="10"/>
  <c r="AD365" i="10"/>
  <c r="AD364" i="10"/>
  <c r="AD363" i="10"/>
  <c r="AD362" i="10"/>
  <c r="AD361" i="10"/>
  <c r="AD360" i="10"/>
  <c r="AD359" i="10"/>
  <c r="AD358" i="10"/>
  <c r="AD357" i="10"/>
  <c r="AD356" i="10"/>
  <c r="AD355" i="10"/>
  <c r="AD354" i="10"/>
  <c r="AD353" i="10"/>
  <c r="AD352" i="10"/>
  <c r="AD351" i="10"/>
  <c r="AD350" i="10"/>
  <c r="AD349" i="10"/>
  <c r="AD348" i="10"/>
  <c r="AD347" i="10"/>
  <c r="AD346" i="10"/>
  <c r="AD345" i="10"/>
  <c r="AD344" i="10"/>
  <c r="AD343" i="10"/>
  <c r="AD342" i="10"/>
  <c r="AD341" i="10"/>
  <c r="AD340" i="10"/>
  <c r="L340" i="10"/>
  <c r="AD339" i="10"/>
  <c r="L339" i="10"/>
  <c r="AD338" i="10"/>
  <c r="L338" i="10"/>
  <c r="AD337" i="10"/>
  <c r="L337" i="10"/>
  <c r="AD336" i="10"/>
  <c r="L336" i="10"/>
  <c r="AD335" i="10"/>
  <c r="L335" i="10"/>
  <c r="AD334" i="10"/>
  <c r="L334" i="10"/>
  <c r="AD333" i="10"/>
  <c r="L333" i="10"/>
  <c r="AD332" i="10"/>
  <c r="L332" i="10"/>
  <c r="AD331" i="10"/>
  <c r="L331" i="10"/>
  <c r="AD330" i="10"/>
  <c r="L330" i="10"/>
  <c r="AD329" i="10"/>
  <c r="L329" i="10"/>
  <c r="AD328" i="10"/>
  <c r="L328" i="10"/>
  <c r="AD327" i="10"/>
  <c r="L327" i="10"/>
  <c r="AD326" i="10"/>
  <c r="L326" i="10"/>
  <c r="AD325" i="10"/>
  <c r="L325" i="10"/>
  <c r="AD324" i="10"/>
  <c r="L324" i="10"/>
  <c r="AD323" i="10"/>
  <c r="L323" i="10"/>
  <c r="AD322" i="10"/>
  <c r="L322" i="10"/>
  <c r="AD321" i="10"/>
  <c r="L321" i="10"/>
  <c r="AD320" i="10"/>
  <c r="L320" i="10"/>
  <c r="AD319" i="10"/>
  <c r="L319" i="10"/>
  <c r="AD318" i="10"/>
  <c r="L318" i="10"/>
  <c r="AD317" i="10"/>
  <c r="L317" i="10"/>
  <c r="AD316" i="10"/>
  <c r="L316" i="10"/>
  <c r="AD315" i="10"/>
  <c r="L315" i="10"/>
  <c r="AD314" i="10"/>
  <c r="L314" i="10"/>
  <c r="AD313" i="10"/>
  <c r="L313" i="10"/>
  <c r="AD312" i="10"/>
  <c r="L312" i="10"/>
  <c r="AD311" i="10"/>
  <c r="L311" i="10"/>
  <c r="AD310" i="10"/>
  <c r="L310" i="10"/>
  <c r="AD309" i="10"/>
  <c r="L309" i="10"/>
  <c r="AD308" i="10"/>
  <c r="L308" i="10"/>
  <c r="AD307" i="10"/>
  <c r="L307" i="10"/>
  <c r="AD306" i="10"/>
  <c r="L306" i="10"/>
  <c r="AD305" i="10"/>
  <c r="L305" i="10"/>
  <c r="AD304" i="10"/>
  <c r="L304" i="10"/>
  <c r="AD303" i="10"/>
  <c r="L303" i="10"/>
  <c r="AD302" i="10"/>
  <c r="L302" i="10"/>
  <c r="AD301" i="10"/>
  <c r="L301" i="10"/>
  <c r="AD300" i="10"/>
  <c r="L300" i="10"/>
  <c r="AD299" i="10"/>
  <c r="L299" i="10"/>
  <c r="AD298" i="10"/>
  <c r="L298" i="10"/>
  <c r="AD297" i="10"/>
  <c r="L297" i="10"/>
  <c r="AD296" i="10"/>
  <c r="L296" i="10"/>
  <c r="AD295" i="10"/>
  <c r="L295" i="10"/>
  <c r="AD294" i="10"/>
  <c r="L294" i="10"/>
  <c r="AD293" i="10"/>
  <c r="L293" i="10"/>
  <c r="AD292" i="10"/>
  <c r="L292" i="10"/>
  <c r="AD291" i="10"/>
  <c r="L291" i="10"/>
  <c r="AD290" i="10"/>
  <c r="L290" i="10"/>
  <c r="AD289" i="10"/>
  <c r="L289" i="10"/>
  <c r="AD288" i="10"/>
  <c r="L288" i="10"/>
  <c r="AD287" i="10"/>
  <c r="L287" i="10"/>
  <c r="AD286" i="10"/>
  <c r="L286" i="10"/>
  <c r="AD285" i="10"/>
  <c r="L285" i="10"/>
  <c r="AD284" i="10"/>
  <c r="L284" i="10"/>
  <c r="AD283" i="10"/>
  <c r="L283" i="10"/>
  <c r="AD282" i="10"/>
  <c r="L282" i="10"/>
  <c r="AD281" i="10"/>
  <c r="L281" i="10"/>
  <c r="AD280" i="10"/>
  <c r="L280" i="10"/>
  <c r="AD279" i="10"/>
  <c r="L279" i="10"/>
  <c r="AD278" i="10"/>
  <c r="L278" i="10"/>
  <c r="AD277" i="10"/>
  <c r="L277" i="10"/>
  <c r="AD276" i="10"/>
  <c r="L276" i="10"/>
  <c r="AD275" i="10"/>
  <c r="L275" i="10"/>
  <c r="AD274" i="10"/>
  <c r="L274" i="10"/>
  <c r="AD273" i="10"/>
  <c r="L273" i="10"/>
  <c r="AD272" i="10"/>
  <c r="L272" i="10"/>
  <c r="AD271" i="10"/>
  <c r="L271" i="10"/>
  <c r="AD270" i="10"/>
  <c r="L270" i="10"/>
  <c r="AD269" i="10"/>
  <c r="L269" i="10"/>
  <c r="AD268" i="10"/>
  <c r="L268" i="10"/>
  <c r="AD267" i="10"/>
  <c r="L267" i="10"/>
  <c r="AD266" i="10"/>
  <c r="L266" i="10"/>
  <c r="AD265" i="10"/>
  <c r="L265" i="10"/>
  <c r="AD264" i="10"/>
  <c r="L264" i="10"/>
  <c r="AD263" i="10"/>
  <c r="L263" i="10"/>
  <c r="AD262" i="10"/>
  <c r="L262" i="10"/>
  <c r="AD261" i="10"/>
  <c r="L261" i="10"/>
  <c r="AD260" i="10"/>
  <c r="L260" i="10"/>
  <c r="AD259" i="10"/>
  <c r="L259" i="10"/>
  <c r="AD258" i="10"/>
  <c r="L258" i="10"/>
  <c r="AD257" i="10"/>
  <c r="L257" i="10"/>
  <c r="AD256" i="10"/>
  <c r="L256" i="10"/>
  <c r="AD255" i="10"/>
  <c r="L255" i="10"/>
  <c r="AD254" i="10"/>
  <c r="L254" i="10"/>
  <c r="AD253" i="10"/>
  <c r="L253" i="10"/>
  <c r="AD252" i="10"/>
  <c r="L252" i="10"/>
  <c r="AD251" i="10"/>
  <c r="L251" i="10"/>
  <c r="AD250" i="10"/>
  <c r="L250" i="10"/>
  <c r="AD249" i="10"/>
  <c r="L249" i="10"/>
  <c r="AD248" i="10"/>
  <c r="L248" i="10"/>
  <c r="AD247" i="10"/>
  <c r="L247" i="10"/>
  <c r="AD246" i="10"/>
  <c r="L246" i="10"/>
  <c r="AD245" i="10"/>
  <c r="L245" i="10"/>
  <c r="AD244" i="10"/>
  <c r="L244" i="10"/>
  <c r="AD243" i="10"/>
  <c r="L243" i="10"/>
  <c r="AD242" i="10"/>
  <c r="L242" i="10"/>
  <c r="AD241" i="10"/>
  <c r="L241" i="10"/>
  <c r="AD240" i="10"/>
  <c r="L240" i="10"/>
  <c r="AD239" i="10"/>
  <c r="L239" i="10"/>
  <c r="AD238" i="10"/>
  <c r="L238" i="10"/>
  <c r="AD237" i="10"/>
  <c r="L237" i="10"/>
  <c r="AD236" i="10"/>
  <c r="L236" i="10"/>
  <c r="AD235" i="10"/>
  <c r="L235" i="10"/>
  <c r="AD234" i="10"/>
  <c r="L234" i="10"/>
  <c r="AD233" i="10"/>
  <c r="L233" i="10"/>
  <c r="AD232" i="10"/>
  <c r="L232" i="10"/>
  <c r="AD231" i="10"/>
  <c r="L231" i="10"/>
  <c r="AD230" i="10"/>
  <c r="L230" i="10"/>
  <c r="AD229" i="10"/>
  <c r="L229" i="10"/>
  <c r="AD228" i="10"/>
  <c r="L228" i="10"/>
  <c r="AD227" i="10"/>
  <c r="L227" i="10"/>
  <c r="AD226" i="10"/>
  <c r="L226" i="10"/>
  <c r="AD225" i="10"/>
  <c r="L225" i="10"/>
  <c r="AD224" i="10"/>
  <c r="L224" i="10"/>
  <c r="AD223" i="10"/>
  <c r="L223" i="10"/>
  <c r="AD222" i="10"/>
  <c r="L222" i="10"/>
  <c r="AD221" i="10"/>
  <c r="L221" i="10"/>
  <c r="AD220" i="10"/>
  <c r="L220" i="10"/>
  <c r="AD219" i="10"/>
  <c r="L219" i="10"/>
  <c r="AD218" i="10"/>
  <c r="L218" i="10"/>
  <c r="AD217" i="10"/>
  <c r="L217" i="10"/>
  <c r="AD216" i="10"/>
  <c r="L216" i="10"/>
  <c r="AD215" i="10"/>
  <c r="L215" i="10"/>
  <c r="AD214" i="10"/>
  <c r="L214" i="10"/>
  <c r="AD213" i="10"/>
  <c r="L213" i="10"/>
  <c r="AD212" i="10"/>
  <c r="L212" i="10"/>
  <c r="AD211" i="10"/>
  <c r="L211" i="10"/>
  <c r="AD210" i="10"/>
  <c r="L210" i="10"/>
  <c r="AD209" i="10"/>
  <c r="L209" i="10"/>
  <c r="AD208" i="10"/>
  <c r="L208" i="10"/>
  <c r="AD207" i="10"/>
  <c r="L207" i="10"/>
  <c r="AD206" i="10"/>
  <c r="L206" i="10"/>
  <c r="AD205" i="10"/>
  <c r="L205" i="10"/>
  <c r="AD204" i="10"/>
  <c r="L204" i="10"/>
  <c r="AD203" i="10"/>
  <c r="L203" i="10"/>
  <c r="AD202" i="10"/>
  <c r="L202" i="10"/>
  <c r="AD201" i="10"/>
  <c r="L201" i="10"/>
  <c r="AD200" i="10"/>
  <c r="L200" i="10"/>
  <c r="AD199" i="10"/>
  <c r="L199" i="10"/>
  <c r="AD198" i="10"/>
  <c r="L198" i="10"/>
  <c r="AD197" i="10"/>
  <c r="L197" i="10"/>
  <c r="AD196" i="10"/>
  <c r="L196" i="10"/>
  <c r="AD195" i="10"/>
  <c r="L195" i="10"/>
  <c r="AD194" i="10"/>
  <c r="L194" i="10"/>
  <c r="AD193" i="10"/>
  <c r="L193" i="10"/>
  <c r="AD192" i="10"/>
  <c r="L192" i="10"/>
  <c r="AD191" i="10"/>
  <c r="L191" i="10"/>
  <c r="AD190" i="10"/>
  <c r="L190" i="10"/>
  <c r="AD189" i="10"/>
  <c r="L189" i="10"/>
  <c r="AD188" i="10"/>
  <c r="L188" i="10"/>
  <c r="AD187" i="10"/>
  <c r="L187" i="10"/>
  <c r="AD186" i="10"/>
  <c r="L186" i="10"/>
  <c r="AD185" i="10"/>
  <c r="L185" i="10"/>
  <c r="AD184" i="10"/>
  <c r="L184" i="10"/>
  <c r="AD183" i="10"/>
  <c r="L183" i="10"/>
  <c r="AD182" i="10"/>
  <c r="L182" i="10"/>
  <c r="AD181" i="10"/>
  <c r="L181" i="10"/>
  <c r="AD180" i="10"/>
  <c r="L180" i="10"/>
  <c r="AD179" i="10"/>
  <c r="L179" i="10"/>
  <c r="AD178" i="10"/>
  <c r="L178" i="10"/>
  <c r="AD177" i="10"/>
  <c r="L177" i="10"/>
  <c r="AD176" i="10"/>
  <c r="L176" i="10"/>
  <c r="AD175" i="10"/>
  <c r="L175" i="10"/>
  <c r="AD174" i="10"/>
  <c r="L174" i="10"/>
  <c r="AD173" i="10"/>
  <c r="L173" i="10"/>
  <c r="AD172" i="10"/>
  <c r="L172" i="10"/>
  <c r="AD171" i="10"/>
  <c r="L171" i="10"/>
  <c r="AD170" i="10"/>
  <c r="L170" i="10"/>
  <c r="AD169" i="10"/>
  <c r="L169" i="10"/>
  <c r="AD168" i="10"/>
  <c r="L168" i="10"/>
  <c r="AD167" i="10"/>
  <c r="L167" i="10"/>
  <c r="AD166" i="10"/>
  <c r="L166" i="10"/>
  <c r="AD165" i="10"/>
  <c r="L165" i="10"/>
  <c r="AD164" i="10"/>
  <c r="L164" i="10"/>
  <c r="AD163" i="10"/>
  <c r="L163" i="10"/>
  <c r="AD162" i="10"/>
  <c r="L162" i="10"/>
  <c r="AD161" i="10"/>
  <c r="L161" i="10"/>
  <c r="AD160" i="10"/>
  <c r="L160" i="10"/>
  <c r="AD159" i="10"/>
  <c r="L159" i="10"/>
  <c r="AD158" i="10"/>
  <c r="L158" i="10"/>
  <c r="AD157" i="10"/>
  <c r="L157" i="10"/>
  <c r="AD156" i="10"/>
  <c r="L156" i="10"/>
  <c r="AD155" i="10"/>
  <c r="L155" i="10"/>
  <c r="AD154" i="10"/>
  <c r="L154" i="10"/>
  <c r="AD153" i="10"/>
  <c r="L153" i="10"/>
  <c r="AD152" i="10"/>
  <c r="L152" i="10"/>
  <c r="AD151" i="10"/>
  <c r="L151" i="10"/>
  <c r="AD150" i="10"/>
  <c r="L150" i="10"/>
  <c r="AD149" i="10"/>
  <c r="L149" i="10"/>
  <c r="AD148" i="10"/>
  <c r="L148" i="10"/>
  <c r="AD147" i="10"/>
  <c r="L147" i="10"/>
  <c r="AD146" i="10"/>
  <c r="L146" i="10"/>
  <c r="AD145" i="10"/>
  <c r="L145" i="10"/>
  <c r="AD144" i="10"/>
  <c r="L144" i="10"/>
  <c r="AD143" i="10"/>
  <c r="L143" i="10"/>
  <c r="AD142" i="10"/>
  <c r="L142" i="10"/>
  <c r="AD141" i="10"/>
  <c r="L141" i="10"/>
  <c r="AD140" i="10"/>
  <c r="L140" i="10"/>
  <c r="AD139" i="10"/>
  <c r="L139" i="10"/>
  <c r="AD138" i="10"/>
  <c r="L138" i="10"/>
  <c r="AD137" i="10"/>
  <c r="L137" i="10"/>
  <c r="AD136" i="10"/>
  <c r="L136" i="10"/>
  <c r="AD135" i="10"/>
  <c r="L135" i="10"/>
  <c r="AD134" i="10"/>
  <c r="L134" i="10"/>
  <c r="AD133" i="10"/>
  <c r="L133" i="10"/>
  <c r="AD132" i="10"/>
  <c r="L132" i="10"/>
  <c r="AD131" i="10"/>
  <c r="L131" i="10"/>
  <c r="AD130" i="10"/>
  <c r="L130" i="10"/>
  <c r="AD129" i="10"/>
  <c r="L129" i="10"/>
  <c r="AD128" i="10"/>
  <c r="L128" i="10"/>
  <c r="AD127" i="10"/>
  <c r="L127" i="10"/>
  <c r="AD126" i="10"/>
  <c r="L126" i="10"/>
  <c r="AD125" i="10"/>
  <c r="L125" i="10"/>
  <c r="AD124" i="10"/>
  <c r="L124" i="10"/>
  <c r="AD123" i="10"/>
  <c r="L123" i="10"/>
  <c r="AD122" i="10"/>
  <c r="L122" i="10"/>
  <c r="AD121" i="10"/>
  <c r="L121" i="10"/>
  <c r="AD120" i="10"/>
  <c r="L120" i="10"/>
  <c r="AD119" i="10"/>
  <c r="L119" i="10"/>
  <c r="AD118" i="10"/>
  <c r="L118" i="10"/>
  <c r="AD117" i="10"/>
  <c r="L117" i="10"/>
  <c r="AD116" i="10"/>
  <c r="L116" i="10"/>
  <c r="AD115" i="10"/>
  <c r="L115" i="10"/>
  <c r="AD114" i="10"/>
  <c r="L114" i="10"/>
  <c r="AD113" i="10"/>
  <c r="L113" i="10"/>
  <c r="AD112" i="10"/>
  <c r="L112" i="10"/>
  <c r="AD111" i="10"/>
  <c r="L111" i="10"/>
  <c r="AD110" i="10"/>
  <c r="L110" i="10"/>
  <c r="AD109" i="10"/>
  <c r="L109" i="10"/>
  <c r="AD108" i="10"/>
  <c r="L108" i="10"/>
  <c r="AD107" i="10"/>
  <c r="L107" i="10"/>
  <c r="AD106" i="10"/>
  <c r="L106" i="10"/>
  <c r="AD105" i="10"/>
  <c r="L105" i="10"/>
  <c r="AD104" i="10"/>
  <c r="L104" i="10"/>
  <c r="AD103" i="10"/>
  <c r="L103" i="10"/>
  <c r="AD102" i="10"/>
  <c r="L102" i="10"/>
  <c r="AD101" i="10"/>
  <c r="L101" i="10"/>
  <c r="AD100" i="10"/>
  <c r="L100" i="10"/>
  <c r="AD99" i="10"/>
  <c r="L99" i="10"/>
  <c r="AD98" i="10"/>
  <c r="L98" i="10"/>
  <c r="AD97" i="10"/>
  <c r="L97" i="10"/>
  <c r="AD96" i="10"/>
  <c r="L96" i="10"/>
  <c r="AD95" i="10"/>
  <c r="L95" i="10"/>
  <c r="AD94" i="10"/>
  <c r="L94" i="10"/>
  <c r="AD93" i="10"/>
  <c r="L93" i="10"/>
  <c r="AD92" i="10"/>
  <c r="L92" i="10"/>
  <c r="AD91" i="10"/>
  <c r="L91" i="10"/>
  <c r="AD90" i="10"/>
  <c r="L90" i="10"/>
  <c r="AD89" i="10"/>
  <c r="L89" i="10"/>
  <c r="AD88" i="10"/>
  <c r="L88" i="10"/>
  <c r="AD87" i="10"/>
  <c r="L87" i="10"/>
  <c r="AD86" i="10"/>
  <c r="L86" i="10"/>
  <c r="AD85" i="10"/>
  <c r="L85" i="10"/>
  <c r="AD84" i="10"/>
  <c r="L84" i="10"/>
  <c r="AD83" i="10"/>
  <c r="L83" i="10"/>
  <c r="AD82" i="10"/>
  <c r="L82" i="10"/>
  <c r="AD81" i="10"/>
  <c r="L81" i="10"/>
  <c r="AD80" i="10"/>
  <c r="L80" i="10"/>
  <c r="AD79" i="10"/>
  <c r="L79" i="10"/>
  <c r="AD78" i="10"/>
  <c r="L78" i="10"/>
  <c r="AD77" i="10"/>
  <c r="L77" i="10"/>
  <c r="AD76" i="10"/>
  <c r="L76" i="10"/>
  <c r="AD75" i="10"/>
  <c r="L75" i="10"/>
  <c r="AD74" i="10"/>
  <c r="L74" i="10"/>
  <c r="AD73" i="10"/>
  <c r="L73" i="10"/>
  <c r="AD72" i="10"/>
  <c r="L72" i="10"/>
  <c r="AD71" i="10"/>
  <c r="L71" i="10"/>
  <c r="AD70" i="10"/>
  <c r="L70" i="10"/>
  <c r="AD69" i="10"/>
  <c r="L69" i="10"/>
  <c r="AD68" i="10"/>
  <c r="L68" i="10"/>
  <c r="AD67" i="10"/>
  <c r="L67" i="10"/>
  <c r="AD66" i="10"/>
  <c r="L66" i="10"/>
  <c r="AD65" i="10"/>
  <c r="L65" i="10"/>
  <c r="AD64" i="10"/>
  <c r="L64" i="10"/>
  <c r="AD63" i="10"/>
  <c r="L63" i="10"/>
  <c r="AD62" i="10"/>
  <c r="L62" i="10"/>
  <c r="AD61" i="10"/>
  <c r="L61" i="10"/>
  <c r="AC46" i="10"/>
  <c r="AB46" i="10"/>
  <c r="AA46" i="10"/>
  <c r="Z46" i="10"/>
  <c r="Y46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AC45" i="10"/>
  <c r="AC49" i="10" s="1"/>
  <c r="AC50" i="10" s="1"/>
  <c r="AB45" i="10"/>
  <c r="AB49" i="10" s="1"/>
  <c r="AB50" i="10" s="1"/>
  <c r="AA45" i="10"/>
  <c r="AA49" i="10" s="1"/>
  <c r="AA50" i="10" s="1"/>
  <c r="Z45" i="10"/>
  <c r="Z49" i="10" s="1"/>
  <c r="Z50" i="10" s="1"/>
  <c r="Y45" i="10"/>
  <c r="Y48" i="10" s="1"/>
  <c r="X45" i="10"/>
  <c r="X49" i="10" s="1"/>
  <c r="X50" i="10" s="1"/>
  <c r="W45" i="10"/>
  <c r="W49" i="10" s="1"/>
  <c r="W50" i="10" s="1"/>
  <c r="V45" i="10"/>
  <c r="V49" i="10" s="1"/>
  <c r="V50" i="10" s="1"/>
  <c r="U45" i="10"/>
  <c r="U49" i="10" s="1"/>
  <c r="U50" i="10" s="1"/>
  <c r="T45" i="10"/>
  <c r="T49" i="10" s="1"/>
  <c r="T50" i="10" s="1"/>
  <c r="S45" i="10"/>
  <c r="S49" i="10" s="1"/>
  <c r="S50" i="10" s="1"/>
  <c r="R45" i="10"/>
  <c r="R49" i="10" s="1"/>
  <c r="R50" i="10" s="1"/>
  <c r="Q45" i="10"/>
  <c r="Q49" i="10" s="1"/>
  <c r="Q50" i="10" s="1"/>
  <c r="P45" i="10"/>
  <c r="P49" i="10" s="1"/>
  <c r="P50" i="10" s="1"/>
  <c r="O45" i="10"/>
  <c r="O49" i="10" s="1"/>
  <c r="O50" i="10" s="1"/>
  <c r="N45" i="10"/>
  <c r="N49" i="10" s="1"/>
  <c r="N50" i="10" s="1"/>
  <c r="M45" i="10"/>
  <c r="M48" i="10" s="1"/>
  <c r="L45" i="10"/>
  <c r="L49" i="10" s="1"/>
  <c r="L50" i="10" s="1"/>
  <c r="K45" i="10"/>
  <c r="K49" i="10" s="1"/>
  <c r="K50" i="10" s="1"/>
  <c r="J45" i="10"/>
  <c r="J49" i="10" s="1"/>
  <c r="J50" i="10" s="1"/>
  <c r="I45" i="10"/>
  <c r="I49" i="10" s="1"/>
  <c r="I50" i="10" s="1"/>
  <c r="H45" i="10"/>
  <c r="H49" i="10" s="1"/>
  <c r="H50" i="10" s="1"/>
  <c r="G45" i="10"/>
  <c r="G49" i="10" s="1"/>
  <c r="G50" i="10" s="1"/>
  <c r="F45" i="10"/>
  <c r="F49" i="10" s="1"/>
  <c r="F50" i="10" s="1"/>
  <c r="E45" i="10"/>
  <c r="E49" i="10" s="1"/>
  <c r="E50" i="10" s="1"/>
  <c r="AC44" i="10"/>
  <c r="AB44" i="10"/>
  <c r="AA44" i="10"/>
  <c r="Z44" i="10"/>
  <c r="Y44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AC43" i="10"/>
  <c r="AB43" i="10"/>
  <c r="AA43" i="10"/>
  <c r="Z43" i="10"/>
  <c r="Y43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AC42" i="10"/>
  <c r="AC47" i="10" s="1"/>
  <c r="AB42" i="10"/>
  <c r="AB47" i="10" s="1"/>
  <c r="AA42" i="10"/>
  <c r="AA47" i="10" s="1"/>
  <c r="Z42" i="10"/>
  <c r="Z47" i="10" s="1"/>
  <c r="Y42" i="10"/>
  <c r="Y47" i="10" s="1"/>
  <c r="X42" i="10"/>
  <c r="X47" i="10" s="1"/>
  <c r="W42" i="10"/>
  <c r="W47" i="10" s="1"/>
  <c r="V42" i="10"/>
  <c r="V47" i="10" s="1"/>
  <c r="U42" i="10"/>
  <c r="U47" i="10" s="1"/>
  <c r="T42" i="10"/>
  <c r="T47" i="10" s="1"/>
  <c r="S42" i="10"/>
  <c r="S47" i="10" s="1"/>
  <c r="R42" i="10"/>
  <c r="R47" i="10" s="1"/>
  <c r="Q42" i="10"/>
  <c r="Q47" i="10" s="1"/>
  <c r="P42" i="10"/>
  <c r="P47" i="10" s="1"/>
  <c r="O42" i="10"/>
  <c r="O47" i="10" s="1"/>
  <c r="N42" i="10"/>
  <c r="N47" i="10" s="1"/>
  <c r="M42" i="10"/>
  <c r="M47" i="10" s="1"/>
  <c r="L42" i="10"/>
  <c r="L47" i="10" s="1"/>
  <c r="K42" i="10"/>
  <c r="K47" i="10" s="1"/>
  <c r="J42" i="10"/>
  <c r="J47" i="10" s="1"/>
  <c r="I42" i="10"/>
  <c r="I47" i="10" s="1"/>
  <c r="H42" i="10"/>
  <c r="H47" i="10" s="1"/>
  <c r="G42" i="10"/>
  <c r="G47" i="10" s="1"/>
  <c r="F42" i="10"/>
  <c r="F47" i="10" s="1"/>
  <c r="E42" i="10"/>
  <c r="E47" i="10" s="1"/>
  <c r="AC41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AC40" i="10"/>
  <c r="AB40" i="10"/>
  <c r="AA40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AC39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AC38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AC37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AC36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AC35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AC34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AC33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AC32" i="10"/>
  <c r="AB32" i="10"/>
  <c r="AA32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AC31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AC30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AC29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AB23" i="10"/>
  <c r="AB24" i="10" s="1"/>
  <c r="AA23" i="10"/>
  <c r="AA24" i="10" s="1"/>
  <c r="R23" i="10"/>
  <c r="R24" i="10" s="1"/>
  <c r="O23" i="10"/>
  <c r="O24" i="10" s="1"/>
  <c r="F23" i="10"/>
  <c r="F24" i="10" s="1"/>
  <c r="AC22" i="10"/>
  <c r="AB22" i="10"/>
  <c r="R22" i="10"/>
  <c r="Q22" i="10"/>
  <c r="P22" i="10"/>
  <c r="F22" i="10"/>
  <c r="E22" i="10"/>
  <c r="AC21" i="10"/>
  <c r="T21" i="10"/>
  <c r="R21" i="10"/>
  <c r="Q21" i="10"/>
  <c r="H21" i="10"/>
  <c r="F21" i="10"/>
  <c r="E21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AC19" i="10"/>
  <c r="AB19" i="10"/>
  <c r="AA19" i="10"/>
  <c r="AA22" i="10" s="1"/>
  <c r="Z19" i="10"/>
  <c r="Z23" i="10" s="1"/>
  <c r="Z24" i="10" s="1"/>
  <c r="Y19" i="10"/>
  <c r="Y23" i="10" s="1"/>
  <c r="Y24" i="10" s="1"/>
  <c r="X19" i="10"/>
  <c r="X23" i="10" s="1"/>
  <c r="X24" i="10" s="1"/>
  <c r="W19" i="10"/>
  <c r="W22" i="10" s="1"/>
  <c r="V19" i="10"/>
  <c r="V23" i="10" s="1"/>
  <c r="V24" i="10" s="1"/>
  <c r="U19" i="10"/>
  <c r="U23" i="10" s="1"/>
  <c r="U24" i="10" s="1"/>
  <c r="T19" i="10"/>
  <c r="T23" i="10" s="1"/>
  <c r="T24" i="10" s="1"/>
  <c r="S19" i="10"/>
  <c r="S23" i="10" s="1"/>
  <c r="S24" i="10" s="1"/>
  <c r="R19" i="10"/>
  <c r="Q19" i="10"/>
  <c r="P19" i="10"/>
  <c r="O19" i="10"/>
  <c r="O22" i="10" s="1"/>
  <c r="N19" i="10"/>
  <c r="N23" i="10" s="1"/>
  <c r="N24" i="10" s="1"/>
  <c r="M19" i="10"/>
  <c r="M23" i="10" s="1"/>
  <c r="M24" i="10" s="1"/>
  <c r="L19" i="10"/>
  <c r="L23" i="10" s="1"/>
  <c r="L24" i="10" s="1"/>
  <c r="K19" i="10"/>
  <c r="K22" i="10" s="1"/>
  <c r="J19" i="10"/>
  <c r="J23" i="10" s="1"/>
  <c r="J24" i="10" s="1"/>
  <c r="I19" i="10"/>
  <c r="I23" i="10" s="1"/>
  <c r="I24" i="10" s="1"/>
  <c r="H19" i="10"/>
  <c r="H23" i="10" s="1"/>
  <c r="H24" i="10" s="1"/>
  <c r="G19" i="10"/>
  <c r="G23" i="10" s="1"/>
  <c r="G24" i="10" s="1"/>
  <c r="F19" i="10"/>
  <c r="E19" i="10"/>
  <c r="AC18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AC17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AC16" i="10"/>
  <c r="AC23" i="10" s="1"/>
  <c r="AC24" i="10" s="1"/>
  <c r="AB16" i="10"/>
  <c r="AB21" i="10" s="1"/>
  <c r="AA16" i="10"/>
  <c r="AA21" i="10" s="1"/>
  <c r="Z16" i="10"/>
  <c r="Z21" i="10" s="1"/>
  <c r="Y16" i="10"/>
  <c r="Y21" i="10" s="1"/>
  <c r="X16" i="10"/>
  <c r="X21" i="10" s="1"/>
  <c r="W16" i="10"/>
  <c r="W21" i="10" s="1"/>
  <c r="V16" i="10"/>
  <c r="V21" i="10" s="1"/>
  <c r="U16" i="10"/>
  <c r="U21" i="10" s="1"/>
  <c r="T16" i="10"/>
  <c r="S16" i="10"/>
  <c r="S21" i="10" s="1"/>
  <c r="R16" i="10"/>
  <c r="Q16" i="10"/>
  <c r="Q23" i="10" s="1"/>
  <c r="Q24" i="10" s="1"/>
  <c r="P16" i="10"/>
  <c r="P23" i="10" s="1"/>
  <c r="P24" i="10" s="1"/>
  <c r="O16" i="10"/>
  <c r="O21" i="10" s="1"/>
  <c r="N16" i="10"/>
  <c r="N21" i="10" s="1"/>
  <c r="M16" i="10"/>
  <c r="M21" i="10" s="1"/>
  <c r="L16" i="10"/>
  <c r="L21" i="10" s="1"/>
  <c r="K16" i="10"/>
  <c r="K21" i="10" s="1"/>
  <c r="J16" i="10"/>
  <c r="J21" i="10" s="1"/>
  <c r="I16" i="10"/>
  <c r="I21" i="10" s="1"/>
  <c r="H16" i="10"/>
  <c r="G16" i="10"/>
  <c r="G21" i="10" s="1"/>
  <c r="F16" i="10"/>
  <c r="E16" i="10"/>
  <c r="E23" i="10" s="1"/>
  <c r="E24" i="10" s="1"/>
  <c r="AC15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AC14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AC13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AC12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AC11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AC5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AO57" i="8"/>
  <c r="AN57" i="8"/>
  <c r="AM57" i="8"/>
  <c r="AL57" i="8"/>
  <c r="AK57" i="8"/>
  <c r="AJ57" i="8"/>
  <c r="AI57" i="8"/>
  <c r="AH57" i="8"/>
  <c r="AG57" i="8"/>
  <c r="AF57" i="8"/>
  <c r="AE57" i="8"/>
  <c r="AD57" i="8"/>
  <c r="AC57" i="8"/>
  <c r="AB57" i="8"/>
  <c r="AA57" i="8"/>
  <c r="Z57" i="8"/>
  <c r="Y57" i="8"/>
  <c r="X57" i="8"/>
  <c r="W57" i="8"/>
  <c r="V57" i="8"/>
  <c r="U57" i="8"/>
  <c r="T57" i="8"/>
  <c r="S57" i="8"/>
  <c r="R57" i="8"/>
  <c r="Q57" i="8"/>
  <c r="P57" i="8"/>
  <c r="O57" i="8"/>
  <c r="N57" i="8"/>
  <c r="M57" i="8"/>
  <c r="L57" i="8"/>
  <c r="K57" i="8"/>
  <c r="J57" i="8"/>
  <c r="I57" i="8"/>
  <c r="H57" i="8"/>
  <c r="G57" i="8"/>
  <c r="F57" i="8"/>
  <c r="E57" i="8"/>
  <c r="D57" i="8"/>
  <c r="AO54" i="8"/>
  <c r="AN54" i="8"/>
  <c r="AM54" i="8"/>
  <c r="AL54" i="8"/>
  <c r="AK54" i="8"/>
  <c r="AJ54" i="8"/>
  <c r="AI54" i="8"/>
  <c r="AH54" i="8"/>
  <c r="AG54" i="8"/>
  <c r="AF54" i="8"/>
  <c r="AE54" i="8"/>
  <c r="AD54" i="8"/>
  <c r="AC54" i="8"/>
  <c r="AB54" i="8"/>
  <c r="AA54" i="8"/>
  <c r="Z54" i="8"/>
  <c r="Y54" i="8"/>
  <c r="X54" i="8"/>
  <c r="W54" i="8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AO51" i="8"/>
  <c r="AN51" i="8"/>
  <c r="AM51" i="8"/>
  <c r="AL51" i="8"/>
  <c r="AK51" i="8"/>
  <c r="AJ51" i="8"/>
  <c r="AI51" i="8"/>
  <c r="AH51" i="8"/>
  <c r="AG51" i="8"/>
  <c r="AF51" i="8"/>
  <c r="AE51" i="8"/>
  <c r="AD51" i="8"/>
  <c r="AC51" i="8"/>
  <c r="AB51" i="8"/>
  <c r="AA51" i="8"/>
  <c r="Z51" i="8"/>
  <c r="Y51" i="8"/>
  <c r="X51" i="8"/>
  <c r="W51" i="8"/>
  <c r="V51" i="8"/>
  <c r="U51" i="8"/>
  <c r="T51" i="8"/>
  <c r="S51" i="8"/>
  <c r="R51" i="8"/>
  <c r="Q51" i="8"/>
  <c r="P51" i="8"/>
  <c r="O51" i="8"/>
  <c r="N51" i="8"/>
  <c r="M51" i="8"/>
  <c r="L51" i="8"/>
  <c r="K51" i="8"/>
  <c r="J51" i="8"/>
  <c r="I51" i="8"/>
  <c r="H51" i="8"/>
  <c r="G51" i="8"/>
  <c r="F51" i="8"/>
  <c r="E51" i="8"/>
  <c r="D51" i="8"/>
  <c r="AO48" i="8"/>
  <c r="AN48" i="8"/>
  <c r="AM48" i="8"/>
  <c r="AL48" i="8"/>
  <c r="AK48" i="8"/>
  <c r="AJ48" i="8"/>
  <c r="AI48" i="8"/>
  <c r="AH48" i="8"/>
  <c r="AG48" i="8"/>
  <c r="AF48" i="8"/>
  <c r="AE48" i="8"/>
  <c r="AD48" i="8"/>
  <c r="AC48" i="8"/>
  <c r="AB48" i="8"/>
  <c r="AA48" i="8"/>
  <c r="Z48" i="8"/>
  <c r="Y48" i="8"/>
  <c r="X48" i="8"/>
  <c r="W48" i="8"/>
  <c r="V48" i="8"/>
  <c r="U48" i="8"/>
  <c r="T48" i="8"/>
  <c r="S48" i="8"/>
  <c r="R48" i="8"/>
  <c r="Q48" i="8"/>
  <c r="P48" i="8"/>
  <c r="O48" i="8"/>
  <c r="N48" i="8"/>
  <c r="M48" i="8"/>
  <c r="L48" i="8"/>
  <c r="K48" i="8"/>
  <c r="J48" i="8"/>
  <c r="I48" i="8"/>
  <c r="H48" i="8"/>
  <c r="G48" i="8"/>
  <c r="F48" i="8"/>
  <c r="E48" i="8"/>
  <c r="D48" i="8"/>
  <c r="AO45" i="8"/>
  <c r="AN45" i="8"/>
  <c r="AM45" i="8"/>
  <c r="AL45" i="8"/>
  <c r="AK45" i="8"/>
  <c r="AJ45" i="8"/>
  <c r="AI45" i="8"/>
  <c r="AH45" i="8"/>
  <c r="AG45" i="8"/>
  <c r="AF45" i="8"/>
  <c r="AE45" i="8"/>
  <c r="AD45" i="8"/>
  <c r="AC45" i="8"/>
  <c r="AB45" i="8"/>
  <c r="AA45" i="8"/>
  <c r="Z45" i="8"/>
  <c r="Y45" i="8"/>
  <c r="X45" i="8"/>
  <c r="W45" i="8"/>
  <c r="V45" i="8"/>
  <c r="U45" i="8"/>
  <c r="T45" i="8"/>
  <c r="S45" i="8"/>
  <c r="R45" i="8"/>
  <c r="Q45" i="8"/>
  <c r="P45" i="8"/>
  <c r="O45" i="8"/>
  <c r="N45" i="8"/>
  <c r="M45" i="8"/>
  <c r="L45" i="8"/>
  <c r="K45" i="8"/>
  <c r="J45" i="8"/>
  <c r="I45" i="8"/>
  <c r="H45" i="8"/>
  <c r="G45" i="8"/>
  <c r="F45" i="8"/>
  <c r="E45" i="8"/>
  <c r="D45" i="8"/>
  <c r="AO42" i="8"/>
  <c r="AN42" i="8"/>
  <c r="AM42" i="8"/>
  <c r="AL42" i="8"/>
  <c r="AK42" i="8"/>
  <c r="AJ42" i="8"/>
  <c r="AI42" i="8"/>
  <c r="AH42" i="8"/>
  <c r="AG42" i="8"/>
  <c r="AF42" i="8"/>
  <c r="AE42" i="8"/>
  <c r="AD42" i="8"/>
  <c r="AC42" i="8"/>
  <c r="AB42" i="8"/>
  <c r="AA42" i="8"/>
  <c r="Z42" i="8"/>
  <c r="Y42" i="8"/>
  <c r="X42" i="8"/>
  <c r="W42" i="8"/>
  <c r="V42" i="8"/>
  <c r="U42" i="8"/>
  <c r="T42" i="8"/>
  <c r="S42" i="8"/>
  <c r="R42" i="8"/>
  <c r="Q42" i="8"/>
  <c r="P42" i="8"/>
  <c r="O42" i="8"/>
  <c r="N42" i="8"/>
  <c r="M42" i="8"/>
  <c r="L42" i="8"/>
  <c r="K42" i="8"/>
  <c r="J42" i="8"/>
  <c r="I42" i="8"/>
  <c r="H42" i="8"/>
  <c r="G42" i="8"/>
  <c r="F42" i="8"/>
  <c r="E42" i="8"/>
  <c r="D42" i="8"/>
  <c r="AO39" i="8"/>
  <c r="AN39" i="8"/>
  <c r="AM39" i="8"/>
  <c r="AL39" i="8"/>
  <c r="AK39" i="8"/>
  <c r="AJ39" i="8"/>
  <c r="AI39" i="8"/>
  <c r="AH39" i="8"/>
  <c r="AG39" i="8"/>
  <c r="AF39" i="8"/>
  <c r="AE39" i="8"/>
  <c r="AD39" i="8"/>
  <c r="AC39" i="8"/>
  <c r="AB39" i="8"/>
  <c r="AA39" i="8"/>
  <c r="Z39" i="8"/>
  <c r="Y39" i="8"/>
  <c r="X39" i="8"/>
  <c r="W39" i="8"/>
  <c r="V39" i="8"/>
  <c r="U39" i="8"/>
  <c r="T39" i="8"/>
  <c r="S39" i="8"/>
  <c r="R39" i="8"/>
  <c r="Q39" i="8"/>
  <c r="P39" i="8"/>
  <c r="O39" i="8"/>
  <c r="N39" i="8"/>
  <c r="M39" i="8"/>
  <c r="L39" i="8"/>
  <c r="K39" i="8"/>
  <c r="J39" i="8"/>
  <c r="I39" i="8"/>
  <c r="H39" i="8"/>
  <c r="G39" i="8"/>
  <c r="F39" i="8"/>
  <c r="E39" i="8"/>
  <c r="D39" i="8"/>
  <c r="AO36" i="8"/>
  <c r="AN36" i="8"/>
  <c r="AM36" i="8"/>
  <c r="AL36" i="8"/>
  <c r="AK36" i="8"/>
  <c r="AJ36" i="8"/>
  <c r="AI36" i="8"/>
  <c r="AH36" i="8"/>
  <c r="AG36" i="8"/>
  <c r="AF36" i="8"/>
  <c r="AE36" i="8"/>
  <c r="AD36" i="8"/>
  <c r="AC36" i="8"/>
  <c r="AB36" i="8"/>
  <c r="AA36" i="8"/>
  <c r="Z36" i="8"/>
  <c r="Y36" i="8"/>
  <c r="X36" i="8"/>
  <c r="W36" i="8"/>
  <c r="V36" i="8"/>
  <c r="U36" i="8"/>
  <c r="T36" i="8"/>
  <c r="S36" i="8"/>
  <c r="R36" i="8"/>
  <c r="Q36" i="8"/>
  <c r="P36" i="8"/>
  <c r="O36" i="8"/>
  <c r="N36" i="8"/>
  <c r="M36" i="8"/>
  <c r="L36" i="8"/>
  <c r="K36" i="8"/>
  <c r="J36" i="8"/>
  <c r="I36" i="8"/>
  <c r="H36" i="8"/>
  <c r="G36" i="8"/>
  <c r="F36" i="8"/>
  <c r="E36" i="8"/>
  <c r="D36" i="8"/>
  <c r="AO33" i="8"/>
  <c r="AN33" i="8"/>
  <c r="AM33" i="8"/>
  <c r="AL33" i="8"/>
  <c r="AK33" i="8"/>
  <c r="AJ33" i="8"/>
  <c r="AI33" i="8"/>
  <c r="AH33" i="8"/>
  <c r="AG33" i="8"/>
  <c r="AF33" i="8"/>
  <c r="AE33" i="8"/>
  <c r="AD33" i="8"/>
  <c r="AC33" i="8"/>
  <c r="AB33" i="8"/>
  <c r="AA33" i="8"/>
  <c r="Z33" i="8"/>
  <c r="Y33" i="8"/>
  <c r="X33" i="8"/>
  <c r="W33" i="8"/>
  <c r="V33" i="8"/>
  <c r="U33" i="8"/>
  <c r="T33" i="8"/>
  <c r="S33" i="8"/>
  <c r="R33" i="8"/>
  <c r="Q33" i="8"/>
  <c r="P33" i="8"/>
  <c r="O33" i="8"/>
  <c r="N33" i="8"/>
  <c r="M33" i="8"/>
  <c r="L33" i="8"/>
  <c r="K33" i="8"/>
  <c r="J33" i="8"/>
  <c r="I33" i="8"/>
  <c r="H33" i="8"/>
  <c r="G33" i="8"/>
  <c r="F33" i="8"/>
  <c r="E33" i="8"/>
  <c r="D33" i="8"/>
  <c r="AO30" i="8"/>
  <c r="AN30" i="8"/>
  <c r="AM30" i="8"/>
  <c r="AL30" i="8"/>
  <c r="AK30" i="8"/>
  <c r="AJ30" i="8"/>
  <c r="AI30" i="8"/>
  <c r="AH30" i="8"/>
  <c r="AG30" i="8"/>
  <c r="AF30" i="8"/>
  <c r="AE30" i="8"/>
  <c r="AD30" i="8"/>
  <c r="AC30" i="8"/>
  <c r="AB30" i="8"/>
  <c r="AA30" i="8"/>
  <c r="Z30" i="8"/>
  <c r="Y30" i="8"/>
  <c r="X30" i="8"/>
  <c r="W30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AO27" i="8"/>
  <c r="AN27" i="8"/>
  <c r="AM27" i="8"/>
  <c r="AL27" i="8"/>
  <c r="AK27" i="8"/>
  <c r="AJ27" i="8"/>
  <c r="AI27" i="8"/>
  <c r="AH27" i="8"/>
  <c r="AG27" i="8"/>
  <c r="AF27" i="8"/>
  <c r="AE27" i="8"/>
  <c r="AD27" i="8"/>
  <c r="AC27" i="8"/>
  <c r="AB27" i="8"/>
  <c r="AA27" i="8"/>
  <c r="Z27" i="8"/>
  <c r="Y27" i="8"/>
  <c r="X27" i="8"/>
  <c r="W27" i="8"/>
  <c r="V27" i="8"/>
  <c r="U27" i="8"/>
  <c r="T27" i="8"/>
  <c r="S27" i="8"/>
  <c r="R27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AO24" i="8"/>
  <c r="AN24" i="8"/>
  <c r="AM24" i="8"/>
  <c r="AL24" i="8"/>
  <c r="AK24" i="8"/>
  <c r="AJ24" i="8"/>
  <c r="AI24" i="8"/>
  <c r="AH24" i="8"/>
  <c r="AG24" i="8"/>
  <c r="AF24" i="8"/>
  <c r="AE24" i="8"/>
  <c r="AD24" i="8"/>
  <c r="AC24" i="8"/>
  <c r="AB24" i="8"/>
  <c r="AA24" i="8"/>
  <c r="Z24" i="8"/>
  <c r="Y24" i="8"/>
  <c r="X24" i="8"/>
  <c r="W24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AO21" i="8"/>
  <c r="AN21" i="8"/>
  <c r="AM21" i="8"/>
  <c r="AL21" i="8"/>
  <c r="AK21" i="8"/>
  <c r="AJ21" i="8"/>
  <c r="AI21" i="8"/>
  <c r="AH21" i="8"/>
  <c r="AG21" i="8"/>
  <c r="AF21" i="8"/>
  <c r="AE21" i="8"/>
  <c r="AD21" i="8"/>
  <c r="AC21" i="8"/>
  <c r="AB21" i="8"/>
  <c r="AA21" i="8"/>
  <c r="Z21" i="8"/>
  <c r="Y21" i="8"/>
  <c r="X21" i="8"/>
  <c r="W21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AO18" i="8"/>
  <c r="AN18" i="8"/>
  <c r="AM18" i="8"/>
  <c r="AL18" i="8"/>
  <c r="AK18" i="8"/>
  <c r="AJ18" i="8"/>
  <c r="AI18" i="8"/>
  <c r="AH18" i="8"/>
  <c r="AG18" i="8"/>
  <c r="AF18" i="8"/>
  <c r="AE18" i="8"/>
  <c r="AD18" i="8"/>
  <c r="AC18" i="8"/>
  <c r="AB18" i="8"/>
  <c r="AA18" i="8"/>
  <c r="Z18" i="8"/>
  <c r="Y18" i="8"/>
  <c r="X18" i="8"/>
  <c r="W18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AO15" i="8"/>
  <c r="AN15" i="8"/>
  <c r="AM15" i="8"/>
  <c r="AL15" i="8"/>
  <c r="AK15" i="8"/>
  <c r="AJ15" i="8"/>
  <c r="AI15" i="8"/>
  <c r="AH15" i="8"/>
  <c r="AG15" i="8"/>
  <c r="AF15" i="8"/>
  <c r="AE15" i="8"/>
  <c r="AD15" i="8"/>
  <c r="AC15" i="8"/>
  <c r="AB15" i="8"/>
  <c r="AA15" i="8"/>
  <c r="Z15" i="8"/>
  <c r="Y15" i="8"/>
  <c r="X15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AO12" i="8"/>
  <c r="AN12" i="8"/>
  <c r="AM12" i="8"/>
  <c r="AL12" i="8"/>
  <c r="AK12" i="8"/>
  <c r="AJ12" i="8"/>
  <c r="AI12" i="8"/>
  <c r="AH12" i="8"/>
  <c r="AG12" i="8"/>
  <c r="AF12" i="8"/>
  <c r="AE12" i="8"/>
  <c r="AD12" i="8"/>
  <c r="AC12" i="8"/>
  <c r="AB12" i="8"/>
  <c r="AA12" i="8"/>
  <c r="Z12" i="8"/>
  <c r="Y12" i="8"/>
  <c r="X12" i="8"/>
  <c r="W12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AO9" i="8"/>
  <c r="AN9" i="8"/>
  <c r="AM9" i="8"/>
  <c r="AL9" i="8"/>
  <c r="AK9" i="8"/>
  <c r="AJ9" i="8"/>
  <c r="AI9" i="8"/>
  <c r="AH9" i="8"/>
  <c r="AG9" i="8"/>
  <c r="AF9" i="8"/>
  <c r="AE9" i="8"/>
  <c r="AD9" i="8"/>
  <c r="AC9" i="8"/>
  <c r="AB9" i="8"/>
  <c r="AA9" i="8"/>
  <c r="Z9" i="8"/>
  <c r="Y9" i="8"/>
  <c r="X9" i="8"/>
  <c r="W9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AO6" i="8"/>
  <c r="AN6" i="8"/>
  <c r="AM6" i="8"/>
  <c r="AL6" i="8"/>
  <c r="AK6" i="8"/>
  <c r="AJ6" i="8"/>
  <c r="AI6" i="8"/>
  <c r="AH6" i="8"/>
  <c r="AG6" i="8"/>
  <c r="AF6" i="8"/>
  <c r="AE6" i="8"/>
  <c r="AD6" i="8"/>
  <c r="AC6" i="8"/>
  <c r="AB6" i="8"/>
  <c r="AA6" i="8"/>
  <c r="Z6" i="8"/>
  <c r="Y6" i="8"/>
  <c r="X6" i="8"/>
  <c r="W6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BB18" i="5"/>
  <c r="BA18" i="5"/>
  <c r="AZ18" i="5"/>
  <c r="AY18" i="5"/>
  <c r="AX18" i="5"/>
  <c r="AW18" i="5"/>
  <c r="AV18" i="5"/>
  <c r="AU18" i="5"/>
  <c r="AT18" i="5"/>
  <c r="AS18" i="5"/>
  <c r="AR18" i="5"/>
  <c r="AQ18" i="5"/>
  <c r="AP18" i="5"/>
  <c r="AO18" i="5"/>
  <c r="AN18" i="5"/>
  <c r="AM18" i="5"/>
  <c r="AL18" i="5"/>
  <c r="AK18" i="5"/>
  <c r="AJ18" i="5"/>
  <c r="AI18" i="5"/>
  <c r="AH18" i="5"/>
  <c r="AG18" i="5"/>
  <c r="AF18" i="5"/>
  <c r="AE18" i="5"/>
  <c r="AD18" i="5"/>
  <c r="AC18" i="5"/>
  <c r="AB18" i="5"/>
  <c r="AA18" i="5"/>
  <c r="Z18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BA17" i="5"/>
  <c r="AY17" i="5"/>
  <c r="AW17" i="5"/>
  <c r="AL17" i="5"/>
  <c r="AA17" i="5"/>
  <c r="P17" i="5"/>
  <c r="BB16" i="5"/>
  <c r="BA16" i="5"/>
  <c r="AZ16" i="5"/>
  <c r="AY16" i="5"/>
  <c r="AX16" i="5"/>
  <c r="AW16" i="5"/>
  <c r="AV16" i="5"/>
  <c r="AU16" i="5"/>
  <c r="AT16" i="5"/>
  <c r="AS16" i="5"/>
  <c r="AR16" i="5"/>
  <c r="AQ16" i="5"/>
  <c r="AP16" i="5"/>
  <c r="AO16" i="5"/>
  <c r="AN16" i="5"/>
  <c r="AM16" i="5"/>
  <c r="AL16" i="5"/>
  <c r="AK16" i="5"/>
  <c r="AJ16" i="5"/>
  <c r="AI16" i="5"/>
  <c r="AH16" i="5"/>
  <c r="AG16" i="5"/>
  <c r="AF16" i="5"/>
  <c r="AE16" i="5"/>
  <c r="AD16" i="5"/>
  <c r="AC16" i="5"/>
  <c r="AB16" i="5"/>
  <c r="AA16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BB15" i="5"/>
  <c r="BA15" i="5"/>
  <c r="AZ15" i="5"/>
  <c r="AY15" i="5"/>
  <c r="AX15" i="5"/>
  <c r="AW15" i="5"/>
  <c r="AV15" i="5"/>
  <c r="AU15" i="5"/>
  <c r="AT15" i="5"/>
  <c r="AS15" i="5"/>
  <c r="AR15" i="5"/>
  <c r="AQ15" i="5"/>
  <c r="AP15" i="5"/>
  <c r="AO15" i="5"/>
  <c r="AN15" i="5"/>
  <c r="AM15" i="5"/>
  <c r="AL15" i="5"/>
  <c r="AK15" i="5"/>
  <c r="AJ15" i="5"/>
  <c r="AI15" i="5"/>
  <c r="AH15" i="5"/>
  <c r="AG15" i="5"/>
  <c r="AF15" i="5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BB14" i="5"/>
  <c r="BA14" i="5"/>
  <c r="AZ14" i="5"/>
  <c r="AY14" i="5"/>
  <c r="AX14" i="5"/>
  <c r="AW14" i="5"/>
  <c r="AV14" i="5"/>
  <c r="AU14" i="5"/>
  <c r="AT14" i="5"/>
  <c r="AS14" i="5"/>
  <c r="AR14" i="5"/>
  <c r="AQ14" i="5"/>
  <c r="AP14" i="5"/>
  <c r="AO14" i="5"/>
  <c r="AN14" i="5"/>
  <c r="AM14" i="5"/>
  <c r="AL14" i="5"/>
  <c r="AK14" i="5"/>
  <c r="AJ14" i="5"/>
  <c r="AI14" i="5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BB13" i="5"/>
  <c r="BA13" i="5"/>
  <c r="AZ13" i="5"/>
  <c r="AY13" i="5"/>
  <c r="AX13" i="5"/>
  <c r="AW13" i="5"/>
  <c r="AV13" i="5"/>
  <c r="AU13" i="5"/>
  <c r="AT13" i="5"/>
  <c r="AS13" i="5"/>
  <c r="AR13" i="5"/>
  <c r="AQ13" i="5"/>
  <c r="AP13" i="5"/>
  <c r="AO13" i="5"/>
  <c r="AN13" i="5"/>
  <c r="AM13" i="5"/>
  <c r="AL13" i="5"/>
  <c r="AK13" i="5"/>
  <c r="AJ13" i="5"/>
  <c r="AI13" i="5"/>
  <c r="AH13" i="5"/>
  <c r="AG13" i="5"/>
  <c r="AF13" i="5"/>
  <c r="AE13" i="5"/>
  <c r="AD13" i="5"/>
  <c r="AC13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BB12" i="5"/>
  <c r="BA12" i="5"/>
  <c r="AZ12" i="5"/>
  <c r="AY12" i="5"/>
  <c r="AX12" i="5"/>
  <c r="AW12" i="5"/>
  <c r="AW19" i="5" s="1"/>
  <c r="AV12" i="5"/>
  <c r="AU12" i="5"/>
  <c r="AT12" i="5"/>
  <c r="AS12" i="5"/>
  <c r="AR12" i="5"/>
  <c r="AQ12" i="5"/>
  <c r="AP12" i="5"/>
  <c r="AO12" i="5"/>
  <c r="AN12" i="5"/>
  <c r="AM12" i="5"/>
  <c r="AL12" i="5"/>
  <c r="AK12" i="5"/>
  <c r="AK19" i="5" s="1"/>
  <c r="AJ12" i="5"/>
  <c r="AI12" i="5"/>
  <c r="AH12" i="5"/>
  <c r="AG12" i="5"/>
  <c r="AF12" i="5"/>
  <c r="AE12" i="5"/>
  <c r="AD12" i="5"/>
  <c r="AC12" i="5"/>
  <c r="AB12" i="5"/>
  <c r="AA12" i="5"/>
  <c r="Z12" i="5"/>
  <c r="Y12" i="5"/>
  <c r="Y19" i="5" s="1"/>
  <c r="X12" i="5"/>
  <c r="W12" i="5"/>
  <c r="V12" i="5"/>
  <c r="U12" i="5"/>
  <c r="T12" i="5"/>
  <c r="S12" i="5"/>
  <c r="R12" i="5"/>
  <c r="Q12" i="5"/>
  <c r="P12" i="5"/>
  <c r="O12" i="5"/>
  <c r="N12" i="5"/>
  <c r="M12" i="5"/>
  <c r="M19" i="5" s="1"/>
  <c r="L12" i="5"/>
  <c r="K12" i="5"/>
  <c r="J12" i="5"/>
  <c r="I12" i="5"/>
  <c r="H12" i="5"/>
  <c r="G12" i="5"/>
  <c r="F12" i="5"/>
  <c r="BB11" i="5"/>
  <c r="BA11" i="5"/>
  <c r="AZ11" i="5"/>
  <c r="AY11" i="5"/>
  <c r="AX11" i="5"/>
  <c r="AW11" i="5"/>
  <c r="AV11" i="5"/>
  <c r="AU11" i="5"/>
  <c r="AT11" i="5"/>
  <c r="AS11" i="5"/>
  <c r="AR11" i="5"/>
  <c r="AQ11" i="5"/>
  <c r="AP11" i="5"/>
  <c r="AO11" i="5"/>
  <c r="AN11" i="5"/>
  <c r="AM11" i="5"/>
  <c r="AL11" i="5"/>
  <c r="AK11" i="5"/>
  <c r="AJ11" i="5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BB10" i="5"/>
  <c r="BA10" i="5"/>
  <c r="AZ10" i="5"/>
  <c r="AY10" i="5"/>
  <c r="AX10" i="5"/>
  <c r="AW10" i="5"/>
  <c r="AV10" i="5"/>
  <c r="AU10" i="5"/>
  <c r="AT10" i="5"/>
  <c r="AS10" i="5"/>
  <c r="AR10" i="5"/>
  <c r="AQ10" i="5"/>
  <c r="AP10" i="5"/>
  <c r="AO10" i="5"/>
  <c r="AN10" i="5"/>
  <c r="AM10" i="5"/>
  <c r="AL10" i="5"/>
  <c r="AK10" i="5"/>
  <c r="AJ10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BB9" i="5"/>
  <c r="BA9" i="5"/>
  <c r="AZ9" i="5"/>
  <c r="AZ19" i="5" s="1"/>
  <c r="AY9" i="5"/>
  <c r="AX9" i="5"/>
  <c r="AW9" i="5"/>
  <c r="AV9" i="5"/>
  <c r="AU9" i="5"/>
  <c r="AT9" i="5"/>
  <c r="AS9" i="5"/>
  <c r="AR9" i="5"/>
  <c r="AQ9" i="5"/>
  <c r="AQ19" i="5" s="1"/>
  <c r="AP9" i="5"/>
  <c r="AO9" i="5"/>
  <c r="AN9" i="5"/>
  <c r="AN19" i="5" s="1"/>
  <c r="AM9" i="5"/>
  <c r="AL9" i="5"/>
  <c r="AK9" i="5"/>
  <c r="AJ9" i="5"/>
  <c r="AI9" i="5"/>
  <c r="AH9" i="5"/>
  <c r="AG9" i="5"/>
  <c r="AF9" i="5"/>
  <c r="AE9" i="5"/>
  <c r="AE19" i="5" s="1"/>
  <c r="AD9" i="5"/>
  <c r="AC9" i="5"/>
  <c r="AB9" i="5"/>
  <c r="AB19" i="5" s="1"/>
  <c r="AA9" i="5"/>
  <c r="Z9" i="5"/>
  <c r="Y9" i="5"/>
  <c r="X9" i="5"/>
  <c r="W9" i="5"/>
  <c r="V9" i="5"/>
  <c r="U9" i="5"/>
  <c r="T9" i="5"/>
  <c r="S9" i="5"/>
  <c r="S19" i="5" s="1"/>
  <c r="R9" i="5"/>
  <c r="Q9" i="5"/>
  <c r="P9" i="5"/>
  <c r="P19" i="5" s="1"/>
  <c r="O9" i="5"/>
  <c r="N9" i="5"/>
  <c r="M9" i="5"/>
  <c r="L9" i="5"/>
  <c r="K9" i="5"/>
  <c r="J9" i="5"/>
  <c r="I9" i="5"/>
  <c r="H9" i="5"/>
  <c r="G9" i="5"/>
  <c r="G19" i="5" s="1"/>
  <c r="F9" i="5"/>
  <c r="BB8" i="5"/>
  <c r="BB19" i="5" s="1"/>
  <c r="BA8" i="5"/>
  <c r="BA19" i="5" s="1"/>
  <c r="AZ8" i="5"/>
  <c r="AY8" i="5"/>
  <c r="AY19" i="5" s="1"/>
  <c r="AX8" i="5"/>
  <c r="AX19" i="5" s="1"/>
  <c r="AW8" i="5"/>
  <c r="AV8" i="5"/>
  <c r="AV19" i="5" s="1"/>
  <c r="AU8" i="5"/>
  <c r="AU19" i="5" s="1"/>
  <c r="AT8" i="5"/>
  <c r="AT19" i="5" s="1"/>
  <c r="AS8" i="5"/>
  <c r="AS19" i="5" s="1"/>
  <c r="AR8" i="5"/>
  <c r="AR19" i="5" s="1"/>
  <c r="AQ8" i="5"/>
  <c r="AP8" i="5"/>
  <c r="AP19" i="5" s="1"/>
  <c r="AO8" i="5"/>
  <c r="AO19" i="5" s="1"/>
  <c r="AN8" i="5"/>
  <c r="AM8" i="5"/>
  <c r="AM19" i="5" s="1"/>
  <c r="AL8" i="5"/>
  <c r="AL19" i="5" s="1"/>
  <c r="AK8" i="5"/>
  <c r="AJ8" i="5"/>
  <c r="AJ19" i="5" s="1"/>
  <c r="AI8" i="5"/>
  <c r="AI19" i="5" s="1"/>
  <c r="AH8" i="5"/>
  <c r="AH19" i="5" s="1"/>
  <c r="AG8" i="5"/>
  <c r="AG19" i="5" s="1"/>
  <c r="AF8" i="5"/>
  <c r="AF19" i="5" s="1"/>
  <c r="AE8" i="5"/>
  <c r="AD8" i="5"/>
  <c r="AD19" i="5" s="1"/>
  <c r="AC8" i="5"/>
  <c r="AC19" i="5" s="1"/>
  <c r="AB8" i="5"/>
  <c r="AA8" i="5"/>
  <c r="AA19" i="5" s="1"/>
  <c r="Z8" i="5"/>
  <c r="Z19" i="5" s="1"/>
  <c r="Y8" i="5"/>
  <c r="X8" i="5"/>
  <c r="X19" i="5" s="1"/>
  <c r="W8" i="5"/>
  <c r="W19" i="5" s="1"/>
  <c r="V8" i="5"/>
  <c r="V19" i="5" s="1"/>
  <c r="U8" i="5"/>
  <c r="U19" i="5" s="1"/>
  <c r="T8" i="5"/>
  <c r="T19" i="5" s="1"/>
  <c r="S8" i="5"/>
  <c r="R8" i="5"/>
  <c r="R19" i="5" s="1"/>
  <c r="Q8" i="5"/>
  <c r="Q19" i="5" s="1"/>
  <c r="P8" i="5"/>
  <c r="O8" i="5"/>
  <c r="O19" i="5" s="1"/>
  <c r="N8" i="5"/>
  <c r="N19" i="5" s="1"/>
  <c r="M8" i="5"/>
  <c r="L8" i="5"/>
  <c r="L19" i="5" s="1"/>
  <c r="K8" i="5"/>
  <c r="K19" i="5" s="1"/>
  <c r="J8" i="5"/>
  <c r="J19" i="5" s="1"/>
  <c r="I8" i="5"/>
  <c r="I19" i="5" s="1"/>
  <c r="H8" i="5"/>
  <c r="H19" i="5" s="1"/>
  <c r="G8" i="5"/>
  <c r="F8" i="5"/>
  <c r="F19" i="5" s="1"/>
  <c r="I63" i="4"/>
  <c r="I60" i="4" s="1"/>
  <c r="I62" i="4"/>
  <c r="I61" i="4"/>
  <c r="I57" i="4"/>
  <c r="I56" i="4"/>
  <c r="I55" i="4"/>
  <c r="H54" i="4"/>
  <c r="G54" i="4"/>
  <c r="F54" i="4"/>
  <c r="E54" i="4"/>
  <c r="D54" i="4"/>
  <c r="I54" i="4" s="1"/>
  <c r="C54" i="4"/>
  <c r="H53" i="4"/>
  <c r="G53" i="4"/>
  <c r="H52" i="4"/>
  <c r="G52" i="4"/>
  <c r="H51" i="4"/>
  <c r="G51" i="4"/>
  <c r="H50" i="4"/>
  <c r="G50" i="4"/>
  <c r="H49" i="4"/>
  <c r="G49" i="4"/>
  <c r="H48" i="4"/>
  <c r="G48" i="4"/>
  <c r="H47" i="4"/>
  <c r="G47" i="4"/>
  <c r="H38" i="4"/>
  <c r="H46" i="4" s="1"/>
  <c r="G38" i="4"/>
  <c r="H30" i="4"/>
  <c r="G30" i="4"/>
  <c r="G46" i="4" s="1"/>
  <c r="H28" i="4"/>
  <c r="G28" i="4"/>
  <c r="H27" i="4"/>
  <c r="G27" i="4"/>
  <c r="H26" i="4"/>
  <c r="G26" i="4"/>
  <c r="H25" i="4"/>
  <c r="G25" i="4"/>
  <c r="F25" i="4"/>
  <c r="E25" i="4"/>
  <c r="D25" i="4"/>
  <c r="C25" i="4"/>
  <c r="H24" i="4"/>
  <c r="G24" i="4"/>
  <c r="F24" i="4"/>
  <c r="E24" i="4"/>
  <c r="D24" i="4"/>
  <c r="C24" i="4"/>
  <c r="H23" i="4"/>
  <c r="G23" i="4"/>
  <c r="F23" i="4"/>
  <c r="E23" i="4"/>
  <c r="D23" i="4"/>
  <c r="C23" i="4"/>
  <c r="H22" i="4"/>
  <c r="G22" i="4"/>
  <c r="F22" i="4"/>
  <c r="E22" i="4"/>
  <c r="D22" i="4"/>
  <c r="C22" i="4"/>
  <c r="H13" i="4"/>
  <c r="G13" i="4"/>
  <c r="G21" i="4" s="1"/>
  <c r="F13" i="4"/>
  <c r="F21" i="4" s="1"/>
  <c r="E13" i="4"/>
  <c r="D13" i="4"/>
  <c r="C13" i="4"/>
  <c r="H5" i="4"/>
  <c r="H21" i="4" s="1"/>
  <c r="G5" i="4"/>
  <c r="F5" i="4"/>
  <c r="E5" i="4"/>
  <c r="E21" i="4" s="1"/>
  <c r="D5" i="4"/>
  <c r="D21" i="4" s="1"/>
  <c r="C5" i="4"/>
  <c r="C21" i="4" s="1"/>
  <c r="M81" i="3"/>
  <c r="N81" i="3" s="1"/>
  <c r="N80" i="3"/>
  <c r="M80" i="3"/>
  <c r="J79" i="3"/>
  <c r="I79" i="3"/>
  <c r="H79" i="3"/>
  <c r="M79" i="3" s="1"/>
  <c r="N79" i="3" s="1"/>
  <c r="E79" i="3"/>
  <c r="D79" i="3"/>
  <c r="M78" i="3"/>
  <c r="L78" i="3"/>
  <c r="K78" i="3"/>
  <c r="M77" i="3"/>
  <c r="L77" i="3"/>
  <c r="K77" i="3"/>
  <c r="L76" i="3"/>
  <c r="K76" i="3"/>
  <c r="N75" i="3"/>
  <c r="M75" i="3"/>
  <c r="L75" i="3"/>
  <c r="K75" i="3"/>
  <c r="J75" i="3"/>
  <c r="I75" i="3"/>
  <c r="H75" i="3"/>
  <c r="G75" i="3"/>
  <c r="E75" i="3"/>
  <c r="D75" i="3"/>
  <c r="M74" i="3"/>
  <c r="L74" i="3"/>
  <c r="K74" i="3"/>
  <c r="J74" i="3"/>
  <c r="I74" i="3"/>
  <c r="H74" i="3"/>
  <c r="G74" i="3"/>
  <c r="E74" i="3"/>
  <c r="N74" i="3" s="1"/>
  <c r="D74" i="3"/>
  <c r="M73" i="3"/>
  <c r="N73" i="3" s="1"/>
  <c r="L73" i="3"/>
  <c r="K73" i="3"/>
  <c r="J73" i="3"/>
  <c r="I73" i="3"/>
  <c r="H73" i="3"/>
  <c r="G73" i="3"/>
  <c r="E73" i="3"/>
  <c r="D73" i="3"/>
  <c r="N72" i="3"/>
  <c r="M72" i="3"/>
  <c r="L72" i="3"/>
  <c r="K72" i="3"/>
  <c r="J72" i="3"/>
  <c r="I72" i="3"/>
  <c r="H72" i="3"/>
  <c r="G72" i="3"/>
  <c r="E72" i="3"/>
  <c r="D72" i="3"/>
  <c r="M71" i="3"/>
  <c r="N71" i="3" s="1"/>
  <c r="L71" i="3"/>
  <c r="J71" i="3"/>
  <c r="I71" i="3"/>
  <c r="H71" i="3"/>
  <c r="G71" i="3"/>
  <c r="E71" i="3"/>
  <c r="D71" i="3"/>
  <c r="M70" i="3"/>
  <c r="L70" i="3"/>
  <c r="K70" i="3"/>
  <c r="M69" i="3"/>
  <c r="L69" i="3"/>
  <c r="K69" i="3"/>
  <c r="L68" i="3"/>
  <c r="K68" i="3"/>
  <c r="M67" i="3"/>
  <c r="N67" i="3" s="1"/>
  <c r="L67" i="3"/>
  <c r="K67" i="3"/>
  <c r="J67" i="3"/>
  <c r="I67" i="3"/>
  <c r="H67" i="3"/>
  <c r="G67" i="3"/>
  <c r="E67" i="3"/>
  <c r="D67" i="3"/>
  <c r="M66" i="3"/>
  <c r="L66" i="3"/>
  <c r="K66" i="3"/>
  <c r="J66" i="3"/>
  <c r="I66" i="3"/>
  <c r="H66" i="3"/>
  <c r="G66" i="3"/>
  <c r="E66" i="3"/>
  <c r="N66" i="3" s="1"/>
  <c r="D66" i="3"/>
  <c r="M65" i="3"/>
  <c r="N65" i="3" s="1"/>
  <c r="L65" i="3"/>
  <c r="K65" i="3"/>
  <c r="J65" i="3"/>
  <c r="I65" i="3"/>
  <c r="H65" i="3"/>
  <c r="G65" i="3"/>
  <c r="E65" i="3"/>
  <c r="D65" i="3"/>
  <c r="M64" i="3"/>
  <c r="N64" i="3" s="1"/>
  <c r="L64" i="3"/>
  <c r="K64" i="3"/>
  <c r="J64" i="3"/>
  <c r="I64" i="3"/>
  <c r="H64" i="3"/>
  <c r="G64" i="3"/>
  <c r="E64" i="3"/>
  <c r="D64" i="3"/>
  <c r="N63" i="3"/>
  <c r="M63" i="3"/>
  <c r="L63" i="3"/>
  <c r="K63" i="3"/>
  <c r="I63" i="3"/>
  <c r="H63" i="3"/>
  <c r="G63" i="3"/>
  <c r="E63" i="3"/>
  <c r="D63" i="3"/>
  <c r="J62" i="3"/>
  <c r="I62" i="3"/>
  <c r="H62" i="3"/>
  <c r="G62" i="3"/>
  <c r="E62" i="3"/>
  <c r="D62" i="3"/>
  <c r="N58" i="3"/>
  <c r="N57" i="3"/>
  <c r="N56" i="3"/>
  <c r="N55" i="3"/>
  <c r="N54" i="3"/>
  <c r="M54" i="3"/>
  <c r="L54" i="3"/>
  <c r="K54" i="3"/>
  <c r="K71" i="3" s="1"/>
  <c r="J54" i="3"/>
  <c r="N50" i="3"/>
  <c r="N49" i="3"/>
  <c r="N48" i="3"/>
  <c r="N47" i="3"/>
  <c r="N46" i="3"/>
  <c r="M46" i="3"/>
  <c r="M45" i="3" s="1"/>
  <c r="L46" i="3"/>
  <c r="L45" i="3" s="1"/>
  <c r="L62" i="3" s="1"/>
  <c r="K46" i="3"/>
  <c r="K45" i="3" s="1"/>
  <c r="K62" i="3" s="1"/>
  <c r="J46" i="3"/>
  <c r="J63" i="3" s="1"/>
  <c r="P45" i="3"/>
  <c r="J45" i="3"/>
  <c r="N44" i="3"/>
  <c r="X41" i="3"/>
  <c r="S41" i="3"/>
  <c r="X40" i="3"/>
  <c r="S40" i="3"/>
  <c r="X39" i="3"/>
  <c r="S39" i="3"/>
  <c r="S38" i="3" s="1"/>
  <c r="X38" i="3"/>
  <c r="W38" i="3"/>
  <c r="V38" i="3"/>
  <c r="U38" i="3"/>
  <c r="R38" i="3"/>
  <c r="Q38" i="3"/>
  <c r="P38" i="3"/>
  <c r="O38" i="3"/>
  <c r="N38" i="3"/>
  <c r="M38" i="3"/>
  <c r="M25" i="3" s="1"/>
  <c r="I38" i="3"/>
  <c r="I25" i="3" s="1"/>
  <c r="H38" i="3"/>
  <c r="G38" i="3"/>
  <c r="F38" i="3"/>
  <c r="E38" i="3"/>
  <c r="D38" i="3"/>
  <c r="X37" i="3"/>
  <c r="X36" i="3"/>
  <c r="X34" i="3" s="1"/>
  <c r="X35" i="3"/>
  <c r="W34" i="3"/>
  <c r="W20" i="3" s="1"/>
  <c r="V34" i="3"/>
  <c r="U34" i="3"/>
  <c r="S34" i="3"/>
  <c r="R34" i="3"/>
  <c r="Q34" i="3"/>
  <c r="P34" i="3"/>
  <c r="O34" i="3"/>
  <c r="O28" i="3" s="1"/>
  <c r="N34" i="3"/>
  <c r="M34" i="3"/>
  <c r="I34" i="3"/>
  <c r="H34" i="3"/>
  <c r="G34" i="3"/>
  <c r="F34" i="3"/>
  <c r="E34" i="3"/>
  <c r="D34" i="3"/>
  <c r="X33" i="3"/>
  <c r="X32" i="3"/>
  <c r="X31" i="3"/>
  <c r="X30" i="3"/>
  <c r="X29" i="3" s="1"/>
  <c r="X28" i="3" s="1"/>
  <c r="W29" i="3"/>
  <c r="V29" i="3"/>
  <c r="U29" i="3"/>
  <c r="U28" i="3" s="1"/>
  <c r="S29" i="3"/>
  <c r="S28" i="3" s="1"/>
  <c r="R29" i="3"/>
  <c r="Q29" i="3"/>
  <c r="Q28" i="3" s="1"/>
  <c r="P29" i="3"/>
  <c r="P28" i="3" s="1"/>
  <c r="O29" i="3"/>
  <c r="N29" i="3"/>
  <c r="M29" i="3"/>
  <c r="I29" i="3"/>
  <c r="I28" i="3" s="1"/>
  <c r="H29" i="3"/>
  <c r="G29" i="3"/>
  <c r="F29" i="3"/>
  <c r="F28" i="3" s="1"/>
  <c r="E29" i="3"/>
  <c r="E28" i="3" s="1"/>
  <c r="D29" i="3"/>
  <c r="D28" i="3" s="1"/>
  <c r="V28" i="3"/>
  <c r="T28" i="3"/>
  <c r="R28" i="3"/>
  <c r="N28" i="3"/>
  <c r="M28" i="3"/>
  <c r="H28" i="3"/>
  <c r="G28" i="3"/>
  <c r="V25" i="3"/>
  <c r="R25" i="3"/>
  <c r="P25" i="3"/>
  <c r="O25" i="3"/>
  <c r="F25" i="3"/>
  <c r="D25" i="3"/>
  <c r="X24" i="3"/>
  <c r="S24" i="3"/>
  <c r="X23" i="3"/>
  <c r="X21" i="3" s="1"/>
  <c r="X25" i="3" s="1"/>
  <c r="S23" i="3"/>
  <c r="S21" i="3" s="1"/>
  <c r="S25" i="3" s="1"/>
  <c r="X22" i="3"/>
  <c r="S22" i="3"/>
  <c r="W21" i="3"/>
  <c r="W25" i="3" s="1"/>
  <c r="V21" i="3"/>
  <c r="U21" i="3"/>
  <c r="U25" i="3" s="1"/>
  <c r="R21" i="3"/>
  <c r="Q21" i="3"/>
  <c r="Q25" i="3" s="1"/>
  <c r="P21" i="3"/>
  <c r="O21" i="3"/>
  <c r="N21" i="3"/>
  <c r="N25" i="3" s="1"/>
  <c r="M21" i="3"/>
  <c r="I21" i="3"/>
  <c r="H21" i="3"/>
  <c r="H25" i="3" s="1"/>
  <c r="G21" i="3"/>
  <c r="G25" i="3" s="1"/>
  <c r="F21" i="3"/>
  <c r="E21" i="3"/>
  <c r="E25" i="3" s="1"/>
  <c r="D21" i="3"/>
  <c r="U20" i="3"/>
  <c r="S20" i="3"/>
  <c r="N20" i="3"/>
  <c r="M20" i="3"/>
  <c r="H20" i="3"/>
  <c r="G20" i="3"/>
  <c r="E20" i="3"/>
  <c r="D20" i="3"/>
  <c r="X19" i="3"/>
  <c r="X18" i="3"/>
  <c r="X17" i="3"/>
  <c r="X16" i="3" s="1"/>
  <c r="W16" i="3"/>
  <c r="V16" i="3"/>
  <c r="V20" i="3" s="1"/>
  <c r="U16" i="3"/>
  <c r="S16" i="3"/>
  <c r="R16" i="3"/>
  <c r="R20" i="3" s="1"/>
  <c r="Q16" i="3"/>
  <c r="Q20" i="3" s="1"/>
  <c r="P16" i="3"/>
  <c r="P20" i="3" s="1"/>
  <c r="O16" i="3"/>
  <c r="O20" i="3" s="1"/>
  <c r="N16" i="3"/>
  <c r="M16" i="3"/>
  <c r="I16" i="3"/>
  <c r="I20" i="3" s="1"/>
  <c r="H16" i="3"/>
  <c r="G16" i="3"/>
  <c r="F16" i="3"/>
  <c r="F20" i="3" s="1"/>
  <c r="E16" i="3"/>
  <c r="D16" i="3"/>
  <c r="U15" i="3"/>
  <c r="N15" i="3"/>
  <c r="H15" i="3"/>
  <c r="E15" i="3"/>
  <c r="X14" i="3"/>
  <c r="S14" i="3"/>
  <c r="X13" i="3"/>
  <c r="S13" i="3"/>
  <c r="X12" i="3"/>
  <c r="S12" i="3"/>
  <c r="S9" i="3" s="1"/>
  <c r="X11" i="3"/>
  <c r="X9" i="3" s="1"/>
  <c r="S11" i="3"/>
  <c r="W9" i="3"/>
  <c r="W15" i="3" s="1"/>
  <c r="V9" i="3"/>
  <c r="V7" i="3" s="1"/>
  <c r="V8" i="3" s="1"/>
  <c r="U9" i="3"/>
  <c r="R9" i="3"/>
  <c r="R7" i="3" s="1"/>
  <c r="R8" i="3" s="1"/>
  <c r="Q9" i="3"/>
  <c r="Q7" i="3" s="1"/>
  <c r="Q8" i="3" s="1"/>
  <c r="P9" i="3"/>
  <c r="O9" i="3"/>
  <c r="O15" i="3" s="1"/>
  <c r="N9" i="3"/>
  <c r="M9" i="3"/>
  <c r="M15" i="3" s="1"/>
  <c r="I9" i="3"/>
  <c r="I7" i="3" s="1"/>
  <c r="H9" i="3"/>
  <c r="G9" i="3"/>
  <c r="G15" i="3" s="1"/>
  <c r="F9" i="3"/>
  <c r="F7" i="3" s="1"/>
  <c r="F8" i="3" s="1"/>
  <c r="E9" i="3"/>
  <c r="D9" i="3"/>
  <c r="D15" i="3" s="1"/>
  <c r="N8" i="3"/>
  <c r="W7" i="3"/>
  <c r="U7" i="3"/>
  <c r="U8" i="3" s="1"/>
  <c r="N7" i="3"/>
  <c r="M7" i="3"/>
  <c r="M8" i="3" s="1"/>
  <c r="H7" i="3"/>
  <c r="H8" i="3" s="1"/>
  <c r="G7" i="3"/>
  <c r="G8" i="3" s="1"/>
  <c r="E7" i="3"/>
  <c r="E8" i="3" s="1"/>
  <c r="D7" i="3"/>
  <c r="X5" i="3"/>
  <c r="S5" i="3"/>
  <c r="U41" i="1"/>
  <c r="T41" i="1"/>
  <c r="S41" i="1"/>
  <c r="P41" i="1"/>
  <c r="O41" i="1"/>
  <c r="N41" i="1"/>
  <c r="M41" i="1"/>
  <c r="Q41" i="1" s="1"/>
  <c r="L41" i="1"/>
  <c r="K41" i="1"/>
  <c r="J41" i="1"/>
  <c r="I41" i="1"/>
  <c r="X37" i="1"/>
  <c r="V37" i="1"/>
  <c r="Q37" i="1"/>
  <c r="X33" i="1"/>
  <c r="V33" i="1"/>
  <c r="Q33" i="1"/>
  <c r="X29" i="1"/>
  <c r="X41" i="1" s="1"/>
  <c r="V29" i="1"/>
  <c r="V41" i="1" s="1"/>
  <c r="Q29" i="1"/>
  <c r="Q26" i="1"/>
  <c r="Q25" i="1"/>
  <c r="P25" i="1"/>
  <c r="X24" i="1"/>
  <c r="V24" i="1"/>
  <c r="T24" i="1"/>
  <c r="P24" i="1"/>
  <c r="O24" i="1"/>
  <c r="N24" i="1"/>
  <c r="M24" i="1"/>
  <c r="L24" i="1"/>
  <c r="K24" i="1"/>
  <c r="J24" i="1"/>
  <c r="I24" i="1"/>
  <c r="H24" i="1"/>
  <c r="G24" i="1"/>
  <c r="F24" i="1"/>
  <c r="E24" i="1"/>
  <c r="Q24" i="1" s="1"/>
  <c r="Q22" i="1"/>
  <c r="Q21" i="1"/>
  <c r="X20" i="1"/>
  <c r="V20" i="1"/>
  <c r="T20" i="1"/>
  <c r="P20" i="1"/>
  <c r="O20" i="1"/>
  <c r="N20" i="1"/>
  <c r="M20" i="1"/>
  <c r="L20" i="1"/>
  <c r="K20" i="1"/>
  <c r="J20" i="1"/>
  <c r="I20" i="1"/>
  <c r="H20" i="1"/>
  <c r="G20" i="1"/>
  <c r="Q20" i="1" s="1"/>
  <c r="E20" i="1"/>
  <c r="Q18" i="1"/>
  <c r="Q17" i="1"/>
  <c r="P17" i="1"/>
  <c r="X16" i="1"/>
  <c r="V16" i="1"/>
  <c r="T16" i="1"/>
  <c r="P16" i="1"/>
  <c r="O16" i="1"/>
  <c r="N16" i="1"/>
  <c r="M16" i="1"/>
  <c r="L16" i="1"/>
  <c r="K16" i="1"/>
  <c r="J16" i="1"/>
  <c r="I16" i="1"/>
  <c r="H16" i="1"/>
  <c r="G16" i="1"/>
  <c r="F16" i="1"/>
  <c r="E16" i="1"/>
  <c r="Q16" i="1" s="1"/>
  <c r="Q14" i="1"/>
  <c r="P13" i="1"/>
  <c r="Q13" i="1" s="1"/>
  <c r="X12" i="1"/>
  <c r="V12" i="1"/>
  <c r="T12" i="1"/>
  <c r="O12" i="1"/>
  <c r="N12" i="1"/>
  <c r="M12" i="1"/>
  <c r="L12" i="1"/>
  <c r="K12" i="1"/>
  <c r="J12" i="1"/>
  <c r="I12" i="1"/>
  <c r="H12" i="1"/>
  <c r="G12" i="1"/>
  <c r="F12" i="1"/>
  <c r="E12" i="1"/>
  <c r="Q10" i="1"/>
  <c r="P9" i="1"/>
  <c r="Q9" i="1" s="1"/>
  <c r="X8" i="1"/>
  <c r="V8" i="1"/>
  <c r="T8" i="1"/>
  <c r="P8" i="1"/>
  <c r="O8" i="1"/>
  <c r="N8" i="1"/>
  <c r="M8" i="1"/>
  <c r="L8" i="1"/>
  <c r="K8" i="1"/>
  <c r="J8" i="1"/>
  <c r="I8" i="1"/>
  <c r="H8" i="1"/>
  <c r="G8" i="1"/>
  <c r="F8" i="1"/>
  <c r="E8" i="1"/>
  <c r="Q8" i="1" s="1"/>
  <c r="Q6" i="1"/>
  <c r="Q5" i="1"/>
  <c r="P5" i="1"/>
  <c r="X4" i="1"/>
  <c r="V4" i="1"/>
  <c r="T4" i="1"/>
  <c r="S4" i="1"/>
  <c r="P4" i="1"/>
  <c r="O4" i="1"/>
  <c r="N4" i="1"/>
  <c r="M4" i="1"/>
  <c r="L4" i="1"/>
  <c r="K4" i="1"/>
  <c r="Q4" i="1" s="1"/>
  <c r="J4" i="1"/>
  <c r="I4" i="1"/>
  <c r="H4" i="1"/>
  <c r="G4" i="1"/>
  <c r="F4" i="1"/>
  <c r="E4" i="1"/>
  <c r="Q12" i="1" l="1"/>
  <c r="N45" i="3"/>
  <c r="M62" i="3"/>
  <c r="N62" i="3" s="1"/>
  <c r="M68" i="3"/>
  <c r="M76" i="3"/>
  <c r="D8" i="3"/>
  <c r="I8" i="3"/>
  <c r="S7" i="3"/>
  <c r="S8" i="3" s="1"/>
  <c r="S15" i="3"/>
  <c r="X15" i="3"/>
  <c r="X7" i="3"/>
  <c r="X8" i="3" s="1"/>
  <c r="X20" i="3"/>
  <c r="P12" i="1"/>
  <c r="O7" i="3"/>
  <c r="O8" i="3" s="1"/>
  <c r="P15" i="3"/>
  <c r="L22" i="10"/>
  <c r="X22" i="10"/>
  <c r="K23" i="10"/>
  <c r="K24" i="10" s="1"/>
  <c r="W23" i="10"/>
  <c r="W24" i="10" s="1"/>
  <c r="N48" i="10"/>
  <c r="Z48" i="10"/>
  <c r="M49" i="10"/>
  <c r="M50" i="10" s="1"/>
  <c r="Y49" i="10"/>
  <c r="Y50" i="10" s="1"/>
  <c r="P7" i="3"/>
  <c r="P8" i="3" s="1"/>
  <c r="M22" i="10"/>
  <c r="Y22" i="10"/>
  <c r="O48" i="10"/>
  <c r="AA48" i="10"/>
  <c r="Q15" i="3"/>
  <c r="N22" i="10"/>
  <c r="Z22" i="10"/>
  <c r="P48" i="10"/>
  <c r="AB48" i="10"/>
  <c r="R15" i="3"/>
  <c r="P21" i="10"/>
  <c r="E48" i="10"/>
  <c r="Q48" i="10"/>
  <c r="AC48" i="10"/>
  <c r="F48" i="10"/>
  <c r="R48" i="10"/>
  <c r="F15" i="3"/>
  <c r="G48" i="10"/>
  <c r="S48" i="10"/>
  <c r="V15" i="3"/>
  <c r="W28" i="3"/>
  <c r="W8" i="3" s="1"/>
  <c r="H48" i="10"/>
  <c r="T48" i="10"/>
  <c r="G22" i="10"/>
  <c r="S22" i="10"/>
  <c r="I48" i="10"/>
  <c r="U48" i="10"/>
  <c r="I15" i="3"/>
  <c r="H22" i="10"/>
  <c r="T22" i="10"/>
  <c r="J48" i="10"/>
  <c r="V48" i="10"/>
  <c r="I22" i="10"/>
  <c r="U22" i="10"/>
  <c r="K48" i="10"/>
  <c r="W48" i="10"/>
  <c r="J22" i="10"/>
  <c r="V22" i="10"/>
  <c r="L48" i="10"/>
  <c r="X48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Yunfei Z.</author>
  </authors>
  <commentList>
    <comment ref="C81" authorId="0" shapeId="0" xr:uid="{00000000-0006-0000-0200-000001000000}">
      <text>
        <r>
          <rPr>
            <b/>
            <sz val="9"/>
            <rFont val="宋体"/>
            <family val="3"/>
            <charset val="134"/>
          </rPr>
          <t>Author:</t>
        </r>
        <r>
          <rPr>
            <sz val="9"/>
            <rFont val="宋体"/>
            <family val="3"/>
            <charset val="134"/>
          </rPr>
          <t xml:space="preserve">
旧内容优化后对应链接带来的提及量
</t>
        </r>
      </text>
    </comment>
  </commentList>
</comments>
</file>

<file path=xl/sharedStrings.xml><?xml version="1.0" encoding="utf-8"?>
<sst xmlns="http://schemas.openxmlformats.org/spreadsheetml/2006/main" count="9896" uniqueCount="2859">
  <si>
    <t>（月访问量 维度）</t>
  </si>
  <si>
    <t>2026年AI平台数据统计（月访问量 维度）</t>
  </si>
  <si>
    <t>2026
(单位：万)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</si>
  <si>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</si>
  <si>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</si>
  <si>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</si>
  <si>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</si>
  <si>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</si>
  <si>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</si>
  <si>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</si>
  <si>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</si>
  <si>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</si>
  <si>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</si>
  <si>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</si>
  <si>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</si>
  <si>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YTD</t>
  </si>
  <si>
    <t>使用人群属性</t>
  </si>
  <si>
    <t>平台检索偏好</t>
  </si>
  <si>
    <t>AI平台
（月访问量）</t>
  </si>
  <si>
    <t>CN</t>
  </si>
  <si>
    <t>国内 AI 说明</t>
  </si>
  <si>
    <t>DeepSeek R1发布引发国产算力革命，以极低成本对标GPT-4，导致1月流量激增；随后春节效应带动全民尝试AI。</t>
  </si>
  <si>
    <t>春节假期结束，非生产力用户开始流失；平台算力紧张初现端倪。
Kimi、DeepSeek数据下滑：主要是非生产力用户流失；同时因流量过大导致算力紧张（限流），用户体验下降导致留存走低。</t>
  </si>
  <si>
    <t>部分平台限流缓解，刚需用户回流；暑期开启，学生群体小幅激活市场。
学生开学季，字节跳动通过抖音全域引流，豆包流量暴涨，带动大盘回暖。</t>
  </si>
  <si>
    <t>国庆假期提升活跃度；豆包转型导购助手（接入抖音商城），场景化流量大增。
通义千问大版本升级+ 双 11 企业云促销，专业 / 企业用户激增，拉动技术类平台增长。（有一部分千问投放硬广的原因）</t>
  </si>
  <si>
    <t>国内大盘 1 月→2 月 小幅回落，多数通用型 AI 流量下滑，仅Kimi 逆势增长
KIMI-垂直场景红利：假期用户长文本阅读、学习、文档整理需求提升，Kimi 长文本优势精准匹配，实现独立增长。</t>
  </si>
  <si>
    <t>4月除了千问有一定程度的上涨</t>
  </si>
  <si>
    <t>是五月的数据平台没更新直接到六月了 五月数据在全网找了下其他渠道的没什么数据  要持续关注下平台情况</t>
  </si>
  <si>
    <t>当前国内最受欢迎的AI平台，强调国产算力与低成本API，挑战OpenAI</t>
  </si>
  <si>
    <t>deepseek</t>
  </si>
  <si>
    <t>APP</t>
  </si>
  <si>
    <t>Website</t>
  </si>
  <si>
    <t>说明</t>
  </si>
  <si>
    <t>APP占比：26.79%  Website占比：73.21%</t>
  </si>
  <si>
    <t>APP占比：47.4%  Website占比：</t>
  </si>
  <si>
    <t>APP占比：27.93%  Website占比：72.07%</t>
  </si>
  <si>
    <t>APP占比：31.67%  Website占比：68.33%</t>
  </si>
  <si>
    <t>APP占比：29.65%  Website占比：70.35%</t>
  </si>
  <si>
    <t>APP占比：49.71  Website占比：50.29%</t>
  </si>
  <si>
    <t>20–35 岁男性为主、高学历、一线 / 新一线、追求技术深度、预算敏感、习惯网页端办公；不爱娱乐闲聊，只用来解决硬核专业问题。</t>
  </si>
  <si>
    <t>APP占比：32.61%  Website占比：67.39%</t>
  </si>
  <si>
    <t>APP占比：22.22%  Website占比：77.78%</t>
  </si>
  <si>
    <t>APP占比：22%  Website占比：78%</t>
  </si>
  <si>
    <t>网页端的访问数据更透明、更容易被观测到</t>
  </si>
  <si>
    <t>豆包</t>
  </si>
  <si>
    <t>6月下旬和七月大模型大幅度更新，引用抖音线索增多</t>
  </si>
  <si>
    <t>字节跳动旗下AI助手，侧重高互动、强场景感的生活娱乐与学习类内容，紧跟热点且偏好具有社交传播属性的信息。</t>
  </si>
  <si>
    <t>APP占比：70.59%  Website占比：29.41%</t>
  </si>
  <si>
    <t>APP占比：68.63%  Website占比：31.37%</t>
  </si>
  <si>
    <t>APP占比：69.79%  Website占比：30.21%</t>
  </si>
  <si>
    <t>APP占比：71.50%  Website占比：28.50%</t>
  </si>
  <si>
    <t>APP占比：68.43%  Website占比：31.57%</t>
  </si>
  <si>
    <t>APP占比：66.47%  Website占比：33.53%</t>
  </si>
  <si>
    <t>APP占比：85.53%  Website占比：14.47%</t>
  </si>
  <si>
    <t>男女均衡，女性占比偏高；覆盖一二三四五线全城市；娱乐、生活、创作需求优先；喜欢拟人聊天、整活玩梗、拍照解题、短视频脚本生成；月活国内第一，轻量化、低门槛。</t>
  </si>
  <si>
    <t>APP占比：76.41%  Website占比：23.59%</t>
  </si>
  <si>
    <t>APP占比：67.35%  Website占比：32.65%</t>
  </si>
  <si>
    <t>APP占比：68%  Website占比：32%</t>
  </si>
  <si>
    <t>豆包“重App、轻网页”的策略，与当前AI产品的发展阶段息息相关。</t>
  </si>
  <si>
    <t>元宝</t>
  </si>
  <si>
    <t>腾讯25年正式推出的AI助手，依托Deepseek和微信生态整合，优先抓取公众号、多格式文档及带实用工具的本地生活与 B 端服务信息。</t>
  </si>
  <si>
    <t>APP占比：63.66%  Website占比：36.34%</t>
  </si>
  <si>
    <t>APP占比：51.93%  Website占比：48.07%</t>
  </si>
  <si>
    <t>APP占比：49.83%  Website占比：50.17%</t>
  </si>
  <si>
    <t>APP占比：52.99%  Website占比：47.01%</t>
  </si>
  <si>
    <t>APP占比：61.28%  Website占比：38.72%</t>
  </si>
  <si>
    <t>APP占比：59.62%  Website占比：40.38%</t>
  </si>
  <si>
    <t>APP占比：79.86%  Website占比：20.14%</t>
  </si>
  <si>
    <t>男性略多，一二线城市集中；需求集中在周报、会议纪要、朋友圈文案、公众号润色、日常翻译；社交裂变获客，轻度办公为主。</t>
  </si>
  <si>
    <t>APP占比：87.86%  Website占比：12.14%</t>
  </si>
  <si>
    <t>APP占比：86.24%  Website占比：13.76%</t>
  </si>
  <si>
    <t>APP占比：90%  Website占比：10%</t>
  </si>
  <si>
    <t>除了背靠腾讯这颗流量大树，还在2026年春节前后发起了总金额高达 10亿元 的红包活动，下载元宝App才能领取现金红包</t>
  </si>
  <si>
    <t>KIMI</t>
  </si>
  <si>
    <t>国内首个开源万亿参数模型，擅长处理长文本，偏好体系化、逻辑完整且来源可溯源的深度内容，支持广泛抓取后筛选弱相关信息。</t>
  </si>
  <si>
    <t>APP占比：30.35%  Website占比：69.65%</t>
  </si>
  <si>
    <t>APP占比：43.26%  Website占比：56.74%</t>
  </si>
  <si>
    <t>APP占比：26.16%  Website占比：73.84%</t>
  </si>
  <si>
    <t>APP占比：24.10%  Website占比：75.9%</t>
  </si>
  <si>
    <t>APP占比：32.01%  Website占比：67.99%</t>
  </si>
  <si>
    <t>22–40 岁高学历、一线 / 新一线、重度 PC 网页端使用者；每天处理大量 PDF、财报、合同、论文；几乎不用闲聊，纯工具属性，追求信息萃取效率。</t>
  </si>
  <si>
    <t>APP占比：35.44%  Website占比：64.56%</t>
  </si>
  <si>
    <t>APP占比：26.7%  Website占比：63.3%</t>
  </si>
  <si>
    <t>APP占比：36%  Website占比：64%</t>
  </si>
  <si>
    <t>主动放弃“烧钱换流量”的移动端竞争，转而深耕需要更大屏幕和更强算力的专业级生产力场景</t>
  </si>
  <si>
    <t>文小言</t>
  </si>
  <si>
    <t>百度旗下AI助手，高时效性突出，精准抓取与问题强相关的内容，聚焦新闻热点、政策更新及创意写作类需求。</t>
  </si>
  <si>
    <t>APP占比：42.46%  Website占比：57.94%</t>
  </si>
  <si>
    <t>APP占比：48.77%  Website占比：51.23%</t>
  </si>
  <si>
    <t>APP占比：46.38%  Website占比：53.62%</t>
  </si>
  <si>
    <t>APP占比：46.92%  Website占比：53.08%</t>
  </si>
  <si>
    <t>APP占比：85.41%  Website占比：14.59%</t>
  </si>
  <si>
    <t>需求集中公文写作、政策解读、科普问答、国内本地化图文生成；</t>
  </si>
  <si>
    <t>APP占比：78.86%  Website占比：21.14%</t>
  </si>
  <si>
    <t>APP占比：76.93%  Website占比：23.07%</t>
  </si>
  <si>
    <t>APP占比：74%  Website占比：26%</t>
  </si>
  <si>
    <t>百度在腾讯、字节系（抖音）以及自家应用商店为文小言投放了大量广告。用户点击广告后，跳转下载的99%都是App，而不是网页端</t>
  </si>
  <si>
    <t>千问</t>
  </si>
  <si>
    <t>阿里开源大模型，偏好技术文档、FAQ 类结构化知识，注重内容的版本一致性与术语规范性，适配专业查询需求。</t>
  </si>
  <si>
    <t>APP占比：80.00%  Website占比：20.00%</t>
  </si>
  <si>
    <t>APP占比：85.29%  Website占比：14.71%</t>
  </si>
  <si>
    <t>APP占比：56.15%  Website占比：43.85%</t>
  </si>
  <si>
    <t>打通生活服务的年轻化AI助手：其“一句话下单”功能吸引了大量00后用户，占比高达40%。同时，在县城及乡镇的下沉市场渗透率也很高</t>
  </si>
  <si>
    <t>APP占比：86.81%  Website占比：13.19%</t>
  </si>
  <si>
    <t>APP占比：13.94%  Website占比：86.06%</t>
  </si>
  <si>
    <t>APP占比：5%  Website占比：95%</t>
  </si>
  <si>
    <t>可以点外卖、订酒店、买机票、办政务、购物比，不止是chatbot，主要是智能体，所以更适合个人使用，app占比更高</t>
  </si>
  <si>
    <t>境外</t>
  </si>
  <si>
    <t>国外 AI 说明</t>
  </si>
  <si>
    <t>ChatGPT 凭借全球壁垒，流量基数碾压所有对手，占据绝对主导地位</t>
  </si>
  <si>
    <t>OpenAI 发布 GPT-o1 预览版，技术革新引发新一轮全球增长</t>
  </si>
  <si>
    <t>Google 完成 Android 系统深度集成，系统级入口加持，流量逐月暴涨</t>
  </si>
  <si>
    <t>海外大盘同步小幅下行，仅 Gemini 凭借生态优势微增，头部通用 AI 小幅回落
Gemini-核心驱动：Google 完成 Android 系统深度集成，系统级入口打通带来原生新增流量，抵消假期下滑，实现独立增长。</t>
  </si>
  <si>
    <t>变化不大</t>
  </si>
  <si>
    <t>Chatgpt</t>
  </si>
  <si>
    <t>从极客工具走向大众的通用型AI：早期以技术人员为主，现已扩展为高学历、跨职业的白领群体</t>
  </si>
  <si>
    <t>OpenAI旗下AI，全球用户体量最大，偏好高质量、可信赖、结构化的内容，强调主题权威性、事实性，并根据用户意图（如购物）优化产品展示和语气的个性化。</t>
  </si>
  <si>
    <t>APP占比：15%  Website占比：85%</t>
  </si>
  <si>
    <t>Gemini</t>
  </si>
  <si>
    <t>海外全球分布，东南亚、拉美增长最快；英文能力顶尖，中文偏弱；依赖实时谷歌搜索、长视频解析、表格数据分析；海外学生、海外自由办公人群。</t>
  </si>
  <si>
    <t>Google旗下AI平台，强调多模态输入（文本、图片等）的连贯处理，支持偏好调优以控制模型输出与基准的一致程度，并追求简洁、高效的回答。</t>
  </si>
  <si>
    <t>Grok</t>
  </si>
  <si>
    <t>英文为主，中文能力薄弱；核心需求：实时热搜解读、舆论情绪分析、热点文案创作、突发新闻梳理。</t>
  </si>
  <si>
    <t>强调情感理解、创作表现与查证可靠性，致力于提升情感互动体验并显著降低幻觉率。</t>
  </si>
  <si>
    <t>APP占比：24%  Website占比：76%</t>
  </si>
  <si>
    <t>TTL</t>
  </si>
  <si>
    <t>数据来源：新榜AI榜https://www.newrank.cn/rankvoice/all/2/30  部分流量数据来源于similarweb
26年3月开始数据统计来源于AIBase：https://www.aicpb.com/zh/ai-rankings/products/china-ai-rankings/websites</t>
  </si>
  <si>
    <t>6月</t>
  </si>
  <si>
    <t>DeepSeek</t>
  </si>
  <si>
    <t>kimi</t>
  </si>
  <si>
    <t>chatgpt</t>
  </si>
  <si>
    <t>名称</t>
  </si>
  <si>
    <t>链接</t>
  </si>
  <si>
    <t>占比</t>
  </si>
  <si>
    <t>亚马逊全球开店</t>
  </si>
  <si>
    <t>gs.amazon.cn</t>
  </si>
  <si>
    <t>抖音</t>
  </si>
  <si>
    <t>https://www.douyin.com/jingxuan</t>
  </si>
  <si>
    <t>大数跨境</t>
  </si>
  <si>
    <t>10100.com</t>
  </si>
  <si>
    <t>CoGoLinks</t>
  </si>
  <si>
    <t>cogolinks.com</t>
  </si>
  <si>
    <t>雨果跨境</t>
  </si>
  <si>
    <t>cifnews.com</t>
  </si>
  <si>
    <t>Sell on Amazon</t>
  </si>
  <si>
    <t>https://sell.amazon.com/</t>
  </si>
  <si>
    <t>Amazon Seller Central Japan</t>
  </si>
  <si>
    <t>sell.amazon.com</t>
  </si>
  <si>
    <t>跨境魔方</t>
  </si>
  <si>
    <t>https://www.upkuajing.com/</t>
  </si>
  <si>
    <t>php中文网</t>
  </si>
  <si>
    <t>php.cn</t>
  </si>
  <si>
    <t>新手小白也能看懂的全流程指南</t>
  </si>
  <si>
    <t>kuajingnote.com</t>
  </si>
  <si>
    <t>财讯网</t>
  </si>
  <si>
    <t>https://www.caixun.cn/</t>
  </si>
  <si>
    <t>https://www.cifnews.com/</t>
  </si>
  <si>
    <t>腾讯网</t>
  </si>
  <si>
    <t>qq.com</t>
  </si>
  <si>
    <t>连连国际</t>
  </si>
  <si>
    <t>https://www.lianlianpay.com/</t>
  </si>
  <si>
    <t>sellercentral.amazon.com</t>
  </si>
  <si>
    <t>腾讯</t>
  </si>
  <si>
    <t>出海网</t>
  </si>
  <si>
    <t>chwang.com</t>
  </si>
  <si>
    <t>今日头条</t>
  </si>
  <si>
    <t>toutiao.com</t>
  </si>
  <si>
    <t>AMZ123亚马逊导航-跨境电商出海门户</t>
  </si>
  <si>
    <t>amz123.com</t>
  </si>
  <si>
    <t>iPayLinks</t>
  </si>
  <si>
    <t>https://www.ipaylinks.com/</t>
  </si>
  <si>
    <t>神马</t>
  </si>
  <si>
    <t>sm.cn</t>
  </si>
  <si>
    <t>飞跨浏览器</t>
  </si>
  <si>
    <t>feikua.net</t>
  </si>
  <si>
    <t>亚马逊中国</t>
  </si>
  <si>
    <t>https://www.amazon.cn/</t>
  </si>
  <si>
    <t>亚马逊媒体</t>
  </si>
  <si>
    <t>media-amazon.com</t>
  </si>
  <si>
    <t>CoGoLinks结行国际官网</t>
  </si>
  <si>
    <t>cbibank</t>
  </si>
  <si>
    <t>https://cbibank.com/</t>
  </si>
  <si>
    <t>百运网</t>
  </si>
  <si>
    <t>by56.com</t>
  </si>
  <si>
    <t>电商派</t>
  </si>
  <si>
    <t>https://www.pai.com.cn/</t>
  </si>
  <si>
    <t>出海网CHWANG</t>
  </si>
  <si>
    <t>Amazon UK</t>
  </si>
  <si>
    <t>https://sell.amazon.co.uk/</t>
  </si>
  <si>
    <t>lianlianpay.com</t>
  </si>
  <si>
    <t>AMZ123</t>
  </si>
  <si>
    <t>youtube.com</t>
  </si>
  <si>
    <t>搜狐网</t>
  </si>
  <si>
    <t>sohu.com</t>
  </si>
  <si>
    <t>飞跨跨境</t>
  </si>
  <si>
    <t>Amazon Selling Partners</t>
  </si>
  <si>
    <t>aboutamazon.com</t>
  </si>
  <si>
    <t>CSDN</t>
  </si>
  <si>
    <t>csdn.net</t>
  </si>
  <si>
    <t>云登浏览器</t>
  </si>
  <si>
    <t>yunlogin.com</t>
  </si>
  <si>
    <t>amzdh亚马逊导航</t>
  </si>
  <si>
    <t>amzdh.com</t>
  </si>
  <si>
    <t>Ai-indeed</t>
  </si>
  <si>
    <t>https://www.ai-indeed.com/</t>
  </si>
  <si>
    <t>连网</t>
  </si>
  <si>
    <t>Amazon.in</t>
  </si>
  <si>
    <t>https://business.amazon.in/</t>
  </si>
  <si>
    <t>西格跨境网</t>
  </si>
  <si>
    <t>xeeger.com</t>
  </si>
  <si>
    <t>搜狐</t>
  </si>
  <si>
    <t>亚马逊日本</t>
  </si>
  <si>
    <t>https://www.amazon.co.jp/</t>
  </si>
  <si>
    <t>https://www.chwang.com/</t>
  </si>
  <si>
    <t>https://www.amz123.com/</t>
  </si>
  <si>
    <t>七月</t>
  </si>
  <si>
    <t>27.82%</t>
  </si>
  <si>
    <t>21.64%</t>
  </si>
  <si>
    <t>21.02%</t>
  </si>
  <si>
    <t>iesdouyin.com</t>
  </si>
  <si>
    <t>AWS Documentation</t>
  </si>
  <si>
    <t>amazon.com</t>
  </si>
  <si>
    <t>结行国际</t>
  </si>
  <si>
    <t>亚马逊卖家中心</t>
  </si>
  <si>
    <t>7.68%</t>
  </si>
  <si>
    <t>5.59%</t>
  </si>
  <si>
    <t>亚马逊销售</t>
  </si>
  <si>
    <t>amazon.co.jp</t>
  </si>
  <si>
    <t>6.36%</t>
  </si>
  <si>
    <t>Amazon Web Services (AWS)</t>
  </si>
  <si>
    <t>upkuajing.com</t>
  </si>
  <si>
    <t>5.36%</t>
  </si>
  <si>
    <t>微信公众号</t>
  </si>
  <si>
    <t>5.31%</t>
  </si>
  <si>
    <t>amazon.cn</t>
  </si>
  <si>
    <t>4.59%</t>
  </si>
  <si>
    <t>卖家之家</t>
  </si>
  <si>
    <t>mjzj.com</t>
  </si>
  <si>
    <t>5.12%</t>
  </si>
  <si>
    <t>紫鸟浏览器SuperBrowser</t>
  </si>
  <si>
    <t>superbrowser.com</t>
  </si>
  <si>
    <t>4.93%</t>
  </si>
  <si>
    <t>Amazon Seller Services FR</t>
  </si>
  <si>
    <t>amazon.fr</t>
  </si>
  <si>
    <t>3.71%</t>
  </si>
  <si>
    <t>AMZ123亚马逊导航</t>
  </si>
  <si>
    <t>Amazon</t>
  </si>
  <si>
    <t>amazon.co.uk</t>
  </si>
  <si>
    <t>百度百科</t>
  </si>
  <si>
    <t>baike.baidu.com</t>
  </si>
  <si>
    <t>4.13%</t>
  </si>
  <si>
    <t>亞馬遜台灣 | 台灣賣家的跨境電商解決方案 | Amazon 亞馬遜全球開店</t>
  </si>
  <si>
    <t>amazon.com.tw</t>
  </si>
  <si>
    <t>3.18%</t>
  </si>
  <si>
    <t>Amazon DE</t>
  </si>
  <si>
    <t>amazon.de</t>
  </si>
  <si>
    <t>湖畔万里牛</t>
  </si>
  <si>
    <t>hupun.com</t>
  </si>
  <si>
    <t>3.66%</t>
  </si>
  <si>
    <t>3.47%</t>
  </si>
  <si>
    <t>Amazon Italia Seller Services</t>
  </si>
  <si>
    <t>amazon.it</t>
  </si>
  <si>
    <t>3.00%</t>
  </si>
  <si>
    <t>52by</t>
  </si>
  <si>
    <t>52by.com</t>
  </si>
  <si>
    <t>跨境眼</t>
  </si>
  <si>
    <t>kuajingyan.com</t>
  </si>
  <si>
    <t>2.92%</t>
  </si>
  <si>
    <t>跨境指南</t>
  </si>
  <si>
    <t>2.44%</t>
  </si>
  <si>
    <t>amazon germany</t>
  </si>
  <si>
    <t>2.83%</t>
  </si>
  <si>
    <t>艾贝盈</t>
  </si>
  <si>
    <t>ipaylinks.com</t>
  </si>
  <si>
    <t>amazonsellerservices.com</t>
  </si>
  <si>
    <t>2.75%</t>
  </si>
  <si>
    <t>2.25%</t>
  </si>
  <si>
    <t>youtube</t>
  </si>
  <si>
    <t>2.65%</t>
  </si>
  <si>
    <t>2.19%</t>
  </si>
  <si>
    <t>Feedvisor</t>
  </si>
  <si>
    <t>feedvisor.com</t>
  </si>
  <si>
    <t>1.31%</t>
  </si>
  <si>
    <t>amazon.com.sg</t>
  </si>
  <si>
    <t>2.12%</t>
  </si>
  <si>
    <t>连连(LianLian Global)</t>
  </si>
  <si>
    <t>worldfirst</t>
  </si>
  <si>
    <t>worldfirst.com.cn</t>
  </si>
  <si>
    <t>亚马逊法国卖家服务</t>
  </si>
  <si>
    <t>百度营销</t>
  </si>
  <si>
    <t>baidu.com</t>
  </si>
  <si>
    <t>2.03%</t>
  </si>
  <si>
    <t>Nova Analytics</t>
  </si>
  <si>
    <t>novadata.io</t>
  </si>
  <si>
    <t>1.08%</t>
  </si>
  <si>
    <t>media-amazon</t>
  </si>
  <si>
    <t>平台</t>
  </si>
  <si>
    <t>主要发现</t>
  </si>
  <si>
    <t>官方源第一，但抖音占比异常高</t>
  </si>
  <si>
    <t>gs.amazon.cn 占 33.45%，但抖音达到 22.13%，说明豆包在这个主题下更容易吸收短视频/内容平台信息。它的信息结构更偏“内容分发型”，除了官网，还会参考抖音、头条、搜狐、雨果等泛内容源。</t>
  </si>
  <si>
    <t>官方源 + 跨境垂直站权重高</t>
  </si>
  <si>
    <t>gs.amazon.cn 占 34.10%，大数跨境占 14.42%，Seller Central Japan 占 10.74%。元宝更像是把官网、卖家中心、跨境电商媒体一起作为判断依据，同时腾讯网也进入前列，说明腾讯生态内容对它有一定影响。</t>
  </si>
  <si>
    <t>官方源最强，同时偏服务商/支付类来源</t>
  </si>
  <si>
    <t>gs.amazon.cn 占 42.18%，同时 CoGoLinks、连连国际、iPayLinks、CBiBank 等跨境服务商进入前列。说明 DeepSeek 对“亚马逊开店”这类问题，不只看媒体文章，也会抓取支付、收款、出海服务类网站，偏解决方案/工具链视角。</t>
  </si>
  <si>
    <t>官网依赖最强之一，但来源混杂</t>
  </si>
  <si>
    <t>gs.amazon.cn 占 44.98%，是所有平台里最高之一；同时出现雨果跨境、Seller Central、神马、CSDN、php中文网等。说明千问会强依赖官方源，但补充来源比较杂，既有跨境媒体，也有搜索/技术内容站。</t>
  </si>
  <si>
    <t>Kimi</t>
  </si>
  <si>
    <t>官方源稳定，偏跨境媒体、笔记和导航站</t>
  </si>
  <si>
    <t>gs.amazon.cn 占 44.20%，雨果跨境、跨境笔记、腾讯、AMZ123、飞跨浏览器等靠前。Kimi 的来源结构更像“官网 + 媒体解读 + 工具导航”，对跨境从业者常看的内容站有较强吸收。</t>
  </si>
  <si>
    <t>ChatGPT</t>
  </si>
  <si>
    <t>官方国际站和权威域名占比更高</t>
  </si>
  <si>
    <t>gs.amazon.cn 占 39.20%，同时 sell.amazon.com、amazon.cn、amazon.co.jp 都进入前列。相比其他平台，ChatGPT 更倾向补充引用 Amazon 官方国际站点和大型公开站点，也会引</t>
  </si>
  <si>
    <t>Out put</t>
  </si>
  <si>
    <t>DeepSeek R1 launch marked peak AI adoption</t>
  </si>
  <si>
    <t>GEO execution</t>
  </si>
  <si>
    <t>Geopolitical uncertainty</t>
  </si>
  <si>
    <t>Reg start</t>
  </si>
  <si>
    <t>FY25</t>
  </si>
  <si>
    <t>FY26</t>
  </si>
  <si>
    <t>SSR Total</t>
  </si>
  <si>
    <t>YoY%</t>
  </si>
  <si>
    <t>GEO+WW Direct</t>
  </si>
  <si>
    <t>GEO</t>
  </si>
  <si>
    <t>CN Website</t>
  </si>
  <si>
    <t>CN2NA</t>
  </si>
  <si>
    <t>CN2EU</t>
  </si>
  <si>
    <t>CN2JP</t>
  </si>
  <si>
    <t>Direct</t>
  </si>
  <si>
    <t>Seller Center</t>
  </si>
  <si>
    <t>Input</t>
  </si>
  <si>
    <t>FY24</t>
  </si>
  <si>
    <t>YoY</t>
  </si>
  <si>
    <t>Search Terms</t>
  </si>
  <si>
    <t>Search Results with Official Site Links</t>
  </si>
  <si>
    <t>CN WebSite with Official links</t>
  </si>
  <si>
    <t>Deepseek</t>
  </si>
  <si>
    <t>Yuanbao</t>
  </si>
  <si>
    <t>Doubao</t>
  </si>
  <si>
    <t>ChatGpt</t>
  </si>
  <si>
    <t>qianwen</t>
  </si>
  <si>
    <t>gemini</t>
  </si>
  <si>
    <t>CN2NA Website with Official links</t>
  </si>
  <si>
    <t>Search Results with Official Site Links%</t>
  </si>
  <si>
    <t>提及量是持续上涨的，但因为总的Search Terms，5-6月份集中优化了行业词导致了整体提及率的下降</t>
  </si>
  <si>
    <t>CN WebSite with Official links%</t>
  </si>
  <si>
    <t>CN2NA Website with Official links%</t>
  </si>
  <si>
    <t>Distribution content#</t>
  </si>
  <si>
    <t>New content</t>
  </si>
  <si>
    <t>Optimized Content</t>
  </si>
  <si>
    <t>提示词#</t>
  </si>
  <si>
    <t>品牌提示词</t>
  </si>
  <si>
    <t>先品牌词，品牌词提及，链接提及</t>
  </si>
  <si>
    <t>品牌#</t>
  </si>
  <si>
    <t>doubao</t>
  </si>
  <si>
    <t>品牌词链接提及</t>
  </si>
  <si>
    <t>品牌词链接提及率</t>
  </si>
  <si>
    <t>3月前chatgpt会直接出现网址</t>
  </si>
  <si>
    <t>5-6月chatgpt陆续开始a连接的形式，也能直接点击到官网，只是当前不能识别到这种类型连接所以没有统计进来</t>
  </si>
  <si>
    <t>提及量和五月基本持平，词量持续上涨</t>
  </si>
  <si>
    <t>行业提示词</t>
  </si>
  <si>
    <t xml:space="preserve">后行业词，行业词品牌提及 </t>
  </si>
  <si>
    <t>行业词#</t>
  </si>
  <si>
    <t>行业词提及#</t>
  </si>
  <si>
    <t>行业词提及率#</t>
  </si>
  <si>
    <t>新建内容#</t>
  </si>
  <si>
    <t>加YTD</t>
  </si>
  <si>
    <t>品牌内容#</t>
  </si>
  <si>
    <t>品牌内容提及</t>
  </si>
  <si>
    <t>品牌内容链接提及</t>
  </si>
  <si>
    <t>行业内容#</t>
  </si>
  <si>
    <t>行业内容提及率</t>
  </si>
  <si>
    <t>旧内容优化#</t>
  </si>
  <si>
    <t>序号</t>
  </si>
  <si>
    <t>分类</t>
  </si>
  <si>
    <t>选词说明</t>
  </si>
  <si>
    <t>11月</t>
  </si>
  <si>
    <t>12月</t>
  </si>
  <si>
    <t>1月</t>
  </si>
  <si>
    <t>2月</t>
  </si>
  <si>
    <t>3月</t>
  </si>
  <si>
    <t>4月</t>
  </si>
  <si>
    <t>4月-week15-16</t>
  </si>
  <si>
    <t>5月-week19-20</t>
  </si>
  <si>
    <t>5月</t>
  </si>
  <si>
    <t>入口</t>
  </si>
  <si>
    <t xml:space="preserve">1、”入口/入驻&amp;注册“类是当前重要覆盖的类别，未来挖掘提示词也主要以这两类为主；
2、“其他”类别提示词比较泛，优先级比较低可以以拆解文章的方式慢慢的覆盖；
</t>
  </si>
  <si>
    <t>入驻&amp;注册</t>
  </si>
  <si>
    <t>费用</t>
  </si>
  <si>
    <t>政策</t>
  </si>
  <si>
    <t>新手</t>
  </si>
  <si>
    <t>品类</t>
  </si>
  <si>
    <t>决策</t>
  </si>
  <si>
    <t>站点</t>
  </si>
  <si>
    <t>物流</t>
  </si>
  <si>
    <t>行业</t>
  </si>
  <si>
    <t>其他</t>
  </si>
  <si>
    <t>汇总</t>
  </si>
  <si>
    <t>品牌-提示词</t>
  </si>
  <si>
    <t>提及引用链接</t>
  </si>
  <si>
    <t>Amazon德国官网如何访问？有哪些特点？</t>
  </si>
  <si>
    <t>gs.amazon.cn/zhishi/article-251103-1</t>
  </si>
  <si>
    <t>Amazon日本网站的官方入口是什么？如何访问？</t>
  </si>
  <si>
    <t>gs.amazon.cn/zhishi/article-251103-2</t>
  </si>
  <si>
    <t>美国亚马逊官网的访问方式和主要功能是什么？</t>
  </si>
  <si>
    <t>https://gs.amazon.cn/zhishi/article-240522</t>
  </si>
  <si>
    <t>日本亚马逊的官方网址是什么？如何访问？</t>
  </si>
  <si>
    <t>gs.amazon.cn/zhishi/article-251103-3</t>
  </si>
  <si>
    <t>亚马逊购物官网的正确访问入口是什么？</t>
  </si>
  <si>
    <t>https://gs.amazon.cn/zhishi/article-251104-2</t>
  </si>
  <si>
    <t>亚马逊美国官网如何访问？有哪些主要功能？</t>
  </si>
  <si>
    <t>成为亚马逊卖家需要具备哪些条件和技能？</t>
  </si>
  <si>
    <t>https://gs.amazon.cn/zhishi/article-260113-4</t>
  </si>
  <si>
    <t>如何注册亚马逊账号？有哪些类型的账号？</t>
  </si>
  <si>
    <t>gs.amazon.cn/zhishi/251105-2</t>
  </si>
  <si>
    <t>入驻亚马逊平台需要投入多少资金？各项费用是多少？</t>
  </si>
  <si>
    <t>https://gs.amazon.cn/zhishi/article-260113-3</t>
  </si>
  <si>
    <t>入驻亚马逊平台需要支付哪些费用？具体金额是多少？</t>
  </si>
  <si>
    <t>https://gs.amazon.cn/zhishi/article-260113-2</t>
  </si>
  <si>
    <t>在亚马逊开店需要什么类型的营业执照？如何办理？</t>
  </si>
  <si>
    <t>gs.amazon.cn/zhishi/article-251106-1</t>
  </si>
  <si>
    <t>做亚马逊电商需要投入多少资金？各项成本是多少？</t>
  </si>
  <si>
    <t>https://gs.amazon.cn/zhishi/article-260112-3</t>
  </si>
  <si>
    <t>Amazon北美站包括哪些国家？有什么特点？</t>
  </si>
  <si>
    <t>Amazon官方网站提供哪些服务和功能？</t>
  </si>
  <si>
    <t>gs.amazon.cn/zhishi/article-251105-5</t>
  </si>
  <si>
    <t>Amazon卖家平台有哪些主要功能和使用技巧？</t>
  </si>
  <si>
    <t>https://gs.amazon.cn/zhishi/article-260202-2</t>
  </si>
  <si>
    <t>Amazon美国网站有哪些主要功能和特点？</t>
  </si>
  <si>
    <t>Amazon美国站的特点和运营策略是什么？</t>
  </si>
  <si>
    <t>https://gs.amazon.cn/zhishi/article-260106-3</t>
  </si>
  <si>
    <t>Amazon美国站有什么特点和运营策略？</t>
  </si>
  <si>
    <t>https://gs.amazon.cn/zhishi/article-260101-1</t>
  </si>
  <si>
    <t>Amazon平台有哪些主要功能和特色？</t>
  </si>
  <si>
    <t>https://gs.amazon.cn/zhishi/article-260108-2</t>
  </si>
  <si>
    <t>Amazon全球开店项目有哪些特点和优势？</t>
  </si>
  <si>
    <t>https://gs.amazon.cn/zhishi/article-260101-3</t>
  </si>
  <si>
    <t>Amazon日本站有哪些特点和运营要点？</t>
  </si>
  <si>
    <t>gs.amazon.cn/zhishi/article-260101-4</t>
  </si>
  <si>
    <t>Amazon日本站有什么特点和运营策略？</t>
  </si>
  <si>
    <t>gs.amazon.cn/zhishi/article-260101-5</t>
  </si>
  <si>
    <t>Amazon英国站有什么特点和市场情况？</t>
  </si>
  <si>
    <t>https://gs.amazon.cn/zhishi/article-260101-6</t>
  </si>
  <si>
    <t>德国亚马逊平台有什么特点和市场情况？</t>
  </si>
  <si>
    <t>https://gs.amazon.cn/zhishi/article-260102-4</t>
  </si>
  <si>
    <t>国际亚马逊平台有哪些不同的站点和特点？</t>
  </si>
  <si>
    <t>https://gs.amazon.cn/zhishi/article-260102-1</t>
  </si>
  <si>
    <t>美国Amazon网站有哪些特点和使用方法？</t>
  </si>
  <si>
    <t>https://gs.amazon.cn/zhishi/article-260106-2</t>
  </si>
  <si>
    <t>美国亚马逊官网首页有哪些主要功能和板块？</t>
  </si>
  <si>
    <t>https://gs.amazon.cn/zhishi/article-260104-3</t>
  </si>
  <si>
    <t>美国亚马逊平台有什么特点和运营策略？</t>
  </si>
  <si>
    <t>美国亚马逊站有哪些特点和运营策略？</t>
  </si>
  <si>
    <t>日本亚马逊跨境电商有什么特点和运营策略？</t>
  </si>
  <si>
    <t>https://gs.amazon.cn/zhishi/article-260102-6</t>
  </si>
  <si>
    <t>日本亚马逊平台有什么特点和市场情况？</t>
  </si>
  <si>
    <t>gs.amazon.cn/zhishi/article-260102-5</t>
  </si>
  <si>
    <t>日本亚马逊平台有什么特点和运营策略？</t>
  </si>
  <si>
    <t>https://gs.amazon.cn/zhishi/article-260103-1</t>
  </si>
  <si>
    <t>如何经营好亚马逊网店？有哪些成功策略？</t>
  </si>
  <si>
    <t>https://gs.amazon.cn/zhishi/article-260114-2</t>
  </si>
  <si>
    <t>亚马逊北美站包括哪些国家？有什么特点？</t>
  </si>
  <si>
    <t>https://gs.amazon.cn/zhishi/article-260103-4</t>
  </si>
  <si>
    <t>亚马逊德国站有什么特点和市场情况？</t>
  </si>
  <si>
    <t>亚马逊的官方网站提供哪些服务和功能？</t>
  </si>
  <si>
    <t>gs.amazon.cn/zhishi/article-260103-5</t>
  </si>
  <si>
    <t>亚马逊电商模式有什么特点和优势？</t>
  </si>
  <si>
    <t>亚马逊电商平台的功能和特点有哪些？</t>
  </si>
  <si>
    <t>gs.amazon.cn/zhishi/article-260104-1</t>
  </si>
  <si>
    <t>亚马逊官方网站提供哪些核心服务？</t>
  </si>
  <si>
    <t>gs.amazon.cn/zhishi/article-260104-2</t>
  </si>
  <si>
    <t>亚马逊官网首页有哪些主要板块和功能？</t>
  </si>
  <si>
    <t>亚马逊国际版有哪些功能和特点？</t>
  </si>
  <si>
    <t>https://gs.amazon.cn/zhishi/article-260104-4</t>
  </si>
  <si>
    <t>亚马逊国际网站有哪些功能和特点？</t>
  </si>
  <si>
    <t>亚马逊国际业务有哪些特点和运营模式？</t>
  </si>
  <si>
    <t>亚马逊国外版本有哪些区别和特点？</t>
  </si>
  <si>
    <t>https://gs.amazon.cn/zhishi/article-260105-1</t>
  </si>
  <si>
    <t>亚马逊跨境电商的运营模式和优势是什么？</t>
  </si>
  <si>
    <t>https://gs.amazon.cn/zhishi/article-260105-2</t>
  </si>
  <si>
    <t>亚马逊跨境电商平台有哪些特点和优势？</t>
  </si>
  <si>
    <t>gs.amazon.cn/zhishi/article-260105-3</t>
  </si>
  <si>
    <t>亚马逊跨境业务有哪些模式和优势？</t>
  </si>
  <si>
    <t>gs.amazon.cn/zhishi/article-260105-4</t>
  </si>
  <si>
    <t>亚马逊卖家常用的工具有哪些？如何有效使用？</t>
  </si>
  <si>
    <t>https://gs.amazon.cn/zhishi/article-260105-5</t>
  </si>
  <si>
    <t>亚马逊卖家平台有哪些功能和使用技巧？</t>
  </si>
  <si>
    <t>亚马逊美国版有什么特点和运营策略？</t>
  </si>
  <si>
    <t>亚马逊美国网站有什么特点和使用方法？</t>
  </si>
  <si>
    <t>gs.amazon.cn/zhishi/article-260106-2</t>
  </si>
  <si>
    <t>亚马逊美国站的特点和运营策略是什么？</t>
  </si>
  <si>
    <t>亚马逊美国站的运营情况和市场特点是什么？</t>
  </si>
  <si>
    <t>https://gs.amazon.cn/zhishi/article-260106-6</t>
  </si>
  <si>
    <t>亚马逊美国站有什么特点和市场情况？</t>
  </si>
  <si>
    <t>https://gs.amazon.cn/zhishi/article-260102-3</t>
  </si>
  <si>
    <t>亚马逊美国站有什么特点和运营要点？</t>
  </si>
  <si>
    <t>亚马逊平台的收费标准是怎样的？详细介绍一下各项费用。</t>
  </si>
  <si>
    <t>亚马逊平台有哪些主要功能和特点？</t>
  </si>
  <si>
    <t>gs.amazon.cn/zhishi/article-260107-2</t>
  </si>
  <si>
    <t>亚马逊全球店铺有哪些特点和运营模式？</t>
  </si>
  <si>
    <t>亚马逊全球购物有哪些特点和使用方法？</t>
  </si>
  <si>
    <t>亚马逊全球开店项目有哪些特点和优势？</t>
  </si>
  <si>
    <t>亚马逊日本站有什么特点和运营策略？</t>
  </si>
  <si>
    <t>https://gs.amazon.cn/zhishi/article-260107-5</t>
  </si>
  <si>
    <t>亚马逊日本站有什么特点和运营要点？</t>
  </si>
  <si>
    <t>亚马逊商城的主要功能和特点是什么？</t>
  </si>
  <si>
    <t xml:space="preserve">gs.amazon.cn/zhishi/article-260107-6
</t>
  </si>
  <si>
    <t>亚马逊商家版应用有哪些功能和使用方法？</t>
  </si>
  <si>
    <t>https://gs.amazon.cn/zhishi/article-260108-1</t>
  </si>
  <si>
    <t>亚马逊是什么平台？它有哪些主要功能和特点？</t>
  </si>
  <si>
    <t>https://gs.amazon.cn/zhishi/article-260107-2</t>
  </si>
  <si>
    <t>亚马逊是一家什么样的公司？主要业务有哪些？</t>
  </si>
  <si>
    <t>https://gs.amazon.cn/zhishi/article-260108-3</t>
  </si>
  <si>
    <t>亚马逊网站有哪些主要功能和板块？</t>
  </si>
  <si>
    <t>https://gs.amazon.cn/zhishi/article-260104-2</t>
  </si>
  <si>
    <t>亚马逊英国站有什么特点和市场情况？</t>
  </si>
  <si>
    <t>亚马逊有哪些不同的国际站点？各有什么特点？</t>
  </si>
  <si>
    <t>https://gs.amazon.cn/zhishi/article-260113-5</t>
  </si>
  <si>
    <t>亚马逊中国业务有哪些特点和服务？</t>
  </si>
  <si>
    <t>https://gs.amazon.cn/news/news-brand-251204</t>
  </si>
  <si>
    <t>亚马逊作为跨境电商平台有什么特点和优势？</t>
  </si>
  <si>
    <t xml:space="preserve">gs.amazon.cn/zhishi/article-260109-2
</t>
  </si>
  <si>
    <t>亚马逊作为跨境电商平台有什么优势和特点？</t>
  </si>
  <si>
    <t>https://gs.amazon.cn/zhishi/article-260105-3</t>
  </si>
  <si>
    <t>Amazon美国站官网的访问方式和主要功能是什么？</t>
  </si>
  <si>
    <t>gs.amazon.cn/zhishi/article-251103-4</t>
  </si>
  <si>
    <t>美国亚马逊官网的网址是什么？如何访问？</t>
  </si>
  <si>
    <t>gs.amazon.cn/zhishi/article-251103-5</t>
  </si>
  <si>
    <t>日本亚马逊官网的访问方式和主要功能是什么？</t>
  </si>
  <si>
    <t>https://gs.amazon.cn/zhishi/article-251103-3</t>
  </si>
  <si>
    <t>日本亚马逊官网的入口在哪里？如何访问？</t>
  </si>
  <si>
    <t>如何登录Amazon亚马逊官网账户？</t>
  </si>
  <si>
    <t>gs.amazon.cn/zhishi/article-251104-1</t>
  </si>
  <si>
    <t>如何正确访问亚马逊美国官网？</t>
  </si>
  <si>
    <t>gs.amazon.cn/zhishi/article-251104-2</t>
  </si>
  <si>
    <t>亚马逊各国站点的官方网址是什么？</t>
  </si>
  <si>
    <t>gs.amazon.cn/zhishi/article-251104-3</t>
  </si>
  <si>
    <t>亚马逊美国官网的访问方式和主要功能是什么？</t>
  </si>
  <si>
    <t>成为亚马逊商家需要满足哪些条件？有什么权益？</t>
  </si>
  <si>
    <t>如何创建和管理Amazon账号？有哪些注意事项？</t>
  </si>
  <si>
    <t>https://gs.amazon.cn/zhishi/article-260114-1</t>
  </si>
  <si>
    <t>如何登录亚马逊账户？遇到问题如何解决？</t>
  </si>
  <si>
    <t>https://gs.amazon.cn/zhishi/article-251104-1</t>
  </si>
  <si>
    <t>如何在全球亚马逊平台开设店铺？有什么策略？</t>
  </si>
  <si>
    <t>入驻亚马逊需要满足哪些条件？费用结构如何？</t>
  </si>
  <si>
    <t>亚马逊平台的入驻流程有哪些步骤和要求？</t>
  </si>
  <si>
    <t>https://gs.amazon.cn/zhishi/article-260201-3</t>
  </si>
  <si>
    <t>Amazon卖家账户有哪些功能和使用方法？</t>
  </si>
  <si>
    <t>https://gs.amazon.cn/zhishi/article-250601-2</t>
  </si>
  <si>
    <t>如何利用亚马逊平台开展外贸业务？</t>
  </si>
  <si>
    <t>https://gs.amazon.cn/zhishi/article-240717</t>
  </si>
  <si>
    <t>亚马逊官网提供哪些主要服务和功能？</t>
  </si>
  <si>
    <t>亚马逊国际贸易有哪些特点和运作模式？如何开展？</t>
  </si>
  <si>
    <t>https://gs.amazon.cn/zhishi/article-260104-6</t>
  </si>
  <si>
    <t>亚马逊国际站点有哪些区别和特点？</t>
  </si>
  <si>
    <t>https://gs.amazon.cn/zhishi/article-260108-6</t>
  </si>
  <si>
    <t>亚马逊卖家版应用有哪些功能和使用方法？</t>
  </si>
  <si>
    <t>亚马逊卖家大学提供哪些培训和资源？</t>
  </si>
  <si>
    <t>https://gs.amazon.cn/learn/module/module-27-4</t>
  </si>
  <si>
    <t>亚马逊卖家中心有哪些主要功能和使用方法？</t>
  </si>
  <si>
    <t>亚马逊平台的收费模式和标准是怎样的？</t>
  </si>
  <si>
    <t>亚马逊网页版有哪些主要功能和使用方法？</t>
  </si>
  <si>
    <t>https://gs.amazon.cn/zhishi/article-251103-4</t>
  </si>
  <si>
    <t>亚马逊中文网站有哪些功能和特点？</t>
  </si>
  <si>
    <t>https://gs.amazon.cn/zhishi/article-251001-2</t>
  </si>
  <si>
    <t>亚马逊各国网站的官方网址是什么？</t>
  </si>
  <si>
    <t>https://gs.amazon.cn/zhishi/article-250607-2</t>
  </si>
  <si>
    <t>亚马逊官网的入口在哪里？如何正确访问？</t>
  </si>
  <si>
    <t>亚马逊国际官网的访问方式和主要功能有哪些？</t>
  </si>
  <si>
    <t>https://gs.amazon.cn/zhishi/article-251103-5</t>
  </si>
  <si>
    <t>亚马逊美国站的官方网站如何访问？</t>
  </si>
  <si>
    <t>亚马逊网站的官方入口在哪里？</t>
  </si>
  <si>
    <t>https://gs.amazon.cn/zhishi/article-260109-6</t>
  </si>
  <si>
    <t>亚马逊账户的注册入口在哪里？如何注册？</t>
  </si>
  <si>
    <t>gs.amazon.cn/zhishi/article-251104-4</t>
  </si>
  <si>
    <t>亚马逊中国官网的入口在哪里？如何访问？</t>
  </si>
  <si>
    <t>https://gs.amazon.cn/zhishi/article-251104-5</t>
  </si>
  <si>
    <t>亚马逊中文版的访问入口在哪里？</t>
  </si>
  <si>
    <t>gs.amazon.cn/zhishi/article-251104-5</t>
  </si>
  <si>
    <t>如何入驻Amazon平台？需要满足哪些条件？</t>
  </si>
  <si>
    <t>如何入驻亚马逊电商平台？需要满足哪些条件？</t>
  </si>
  <si>
    <t>如何一步步在亚马逊平台上开</t>
  </si>
  <si>
    <t>如何在亚马逊平台上开店？需要哪些步骤？</t>
  </si>
  <si>
    <t>如何在亚马逊平台上开店？需要哪些准备工作？</t>
  </si>
  <si>
    <t>如何在亚马逊平台上开店并销售到国外市场？</t>
  </si>
  <si>
    <t>如何注册亚马逊店铺？完整流程和注意事项有哪些？</t>
  </si>
  <si>
    <t>gs.amazon.cn/zhishi/article-251106-2</t>
  </si>
  <si>
    <t>如何注册亚马逊账号？详细步骤是什么？</t>
  </si>
  <si>
    <t>https://gs.amazon.cn/zhishi/article-260201-4</t>
  </si>
  <si>
    <t>如何注册亚马逊账号？有哪些注意事项？</t>
  </si>
  <si>
    <t>https://gs.amazon.cn/zhishi/article-251106-2</t>
  </si>
  <si>
    <t>亚马逊店铺的注册流程是什么？需要哪些材料？</t>
  </si>
  <si>
    <t>https://gs.amazon.cn/zhishi/article-260113-1</t>
  </si>
  <si>
    <t>亚马逊个人账号如何注册？有什么注意事项？</t>
  </si>
  <si>
    <t>亚马逊开店的完整流程和步骤是什么？</t>
  </si>
  <si>
    <t>亚马逊开店的注册步骤是什么？请详细介绍流程。</t>
  </si>
  <si>
    <t>https://gs.amazon.cn/zhishi/article-260112-2</t>
  </si>
  <si>
    <t>亚马逊跨境电商开店的完整流程和费用结构是什么？</t>
  </si>
  <si>
    <t>亚马逊账号的完整注册流程是什么？</t>
  </si>
  <si>
    <t>亚马逊注册开店的完整流程是什么？</t>
  </si>
  <si>
    <t>在亚马逊欧洲站开店需要哪些条件和步骤？</t>
  </si>
  <si>
    <t>Amazon卖家中心的主要功能和使用方法是什么？</t>
  </si>
  <si>
    <t>Amazon亚马逊官网的主要功能和访问方式是什么？</t>
  </si>
  <si>
    <t>如何登录Amazon欧洲站官网？入口在哪里？</t>
  </si>
  <si>
    <t>gs.amazon.cn/zhishi/251105-1</t>
  </si>
  <si>
    <t>亚马逊官方网站的入口在哪里？如何访问？</t>
  </si>
  <si>
    <t>亚马逊卖家中心的登录入口在哪里？如何登录？</t>
  </si>
  <si>
    <t>亚马逊美国站的正确访问入口是什么？</t>
  </si>
  <si>
    <t>https://gs.amazon.cn/zhishi/article-260111-6</t>
  </si>
  <si>
    <t>亚马逊网站官方入口在哪里？如何访问？</t>
  </si>
  <si>
    <t>https://gs.amazon.cn/</t>
  </si>
  <si>
    <t>如何入驻亚马逊平台？需要满足哪些条件？</t>
  </si>
  <si>
    <t>如何通过全球开店项目注册亚马逊账号？</t>
  </si>
  <si>
    <t>https://gs.amazon.cn/zhishi/article-251104-4</t>
  </si>
  <si>
    <t>如何在亚马逊北美站开设店铺？需要哪些准备？</t>
  </si>
  <si>
    <t>gs.amazon.cn/zhishi/article-251105-4</t>
  </si>
  <si>
    <t>如何在亚马逊平台上开设跨境电商店铺？</t>
  </si>
  <si>
    <t>如何在亚马逊日本站开店？需要满足哪些条件？</t>
  </si>
  <si>
    <t>如何注册成为亚马逊卖家？需要哪些材料？</t>
  </si>
  <si>
    <t>如何注册成为亚马逊商家？需要哪些材料和步骤？</t>
  </si>
  <si>
    <t>如何注册亚马逊店铺？完整流程是什么？</t>
  </si>
  <si>
    <t>https://gs.amazon.cn/en/sell?mons_sel_locale=en_US</t>
  </si>
  <si>
    <t>亚马逊跨境电商的官方网站在哪里？如何注册？</t>
  </si>
  <si>
    <t>亚马逊欧洲站账号如何注册？需要哪些材料？</t>
  </si>
  <si>
    <t>https://gs.amazon.cn/zhishi/article-260112-1</t>
  </si>
  <si>
    <t>在亚马逊开店需要哪些流程？费用结构是怎样的？</t>
  </si>
  <si>
    <t>亚马逊全球开店中国站网址的主要功能和服务有哪些？</t>
  </si>
  <si>
    <t>亚马逊招商政策有哪些？如何参与？</t>
  </si>
  <si>
    <t>亚马逊开店的官方网站在哪里？如何访问？</t>
  </si>
  <si>
    <t>亚马逊跨境电商官网如何访问？提供哪些服务？</t>
  </si>
  <si>
    <t>亚马逊跨境电商平台的官网如何访问和使用？</t>
  </si>
  <si>
    <t>亚马逊全球开店的官方网站在哪里？如何访问？</t>
  </si>
  <si>
    <t>https://gs.amazon.cn/zhishi/article-260110-2</t>
  </si>
  <si>
    <t>如何通过亚马逊官网注册并开设店铺？</t>
  </si>
  <si>
    <t>如何在亚马逊国际站开设店铺？有什么策略？</t>
  </si>
  <si>
    <t>如何注册亚马逊欧洲站账户？需要哪些材料？</t>
  </si>
  <si>
    <t>如何注册亚马逊全球开店北美站？流程是什么？</t>
  </si>
  <si>
    <t>亚马逊全球开店中国站网址的具体功能是什么？</t>
  </si>
  <si>
    <t>amazon seller center如何使用？</t>
  </si>
  <si>
    <t xml:space="preserve">gs.amazon.cn/zhishi/article-260202-2
</t>
  </si>
  <si>
    <t>amazon平台入驻条件是什么？</t>
  </si>
  <si>
    <t>seller central amazon如何使用？</t>
  </si>
  <si>
    <t xml:space="preserve">gs.amazon.cn/zhishi/article-260202-3
</t>
  </si>
  <si>
    <t>关于amazon后台的详细信息在哪里查看？</t>
  </si>
  <si>
    <t>gs.amazon.cn/zhishi/article-260202-4</t>
  </si>
  <si>
    <t>关于日本 amazon的详细信息在哪里查看？</t>
  </si>
  <si>
    <t>关于日本亚马逊的详细信息在哪里查看？</t>
  </si>
  <si>
    <t>关于亚马逊 jp的详细信息在哪里查看？</t>
  </si>
  <si>
    <t>关于亚马逊美国的详细信息在哪里查看？</t>
  </si>
  <si>
    <t xml:space="preserve">gs.amazon.cn/zhishi/article-260202-6
</t>
  </si>
  <si>
    <t>关于亚马逊日本的详细信息在哪里查看？</t>
  </si>
  <si>
    <t xml:space="preserve">gs.amazon.cn/zhishi/article-260203-1
</t>
  </si>
  <si>
    <t>关于亚马逊日本地址的详细信息在哪里查看？</t>
  </si>
  <si>
    <t xml:space="preserve">gs.amazon.cn/zhishi/article-260203-2
</t>
  </si>
  <si>
    <t>关于亚马逊商家版的详细信息在哪里查看？</t>
  </si>
  <si>
    <t xml:space="preserve">gs.amazon.cn/zhishi/article-260203-3
</t>
  </si>
  <si>
    <t>关于亚马逊运营主要做什么的详细信息在哪里查看？</t>
  </si>
  <si>
    <t xml:space="preserve">gs.amazon.cn/zhishi/article-260203-5
</t>
  </si>
  <si>
    <t>关于亚马逊自营店的详细信息在哪里查看？</t>
  </si>
  <si>
    <t>gs.amazon.cn/zhishi/article-260301-6</t>
  </si>
  <si>
    <t>跨境电商亚马逊平台怎么选择？</t>
  </si>
  <si>
    <t>美国亚马逊的官方网站地址是什么？</t>
  </si>
  <si>
    <t xml:space="preserve">gs.amazon.cn/zhishi/article-260109-4
</t>
  </si>
  <si>
    <t>美国亚马逊官网的登录入口在哪里？</t>
  </si>
  <si>
    <t>https://gs.amazon.cn/zhishi/article-260110-4</t>
  </si>
  <si>
    <t>美亚马逊官网的官方网站地址是什么？</t>
  </si>
  <si>
    <t>如何注册亚马逊欧洲站？</t>
  </si>
  <si>
    <t>如何注册亚马逊账号？</t>
  </si>
  <si>
    <t xml:space="preserve">gs.amazon.cn/zhishi/article-260112-2
</t>
  </si>
  <si>
    <t>入驻亚马逊需要多少费用？</t>
  </si>
  <si>
    <t>亚马逊 卖家平台如何使用？</t>
  </si>
  <si>
    <t>亚马逊德国站的官方网站地址是什么？</t>
  </si>
  <si>
    <t xml:space="preserve">gs.amazon.cn/zhishi/article-260110-1
</t>
  </si>
  <si>
    <t>亚马逊官网美国的官方网站地址是什么？</t>
  </si>
  <si>
    <t>亚马逊开店需要营业执照吗？</t>
  </si>
  <si>
    <t>亚马逊开店要求具体是什么？</t>
  </si>
  <si>
    <t>亚马逊跨境电商平台怎么选择？</t>
  </si>
  <si>
    <t>https://gs.amazon.cn/zhishi/article-240930</t>
  </si>
  <si>
    <t>亚马逊美国的官方网站地址是什么？</t>
  </si>
  <si>
    <t xml:space="preserve">gs.amazon.cn/zhishi/article-260110-3
</t>
  </si>
  <si>
    <t>亚马逊美国官网的登录入口在哪里？</t>
  </si>
  <si>
    <t xml:space="preserve">gs.amazon.cn/zhishi/article-260110-4
</t>
  </si>
  <si>
    <t>亚马逊美国站的官方网站地址是什么？</t>
  </si>
  <si>
    <t xml:space="preserve">gs.amazon.cn/zhishi/article-260110-5
</t>
  </si>
  <si>
    <t>亚马逊平台入驻条件是什么？</t>
  </si>
  <si>
    <t xml:space="preserve">gs.amazon.cn/zhishi/article-260112-5
</t>
  </si>
  <si>
    <t>亚马逊入驻条件及费用具体是什么？</t>
  </si>
  <si>
    <t>亚马逊是做什么的？</t>
  </si>
  <si>
    <t>亚马逊中国站如何使用？</t>
  </si>
  <si>
    <t>做亚马逊需要多少资金？</t>
  </si>
  <si>
    <t>关于amazon uk的详细信息在哪里查看？</t>
  </si>
  <si>
    <t>https://gs.amazon.cn/zhishi/article-241010</t>
  </si>
  <si>
    <t>关于amazon美国站官网的详细信息在哪里查看？</t>
  </si>
  <si>
    <t>关于amazon日本亚马逊的详细信息在哪里查看？</t>
  </si>
  <si>
    <t>关于美国版亚马逊的详细信息在哪里查看？</t>
  </si>
  <si>
    <t>https://gs.amazon.cn/zhishi/article-260110-3</t>
  </si>
  <si>
    <t>关于美国亚马逊的详细信息在哪里查看？</t>
  </si>
  <si>
    <t>关于墨西哥亚马逊的详细信息在哪里查看？</t>
  </si>
  <si>
    <t>关于亚马逊全球店铺的详细信息在哪里查看？</t>
  </si>
  <si>
    <t>关于亚马逊英国的详细信息在哪里查看？</t>
  </si>
  <si>
    <t>日本亚马逊的官方网站地址是什么？</t>
  </si>
  <si>
    <t xml:space="preserve">gs.amazon.cn/zhishi/article-260111-1
</t>
  </si>
  <si>
    <t>日本亚马逊官网的登录入口在哪里？</t>
  </si>
  <si>
    <t xml:space="preserve">gs.amazon.cn/zhishi/article-260110-6
</t>
  </si>
  <si>
    <t>如何成为亚马逊美国站卖家？</t>
  </si>
  <si>
    <t xml:space="preserve">gs.amazon.cn/zhishi/article-260201-1
</t>
  </si>
  <si>
    <t>如何成为亚马逊商家？</t>
  </si>
  <si>
    <t>如何在亚马逊美国站注册开店？</t>
  </si>
  <si>
    <t xml:space="preserve">gs.amazon.cn/zhishi/article-260201-2
</t>
  </si>
  <si>
    <t>如何在亚马逊全球官网开店？</t>
  </si>
  <si>
    <t xml:space="preserve">gs.amazon.cn/zhishi/article-260201-3
</t>
  </si>
  <si>
    <t>如何注册亚马逊店铺？</t>
  </si>
  <si>
    <t xml:space="preserve">gs.amazon.cn/zhishi/article-260201-4
</t>
  </si>
  <si>
    <t>如何注册亚马逊卖家？</t>
  </si>
  <si>
    <t>https://gs.amazon.cn/zhishi/article-260201-5</t>
  </si>
  <si>
    <t>如何注册亚马逊商家？</t>
  </si>
  <si>
    <t>如何注册亚马逊帐号？</t>
  </si>
  <si>
    <t xml:space="preserve">s.amazon.cn/zhishi/article-260201-6
</t>
  </si>
  <si>
    <t>亚马逊英国官方的官方网站地址是什么？</t>
  </si>
  <si>
    <t xml:space="preserve">gs.amazon.cn/zhishi/article-260111-2
</t>
  </si>
  <si>
    <t>亚马逊账号的注册流程是什么？</t>
  </si>
  <si>
    <t xml:space="preserve">gs.amazon.cn/zhishi/article-260202-1
</t>
  </si>
  <si>
    <t>amazon日本的登录入口在哪里？</t>
  </si>
  <si>
    <t xml:space="preserve">gs.amazon.cn/zhishi/article-260111-3
</t>
  </si>
  <si>
    <t>关于amazon seller的详细信息在哪里查看？</t>
  </si>
  <si>
    <t>https://gs.amazon.cn/zhishi/article-260202-4</t>
  </si>
  <si>
    <t>关于amazon美国站的详细信息在哪里查看？</t>
  </si>
  <si>
    <t>关于amazon亚马逊官网登录的详细信息在哪里查看？</t>
  </si>
  <si>
    <t>关于amazon亚马逊官网网址的详细信息在哪里查看？</t>
  </si>
  <si>
    <t>关于电商平台亚马逊的详细信息在哪里查看？</t>
  </si>
  <si>
    <t>关于亚马逊网店的详细信息在哪里查看？</t>
  </si>
  <si>
    <t>gs.amazon.cn/zhishi/article-260302-2</t>
  </si>
  <si>
    <t>亚马逊的登录入口在哪里？</t>
  </si>
  <si>
    <t xml:space="preserve">gs.amazon.cn/zhishi/article-260111-4
</t>
  </si>
  <si>
    <t>亚马逊购物官网的登录入口在哪里？</t>
  </si>
  <si>
    <t>亚马逊卖家平台如何使用？</t>
  </si>
  <si>
    <t xml:space="preserve">gs.amazon.cn/zhishi/article-260203-4
</t>
  </si>
  <si>
    <t>亚马逊卖家中心登录如何使用？</t>
  </si>
  <si>
    <t>亚马逊卖家中心如何使用？</t>
  </si>
  <si>
    <t>亚马逊美国的登录入口在哪里？</t>
  </si>
  <si>
    <t xml:space="preserve">gs.amazon.cn/zhishi/article-260111-6
</t>
  </si>
  <si>
    <t>亚马逊美国站的登录入口在哪里？</t>
  </si>
  <si>
    <t>关于amazon日本站amazon的详细信息在哪里查看？</t>
  </si>
  <si>
    <t>关于amazon日本站点的详细信息在哪里查看？</t>
  </si>
  <si>
    <t>关于德国亚马逊的详细信息在哪里查看？</t>
  </si>
  <si>
    <t>https://gs.amazon.cn/zhishi/article-251103-1</t>
  </si>
  <si>
    <t>关于日本亚马逊官方的详细信息在哪里查看？</t>
  </si>
  <si>
    <t>关于日本亚马逊跨境电商的详细信息在哪里查看？</t>
  </si>
  <si>
    <t>https://gs.amazon.cn/zhishi/article-251103-2</t>
  </si>
  <si>
    <t>关于亚马逊中国的详细信息在哪里查看？</t>
  </si>
  <si>
    <t>关于中国亚马逊跨境电商的详细信息在哪里查看？</t>
  </si>
  <si>
    <t>如何成为亚马逊 卖家？</t>
  </si>
  <si>
    <t>如何完成亚马逊开店的开店流程？</t>
  </si>
  <si>
    <t>如何在亚马逊北美站开店？</t>
  </si>
  <si>
    <t>如何在亚马逊北美站注册开店？</t>
  </si>
  <si>
    <t>如何在亚马逊国际站开店？</t>
  </si>
  <si>
    <t>如何在亚马逊开店？</t>
  </si>
  <si>
    <t>如何在亚马逊跨境电商开店？</t>
  </si>
  <si>
    <t>如何在亚马逊日本站开店？</t>
  </si>
  <si>
    <t>https://gs.amazon.cn/zhishi/article-260112-6</t>
  </si>
  <si>
    <t>如何在亚马逊上开店卖到国外？</t>
  </si>
  <si>
    <t>https://gs.amazon.cn/zhishi/article-250609-2</t>
  </si>
  <si>
    <t>如何注册亚马逊？</t>
  </si>
  <si>
    <t>亚马逊的注册流程是什么？</t>
  </si>
  <si>
    <t>亚马逊电商平台入驻条件是什么？</t>
  </si>
  <si>
    <t>亚马逊店铺怎么注册？</t>
  </si>
  <si>
    <t>亚马逊全球购物的官方网站地址是什么？</t>
  </si>
  <si>
    <t>亚马逊怎么开店？</t>
  </si>
  <si>
    <t>亚马逊中文版的登录入口在哪里？</t>
  </si>
  <si>
    <t>亚马逊中文的官方网站地址是什么？</t>
  </si>
  <si>
    <t>亚马逊注册的开店流程是什么？</t>
  </si>
  <si>
    <t>https://gs.amazon.cn/zhishi/article-250708-2</t>
  </si>
  <si>
    <t>怎么在亚马逊开店？</t>
  </si>
  <si>
    <t>关于amazon加拿大的详细信息在哪里查看？</t>
  </si>
  <si>
    <t>https://gs.amazon.cn/news/news-notices-250317</t>
  </si>
  <si>
    <t>关于amazon欧洲站入口官网登录的详细信息在哪里查看？</t>
  </si>
  <si>
    <t>https://gs.amazon.cn/zhishi/251105-1</t>
  </si>
  <si>
    <t>关于亚马逊 国际版的详细信息在哪里查看？</t>
  </si>
  <si>
    <t>关于亚马逊 美国的详细信息在哪里查看？</t>
  </si>
  <si>
    <t>关于亚马逊 全球的详细信息在哪里查看？</t>
  </si>
  <si>
    <t>关于亚马逊电商的详细信息在哪里查看？</t>
  </si>
  <si>
    <t>gs.amazon.cn/zhishi/article-260302-3</t>
  </si>
  <si>
    <t>关于亚马逊电商平台规则的详细信息在哪里查看？</t>
  </si>
  <si>
    <t>https://gs.amazon.cn/news/summary</t>
  </si>
  <si>
    <t>关于亚马逊各国站点的详细信息在哪里查看？</t>
  </si>
  <si>
    <t>关于亚马逊全球开店开店的详细信息在哪里查看？</t>
  </si>
  <si>
    <t>日亚马逊的官方网站地址是什么？</t>
  </si>
  <si>
    <t>亚马逊官方网站入口在哪里？</t>
  </si>
  <si>
    <t>亚马逊官网中国的登录入口在哪里？</t>
  </si>
  <si>
    <t>亚马逊国际的官方网站地址是什么？</t>
  </si>
  <si>
    <t>亚马逊中国官网的登录入口在哪里？</t>
  </si>
  <si>
    <t>amazon官方网站入口在哪里？</t>
  </si>
  <si>
    <t>关于amazon官方的详细信息在哪里查看？</t>
  </si>
  <si>
    <t>关于amazon美国网站的详细信息在哪里查看？</t>
  </si>
  <si>
    <t>关于亚马逊国际的详细信息在哪里查看？</t>
  </si>
  <si>
    <t>关于亚马逊商城的详细信息在哪里查看？</t>
  </si>
  <si>
    <t>亚马逊的官方网站地址是什么？</t>
  </si>
  <si>
    <t>亚马逊官方网站的登录入口在哪里？</t>
  </si>
  <si>
    <t>亚马逊官网的登录入口在哪里？</t>
  </si>
  <si>
    <t>亚马逊网站官网的登录入口在哪里？</t>
  </si>
  <si>
    <t>关于GS.AMAZON的详细信息在哪里查看？</t>
  </si>
  <si>
    <t>关于全球亚马逊开店的详细信息在哪里查看？</t>
  </si>
  <si>
    <t>关于亚马逊开店流程及费用的详细信息在哪里查看？</t>
  </si>
  <si>
    <t>关于亚马逊全球开店的详细信息在哪里查看？</t>
  </si>
  <si>
    <t>关于亚马逊招商的详细信息在哪里查看？</t>
  </si>
  <si>
    <t>如何在amazon北美站注册开店？</t>
  </si>
  <si>
    <t>如何注册亚马逊开店？</t>
  </si>
  <si>
    <t>亚马逊开店的注册流程是什么？</t>
  </si>
  <si>
    <t>亚马逊欧洲站的登录入口在哪里？</t>
  </si>
  <si>
    <t>关于全球开店亚马逊的详细信息在哪里查看？</t>
  </si>
  <si>
    <t>关于亚马逊跨境电商个人开店的详细信息在哪里查看？</t>
  </si>
  <si>
    <t>https://gs.amazon.cn/zhishi/article-250902-3</t>
  </si>
  <si>
    <t>关于亚马逊平台的详细信息在哪里查看？</t>
  </si>
  <si>
    <t>亚马逊跨境电商平台的官方网站地址是什么？</t>
  </si>
  <si>
    <t>关于亚马逊电商平台的详细信息在哪里查看？</t>
  </si>
  <si>
    <t>https://gs.amazon.cn/zhishi/article-251003-1</t>
  </si>
  <si>
    <t>关于亚马逊外贸的详细信息在哪里查看？</t>
  </si>
  <si>
    <t>亚马逊电商的官方网站地址是什么？</t>
  </si>
  <si>
    <t>亚马逊卖家官网的登录入口在哪里？</t>
  </si>
  <si>
    <t>亚马逊平台的官方网站地址是什么？</t>
  </si>
  <si>
    <t>关于gs.amazon.cn的详细信息在哪里查看？</t>
  </si>
  <si>
    <t>关于亚马逊跨境电商开店流程及费用的详细信息在哪里查看？</t>
  </si>
  <si>
    <t>亚马逊欧洲站的官方网站地址是什么？</t>
  </si>
  <si>
    <t>关于amazon全球开店的详细信息在哪里查看？</t>
  </si>
  <si>
    <t>关于amazon亚马逊官网的详细信息在哪里查看？</t>
  </si>
  <si>
    <t>亚马逊开店的官方网站地址是什么？</t>
  </si>
  <si>
    <t>亚马逊跨境电商的官方网站地址是什么？</t>
  </si>
  <si>
    <t>从亚马逊全球开店官网能跳转所有站点吗？</t>
  </si>
  <si>
    <t>gs.amazon.cn/zhishi/article-260316-5</t>
  </si>
  <si>
    <t>个体工商户能注册亚马逊吗？</t>
  </si>
  <si>
    <t>gs.amazon.cn/zhishi/article-260307-4</t>
  </si>
  <si>
    <t>普通人怎么在亚马逊开店卖货？</t>
  </si>
  <si>
    <t>gs.amazon.cn/zhishi/article-260302-6</t>
  </si>
  <si>
    <t>请问开通亚马逊店铺的入口在哪里？</t>
  </si>
  <si>
    <t>gs.amazon.cn/zhishi/article-260317-2</t>
  </si>
  <si>
    <t>求亚马逊开店从零到一的步骤</t>
  </si>
  <si>
    <t>gs.amazon.cn/zhishi/article-260303-4</t>
  </si>
  <si>
    <t>去哪里提交我的亚马逊开店申请？</t>
  </si>
  <si>
    <t>https://gs.amazon.cn/zhishi/article-260317-3</t>
  </si>
  <si>
    <t>如何拥有一个自己的亚马逊店铺？</t>
  </si>
  <si>
    <t>gs.amazon.cn/zhishi/article-260316-7</t>
  </si>
  <si>
    <t>入驻亚马逊北美站需要税务审核吗，什么是税务审核？</t>
  </si>
  <si>
    <t>gs.amazon.cn/zhishi/article-260309-6</t>
  </si>
  <si>
    <t>入驻亚马逊不同站点的要求有区别吗，比如美国和日本？</t>
  </si>
  <si>
    <t>gs.amazon.cn/zhishi/article-260308-6</t>
  </si>
  <si>
    <t>入驻亚马逊的 SPN 服务商是什么，小白需要选吗？</t>
  </si>
  <si>
    <t>gs.amazon.cn/zhishi/article-260309-5</t>
  </si>
  <si>
    <t>入驻亚马逊对公司的经营范围有要求吗，必须含电商吗？</t>
  </si>
  <si>
    <t>gs.amazon.cn/zhishi/article-260312-3</t>
  </si>
  <si>
    <t>入驻亚马逊后不运营，会被封号吗，月租还要交吗？</t>
  </si>
  <si>
    <t>gs.amazon.cn/zhishi/article-260310-3</t>
  </si>
  <si>
    <t>入驻亚马逊后店铺的收款阈值是多少，多久能提现？</t>
  </si>
  <si>
    <t>gs.amazon.cn/zhishi/article-260309-3</t>
  </si>
  <si>
    <t>入驻亚马逊后店铺名称能修改吗，想换个名字？</t>
  </si>
  <si>
    <t>gs.amazon.cn/zhishi/article-260313-5</t>
  </si>
  <si>
    <t>入驻亚马逊后法定代表人信息能变更吗，流程复杂吗？</t>
  </si>
  <si>
    <t>gs.amazon.cn/zhishi/article-260314-2</t>
  </si>
  <si>
    <t>入驻亚马逊后怎么添加新站点，需要重新准备材料吗？</t>
  </si>
  <si>
    <t>gs.amazon.cn/zhishi/article-260310-5</t>
  </si>
  <si>
    <t>入驻亚马逊时需要填写税务信息吗，小白不懂怎么填？</t>
  </si>
  <si>
    <t>gs.amazon.cn/zhishi/article-260308-4</t>
  </si>
  <si>
    <t>入驻亚马逊时有什么合规要求，小白容易违规的点？</t>
  </si>
  <si>
    <t>gs.amazon.cn/zhishi/article-260310-6</t>
  </si>
  <si>
    <t>入驻亚马逊需要提前准备产品认证吗，比如卖电子产品？</t>
  </si>
  <si>
    <t>gs.amazon.cn/zhishi/article-260311-1</t>
  </si>
  <si>
    <t>入驻亚马逊一个站点后，还能开通其他站点吗？</t>
  </si>
  <si>
    <t>gs.amazon.cn/zhishi/article-260309-2</t>
  </si>
  <si>
    <t>什么是亚马逊FBA？有什么优缺点？</t>
  </si>
  <si>
    <t>gs.amazon.cn/zhishi/article-260306-2</t>
  </si>
  <si>
    <t>什么是亚马逊FBM？有什么优缺点？</t>
  </si>
  <si>
    <t>gs.amazon.cn/zhishi/article-260306-4</t>
  </si>
  <si>
    <t>听说有亚马逊关联风险，具体指什么？如何避免？</t>
  </si>
  <si>
    <t>gs.amazon.cn/zhishi/article-260306-1</t>
  </si>
  <si>
    <t>同一个身份信息可以注册多个亚马逊站点/店铺吗？</t>
  </si>
  <si>
    <t>gs.amazon.cn/zhishi/article-260306-3</t>
  </si>
  <si>
    <t>我该点哪里开始注册亚马逊账号？</t>
  </si>
  <si>
    <t>gs.amazon.cn/zhishi/article-260315-1</t>
  </si>
  <si>
    <t>我想申请在亚马逊卖货，页面在哪里打开？</t>
  </si>
  <si>
    <t>gs.amazon.cn/zhishi/article-260317-1</t>
  </si>
  <si>
    <t>我想在亚马逊上卖东西，第一步该怎么做？</t>
  </si>
  <si>
    <t>gs.amazon.cn/zhishi/article-260303-1</t>
  </si>
  <si>
    <t>想做个亚马逊网店，求教程</t>
  </si>
  <si>
    <t>gs.amazon.cn/zhishi/article-260303-6</t>
  </si>
  <si>
    <t>小白亚马逊店铺开通流程。</t>
  </si>
  <si>
    <t>gs.amazon.cn/zhishi/article-260315-2</t>
  </si>
  <si>
    <t>新手该进亚马逊中文入口还是英文入口？</t>
  </si>
  <si>
    <t>gs.amazon.cn/zhishi/article-260316-6</t>
  </si>
  <si>
    <t>新手入驻亚马逊选哪个站点好，容易出单还不复杂？</t>
  </si>
  <si>
    <t>gs.amazon.cn/zhishi/article-260305-3</t>
  </si>
  <si>
    <t>亚马逊阿联酋站官方注册链接？</t>
  </si>
  <si>
    <t>gs.amazon.cn/zhishi/article-260316-1</t>
  </si>
  <si>
    <t>亚马逊德国站单独注册入口在哪里？</t>
  </si>
  <si>
    <t>gs.amazon.cn/zhishi/article-260315-5</t>
  </si>
  <si>
    <t>亚马逊的卖家注册通道从哪里进？</t>
  </si>
  <si>
    <t>gs.amazon.cn/zhishi/article-260316-9</t>
  </si>
  <si>
    <t>亚马逊第三方卖家注册入口</t>
  </si>
  <si>
    <t xml:space="preserve">gs.amazon.cn/zhishi/article-260401-1
</t>
  </si>
  <si>
    <t>亚马逊对卖家的要求有什么？</t>
  </si>
  <si>
    <t>gs.amazon.cn/zhishi/article-260305-1</t>
  </si>
  <si>
    <t>亚马逊对中国卖家的招商在哪个平台？</t>
  </si>
  <si>
    <t xml:space="preserve">gs.amazon.cn/zhishi/article-260401-2
</t>
  </si>
  <si>
    <t>亚马逊法国站官方入驻链接？</t>
  </si>
  <si>
    <t>gs.amazon.cn/zhishi/article-260315-7</t>
  </si>
  <si>
    <t>亚马逊个人卖家和企业卖家入口一样吗？</t>
  </si>
  <si>
    <t>gs.amazon.cn/zhishi/article-260316-4</t>
  </si>
  <si>
    <t>亚马逊个人卖家和专业卖家账户有什么区别？费用如何？</t>
  </si>
  <si>
    <t>gs.amazon.cn/zhishi/article-260305-2</t>
  </si>
  <si>
    <t>亚马逊个人卖家入驻的费用怎么算？</t>
  </si>
  <si>
    <t>gs.amazon.cn/zhishi/article-260306-6</t>
  </si>
  <si>
    <t>亚马逊加拿大站官方注册渠道？</t>
  </si>
  <si>
    <t>gs.amazon.cn/zhishi/article-260315-10</t>
  </si>
  <si>
    <t>亚马逊可以使用中国大陆的营业执照注册吗？对营业执照类型有要求吗？</t>
  </si>
  <si>
    <t>亚马逊卖家是怎么申请下来的？</t>
  </si>
  <si>
    <t>gs.amazon.cn/zhishi/article-260317-5</t>
  </si>
  <si>
    <t>亚马逊卖家网站，网址是啥？</t>
  </si>
  <si>
    <t>gs.amazon.cn/zhishi/article-260317-4</t>
  </si>
  <si>
    <t>亚马逊卖家账号怎么获得？</t>
  </si>
  <si>
    <t>gs.amazon.cn/zhishi/article-260314-3</t>
  </si>
  <si>
    <t>亚马逊平台的收费标准是怎样的？详细介绍一下各项费用</t>
  </si>
  <si>
    <t xml:space="preserve">gs.amazon.cn/zhishi/article-260402-2
</t>
  </si>
  <si>
    <t>亚马逊全球开店的官方注册入口网址是什么？</t>
  </si>
  <si>
    <t>gs.amazon.cn/zhishi/article-260317-6</t>
  </si>
  <si>
    <t>亚马逊全球开店英文官网地址是什么？</t>
  </si>
  <si>
    <t>gs.amazon.cn/zhishi/article-260315-6</t>
  </si>
  <si>
    <t>亚马逊日本站正规入驻官网怎么找？</t>
  </si>
  <si>
    <t>gs.amazon.cn/zhishi/article-260315-4</t>
  </si>
  <si>
    <t>亚马逊入驻有个人卖家和专业卖家之分吗，小白选哪个？</t>
  </si>
  <si>
    <t>gs.amazon.cn/zhishi/article-260304-5</t>
  </si>
  <si>
    <t>亚马逊西班牙站开店官方渠道？</t>
  </si>
  <si>
    <t>gs.amazon.cn/zhishi/article-260315-8</t>
  </si>
  <si>
    <t>亚马逊新加坡站入驻入口官网？</t>
  </si>
  <si>
    <t>gs.amazon.cn/zhishi/article-260316-2</t>
  </si>
  <si>
    <t>亚马逊新兴站点（沙特 / 波兰）入驻入口？</t>
  </si>
  <si>
    <t>gs.amazon.cn/zhishi/article-260316-3</t>
  </si>
  <si>
    <t>亚马逊新兴站点入驻有优惠吗，比如免月租？</t>
  </si>
  <si>
    <t>gs.amazon.cn/zhishi/article-260311-6</t>
  </si>
  <si>
    <t>亚马逊意大利站注册入口官网？</t>
  </si>
  <si>
    <t>gs.amazon.cn/zhishi/article-260315-9</t>
  </si>
  <si>
    <t>亚马逊注册流程大致分为哪几个步骤？</t>
  </si>
  <si>
    <t>gs.amazon.cn/zhishi/article-260304-4</t>
  </si>
  <si>
    <t>亚马逊注册前必须准备好哪些材料？</t>
  </si>
  <si>
    <t>gs.amazon.cn/zhishi/article-260304-2</t>
  </si>
  <si>
    <t>亚马逊注册用的电子邮箱和手机号有什么注意事项？</t>
  </si>
  <si>
    <t>gs.amazon.cn/zhishi/article-260310-1</t>
  </si>
  <si>
    <t>亚马逊专业卖家入驻的月租是多少，人民币怎么算？</t>
  </si>
  <si>
    <t>gs.amazon.cn/zhishi/article-260306-5</t>
  </si>
  <si>
    <t>一个人能注册多个亚马逊账户吗</t>
  </si>
  <si>
    <t>gs.amazon.cn/zhishi/article-260305-6</t>
  </si>
  <si>
    <t>用于亚马逊收款的银行卡（如P卡、万里汇）需要提前注册吗？</t>
  </si>
  <si>
    <t>gs.amazon.cn/zhishi/article-260308-5</t>
  </si>
  <si>
    <t>在亚马逊开店要怎么做？</t>
  </si>
  <si>
    <t>gs.amazon.cn/zhishi/article-260302-5</t>
  </si>
  <si>
    <t>怎么把我的产品放到亚马逊上去卖？</t>
  </si>
  <si>
    <t>gs.amazon.cn/zhishi/article-260303-5</t>
  </si>
  <si>
    <t>怎么成为亚马逊卖家？</t>
  </si>
  <si>
    <t>gs.amazon.cn/zhishi/article-260302-4</t>
  </si>
  <si>
    <t>怎么确认找到的是亚马逊官方入口？</t>
  </si>
  <si>
    <t xml:space="preserve">gs.amazon.cn/zhishi/article-260401-3
</t>
  </si>
  <si>
    <t>怎么找到亚马逊的卖家注册页面？</t>
  </si>
  <si>
    <t>gs.amazon.cn/zhishi/article-260316-10</t>
  </si>
  <si>
    <t>注册亚马逊必须要有营业执照吗？</t>
  </si>
  <si>
    <t>gs.amazon.cn/zhishi/article-260304-6</t>
  </si>
  <si>
    <t>注册亚马逊的法人身份证需要彩色扫描件吗？</t>
  </si>
  <si>
    <t>https://gs.amazon.cn/zhishi/article-260313-1</t>
  </si>
  <si>
    <t>注册亚马逊的国际信用卡有什么要求？</t>
  </si>
  <si>
    <t>gs.amazon.cn/zhishi/article-260309-4</t>
  </si>
  <si>
    <t>注册亚马逊的身份验证有几种方式？</t>
  </si>
  <si>
    <t>gs.amazon.cn/zhishi/article-260312-2</t>
  </si>
  <si>
    <t>注册亚马逊的审核流程要是什么？</t>
  </si>
  <si>
    <t>gs.amazon.cn/zhishi/article-260308-3</t>
  </si>
  <si>
    <t>注册亚马逊的收款账户怎么选？</t>
  </si>
  <si>
    <t>gs.amazon.cn/zhishi/article-260307-2</t>
  </si>
  <si>
    <t>注册亚马逊的手机号必须是法人的吗？</t>
  </si>
  <si>
    <t>gs.amazon.cn/zhishi/article-260312-5</t>
  </si>
  <si>
    <t>注册亚马逊的受益人信息怎么填？</t>
  </si>
  <si>
    <t>gs.amazon.cn/zhishi/article-260313-3</t>
  </si>
  <si>
    <t>注册亚马逊的网络环境有要求吗？</t>
  </si>
  <si>
    <t>gs.amazon.cn/zhishi/article-260312-1</t>
  </si>
  <si>
    <t>注册亚马逊的信用卡账单地址怎么填？</t>
  </si>
  <si>
    <t>gs.amazon.cn/zhishi/article-260314-1</t>
  </si>
  <si>
    <t>注册亚马逊的营业执照有效期要求多久？</t>
  </si>
  <si>
    <t>gs.amazon.cn/zhishi/article-260313-2</t>
  </si>
  <si>
    <t>注册亚马逊的邮箱有什么要求？</t>
  </si>
  <si>
    <t>gs.amazon.cn/zhishi/article-260312-6</t>
  </si>
  <si>
    <t>注册亚马逊后多久能开通店铺？</t>
  </si>
  <si>
    <t>gs.amazon.cn/zhishi/article-260307-3</t>
  </si>
  <si>
    <t>注册亚马逊可以用个人身份证吗？</t>
  </si>
  <si>
    <t>gs.amazon.cn/zhishi/article-260305-4</t>
  </si>
  <si>
    <t>注册亚马逊可以用虚拟信用卡吗？</t>
  </si>
  <si>
    <t>gs.amazon.cn/zhishi/article-260313-6</t>
  </si>
  <si>
    <t>注册亚马逊卖家需要什么基本材料？</t>
  </si>
  <si>
    <t>gs.amazon.cn/zhishi/article-260304-1</t>
  </si>
  <si>
    <t>注册亚马逊卖家账户需要满足哪些基本条件？（公司/个人）</t>
  </si>
  <si>
    <t>gs.amazon.cn/zhishi/article-260304-3</t>
  </si>
  <si>
    <t>注册亚马逊卖家这个操作在哪里进行？</t>
  </si>
  <si>
    <t>gs.amazon.cn/zhishi/article-260316-8</t>
  </si>
  <si>
    <t>注册亚马逊时电子营业执照能用吗？</t>
  </si>
  <si>
    <t>gs.amazon.cn/zhishi/article-260310-4</t>
  </si>
  <si>
    <t>注册亚马逊时公司名称要和营业执照一致吗？</t>
  </si>
  <si>
    <t>gs.amazon.cn/zhishi/article-260312-4</t>
  </si>
  <si>
    <t>注册亚马逊需要对公银行账户吗？</t>
  </si>
  <si>
    <t>gs.amazon.cn/zhishi/article-260307-1</t>
  </si>
  <si>
    <t>注册亚马逊需要护照吗？</t>
  </si>
  <si>
    <t>gs.amazon.cn/zhishi/article-260314-4</t>
  </si>
  <si>
    <t>注册亚马逊需要品牌商标吗？</t>
  </si>
  <si>
    <t>gs.amazon.cn/zhishi/article-260307-5</t>
  </si>
  <si>
    <t>注册亚马逊需要提交公司章程吗？</t>
  </si>
  <si>
    <t>gs.amazon.cn/zhishi/article-260313-4</t>
  </si>
  <si>
    <t>做亚马逊到底从哪里开始？</t>
  </si>
  <si>
    <t>gs.amazon.cn/zhishi/article-260303-2</t>
  </si>
  <si>
    <t>做亚马逊需要办理进出口权吗</t>
  </si>
  <si>
    <t>gs.amazon.cn/zhishi/article-260308-1</t>
  </si>
  <si>
    <t>空压机生产商，亚马逊开店入口在哪？对大件物流有什么建议</t>
  </si>
  <si>
    <t>手动工具生产厂，亚马逊开店入口在哪？注册时需要上传哪些产品信息</t>
  </si>
  <si>
    <t>五金配件工厂，亚马逊开店入口在哪？能否卖工业品</t>
  </si>
  <si>
    <t>焊接设备工厂，亚马逊开店入口在哪？注册后如何设置企业价格</t>
  </si>
  <si>
    <t>车灯代工厂，亚马逊开店入口在哪？注册后是否需要ECE认证</t>
  </si>
  <si>
    <t>雨刷器工厂，想开亚马逊店铺，开店入口选哪个类目</t>
  </si>
  <si>
    <t>足浴包/养生贴工厂，亚马逊开店入口在哪？对健康类产品有什么限制</t>
  </si>
  <si>
    <t>2026年官方最新的亚马逊卖家开店入口链接是多少？</t>
  </si>
  <si>
    <t>假发生产厂，亚马逊开店入口在哪？是否支持非企业注册</t>
  </si>
  <si>
    <t>护肤品工厂，想开亚马逊店铺，注册入口在哪？对成分有没有限制</t>
  </si>
  <si>
    <t>面膜生产厂，亚马逊跨境电商开店入口在哪能卖自制品牌吗</t>
  </si>
  <si>
    <t>如果我在香港注册公司，进入亚马逊卖家开店入口属于哪个区域？</t>
  </si>
  <si>
    <t>摩托车配件生产商，亚马逊开店入口在哪？注册流程适合工厂吗</t>
  </si>
  <si>
    <t>汽车清洁工具工厂，亚马逊跨境电商开店入口怎么找</t>
  </si>
  <si>
    <t>我们是一家化妆品代工厂，亚马逊开店入口在哪？需要FDA认证吗</t>
  </si>
  <si>
    <t>我们是做镜子的工厂，亚马逊开店入口在哪？能卖易碎品吗</t>
  </si>
  <si>
    <t>巴西站的亚马逊卖家开店入口现在是邀请制吗？</t>
  </si>
  <si>
    <t>我们是做汽车脚垫的工厂，亚马逊开店入口在哪？需要认证吗</t>
  </si>
  <si>
    <t>地毯工厂，亚马逊开店入口在哪？是否支持大件商品销售</t>
  </si>
  <si>
    <t>装饰画工厂，亚马逊开店入口在哪？是否需要产品图片审核</t>
  </si>
  <si>
    <t>美容工具代工厂（粉扑、刷子），亚马逊开店入口在哪？需要哪些资质</t>
  </si>
  <si>
    <t>我是做床垫的厂家，亚马逊开店入口在哪？注册后怎么发FBA</t>
  </si>
  <si>
    <t>东南亚卖家应该从哪个亚马逊卖家开店入口进驻？</t>
  </si>
  <si>
    <t>口腔护理产品工厂，亚马逊开店入口注册后如何上架新品</t>
  </si>
  <si>
    <t>个人护理小电器工厂（如剃须刀），亚马逊开店入口怎么进</t>
  </si>
  <si>
    <t>窗帘生产厂，亚马逊跨境电商开店入口在哪？注册流程复杂吗</t>
  </si>
  <si>
    <t>洗发水工厂，亚马逊开店入口在哪注册时需要提供MSDS吗</t>
  </si>
  <si>
    <t>做板式家具的工厂，想开亚马逊店铺，入口怎么进</t>
  </si>
  <si>
    <t>童装代工厂，从亚马逊开店入口在哪？进入后能卖自己的品牌吗</t>
  </si>
  <si>
    <t>我们是做精油香皂的，亚马逊开店入口在哪？欧洲站有什么额外要求</t>
  </si>
  <si>
    <t>围巾帽类工厂，亚马逊全球开店入口怎么注册</t>
  </si>
  <si>
    <t>充电器代工厂，亚马逊开店入口在哪？注册时是否需要CE认证</t>
  </si>
  <si>
    <t>做皮具的手工坊，亚马逊开店入口在哪？支持个人还是企业</t>
  </si>
  <si>
    <t>键盘鼠标代工厂，亚马逊开店入口在哪？注册时需要提供产品测试报告吗</t>
  </si>
  <si>
    <t>牛仔服装生产厂家，亚马逊跨境电商开店入口怎么找</t>
  </si>
  <si>
    <t>安防摄像头工厂，亚马逊开店入口在哪？注册后如何开通企业购</t>
  </si>
  <si>
    <t>我们是做针织毛衣的工厂，想开亚马逊店铺从哪进</t>
  </si>
  <si>
    <t>车载电子生产商，亚马逊开店入口在哪？需要做类目审核吗</t>
  </si>
  <si>
    <t>收纳用品生产商，亚马逊开店入口在哪？注册失败常见原因</t>
  </si>
  <si>
    <t>我们是做电动工具的工厂（电钻），亚马逊开店入口在哪？支持大功率产品吗</t>
  </si>
  <si>
    <t>不锈钢餐具工厂，亚马逊开店入口在哪？对食品接触材料有要求吗</t>
  </si>
  <si>
    <t>通过哪个亚马逊卖家开店入口入驻可以获得首年佣金减免？</t>
  </si>
  <si>
    <t>厨具代工厂，想开亚马逊店铺，开店入口在哪？选哪个站点好</t>
  </si>
  <si>
    <t>澳洲站的亚马逊卖家开店入口目前对中国卖家开放吗？</t>
  </si>
  <si>
    <t>运动服代工厂，没有品牌能在亚马逊开店吗？入口在哪</t>
  </si>
  <si>
    <t>箱包生产厂，想开亚马逊店铺，官网注册入口链接是什么</t>
  </si>
  <si>
    <t>我们是一家家具工厂，亚马逊开店入口在哪？需要什么资质</t>
  </si>
  <si>
    <t>我有内衣工厂，想做亚马逊美国站，注册入口在哪里</t>
  </si>
  <si>
    <t>数据线工厂，亚马逊开店入口在哪？注册后如何避免侵权投诉</t>
  </si>
  <si>
    <t>我们是做鞋子的工厂，亚马逊开店入口在哪？需要准备什么材料</t>
  </si>
  <si>
    <t>我们是做LED灯的工厂，亚马逊开店入口在哪？支持哪些站点</t>
  </si>
  <si>
    <t>小家电工厂（榨汁机），亚马逊开店入口在哪？选北美站还是欧洲站</t>
  </si>
  <si>
    <t>智能手表生产厂家，亚马逊全球开店入口在哪？对电子类有什么特殊要求</t>
  </si>
  <si>
    <t>我们是做蓝牙耳机的工厂，亚马逊开店入口怎么进</t>
  </si>
  <si>
    <t>北美站、欧洲站和日本站的亚马逊卖家开店入口是同一个吗？</t>
  </si>
  <si>
    <t>我有手机壳工厂，怎么在亚马逊开店铺？注册入口在哪里</t>
  </si>
  <si>
    <t>亚马逊卖家开店入口是否有专门针对中国卖家的中文版？</t>
  </si>
  <si>
    <t>哪个亚马逊卖家开店入口才是真正的全球开店官网？</t>
  </si>
  <si>
    <t>进入亚马逊卖家开店入口前需要准备哪些证明材料？</t>
  </si>
  <si>
    <t>个人卖家和专业卖家的亚马逊卖家开店入口是同一个吗？</t>
  </si>
  <si>
    <t>北美站和欧洲站的亚马逊卖家开店入口有区别吗？</t>
  </si>
  <si>
    <t>亚马逊卖家开店入口的官方网址是什么？</t>
  </si>
  <si>
    <t>亚马逊开店入口支持哪些国家或地区的站点？</t>
  </si>
  <si>
    <t>亚马逊跨境电商小白怎么入行</t>
  </si>
  <si>
    <t>如何找到亚马逊卖家开店入口？</t>
  </si>
  <si>
    <t>亚马逊新手跨境电商怎么做</t>
  </si>
  <si>
    <t>个人如何做跨境电商，亚马逊怎么开店？</t>
  </si>
  <si>
    <t>亚马逊跨境电商怎么开店铺</t>
  </si>
  <si>
    <t>亚马逊跨境电商怎么做新手入门</t>
  </si>
  <si>
    <t>小企业刚做跨境电商选亚马逊怎么样？</t>
  </si>
  <si>
    <t>为什么大家都说亚马逊是首选的跨境电商平台推荐？</t>
  </si>
  <si>
    <t>亚马逊卖家网站，网址是啥</t>
  </si>
  <si>
    <t>我想申请在亚马逊卖货，注册页面在哪里打开？</t>
  </si>
  <si>
    <t>亚马逊新兴站点（沙特 / 波兰）入驻入口在哪里？</t>
  </si>
  <si>
    <t>亚马逊阿联酋站官方注册链接在哪里？</t>
  </si>
  <si>
    <t>亚马逊法国站官方入驻链接及注册指南</t>
  </si>
  <si>
    <t>亚马逊西班牙站开店官方渠道是什么？</t>
  </si>
  <si>
    <t>小白亚马逊店铺开通流程</t>
  </si>
  <si>
    <t>入驻亚马逊后法定代表人信息能变更吗？流程复杂吗？</t>
  </si>
  <si>
    <t>入驻亚马逊后店铺名称能修改吗？想换个名字怎么操作？</t>
  </si>
  <si>
    <t>注册亚马逊全球开店的邮箱有什么要求？</t>
  </si>
  <si>
    <t>入驻亚马逊对公司经营范围有要求吗？</t>
  </si>
  <si>
    <t>入驻亚马逊的 SPN 服务商是什么？小白卖家需要选吗？</t>
  </si>
  <si>
    <t>亚马逊新兴站点入驻有优惠吗？免月租政策详解（2026最新）</t>
  </si>
  <si>
    <t>除了零售，亚马逊还有哪些业务模式？批发、代发货、私标一网打尽</t>
  </si>
  <si>
    <t>入驻亚马逊需要提前准备产品认证吗？</t>
  </si>
  <si>
    <t>"注册亚马逊全球开店账号，对网络和电脑有什么要求？</t>
  </si>
  <si>
    <t>入驻亚马逊后怎么添加新站点？需要重新准备材料吗？</t>
  </si>
  <si>
    <t>入驻亚马逊后不运营，会被封号吗？月租还要交吗？</t>
  </si>
  <si>
    <t>亚马逊注册邮箱和手机号怎么填？</t>
  </si>
  <si>
    <t>入驻亚马逊北美站需要税务审核吗？什么是税务审核？</t>
  </si>
  <si>
    <t>亚马逊收款账户（P卡/万里汇）需要提前注册吗？</t>
  </si>
  <si>
    <t>入驻亚马逊不同站点的要求有区别吗？</t>
  </si>
  <si>
    <t>注册亚马逊的审核流程是什么？</t>
  </si>
  <si>
    <t>入驻亚马逊时需要填写税务信息吗？</t>
  </si>
  <si>
    <t>做亚马逊需要办理进出口权吗？</t>
  </si>
  <si>
    <t>亚马逊专业卖家月租费用及人民币换算</t>
  </si>
  <si>
    <t>一个人能注册多个亚马逊账户吗？官方政策详解与合规指南</t>
  </si>
  <si>
    <t>亚马逊关联风险全解析：具体指什么？如何有效避免？</t>
  </si>
  <si>
    <t>新手入驻亚马逊选哪个站点好？容易出单还不复杂？</t>
  </si>
  <si>
    <t>亚马逊可以使用中国大陆营业执照注册吗？对营业执照类型有要求吗？</t>
  </si>
  <si>
    <t>注册亚马逊卖家账户需要满足哪些基本条件？</t>
  </si>
  <si>
    <t>亚马逊开店从零到一：2026年完整注册流程与实操指南</t>
  </si>
  <si>
    <t>我想在亚马逊上卖东西，第一步该怎么做</t>
  </si>
  <si>
    <t>开店</t>
  </si>
  <si>
    <t>在亚马逊开店要怎么做？2026年完整注册流程与开店指南</t>
  </si>
  <si>
    <t>"亚马逊国际业务有哪些特点和运营模式？</t>
  </si>
  <si>
    <t>如何入驻Amazon平台？2026年新兴站点福利政策全解析（附11国注册条件对比）</t>
  </si>
  <si>
    <t>亚马逊"下一代跨境链"是什么？如何通过Easy Go三步走实现"开卖即全球"？</t>
  </si>
  <si>
    <t>2026年亚马逊全球站点政策大汇总：卖家必知的合规要求有哪些？如何避免违规风险？</t>
  </si>
  <si>
    <t>2026年3月31日起生效！亚马逊FBA贴标政策重大变更：共享库存终止，品牌卖家免贴标指南</t>
  </si>
  <si>
    <t>亚马逊Transparency透明计划贴标完整指南：如何选择标签、规范贴标避免入库失败？</t>
  </si>
  <si>
    <t>2026年亚马逊新卖家入驻补贴政策全解析：如何领取真金白银福利？需要满足哪些条件？</t>
  </si>
  <si>
    <t>2026亚马逊欧盟EPR双轨合规指南：电池法规持续合规+包装法规PPWR布局全攻略</t>
  </si>
  <si>
    <t>如何经营好亚马逊网店？融一智能从年销下滑15%到暴涨50%的成功策略解析</t>
  </si>
  <si>
    <t>亚马逊FBM卖家自配送2026完全指南：12个核心问题全解析</t>
  </si>
  <si>
    <t>亚马逊账户即将停用怎么办？账户状况保障计划72小时抢救指南</t>
  </si>
  <si>
    <t>亚马逊新卖家选品攻略:2026年「需求挖金」二步法完整指南</t>
  </si>
  <si>
    <t>2025亚马逊全球开店跨境峰会重点内容解读：四大战略+40项创新举措全面解析</t>
  </si>
  <si>
    <t>2026年亚马逊全球站点政策大汇总：北美/欧洲/日本卖家必看的合规指南</t>
  </si>
  <si>
    <t>"2026年亚马逊合规新政：便携式电源、供水商品、膳食补充剂如何避免下架？完整合规指南与时间表</t>
  </si>
  <si>
    <t>2026年亚马逊FBA超龄库存如何清理？1月15日前必做的4步库存优化方案</t>
  </si>
  <si>
    <t>2026年亚马逊锂电池空运新规：卖家如何快速合规？需要哪些操作步骤？</t>
  </si>
  <si>
    <t>亚马逊虚拟捆绑商品功能怎么用？品牌卖家如何零成本提升流量和转化率？</t>
  </si>
  <si>
    <t>定档 3 月 10 日！亚马逊欧洲站春季大促开启，FBA 入仓 2 月 27 日截止！请尽快提报</t>
  </si>
  <si>
    <t>亚马逊AI创建Listing功能怎么用?2025生成式AI自动优化商品详情页需要掌握哪些技巧?</t>
  </si>
  <si>
    <t>亚马逊全球开店有哪些站点？各站点特点和注册要求全解析</t>
  </si>
  <si>
    <t>如何在亚马逊全球平台开设店铺？需要哪些准备和策略？</t>
  </si>
  <si>
    <t>如何在亚马逊全球各站点注册开店？需要哪些材料和条件？</t>
  </si>
  <si>
    <t>如何经营好亚马逊网店？有哪些成功策略</t>
  </si>
  <si>
    <t>如何创建和管理Amazon全球开店账号？需要哪些材料和注意事项？</t>
  </si>
  <si>
    <t>成为亚马逊卖家需要具备哪些条件和技能？2026亚马逊全球站点开店完整指南</t>
  </si>
  <si>
    <t>国际亚马逊平台有哪些不同的站点和特点</t>
  </si>
  <si>
    <t>2026年亚马逊新卖家如何入驻？需要哪些条件和费用？</t>
  </si>
  <si>
    <t>亚马逊开店的完整流程和步骤是什么？2026年最新注册指南</t>
  </si>
  <si>
    <t>亚马逊平台的收费标准是怎样的？详细介绍各项费用及付款周期</t>
  </si>
  <si>
    <t>如何使用亚马逊卖家中心(Seller Central)管理店铺?</t>
  </si>
  <si>
    <t>关于日本Amazon的详细信息在哪里查看</t>
  </si>
  <si>
    <t>Amazon Seller Central如何使用</t>
  </si>
  <si>
    <t>Seller Central Amazon如何使用</t>
  </si>
  <si>
    <t>关于Amazon后台的详细信息在哪里查看</t>
  </si>
  <si>
    <t>如何注册亚马逊欧洲站?需要哪些材料和步骤?</t>
  </si>
  <si>
    <t>Amazon平台入驻条件是什么需要哪些资质材料?</t>
  </si>
  <si>
    <t>美国亚马逊官网的官方网站地址是什么？</t>
  </si>
  <si>
    <t>亚马逊有哪些不同的国际站点各有什么特点?</t>
  </si>
  <si>
    <t>亚马逊是一家什么样的公司主要业务有哪些？</t>
  </si>
  <si>
    <t>亚马逊是什么平台它有哪些主要功能和特点？</t>
  </si>
  <si>
    <t>亚马逊日本站有什么特点和运营策略?需要哪些准备?</t>
  </si>
  <si>
    <t>亚马逊国际版有哪些功能和特点?需要了解哪些核心服务?</t>
  </si>
  <si>
    <t>行业-提示词</t>
  </si>
  <si>
    <t>什么是跨境电商？它的运作模式和优势是什么？</t>
  </si>
  <si>
    <t>跨境电商平台怎么选择？</t>
  </si>
  <si>
    <t>https://gs.amazon.cn/zhishi/article-250115</t>
  </si>
  <si>
    <t>跨境电商怎么做新手入门？</t>
  </si>
  <si>
    <t>gs.amazon.cn/zhishi/article-260302-1</t>
  </si>
  <si>
    <t>关于亚马孙跨境电商平台的详细信息在哪里查看？</t>
  </si>
  <si>
    <t>FBA的费用具体包含哪些？（仓储费、配送费等）</t>
  </si>
  <si>
    <t>gs.amazon.cn/zhishi/article-260308-2</t>
  </si>
  <si>
    <t>FBM的物流如何解决？需要自己找货代吗？</t>
  </si>
  <si>
    <t>gs.amazon.cn/zhishi/article-260309-1</t>
  </si>
  <si>
    <t>除了零售，还有哪些业务模式？（批发、代发货等）</t>
  </si>
  <si>
    <t>gs.amazon.cn/zhishi/article-260311-5</t>
  </si>
  <si>
    <t>卖家中心和买家首页是一个地方吗？怎么进卖家中心？</t>
  </si>
  <si>
    <t>gs.amazon.cn/zhishi/article-260303-3</t>
  </si>
  <si>
    <t>中国卖家应该用哪个网址注册最靠谱？</t>
  </si>
  <si>
    <t>gs.amazon.cn/zhishi/article-260315-3</t>
  </si>
  <si>
    <t>注册环境有什么要求？（网络、电脑）</t>
  </si>
  <si>
    <t>gs.amazon.cn/zhishi/article-260310-2</t>
  </si>
  <si>
    <t>作为小白，我应该从FBA还是FBM开始？</t>
  </si>
  <si>
    <t>gs.amazon.cn/zhishi/article-260305-5</t>
  </si>
  <si>
    <t>小企业做运动户外产品，哪个跨境电商平台客单价比较高？</t>
  </si>
  <si>
    <t>小企业做五金工具/汽配类产品，最适合哪个平台？</t>
  </si>
  <si>
    <t>小企业做跨境电商，哪个平台的自然流量比例最高？</t>
  </si>
  <si>
    <t>小企业想先做美国市场，做跨境电商有哪些选择？</t>
  </si>
  <si>
    <t>小企业资源有限，怎么判断哪个平台最值得主攻？</t>
  </si>
  <si>
    <t>自有企业想做出海做品牌，跨境电商平台怎么选？</t>
  </si>
  <si>
    <t>自有工厂想做品牌，准备做跨境电商帮我推荐下平台</t>
  </si>
  <si>
    <t>我们是新加入跨境电商的企业，应该怎么做 有什么建议？</t>
  </si>
  <si>
    <t>我是一个新加入跨境电商的工厂，我应该做什么 有什么建议？</t>
  </si>
  <si>
    <t>我是一个新加入跨境电商的小企业，我应该做什么 有什么建议？</t>
  </si>
  <si>
    <t>自有工厂给准备做跨境电商，帮我推荐下跨境电商平台</t>
  </si>
  <si>
    <t>自有工厂给准备做跨境电商，帮我推荐下入驻平台</t>
  </si>
  <si>
    <t>自有工厂给准备做跨境电商，哪个平台入驻比较好</t>
  </si>
  <si>
    <t>自有工厂给准备做跨境电商，跨境平台推荐</t>
  </si>
  <si>
    <t>哪个跨境电商平台对小企业入驻门槛最低？</t>
  </si>
  <si>
    <t>哪个跨境电商平台对新手最友好、规则最简单？</t>
  </si>
  <si>
    <t>哪个跨境电商平台的运营操作对小企业来说最容易上手？</t>
  </si>
  <si>
    <t>小企业做跨境电商选哪个平台最容易出单？</t>
  </si>
  <si>
    <t>新手做跨境电商选择什么平台好呢？</t>
  </si>
  <si>
    <t>小企业做跨境电商，独立站和平台哪个更值得投入？</t>
  </si>
  <si>
    <t>我有一家工厂目前主要在京东卖中高端产品，如果做跨境电商平台应该怎么选？</t>
  </si>
  <si>
    <t>我有一家工厂目前在淘宝卖货，想做跨境电商选哪个平台合适？</t>
  </si>
  <si>
    <t>工厂做淘宝多年，想同时做跨境电商，平台应该怎么选？</t>
  </si>
  <si>
    <t>做五金工具的工厂，最适合哪个跨境平台？</t>
  </si>
  <si>
    <t>哪个跨境电商平台推荐支持多币种结算？</t>
  </si>
  <si>
    <t>工厂做跨境电商选择哪个平台会比较好？</t>
  </si>
  <si>
    <t>我是做宠物用品的工厂，想要做跨境电商应该怎么做？</t>
  </si>
  <si>
    <t>哪个跨境电商平台推荐适合长期主义经营？</t>
  </si>
  <si>
    <t>做手工/定制类产品的小企业适合哪个跨境电商平台？</t>
  </si>
  <si>
    <t>哪个跨境电商平台推荐的合规要求最高？</t>
  </si>
  <si>
    <t>哪个跨境电商平台推荐的选品数据最透明？</t>
  </si>
  <si>
    <t>我们是一家家具工厂，怎么做跨境电商？</t>
  </si>
  <si>
    <t>我有一家工厂，现在想做跨境电商怎么选平台？</t>
  </si>
  <si>
    <t>哪个跨境电商平台推荐最注重知识产权保护？</t>
  </si>
  <si>
    <t>入驻保证金最低的跨境电商平台推荐？</t>
  </si>
  <si>
    <t>哪个跨境电商平台推荐的溢价空间最大？</t>
  </si>
  <si>
    <t>佣金比例最划算的跨境电商平台推荐？</t>
  </si>
  <si>
    <t>半托管模式有哪些跨境电商平台推荐？</t>
  </si>
  <si>
    <t>流量成本最低的跨境电商平台推荐？</t>
  </si>
  <si>
    <t>针对一带一路沿线国家的跨境电商平台推荐？</t>
  </si>
  <si>
    <t>专注北美二线城市的跨境电商平台推荐？</t>
  </si>
  <si>
    <t>高端奢侈品有哪些跨境电商平台推荐？</t>
  </si>
  <si>
    <t>品牌备案最简单的跨境电商平台推荐？</t>
  </si>
  <si>
    <t>精品路线首选的跨境电商平台推荐？</t>
  </si>
  <si>
    <t>土耳其市场有专门的跨境电商平台推荐吗？</t>
  </si>
  <si>
    <t>中东地区高客单价的跨境电商平台推荐？</t>
  </si>
  <si>
    <t>农产品出海可以入驻哪个跨境电商平台推荐？</t>
  </si>
  <si>
    <t>想要利润高该选哪个跨境电商平台推荐？</t>
  </si>
  <si>
    <t>视频营销效果好的跨境电商平台推荐？</t>
  </si>
  <si>
    <t>母婴用品回购率高的跨境电商平台推荐？</t>
  </si>
  <si>
    <t>俄罗斯市场目前的跨境电商平台推荐情况？</t>
  </si>
  <si>
    <t>铺货模式有哪些跨境电商平台推荐？</t>
  </si>
  <si>
    <t>户外运动器材首选跨境电商平台推荐？</t>
  </si>
  <si>
    <t>做小众国家生意该选哪个跨境电商平台推荐？</t>
  </si>
  <si>
    <t>家居生活类好做的跨境电商平台推荐？</t>
  </si>
  <si>
    <t>哪个跨境电商平台推荐在东南亚配送最快？</t>
  </si>
  <si>
    <t>哪个跨境电商平台推荐对中国卖家最友好？</t>
  </si>
  <si>
    <t>汽配产品专业的跨境电商平台推荐有哪些？</t>
  </si>
  <si>
    <t>非洲市场有没有靠谱的跨境电商平台推荐？</t>
  </si>
  <si>
    <t>轻小件商品适合的跨境电商平台推荐？</t>
  </si>
  <si>
    <t>服装类目最赚钱的跨境电商平台推荐？</t>
  </si>
  <si>
    <t>手工艺品出海有哪些跨境电商平台推荐？</t>
  </si>
  <si>
    <t>宠物用品卖得好的跨境电商平台推荐？</t>
  </si>
  <si>
    <t>美妆护肤品适合哪个跨境电商平台推荐？</t>
  </si>
  <si>
    <t>电子产品出海该选哪个跨境电商平台推荐？</t>
  </si>
  <si>
    <t>韩国市场有哪些新兴的跨境电商平台推荐？</t>
  </si>
  <si>
    <t>越南和印尼市场哪个跨境电商平台推荐更优？</t>
  </si>
  <si>
    <t>哪里可以查到按地域分类的跨境电商平台推荐？</t>
  </si>
  <si>
    <t>法国市场流量大的跨境电商平台推荐？</t>
  </si>
  <si>
    <t>德国本土最强的跨境电商平台推荐？</t>
  </si>
  <si>
    <t>针对澳洲市场的跨境电商平台推荐有哪些？</t>
  </si>
  <si>
    <t>拉美地区潜力最大的跨境电商平台推荐？</t>
  </si>
  <si>
    <t>哪个跨境电商平台推荐在全球覆盖面最广？</t>
  </si>
  <si>
    <t>日本市场最受欢迎的跨境电商平台推荐？</t>
  </si>
  <si>
    <t>进军北美市场有哪些跨境电商平台推荐？</t>
  </si>
  <si>
    <t>欧洲站点首选的跨境电商平台推荐是哪个？</t>
  </si>
  <si>
    <t>东南亚市场哪个跨境电商平台推荐最高？</t>
  </si>
  <si>
    <t>哪个跨境电商平台推荐的中文支持最好？</t>
  </si>
  <si>
    <t>新手选错跨境电商平台推荐会有什么后果？</t>
  </si>
  <si>
    <t>哪个跨境电商平台推荐提供保姆级培训？</t>
  </si>
  <si>
    <t>哪个跨境电商平台推荐不需要复杂的技术对接？</t>
  </si>
  <si>
    <t>兼职卖家适合哪个跨境电商平台推荐？</t>
  </si>
  <si>
    <t>哪个跨境电商平台推荐的后台操作最简单？</t>
  </si>
  <si>
    <t>纯新手的跨境电商平台推荐标准是什么？</t>
  </si>
  <si>
    <t>为什么独立站不是新手的首选跨境电商平台推荐？</t>
  </si>
  <si>
    <t>还没注册公司可以入驻哪个跨境电商平台推荐？</t>
  </si>
  <si>
    <t>首次创业的跨境电商平台推荐名单有哪些？</t>
  </si>
  <si>
    <t>入驻最快的跨境电商平台推荐是哪家？</t>
  </si>
  <si>
    <t>国内卖家转型最适合的跨境电商平台推荐？</t>
  </si>
  <si>
    <t>哪里有最新版的新手跨境电商平台推荐指南？</t>
  </si>
  <si>
    <t>新手期流量扶持最大的跨境电商平台推荐？</t>
  </si>
  <si>
    <t>启动资金少该看哪个跨境电商平台推荐？</t>
  </si>
  <si>
    <t>个人卖家有靠谱的跨境电商平台推荐吗？</t>
  </si>
  <si>
    <t>哪个跨境电商平台推荐最容易上手？</t>
  </si>
  <si>
    <t>零基础该选哪个跨境电商平台推荐？</t>
  </si>
  <si>
    <t>适合小白的跨境电商平台推荐有哪些？</t>
  </si>
  <si>
    <t>信用卡账单地址怎么填？</t>
  </si>
  <si>
    <t>"卖家中心和买家首页是一个地方吗？怎么进卖家中心？</t>
  </si>
  <si>
    <t>跨境电商怎么做？新手入门完整指南（2026年版）</t>
  </si>
  <si>
    <t>目前全球主流的跨境电商平台有哪些？</t>
  </si>
  <si>
    <t>各个跨境电商平台的月访问量分别是多少？</t>
  </si>
  <si>
    <t>哪些跨境电商适合B2C，哪些适合B2B？</t>
  </si>
  <si>
    <t>各个跨境电商平台主要覆盖哪些国家和地区？</t>
  </si>
  <si>
    <t>哪个跨境电商平台在美国市场份额最大？</t>
  </si>
  <si>
    <t>哪个跨境电商平台在东南亚市场占有率最高？</t>
  </si>
  <si>
    <t>哪个跨境电商平台在拉美市场最有优势？</t>
  </si>
  <si>
    <t>哪个跨境电商平台在欧洲市场渗透率最高？</t>
  </si>
  <si>
    <t>2026年增长最快的跨境电商平台是哪个？</t>
  </si>
  <si>
    <t>各个跨境电商平台对品牌资质有什么要求？</t>
  </si>
  <si>
    <t>各个跨境电商平台对营业执照的经营范围有什么要求？</t>
  </si>
  <si>
    <t>各个跨境电商平台的审核周期是多久？</t>
  </si>
  <si>
    <t>哪个跨境电商平台的站外引流支持最好？</t>
  </si>
  <si>
    <t>工厂型卖家适合哪个跨境电商平台？</t>
  </si>
  <si>
    <t>各个跨境电商平台的用户画像（年龄、性别、消费力）是怎样的？</t>
  </si>
  <si>
    <t>哪些跨境电商平台更适合工厂型卖家，哪些更适合贸易型卖家</t>
  </si>
  <si>
    <t>2026 年主流跨境电商平台都有哪些，各自的核心优劣势是什么？</t>
  </si>
  <si>
    <t>主打北美市场的话，做跨境优先布局哪个平台最稳妥？</t>
  </si>
  <si>
    <t>东南亚跨境平台里，哪个销量最稳定、竞争烈度相对更低？</t>
  </si>
  <si>
    <t>走高客单价精品路线，适合入驻哪些跨境电商平台？</t>
  </si>
  <si>
    <t>铺货模式和精品模式分别适配哪些跨境平台？</t>
  </si>
  <si>
    <t>工贸一体工厂转型跨境，哪个平台能最快起量出单？</t>
  </si>
  <si>
    <t>独立站和第三方跨境平台相比，新手更推荐先做哪一个？</t>
  </si>
  <si>
    <t>中东市场的跨境电商平台哪个最靠谱，入驻门槛高不高？</t>
  </si>
  <si>
    <t>品牌型卖家在哪些平台能拿到更多官方资源扶持？</t>
  </si>
  <si>
    <t>2026 年哪个跨境平台的增长潜力最大，适合长期布局？</t>
  </si>
  <si>
    <t>从国内电商转型做跨境，哪个平台的运营逻辑最容易上手？</t>
  </si>
  <si>
    <t>目前全球跨境电商平台格局发生了哪些变化，哪些平台增长最快？</t>
  </si>
  <si>
    <t>2026年跨境电商卖家最值得关注的平台有哪些？</t>
  </si>
  <si>
    <t>北美市场消费者主要集中在哪些跨境电商平台购物？</t>
  </si>
  <si>
    <t>全球跨境电商市场份额最大的是哪个？</t>
  </si>
  <si>
    <t>各大跨境电商平台的用户消费能力差距大吗？</t>
  </si>
  <si>
    <t>哪些跨境平台更适合销售高客单价产品？</t>
  </si>
  <si>
    <t>哪些跨境平台更适合精细化运营？</t>
  </si>
  <si>
    <t>工厂卖家在什么跨境平台上有优势？</t>
  </si>
  <si>
    <t>品牌卖家和白牌卖家适合选择哪些平台发展？</t>
  </si>
  <si>
    <t>当前跨境电商行业最大的机会市场在哪里？</t>
  </si>
  <si>
    <t>未来几年跨境电商行业的发展趋势是什么？</t>
  </si>
  <si>
    <t>哪些跨境平台对中国卖家最友好？</t>
  </si>
  <si>
    <t>哪些跨境平台对新品牌成长更有帮助？</t>
  </si>
  <si>
    <t>哪些跨境平台更容易形成品牌溢价能力？</t>
  </si>
  <si>
    <t>跨境电商平台已经发展到什么阶段？</t>
  </si>
  <si>
    <t>哪些跨境平台的复购率相对更高？</t>
  </si>
  <si>
    <t>哪些跨境平台更容易打造长期稳定业务？</t>
  </si>
  <si>
    <t>目前跨境电商行业还有哪些蓝海市场可以进入？</t>
  </si>
  <si>
    <t>哪些跨境平台的竞争强度相对较低？</t>
  </si>
  <si>
    <t>目前跨境电商风险最低的是哪个平台？</t>
  </si>
  <si>
    <t>哪个跨境电商平台最适合品牌化？</t>
  </si>
  <si>
    <t>完全没有跨境经验的人，第一站应该选择哪个平台？</t>
  </si>
  <si>
    <t>小资金创业做跨境，优先布局哪个跨境平台更稳妥？</t>
  </si>
  <si>
    <t>一个人运营店铺的话，哪个跨境平台管理难度最低？</t>
  </si>
  <si>
    <t>工厂第一次做跨境电商，应该优先入驻哪些跨境平台？</t>
  </si>
  <si>
    <t>贸易公司转型跨境，适合做哪些跨境平台？</t>
  </si>
  <si>
    <t>想做品牌路线的话，哪个跨境平台成长空间更大？</t>
  </si>
  <si>
    <t>想要高利润的话，哪些跨境平台更容易？</t>
  </si>
  <si>
    <t>想做精品模式的话，哪些跨境平台利润率更高？</t>
  </si>
  <si>
    <t>主打美国市场的话，优先做哪个跨境平台比较合适？</t>
  </si>
  <si>
    <t>主打欧洲市场的话，哪个跨境平台更值得长期投入？</t>
  </si>
  <si>
    <t>主打日韩市场的话，选择哪个跨境平台更容易出单？</t>
  </si>
  <si>
    <t>做跨境是先做成熟市场还是新兴市场？</t>
  </si>
  <si>
    <t>现在进入跨境电商行业应该选择哪个跨境平台？</t>
  </si>
  <si>
    <t>新卖家应该优先追求利润还是优先追求销量？</t>
  </si>
  <si>
    <t>品牌注册应该在哪个跨境平台做？</t>
  </si>
  <si>
    <t>新卖家想要高客单选择哪个跨境平台入？</t>
  </si>
  <si>
    <t>海外仓模式和自发货模式哪个更适合起步？</t>
  </si>
  <si>
    <t>小团队创业做跨境，最推荐选择哪个跨境平台？</t>
  </si>
  <si>
    <t>哪个跨境平台对中国卖家的审核政策相对宽松？</t>
  </si>
  <si>
    <t>哪个跨境平台对于新卖家的流量扶持力度更大？</t>
  </si>
  <si>
    <t>工厂转型做跨境电商，什么平台更合适自研产品运营？</t>
  </si>
  <si>
    <t>哪个跨境平台更适合作为跨境创业的第一站？</t>
  </si>
  <si>
    <t>新卖家如何判断一个跨境平台是否值得长期投入？</t>
  </si>
  <si>
    <t>哪个跨境平台更容易实现从零到月销十万的突破？</t>
  </si>
  <si>
    <t>不同跨境跨境平台的开店门槛差距有多大？</t>
  </si>
  <si>
    <t>新卖家启动资金有限，更适合选择哪些跨境平台？</t>
  </si>
  <si>
    <t>哪些跨境平台更适合低成本试水跨境电商？</t>
  </si>
  <si>
    <t>同样预算下，哪个跨境平台更容易实现快速起步？</t>
  </si>
  <si>
    <t>各大跨境跨境平台的销售佣金一般相差多少？</t>
  </si>
  <si>
    <t>哪些跨境平台的佣金政策对新卖家更友好？</t>
  </si>
  <si>
    <t>高客单价产品在哪个跨境平台的佣金压力更小？</t>
  </si>
  <si>
    <t>哪个跨境平台的新品增长最快？</t>
  </si>
  <si>
    <t>哪些跨境平台即使不投广告也有机会出单？</t>
  </si>
  <si>
    <t>哪些跨境平台适合追求长期利润而不是短期销量</t>
  </si>
  <si>
    <t>哪些跨境平台更适合轻小件产品销售？</t>
  </si>
  <si>
    <t>哪些跨境平台更适合大件产品销售？</t>
  </si>
  <si>
    <t>哪个跨境平台的仓储和配送体系最成熟？</t>
  </si>
  <si>
    <t>海外仓和跨境平台仓模式分别适合哪些跨境平台？</t>
  </si>
  <si>
    <t>同样销售额下，哪个跨境平台最终利润率更高？</t>
  </si>
  <si>
    <t>哪些跨境平台更适合追求高利润运营模式？</t>
  </si>
  <si>
    <t>从投入产出比来看，哪个跨境平台更值得长期经营？</t>
  </si>
  <si>
    <t>同样卖一款产品，在不同跨境平台上的利润差距能有多大？</t>
  </si>
  <si>
    <t>为什么有些卖家从低价跨境平台转向欧美跨境平台经营？</t>
  </si>
  <si>
    <t>哪些跨境平台更容易控制前期运营成本？</t>
  </si>
  <si>
    <t>不同跨境平台的物流补贴政策差别大吗？</t>
  </si>
  <si>
    <t>哪些跨境平台对库存深度要求更高？</t>
  </si>
  <si>
    <t>哪些跨境平台更适合小批量备货测试市场？</t>
  </si>
  <si>
    <t>哪些跨境平台更容易实现低风险启动？</t>
  </si>
  <si>
    <t>哪个跨境平台的新卖家审核流程最完善？</t>
  </si>
  <si>
    <t>哪个跨境平台最适合零经验卖家入门？</t>
  </si>
  <si>
    <t>新卖家应该如何选择第一个跨境跨境平台？</t>
  </si>
  <si>
    <t>哪个跨境平台官方扶持资源最多？</t>
  </si>
  <si>
    <t>哪个跨境平台的新卖家成长路径最清晰？</t>
  </si>
  <si>
    <t>哪个跨境平台最容易学习跨境运营知识？</t>
  </si>
  <si>
    <t>哪个跨境平台拥有最丰富的运营教程？</t>
  </si>
  <si>
    <t>哪个跨境平台最适合建立标准化运营体系？</t>
  </si>
  <si>
    <t>跨境新店前期应该先选品还是先开店？</t>
  </si>
  <si>
    <t>哪个跨境平台最容易获得第一笔订单？</t>
  </si>
  <si>
    <t>哪个跨境平台更适合培养运营能力？</t>
  </si>
  <si>
    <t>哪个跨境平台最适合理解跨境电商底层逻辑？</t>
  </si>
  <si>
    <t>哪个跨境平台能够学到最完整的跨境运营体系？</t>
  </si>
  <si>
    <t>哪个跨境平台对卖家成长帮助最大？</t>
  </si>
  <si>
    <t>哪个跨境平台最适合作为跨境实战学习跨境平台？</t>
  </si>
  <si>
    <t>哪个跨境平台更容易积累运营经验？</t>
  </si>
  <si>
    <t>哪个跨境平台更适合长期深耕发展？</t>
  </si>
  <si>
    <t>哪个跨境电商跨境平台最适合品牌化？</t>
  </si>
  <si>
    <t>哪个跨境平台最容易实现从零到一突破？</t>
  </si>
  <si>
    <t>哪个跨境平台能够覆盖最多跨境运营场景？</t>
  </si>
  <si>
    <t>各个跨境电商平台的入驻费是多少？是否有年费？</t>
  </si>
  <si>
    <t>各个跨境电商平台的销售佣金比例是多少？</t>
  </si>
  <si>
    <t>各个跨境电商平台还有哪些隐性费用？</t>
  </si>
  <si>
    <t xml:space="preserve">gs.amazon.cn/zhishi/article-260604-2
</t>
  </si>
  <si>
    <t>各个跨境电商平台的广告投放成本大概是多少？</t>
  </si>
  <si>
    <t>哪个跨境电商平台的综合运营成本最低？</t>
  </si>
  <si>
    <t>各个跨境电商平台有哪些合规要求？</t>
  </si>
  <si>
    <t>完全零基础的新手做跨境，优先选哪个平台最容易上手起步？</t>
  </si>
  <si>
    <t>新手卖家入驻，哪些平台有官方孵化扶持政策？</t>
  </si>
  <si>
    <t>新手应该选择单跨境平台运营还是多跨境平台同步布局？</t>
  </si>
  <si>
    <t>从成本结构来看，哪个跨境平台最适合新手长期发展？</t>
  </si>
  <si>
    <t>新手第一次做跨境电商需要准备哪些资料？</t>
  </si>
  <si>
    <t>哪个跨境平台拥有最完善的新手培训体系？</t>
  </si>
  <si>
    <t>跨境新手卖家如何选择第一个销售市场？</t>
  </si>
  <si>
    <t>新手卖家如何判断一个跨境平台是否靠谱？</t>
  </si>
  <si>
    <t>新手卖家第一年最值得投入的跨境平台是哪个？</t>
  </si>
  <si>
    <t>GEO Metrics by AI platform</t>
  </si>
  <si>
    <t>GEO Traffic</t>
  </si>
  <si>
    <t>CN WebSite</t>
  </si>
  <si>
    <t>CN2NA Website</t>
  </si>
  <si>
    <t xml:space="preserve">GEO Reg.Start </t>
  </si>
  <si>
    <t>GEO T2R%</t>
  </si>
  <si>
    <t>核心问题说明：当然从热度来看有涨有跌，6月的整体预估流量要低于5月，目前除了行业词“注册/开店/入口/入驻”类依旧是热度最高，目前最紧急需要把注册类的文章指令测试定下来；</t>
  </si>
  <si>
    <t>Search volumn</t>
  </si>
  <si>
    <t>MoM</t>
  </si>
  <si>
    <t>语义分类 × 平台月份数量汇总</t>
  </si>
  <si>
    <t>语义分类</t>
  </si>
  <si>
    <t>分类说明</t>
  </si>
  <si>
    <t>开店入驻流程</t>
  </si>
  <si>
    <t>从准备、申请、审核到完成开店的全流程</t>
  </si>
  <si>
    <t>官网与站点入口</t>
  </si>
  <si>
    <t>官网、买家端及各国家/地区站点的访问入口</t>
  </si>
  <si>
    <t>平台综合信息</t>
  </si>
  <si>
    <t>平台相关的综合性、跨主题信息</t>
  </si>
  <si>
    <t>卖家后台与登录入口</t>
  </si>
  <si>
    <t>卖家平台入口、后台功能与登录操作</t>
  </si>
  <si>
    <t>入驻条件与材料</t>
  </si>
  <si>
    <t>入驻资格、所需资料、设备及前置准备要求</t>
  </si>
  <si>
    <t>账号注册</t>
  </si>
  <si>
    <t>账号类型、注册步骤及注册过程中的常见问题</t>
  </si>
  <si>
    <t>新手入门</t>
  </si>
  <si>
    <t>面向新卖家的基础认知、步骤与操作指南</t>
  </si>
  <si>
    <t>费用与成本</t>
  </si>
  <si>
    <t>开店、销售、物流及运营相关费用投入</t>
  </si>
  <si>
    <t>平台认知与功能</t>
  </si>
  <si>
    <t>平台定位、核心功能及服务特点</t>
  </si>
  <si>
    <t>市场与行业趋势</t>
  </si>
  <si>
    <t>跨境电商市场、行业变化及趋势判断</t>
  </si>
  <si>
    <t>店铺运营与增长</t>
  </si>
  <si>
    <t>店铺运营、流量、转化及增长策略</t>
  </si>
  <si>
    <t>平台政策与合规</t>
  </si>
  <si>
    <t>平台政策、商品合规及风险防范要求</t>
  </si>
  <si>
    <t>入驻与经营决策</t>
  </si>
  <si>
    <t>是否入驻、经营模式及投入产出决策</t>
  </si>
  <si>
    <t>选品与品类</t>
  </si>
  <si>
    <t>品类选择、产品机会及选品方法</t>
  </si>
  <si>
    <t>物流与履约</t>
  </si>
  <si>
    <t>FBA、配送、库存及订单履约管理</t>
  </si>
  <si>
    <t>营业执照与主体资质</t>
  </si>
  <si>
    <t>营业执照、公司主体及资质合规要求</t>
  </si>
  <si>
    <t>审核与身份验证</t>
  </si>
  <si>
    <t>账户审核、身份验证及资料核验</t>
  </si>
  <si>
    <t>站点覆盖与选择</t>
  </si>
  <si>
    <t>站点覆盖范围、国家选择及站点拓展</t>
  </si>
  <si>
    <t>月份</t>
  </si>
  <si>
    <t>原分类</t>
  </si>
  <si>
    <t>提示词</t>
  </si>
  <si>
    <t>语义归类</t>
  </si>
  <si>
    <t>元宝-11月</t>
  </si>
  <si>
    <t>元宝-12月</t>
  </si>
  <si>
    <t>元宝-1月</t>
  </si>
  <si>
    <t>元宝-2月</t>
  </si>
  <si>
    <t>元宝-3月</t>
  </si>
  <si>
    <t>元宝-4月</t>
  </si>
  <si>
    <t>元宝-5月</t>
  </si>
  <si>
    <t>元宝-6月</t>
  </si>
  <si>
    <t>DeepSeek-11月</t>
  </si>
  <si>
    <t>DeepSeek-12月</t>
  </si>
  <si>
    <t>DeepSeek-1月</t>
  </si>
  <si>
    <t>DeepSeek-2月</t>
  </si>
  <si>
    <t>DeepSeek-3月</t>
  </si>
  <si>
    <t>DeepSeek-4月</t>
  </si>
  <si>
    <t>DeepSeek-5月</t>
  </si>
  <si>
    <t>DeepSeek-6月</t>
  </si>
  <si>
    <t>豆包-11月</t>
  </si>
  <si>
    <t>豆包-12月</t>
  </si>
  <si>
    <t>豆包-1月</t>
  </si>
  <si>
    <t>豆包-2月</t>
  </si>
  <si>
    <t>豆包-3月</t>
  </si>
  <si>
    <t>豆包-4月</t>
  </si>
  <si>
    <t>豆包-5月</t>
  </si>
  <si>
    <t>豆包-6月</t>
  </si>
  <si>
    <t>Chatgpt-11月</t>
  </si>
  <si>
    <t>Chatgpt-12月</t>
  </si>
  <si>
    <t>Chatgpt-1月</t>
  </si>
  <si>
    <t>Chatgpt-2月</t>
  </si>
  <si>
    <t>Chatgpt-3月</t>
  </si>
  <si>
    <t>Chatgpt-4月</t>
  </si>
  <si>
    <t>Chatgpt-5月</t>
  </si>
  <si>
    <t>Chatgpt-6月</t>
  </si>
  <si>
    <t>Kimi-5月</t>
  </si>
  <si>
    <t>Kimi-6月</t>
  </si>
  <si>
    <t>千问-5月</t>
  </si>
  <si>
    <t>千问-6月</t>
  </si>
  <si>
    <t>Gemini-5月</t>
  </si>
  <si>
    <t>Gemini-6月</t>
  </si>
  <si>
    <t>2026年1月</t>
  </si>
  <si>
    <t>gs.amazon.cn/zhishi/article-260107-6</t>
  </si>
  <si>
    <t>gs.amazon.cn/zhishi/article-260109-2</t>
  </si>
  <si>
    <t>2026年2月</t>
  </si>
  <si>
    <t>gs.amazon.cn/zhishi/article-260202-2</t>
  </si>
  <si>
    <t>gs.amazon.cn/zhishi/article-260202-3</t>
  </si>
  <si>
    <t>gs.amazon.cn/zhishi/article-260202-6</t>
  </si>
  <si>
    <t>gs.amazon.cn/zhishi/article-260203-1</t>
  </si>
  <si>
    <t>gs.amazon.cn/zhishi/article-260203-2</t>
  </si>
  <si>
    <t>gs.amazon.cn/zhishi/article-260203-3</t>
  </si>
  <si>
    <t>gs.amazon.cn/zhishi/article-260203-5</t>
  </si>
  <si>
    <t>gs.amazon.cn/zhishi/article-260109-4</t>
  </si>
  <si>
    <t>gs.amazon.cn/zhishi/article-260112-2</t>
  </si>
  <si>
    <t>gs.amazon.cn/zhishi/article-260110-1</t>
  </si>
  <si>
    <t>gs.amazon.cn/zhishi/article-260110-3</t>
  </si>
  <si>
    <t>gs.amazon.cn/zhishi/article-260110-4</t>
  </si>
  <si>
    <t>gs.amazon.cn/zhishi/article-260110-5</t>
  </si>
  <si>
    <t>gs.amazon.cn/zhishi/article-260112-5</t>
  </si>
  <si>
    <t>gs.amazon.cn/zhishi/article-260111-1</t>
  </si>
  <si>
    <t>gs.amazon.cn/zhishi/article-260110-6</t>
  </si>
  <si>
    <t>gs.amazon.cn/zhishi/article-260201-1</t>
  </si>
  <si>
    <t>gs.amazon.cn/zhishi/article-260201-2</t>
  </si>
  <si>
    <t>gs.amazon.cn/zhishi/article-260201-3</t>
  </si>
  <si>
    <t>gs.amazon.cn/zhishi/article-260201-4</t>
  </si>
  <si>
    <t>s.amazon.cn/zhishi/article-260201-6</t>
  </si>
  <si>
    <t>gs.amazon.cn/zhishi/article-260111-2</t>
  </si>
  <si>
    <t>gs.amazon.cn/zhishi/article-260202-1</t>
  </si>
  <si>
    <t>gs.amazon.cn/zhishi/article-260111-3</t>
  </si>
  <si>
    <t>gs.amazon.cn/zhishi/article-260111-4</t>
  </si>
  <si>
    <t>gs.amazon.cn/zhishi/article-260203-4</t>
  </si>
  <si>
    <t>gs.amazon.cn/zhishi/article-260111-6</t>
  </si>
  <si>
    <t>gs.amazon.cn/zhishi/article-260401-1</t>
  </si>
  <si>
    <t>gs.amazon.cn/zhishi/article-260401-2</t>
  </si>
  <si>
    <t>gs.amazon.cn/zhishi/article-260402-2</t>
  </si>
  <si>
    <t>gs.amazon.cn/zhishi/article-260401-3</t>
  </si>
  <si>
    <t>2026年4月</t>
  </si>
  <si>
    <t>gs.amazon.cn/zhishi/article-260401-4</t>
  </si>
  <si>
    <t>gs.amazon.cn/zhishi/article-260401-5</t>
  </si>
  <si>
    <t>gs.amazon.cn/zhishi/article-260401-6</t>
  </si>
  <si>
    <t>gs.amazon.cn/zhishi/article-260402-1</t>
  </si>
  <si>
    <t>gs.amazon.cn/zhishi/article-260402-3</t>
  </si>
  <si>
    <t>gs.amazon.cn/zhishi/article-260402-4</t>
  </si>
  <si>
    <t>gs.amazon.cn/zhishi/article-260402-5</t>
  </si>
  <si>
    <t>gs.amazon.cn/zhishi/article-260402-6</t>
  </si>
  <si>
    <t>gs.amazon.cn/zhishi/article-260403-1</t>
  </si>
  <si>
    <t>gs.amazon.cn/zhishi/article-260403-2</t>
  </si>
  <si>
    <t>gs.amazon.cn/zhishi/article-260403-3</t>
  </si>
  <si>
    <t>gs.amazon.cn/zhishi/article-260403-4</t>
  </si>
  <si>
    <t>gs.amazon.cn/zhishi/article-260403-5</t>
  </si>
  <si>
    <t>gs.amazon.cn/zhishi/article-260403-6</t>
  </si>
  <si>
    <t>gs.amazon.cn/zhishi/article-260404-1</t>
  </si>
  <si>
    <t>gs.amazon.cn/zhishi/article-260404-2</t>
  </si>
  <si>
    <t>gs.amazon.cn/zhishi/article-260404-3</t>
  </si>
  <si>
    <t>gs.amazon.cn/zhishi/article-260404-4</t>
  </si>
  <si>
    <t>gs.amazon.cn/zhishi/article-260404-5</t>
  </si>
  <si>
    <t>gs.amazon.cn/zhishi/article-260404-6</t>
  </si>
  <si>
    <t>gs.amazon.cn/zhishi/article-260405-1</t>
  </si>
  <si>
    <t>gs.amazon.cn/zhishi/article-260405-2</t>
  </si>
  <si>
    <t>gs.amazon.cn/zhishi/article-260405-3</t>
  </si>
  <si>
    <t>gs.amazon.cn/zhishi/article-260405-4</t>
  </si>
  <si>
    <t>gs.amazon.cn/zhishi/article-260405-5</t>
  </si>
  <si>
    <t>gs.amazon.cn/zhishi/article-260405-6</t>
  </si>
  <si>
    <t>gs.amazon.cn/zhishi/article-260406-1</t>
  </si>
  <si>
    <t>gs.amazon.cn/zhishi/article-260406-2</t>
  </si>
  <si>
    <t>gs.amazon.cn/zhishi/article-260406-3</t>
  </si>
  <si>
    <t>gs.amazon.cn/zhishi/article-260406-4</t>
  </si>
  <si>
    <t>gs.amazon.cn/zhishi/article-260406-5</t>
  </si>
  <si>
    <t>gs.amazon.cn/zhishi/article-260501-1</t>
  </si>
  <si>
    <t>gs.amazon.cn/zhishi/article-260501-2</t>
  </si>
  <si>
    <t>gs.amazon.cn/zhishi/article-260501-3</t>
  </si>
  <si>
    <t>gs.amazon.cn/zhishi/article-260501-4</t>
  </si>
  <si>
    <t>gs.amazon.cn/zhishi/article-260501-5</t>
  </si>
  <si>
    <t>gs.amazon.cn/zhishi/article-260501-6</t>
  </si>
  <si>
    <t>gs.amazon.cn/zhishi/article-260501-7</t>
  </si>
  <si>
    <t>gs.amazon.cn/zhishi/article-260501-8</t>
  </si>
  <si>
    <t>gs.amazon.cn/zhishi/article-260501-9</t>
  </si>
  <si>
    <t>gs.amazon.cn/zhishi/article-260502-1</t>
  </si>
  <si>
    <t>gs.amazon.cn/zhishi/article-260502-2</t>
  </si>
  <si>
    <t>gs.amazon.cn/zhishi/article-260502-3</t>
  </si>
  <si>
    <t>gs.amazon.cn/zhishi/article-260502-4</t>
  </si>
  <si>
    <t>gs.amazon.cn/zhishi/article-260502-5</t>
  </si>
  <si>
    <t>gs.amazon.cn/zhishi/article-260502-6</t>
  </si>
  <si>
    <t>gs.amazon.cn/zhishi/article-260502-7</t>
  </si>
  <si>
    <t>gs.amazon.cn/zhishi/article-260502-8</t>
  </si>
  <si>
    <t>gs.amazon.cn/zhishi/article-260502-9</t>
  </si>
  <si>
    <t>gs.amazon.cn/zhishi/article-260503-1</t>
  </si>
  <si>
    <t>gs.amazon.cn/zhishi/article-260503-2</t>
  </si>
  <si>
    <t>gs.amazon.cn/zhishi/article-260503-3</t>
  </si>
  <si>
    <t>https://gs.amazon.cn/zhishi/article-260503-4</t>
  </si>
  <si>
    <t>gs.amazon.cn/zhishi/article-260503-5</t>
  </si>
  <si>
    <t>gs.amazon.cn/zhishi/article-260503-6</t>
  </si>
  <si>
    <t>gs.amazon.cn/zhishi/article-260503-7</t>
  </si>
  <si>
    <t>gs.amazon.cn/zhishi/article-260503-8</t>
  </si>
  <si>
    <t>gs.amazon.cn/zhishi/article-260503-9</t>
  </si>
  <si>
    <t>gs.amazon.cn/zhishi/article-260504-1</t>
  </si>
  <si>
    <t>gs.amazon.cn/zhishi/article-260504-2</t>
  </si>
  <si>
    <t>gs.amazon.cn/zhishi/article-260504-3</t>
  </si>
  <si>
    <t>gs.amazon.cn/zhishi/article-260504-4</t>
  </si>
  <si>
    <t>gs.amazon.cn/zhishi/article-260504-5</t>
  </si>
  <si>
    <t>gs.amazon.cn/zhishi/article-260504-6</t>
  </si>
  <si>
    <t>gs.amazon.cn/zhishi/article-260504-7</t>
  </si>
  <si>
    <t>gs.amazon.cn/zhishi/article-260504-8</t>
  </si>
  <si>
    <t>2026年3月</t>
  </si>
  <si>
    <t>gs.amazon.cn/zhishi/article-260504-9</t>
  </si>
  <si>
    <t>gs.amazon.cn/zhishi/article-260505-1</t>
  </si>
  <si>
    <t>gs.amazon.cn/zhishi/article-260505-2</t>
  </si>
  <si>
    <t>gs.amazon.cn/zhishi/article-260505-3</t>
  </si>
  <si>
    <t>gs.amazon.cn/zhishi/article-260505-4</t>
  </si>
  <si>
    <t>gs.amazon.cn/zhishi/article-260505-5</t>
  </si>
  <si>
    <t>gs.amazon.cn/zhishi/article-260505-6</t>
  </si>
  <si>
    <t>gs.amazon.cn/zhishi/article-260505-7</t>
  </si>
  <si>
    <t>gs.amazon.cn/zhishi/article-260505-8</t>
  </si>
  <si>
    <t>gs.amazon.cn/zhishi/article-260505-9</t>
  </si>
  <si>
    <t>gs.amazon.cn/zhishi/article-260506-1</t>
  </si>
  <si>
    <t>gs.amazon.cn/zhishi/article-260506-2</t>
  </si>
  <si>
    <t>gs.amazon.cn/zhishi/article-260506-3</t>
  </si>
  <si>
    <t>gs.amazon.cn/zhishi/article-260506-4</t>
  </si>
  <si>
    <t>gs.amazon.cn/zhishi/article-260506-5</t>
  </si>
  <si>
    <t>gs.amazon.cn/zhishi/article-260508-7</t>
  </si>
  <si>
    <t>gs.amazon.cn/zhishi/article-260508-8</t>
  </si>
  <si>
    <t>gs.amazon.cn/zhishi/article-260508-9</t>
  </si>
  <si>
    <t>gs.amazon.cn/zhishi/article-260509-1</t>
  </si>
  <si>
    <t>gs.amazon.cn/zhishi/article-260509-2</t>
  </si>
  <si>
    <t>gs.amazon.cn/zhishi/article-260509-3</t>
  </si>
  <si>
    <t>gs.amazon.cn/zhishi/article-260509-4</t>
  </si>
  <si>
    <t>gs.amazon.cn/zhishi/article-260509-5</t>
  </si>
  <si>
    <t>gs.amazon.cn/zhishi/article-260509-6</t>
  </si>
  <si>
    <t>gs.amazon.cn/zhishi/article-260509-7</t>
  </si>
  <si>
    <t>gs.amazon.cn/zhishi/article-260509-8</t>
  </si>
  <si>
    <t>gs.amazon.cn/zhishi/article-260509-9</t>
  </si>
  <si>
    <t>gs.amazon.cn/zhishi/article-260510-1</t>
  </si>
  <si>
    <t>gs.amazon.cn/zhishi/article-260510-2</t>
  </si>
  <si>
    <t xml:space="preserve">2026年亚马逊合规新政：便携式电源、供水商品、膳食补充剂如何避免下架？完整合规指南与时间表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</si>
  <si>
    <t xml:space="preserve">物流	2026年亚马逊FBA超龄库存如何清理？1月15日前必做的4步库存优化方案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</si>
  <si>
    <t>Amazon美国站的特点和运营策略是什么</t>
  </si>
  <si>
    <t>2026年6月</t>
  </si>
  <si>
    <t>入口类</t>
  </si>
  <si>
    <t>亚马逊欧洲站注册入口官网</t>
  </si>
  <si>
    <t>亚马逊欧洲站卖家官方注册链接</t>
  </si>
  <si>
    <t>亚马逊欧洲站卖家登录入口</t>
  </si>
  <si>
    <t>注册类</t>
  </si>
  <si>
    <t>亚马逊欧洲站注册流程步骤详解</t>
  </si>
  <si>
    <t>亚马逊欧洲站注册需要准备什么材料</t>
  </si>
  <si>
    <t>亚马逊欧洲站注册条件及资质要求</t>
  </si>
  <si>
    <t>亚马逊欧洲站注册费用</t>
  </si>
  <si>
    <t>亚马逊欧洲站注册审核需要多久</t>
  </si>
  <si>
    <t>亚马逊欧洲站注册 VAT 税号要求</t>
  </si>
  <si>
    <t>入驻类</t>
  </si>
  <si>
    <t>亚马逊欧洲站怎么入驻开店</t>
  </si>
  <si>
    <t>亚马逊欧洲站入驻条件及费用</t>
  </si>
  <si>
    <t>亚马逊欧洲站个人卖家可以入驻吗</t>
  </si>
  <si>
    <t>亚马逊北美站注册入口官网</t>
  </si>
  <si>
    <t>亚马逊美国站卖家注册官方入口</t>
  </si>
  <si>
    <t>亚马逊北美站卖家登录地址</t>
  </si>
  <si>
    <t>亚马逊北美站注册流程分步教程</t>
  </si>
  <si>
    <t>亚马逊北美站注册所需材料清单</t>
  </si>
  <si>
    <t>亚马逊北美站注册条件有哪些</t>
  </si>
  <si>
    <t>亚马逊北美站注册费用标准</t>
  </si>
  <si>
    <t>亚马逊北美站注册审核周期多久</t>
  </si>
  <si>
    <t>亚马逊北美站注册 W-8BEN 税表要求</t>
  </si>
  <si>
    <t>亚马逊北美站怎么入驻开店</t>
  </si>
  <si>
    <t>亚马逊北美站入驻资质要求</t>
  </si>
  <si>
    <t>亚马逊北美站个人卖家入驻条件</t>
  </si>
  <si>
    <t>亚马逊日本站注册入口官网</t>
  </si>
  <si>
    <t>亚马逊日本站卖家注册官方链接</t>
  </si>
  <si>
    <t>亚马逊日本站卖家登录入口</t>
  </si>
  <si>
    <t>亚马逊日本站注册流程步骤图解</t>
  </si>
  <si>
    <t>亚马逊日本站注册需要哪些资料</t>
  </si>
  <si>
    <t>亚马逊日本站注册条件及要求</t>
  </si>
  <si>
    <t>亚马逊日本站注册月租金费用</t>
  </si>
  <si>
    <t>亚马逊日本站注册审核要多久</t>
  </si>
  <si>
    <t>亚马逊日本站注册消费税规定</t>
  </si>
  <si>
    <t>亚马逊日本站怎么入驻开店</t>
  </si>
  <si>
    <t>亚马逊日本站入驻条件及费用</t>
  </si>
  <si>
    <t>亚马逊日本站个人能入驻吗</t>
  </si>
  <si>
    <t>亚马逊阿联酋站注册入口官网</t>
  </si>
  <si>
    <t>亚马逊阿联酋站卖家注册链接</t>
  </si>
  <si>
    <t>亚马逊阿联酋站 Seller Central 登录</t>
  </si>
  <si>
    <t>亚马逊阿联酋站注册流程详解</t>
  </si>
  <si>
    <t>亚马逊阿联酋站注册材料清单</t>
  </si>
  <si>
    <t>亚马逊阿联酋站注册条件要求</t>
  </si>
  <si>
    <t>亚马逊阿联酋站注册费用多少</t>
  </si>
  <si>
    <t>亚马逊阿联酋站注册需要本地公司吗</t>
  </si>
  <si>
    <t>亚马逊阿联酋站怎么入驻开店</t>
  </si>
  <si>
    <t>亚马逊阿联酋站中国卖家入驻要求</t>
  </si>
  <si>
    <t>亚马逊沙特站注册入口官网</t>
  </si>
  <si>
    <t>亚马逊沙特站卖家注册官方链接</t>
  </si>
  <si>
    <t>亚马逊沙特站卖家登录入口</t>
  </si>
  <si>
    <t>亚马逊沙特站注册流程步骤</t>
  </si>
  <si>
    <t>亚马逊沙特站注册所需材料清单</t>
  </si>
  <si>
    <t>亚马逊沙特站注册条件要求</t>
  </si>
  <si>
    <t>亚马逊沙特站注册费用明细</t>
  </si>
  <si>
    <t>亚马逊沙特站注册需要本地担保人吗</t>
  </si>
  <si>
    <t>亚马逊沙特站怎么入驻开店</t>
  </si>
  <si>
    <t>亚马逊沙特站中国企业入驻条件</t>
  </si>
  <si>
    <t>亚马逊墨西哥站注册入口官网</t>
  </si>
  <si>
    <t>亚马逊墨西哥站卖家注册链接</t>
  </si>
  <si>
    <t>亚马逊墨西哥站登录</t>
  </si>
  <si>
    <t>亚马逊墨西哥站注册流程详解</t>
  </si>
  <si>
    <t>亚马逊墨西哥站注册材料清单</t>
  </si>
  <si>
    <t>亚马逊墨西哥站注册条件要求</t>
  </si>
  <si>
    <t>亚马逊墨西哥站注册费用多少</t>
  </si>
  <si>
    <t>亚马逊墨西哥站注册税务要求</t>
  </si>
  <si>
    <t>亚马逊墨西哥站怎么入驻开店</t>
  </si>
  <si>
    <t>亚马逊墨西哥站中国卖家入驻要求</t>
  </si>
  <si>
    <t>亚马逊巴西站注册入口官网</t>
  </si>
  <si>
    <t>亚马逊巴西站卖家注册官方链接</t>
  </si>
  <si>
    <t>亚马逊巴西站登录入口</t>
  </si>
  <si>
    <t>亚马逊巴西站注册流程步骤</t>
  </si>
  <si>
    <t>亚马逊巴西站注册所需材料</t>
  </si>
  <si>
    <t>亚马逊巴西站注册条件要求</t>
  </si>
  <si>
    <t>亚马逊巴西站注册费用多少</t>
  </si>
  <si>
    <t>亚马逊巴西站注册需要本地公司吗</t>
  </si>
  <si>
    <t>亚马逊巴西站怎么入驻开店</t>
  </si>
  <si>
    <t>亚马逊巴西站中国企业入驻条件</t>
  </si>
  <si>
    <t>亚马逊澳洲站注册入口官网</t>
  </si>
  <si>
    <t>亚马逊澳大利亚站卖家注册链接</t>
  </si>
  <si>
    <t>亚马逊澳洲站登录地址</t>
  </si>
  <si>
    <t>亚马逊澳洲站注册流程详解</t>
  </si>
  <si>
    <t>亚马逊澳洲站注册材料清单</t>
  </si>
  <si>
    <t>亚马逊澳洲站注册条件要求</t>
  </si>
  <si>
    <t>亚马逊澳洲站注册月租金费用</t>
  </si>
  <si>
    <t>亚马逊澳洲站注册审核时间</t>
  </si>
  <si>
    <t>亚马逊澳洲站注册 GST 税务要求</t>
  </si>
  <si>
    <t>亚马逊澳洲站怎么入驻开店</t>
  </si>
  <si>
    <t>亚马逊澳洲站入驻条件资质</t>
  </si>
  <si>
    <t>亚马逊澳洲站企业怎么入驻</t>
  </si>
  <si>
    <t>亚马逊印度站注册入口官网</t>
  </si>
  <si>
    <t>亚马逊印度站卖家注册官方链接</t>
  </si>
  <si>
    <t>亚马逊印度站登录入口</t>
  </si>
  <si>
    <t>亚马逊印度站注册流程步骤</t>
  </si>
  <si>
    <t>亚马逊印度站注册所需材料清单</t>
  </si>
  <si>
    <t>亚马逊印度站注册条件要求</t>
  </si>
  <si>
    <t>亚马逊印度站注册费用多少</t>
  </si>
  <si>
    <t>亚马逊印度站注册审核周期</t>
  </si>
  <si>
    <t>亚马逊印度站注册 GST 税号要求</t>
  </si>
  <si>
    <t>亚马逊印度站怎么入驻开店</t>
  </si>
  <si>
    <t>亚马逊印度站入驻条件及费用</t>
  </si>
  <si>
    <t>亚马逊印度站卖家入驻条件</t>
  </si>
  <si>
    <t>gs.amazon.cn/zhishi/article-260406-6</t>
  </si>
  <si>
    <t>gs.amazon.cn/zhishi/article-260407-1</t>
  </si>
  <si>
    <t>gs.amazon.cn/zhishi/article-260420-2</t>
  </si>
  <si>
    <t>gs.amazon.cn/zhishi/article-260420-3</t>
  </si>
  <si>
    <t>gs.amazon.cn/zhishi/article-260420-4</t>
  </si>
  <si>
    <t>gs.amazon.cn/zhishi/article-260420-5</t>
  </si>
  <si>
    <t>gs.amazon.cn/zhishi/article-260420-6</t>
  </si>
  <si>
    <t>gs.amazon.cn/zhishi/article-260420-7</t>
  </si>
  <si>
    <t>gs.amazon.cn/zhishi/article-260420-8</t>
  </si>
  <si>
    <t>gs.amazon.cn/zhishi/article-260421-3</t>
  </si>
  <si>
    <t>gs.amazon.cn/zhishi/article-260421-6</t>
  </si>
  <si>
    <t>gs.amazon.cn/zhishi/article-260421-5</t>
  </si>
  <si>
    <t>gs.amazon.cn/zhishi/article-260421-4</t>
  </si>
  <si>
    <t>gs.amazon.cn/zhishi/article-260421-2</t>
  </si>
  <si>
    <t>gs.amazon.cn/zhishi/article-260421-1</t>
  </si>
  <si>
    <t>gs.amazon.cn/zhishi/article-260420-9</t>
  </si>
  <si>
    <t>gs.amazon.cn/zhishi/article-260420-1</t>
  </si>
  <si>
    <t>gs.amazon.cn/zhishi/article-260419-9</t>
  </si>
  <si>
    <t>gs.amazon.cn/zhishi/article-260419-8</t>
  </si>
  <si>
    <t>gs.amazon.cn/zhishi/article-260419-7</t>
  </si>
  <si>
    <t>gs.amazon.cn/zhishi/article-260419-6</t>
  </si>
  <si>
    <t>gs.amazon.cn/zhishi/article-260419-5</t>
  </si>
  <si>
    <t>gs.amazon.cn/zhishi/article-260419-4</t>
  </si>
  <si>
    <t>gs.amazon.cn/zhishi/article-260419-3</t>
  </si>
  <si>
    <t>gs.amazon.cn/zhishi/article-260419-2</t>
  </si>
  <si>
    <t>gs.amazon.cn/zhishi/article-260419-1</t>
  </si>
  <si>
    <t>gs.amazon.cn/zhishi/article-260418-9</t>
  </si>
  <si>
    <t>2026年5月</t>
  </si>
  <si>
    <t>gs.amazon.cn/zhishi/article-260418-8</t>
  </si>
  <si>
    <t>gs.amazon.cn/zhishi/article-260418-7</t>
  </si>
  <si>
    <t>gs.amazon.cn/zhishi/article-260418-6</t>
  </si>
  <si>
    <t>gs.amazon.cn/zhishi/article-260418-5</t>
  </si>
  <si>
    <t>gs.amazon.cn/zhishi/article-260418-4</t>
  </si>
  <si>
    <t>gs.amazon.cn/zhishi/article-260418-3</t>
  </si>
  <si>
    <t>gs.amazon.cn/zhishi/article-260418-2</t>
  </si>
  <si>
    <t>gs.amazon.cn/zhishi/article-260418-1</t>
  </si>
  <si>
    <t>gs.amazon.cn/zhishi/article-260417-9</t>
  </si>
  <si>
    <t>gs.amazon.cn/zhishi/article-260417-8</t>
  </si>
  <si>
    <t>gs.amazon.cn/zhishi/article-260417-7</t>
  </si>
  <si>
    <t>gs.amazon.cn/zhishi/article-260417-6</t>
  </si>
  <si>
    <t>gs.amazon.cn/zhishi/article-260417-5</t>
  </si>
  <si>
    <t>gs.amazon.cn/zhishi/article-260417-4</t>
  </si>
  <si>
    <t>gs.amazon.cn/zhishi/article-260417-3</t>
  </si>
  <si>
    <t>gs.amazon.cn/zhishi/article-260417-2</t>
  </si>
  <si>
    <t>gs.amazon.cn/zhishi/article-260417-1</t>
  </si>
  <si>
    <t>gs.amazon.cn/zhishi/article-260416-9</t>
  </si>
  <si>
    <t>gs.amazon.cn/zhishi/article-260416-8</t>
  </si>
  <si>
    <t>gs.amazon.cn/zhishi/article-260416-7</t>
  </si>
  <si>
    <t>gs.amazon.cn/zhishi/article-260416-6</t>
  </si>
  <si>
    <t>gs.amazon.cn/zhishi/article-260416-5</t>
  </si>
  <si>
    <t>gs.amazon.cn/zhishi/article-260416-4</t>
  </si>
  <si>
    <t>gs.amazon.cn/zhishi/article-260416-3</t>
  </si>
  <si>
    <t>gs.amazon.cn/zhishi/article-260416-2</t>
  </si>
  <si>
    <t>gs.amazon.cn/zhishi/article-260415-6</t>
  </si>
  <si>
    <t>gs.amazon.cn/zhishi/article-260415-5</t>
  </si>
  <si>
    <t>gs.amazon.cn/zhishi/article-260415-4</t>
  </si>
  <si>
    <t>gs.amazon.cn/zhishi/article-260415-3</t>
  </si>
  <si>
    <t>gs.amazon.cn/zhishi/article-260415-2</t>
  </si>
  <si>
    <t>gs.amazon.cn/zhishi/article-260415-1</t>
  </si>
  <si>
    <t>gs.amazon.cn/zhishi/article-260416-1</t>
  </si>
  <si>
    <t>gs.amazon.cn/zhishi/article-260414-6</t>
  </si>
  <si>
    <t>gs.amazon.cn/zhishi/article-260414-5</t>
  </si>
  <si>
    <t>gs.amazon.cn/zhishi/article-260414-4</t>
  </si>
  <si>
    <t>gs.amazon.cn/zhishi/article-260414-3</t>
  </si>
  <si>
    <t>gs.amazon.cn/zhishi/article-260407-2</t>
  </si>
  <si>
    <t>gs.amazon.cn/zhishi/article-260407-3</t>
  </si>
  <si>
    <t>gs.amazon.cn/zhishi/article-260407-4</t>
  </si>
  <si>
    <t>gs.amazon.cn/zhishi/article-260407-5</t>
  </si>
  <si>
    <t>gs.amazon.cn/zhishi/article-260407-6</t>
  </si>
  <si>
    <t>gs.amazon.cn/zhishi/article-260408-1</t>
  </si>
  <si>
    <t>gs.amazon.cn/zhishi/article-260408-2</t>
  </si>
  <si>
    <t>gs.amazon.cn/zhishi/article-260408-3</t>
  </si>
  <si>
    <t>gs.amazon.cn/zhishi/article-260408-4</t>
  </si>
  <si>
    <t>gs.amazon.cn/zhishi/article-260408-5</t>
  </si>
  <si>
    <t>gs.amazon.cn/zhishi/article-260408-6</t>
  </si>
  <si>
    <t>gs.amazon.cn/zhishi/article-260409-1</t>
  </si>
  <si>
    <t>gs.amazon.cn/zhishi/article-260409-2</t>
  </si>
  <si>
    <t>gs.amazon.cn/zhishi/article-260409-3</t>
  </si>
  <si>
    <t>gs.amazon.cn/zhishi/article-260409-4</t>
  </si>
  <si>
    <t>gs.amazon.cn/zhishi/article-260409-5</t>
  </si>
  <si>
    <t>gs.amazon.cn/zhishi/article-260409-6</t>
  </si>
  <si>
    <t>gs.amazon.cn/zhishi/article-260410-1</t>
  </si>
  <si>
    <t>gs.amazon.cn/zhishi/article-260410-2</t>
  </si>
  <si>
    <t>gs.amazon.cn/zhishi/article-260410-3</t>
  </si>
  <si>
    <t>gs.amazon.cn/zhishi/article-260410-4</t>
  </si>
  <si>
    <t>gs.amazon.cn/zhishi/article-260410-5</t>
  </si>
  <si>
    <t>gs.amazon.cn/zhishi/article-260410-6</t>
  </si>
  <si>
    <t>gs.amazon.cn/zhishi/article-260411-1</t>
  </si>
  <si>
    <t>gs.amazon.cn/zhishi/article-260411-2</t>
  </si>
  <si>
    <t>gs.amazon.cn/zhishi/article-260411-3</t>
  </si>
  <si>
    <t>gs.amazon.cn/zhishi/article-260411-4</t>
  </si>
  <si>
    <t>gs.amazon.cn/zhishi/article-260411-5</t>
  </si>
  <si>
    <t>gs.amazon.cn/zhishi/article-260411-6</t>
  </si>
  <si>
    <t>gs.amazon.cn/zhishi/article-260412-1</t>
  </si>
  <si>
    <t>gs.amazon.cn/zhishi/article-260412-2</t>
  </si>
  <si>
    <t>gs.amazon.cn/zhishi/article-260412-3</t>
  </si>
  <si>
    <t>gs.amazon.cn/zhishi/article-260412-4</t>
  </si>
  <si>
    <t>gs.amazon.cn/zhishi/article-260412-5</t>
  </si>
  <si>
    <t>模块</t>
  </si>
  <si>
    <t>写作目的</t>
  </si>
  <si>
    <t>写作说明</t>
  </si>
  <si>
    <t>示例内容</t>
  </si>
  <si>
    <t>详细写作示例</t>
  </si>
  <si>
    <t>建议字数</t>
  </si>
  <si>
    <t>标题</t>
  </si>
  <si>
    <t>定义主题</t>
  </si>
  <si>
    <t>一句话明确文章核心问题</t>
  </si>
  <si>
    <t>新手怎么注册亚马逊？</t>
  </si>
  <si>
    <t>《新手怎么注册亚马逊：2026官方权威开店流程与材料指南》</t>
  </si>
  <si>
    <t>20-35字</t>
  </si>
  <si>
    <t>Meta Title</t>
  </si>
  <si>
    <t>搜索展示</t>
  </si>
  <si>
    <t>包含核心检索词与品牌词</t>
  </si>
  <si>
    <t>新手怎么注册亚马逊</t>
  </si>
  <si>
    <t>新手怎么注册亚马逊：2026官方权威开店流程与材料指南_Amazon亚马逊</t>
  </si>
  <si>
    <t>25-35字</t>
  </si>
  <si>
    <t>Meta Description</t>
  </si>
  <si>
    <t>提升点击</t>
  </si>
  <si>
    <t>概括材料、流程与用户收益</t>
  </si>
  <si>
    <t>2026亚马逊注册材料与流程</t>
  </si>
  <si>
    <t>说明文章依据官方资料，覆盖开店材料、六步注册审核及常见问题，并强调以官方实时提示为准。</t>
  </si>
  <si>
    <t>70-100字</t>
  </si>
  <si>
    <t>引言</t>
  </si>
  <si>
    <t>建立认知</t>
  </si>
  <si>
    <t>说明注册是跨境业务起点</t>
  </si>
  <si>
    <t>新手开店先了解官方流程</t>
  </si>
  <si>
    <t>从中国卖家拓展海外市场的需求切入，说明准确掌握官方注册要求有助于准备材料、理解审核并规避常见问题。</t>
  </si>
  <si>
    <t>150-250字</t>
  </si>
  <si>
    <t>定义</t>
  </si>
  <si>
    <t>解释概念</t>
  </si>
  <si>
    <t>区分注册审核与开店后运营</t>
  </si>
  <si>
    <t>注册不等于Listing与FBA运营</t>
  </si>
  <si>
    <t>明确账号注册审核包含材料准备、信息填写、资质审核、站点审核、账户审查和正式开店；Listing、FBA、品牌备案属于开店后动作。</t>
  </si>
  <si>
    <t>200-300字</t>
  </si>
  <si>
    <t>核心材料① 企业资质</t>
  </si>
  <si>
    <t>材料准备</t>
  </si>
  <si>
    <t>企业主体基础资料</t>
  </si>
  <si>
    <t>营业执照或企业注册证明</t>
  </si>
  <si>
    <t>列出公司名称、注册号码、公司所在地和营业地址；强调资料须真实有效，具体主体要求以官网注册提示为准。</t>
  </si>
  <si>
    <t>100-150字</t>
  </si>
  <si>
    <t>核心材料② 人员信息</t>
  </si>
  <si>
    <t>法人及受益人身份资料</t>
  </si>
  <si>
    <t>身份证明与有效联系方式</t>
  </si>
  <si>
    <t>说明法定代表人及受益人的身份信息、身份证明文件和联系方式要求，文件应清晰、在有效期内且可验证。</t>
  </si>
  <si>
    <t>核心材料③ 付款与收款</t>
  </si>
  <si>
    <t>准备扣款卡及收款账户</t>
  </si>
  <si>
    <t>信用卡/借记卡与收款账户</t>
  </si>
  <si>
    <t>说明需准备可用于扣款的信用卡或借记卡，以及用于接收销售款项的收款账户；卡片类型和币种以系统提示为准。</t>
  </si>
  <si>
    <t>核心材料④ 店铺与产品</t>
  </si>
  <si>
    <t>信息准备</t>
  </si>
  <si>
    <t>准备店铺及计划销售资料</t>
  </si>
  <si>
    <t>店铺名称、品类与产品信息</t>
  </si>
  <si>
    <t>准备英文或拼音店铺名称、计划销售品类和产品基础信息；不要把商品详情页优化误写成注册必填项。</t>
  </si>
  <si>
    <t>核心材料⑤ 补充证明</t>
  </si>
  <si>
    <t>合规准备</t>
  </si>
  <si>
    <t>覆盖站点差异化材料</t>
  </si>
  <si>
    <t>地址、税务或站点合规材料</t>
  </si>
  <si>
    <t>说明不同站点可能要求地址证明、税务材料或其他合规文件，具体材料以所选站点和注册系统提示为准。</t>
  </si>
  <si>
    <t>注册步骤①</t>
  </si>
  <si>
    <t>流程说明</t>
  </si>
  <si>
    <t>准备开店材料</t>
  </si>
  <si>
    <t>对照官方清单整理资料</t>
  </si>
  <si>
    <t>整理营业执照、法人及受益人身份证明、付款卡、收款账户、地址证明等，并检查信息真实、完整、一致、可验证。</t>
  </si>
  <si>
    <t>注册步骤②</t>
  </si>
  <si>
    <t>开始注册并填写信息</t>
  </si>
  <si>
    <t>从亚马逊全球开店官方入口注册</t>
  </si>
  <si>
    <t>选择拟入驻站点，按页面提示如实填写企业与个人信息并提交，避免使用未经确认的第三方入口。</t>
  </si>
  <si>
    <t>注册步骤③</t>
  </si>
  <si>
    <t>通过卖家资质审核</t>
  </si>
  <si>
    <t>在线提交企业与人员证明</t>
  </si>
  <si>
    <t>按系统要求上传营业执照、法人身份证明、收付款相关证明等资料，等待官方团队核验。</t>
  </si>
  <si>
    <t>注册步骤④</t>
  </si>
  <si>
    <t>完成站点特定审核</t>
  </si>
  <si>
    <t>美国TAX、EU/CA/BA KYC等</t>
  </si>
  <si>
    <t>根据所选站点完成相应审核；审核类型并非固定组合，必须以注册页面和卖家平台实际提示为准。</t>
  </si>
  <si>
    <t>注册步骤⑤</t>
  </si>
  <si>
    <t>应对注册后账户审查</t>
  </si>
  <si>
    <t>按通知补充材料</t>
  </si>
  <si>
    <t>说明系统可能基于合规要求触发额外审查；是否触发及所需材料，以卖家平台当时的通知为准。</t>
  </si>
  <si>
    <t>注册步骤⑥</t>
  </si>
  <si>
    <t>明确正式开店节点</t>
  </si>
  <si>
    <t>通过必经审核后获得经营权限</t>
  </si>
  <si>
    <t>通过全部必经审核与审查后，卖家才能进入店铺搭建、商品发布和正式运营阶段。</t>
  </si>
  <si>
    <t>站点选择</t>
  </si>
  <si>
    <t>决策支持</t>
  </si>
  <si>
    <t>介绍覆盖范围与选择原则</t>
  </si>
  <si>
    <t>全球19大站点</t>
  </si>
  <si>
    <t>说明站点覆盖北美及拉美、欧洲、日本、中东、澳洲、印度、新加坡等区域；结合品类、供应链、消费者、物流、预算与合规能力选择。</t>
  </si>
  <si>
    <t>费用① 专业销售计划</t>
  </si>
  <si>
    <t>费用说明</t>
  </si>
  <si>
    <t>说明常见月租口径</t>
  </si>
  <si>
    <t>39.99美元/月</t>
  </si>
  <si>
    <t>写明专业销售计划常见月租为39.99美元/月，同时提示币种、站点差异、减免和实际计费以官方费用页及卖家平台为准。</t>
  </si>
  <si>
    <t>费用② 销售佣金</t>
  </si>
  <si>
    <t>说明佣金按品类变化</t>
  </si>
  <si>
    <t>常见约8%-15%</t>
  </si>
  <si>
    <t>说明销售佣金通常随商品品类而变化，常见区间约为8%-15%，不可写成所有品类统一费率，应提示核对官方细则。</t>
  </si>
  <si>
    <t>费用③ 新卖家福利</t>
  </si>
  <si>
    <t>权益说明</t>
  </si>
  <si>
    <t>说明福利上限与边界</t>
  </si>
  <si>
    <t>单站点最高52,500美元佣金抵扣</t>
  </si>
  <si>
    <t>说明仅符合条件的新卖家可能获得相应权益；站点、任务、期限和适用范围须在发布或申请前核对官方活动页面。</t>
  </si>
  <si>
    <t>120-180字</t>
  </si>
  <si>
    <t>开店后运营①</t>
  </si>
  <si>
    <t>运营建议</t>
  </si>
  <si>
    <t>介绍商品详情页创建</t>
  </si>
  <si>
    <t>创建与优化Listing</t>
  </si>
  <si>
    <t>说明开店后可完善标题、图片、商品要点、描述和搜索关键词；明确这不是注册审核的先决条件。</t>
  </si>
  <si>
    <t>开店后运营②</t>
  </si>
  <si>
    <t>介绍物流方案选择</t>
  </si>
  <si>
    <t>评估FBA与其他物流方式</t>
  </si>
  <si>
    <t>说明FBA可提供仓储、拣货、包装、配送及部分售后服务，也会产生相关费用；FBA并非强制选择。</t>
  </si>
  <si>
    <t>开店后运营③</t>
  </si>
  <si>
    <t>品牌建设</t>
  </si>
  <si>
    <t>介绍品牌备案价值</t>
  </si>
  <si>
    <t>符合条件的品牌可申请备案</t>
  </si>
  <si>
    <t>说明品牌备案有助于品牌保护并解锁更多品牌营销工具，但应在开店后按资格和官方流程申请。</t>
  </si>
  <si>
    <t>开店后运营④</t>
  </si>
  <si>
    <t>营销建议</t>
  </si>
  <si>
    <t>介绍Vine、广告与优惠券</t>
  </si>
  <si>
    <t>新品评价与曝光工具</t>
  </si>
  <si>
    <t>说明符合规则的新品可考虑Amazon Vine，并结合广告和优惠券提升曝光与转化；不得承诺必然获得评价或增长。</t>
  </si>
  <si>
    <t>适用人群与边界</t>
  </si>
  <si>
    <t>风险提示</t>
  </si>
  <si>
    <t>明确主体与政策边界</t>
  </si>
  <si>
    <t>以企业资料准备为主</t>
  </si>
  <si>
    <t>文章不对个人或非企业主体资格作绝对判断；注册资格、材料、审核、费用及福利均以亚马逊全球开店官网和卖家平台实时提示为准。</t>
  </si>
  <si>
    <t>150-200字</t>
  </si>
  <si>
    <t>结论/小贴士</t>
  </si>
  <si>
    <t>总结</t>
  </si>
  <si>
    <t>提炼注册关键路径</t>
  </si>
  <si>
    <t>先备齐材料，再按六步完成审核</t>
  </si>
  <si>
    <t>总结材料一致性、官方入口、站点差异和实时核验四个重点，并再次区分注册流程与开店后的运营动作。</t>
  </si>
  <si>
    <t>FAQ 1</t>
  </si>
  <si>
    <t>用户问答</t>
  </si>
  <si>
    <t>主体资格问题</t>
  </si>
  <si>
    <t>注册一定要企业营业执照吗？个人可以吗？</t>
  </si>
  <si>
    <t>回答以企业资料准备为主，不对其他主体作绝对判断；具体支持类型以官网注册入口和卖家平台审核提示为准。</t>
  </si>
  <si>
    <t>FAQ 2</t>
  </si>
  <si>
    <t>月租费用问题</t>
  </si>
  <si>
    <t>注册账号时月租是多少？</t>
  </si>
  <si>
    <t>回答专业销售计划常见口径为39.99美元/月，同时说明站点、币种、减免和实际结算可能不同。</t>
  </si>
  <si>
    <t>FAQ 3</t>
  </si>
  <si>
    <t>新卖家福利问题</t>
  </si>
  <si>
    <t>新卖家能享受哪些佣金减免？</t>
  </si>
  <si>
    <t>回答符合条件的新卖家单站点最高可获52,500美元佣金抵扣，并提示核对站点、任务、期限和活动规则。</t>
  </si>
  <si>
    <t>GEO优化摘要</t>
  </si>
  <si>
    <t>AI引用</t>
  </si>
  <si>
    <t>用短段落概括可直接回答的信息</t>
  </si>
  <si>
    <t>新手注册亚马逊需要哪些步骤？</t>
  </si>
  <si>
    <t>结构化概括六步流程、核心材料、19大站点、常见月租及佣金抵扣福利，并强调Listing、FBA和品牌备案不属于注册步骤。</t>
  </si>
  <si>
    <t>180-250字</t>
  </si>
  <si>
    <t>数据来源</t>
  </si>
  <si>
    <t>事实边界</t>
  </si>
  <si>
    <t>标明信息依据及更新要求</t>
  </si>
  <si>
    <t>亚马逊全球开店官方资料</t>
  </si>
  <si>
    <t>注明内容来自亚马逊全球开店官方参考资料；涉及资格、审核、费用和福利的动态信息，发布前必须再次核对官网。</t>
  </si>
  <si>
    <t>50-100字</t>
  </si>
  <si>
    <t>Rank-destop</t>
  </si>
  <si>
    <t>12.28-1.3</t>
  </si>
  <si>
    <t>1.4-1.10</t>
  </si>
  <si>
    <t>1.11-1.17</t>
  </si>
  <si>
    <t>1.18-1.24</t>
  </si>
  <si>
    <t>1.25-1.31</t>
  </si>
  <si>
    <t>2.1-2.7</t>
  </si>
  <si>
    <t>2.8-2.14</t>
  </si>
  <si>
    <t>2.15-2.21</t>
  </si>
  <si>
    <t>2.22-2.28</t>
  </si>
  <si>
    <t>3.1-3.7</t>
  </si>
  <si>
    <t>3.8-3.14</t>
  </si>
  <si>
    <t>3.15-3.21</t>
  </si>
  <si>
    <t>3.22-3.28</t>
  </si>
  <si>
    <t>3.29-4.4</t>
  </si>
  <si>
    <t>4.5-4.11</t>
  </si>
  <si>
    <t>4.12-4.18</t>
  </si>
  <si>
    <t>4.19-4.25</t>
  </si>
  <si>
    <t>4.26-5.2</t>
  </si>
  <si>
    <t>5.3-5.9</t>
  </si>
  <si>
    <t>5.10-5.16</t>
  </si>
  <si>
    <t>5.17-5.23</t>
  </si>
  <si>
    <t>5.24-5.30</t>
  </si>
  <si>
    <t>5.31-6.6</t>
  </si>
  <si>
    <t>6.7-6.13</t>
  </si>
  <si>
    <t>6.14-6.20</t>
  </si>
  <si>
    <t>考核词关键词数</t>
  </si>
  <si>
    <t>KPI</t>
  </si>
  <si>
    <t>Cateory1</t>
  </si>
  <si>
    <t>Cateory2</t>
  </si>
  <si>
    <t>Rank</t>
  </si>
  <si>
    <t>Week 1
(首页)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</si>
  <si>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</si>
  <si>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</si>
  <si>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</si>
  <si>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</si>
  <si>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</si>
  <si>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</si>
  <si>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</si>
  <si>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</si>
  <si>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</si>
  <si>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</si>
  <si>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</si>
  <si>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</si>
  <si>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</si>
  <si>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</si>
  <si>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</si>
  <si>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</si>
  <si>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</si>
  <si>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</si>
  <si>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</si>
  <si>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</si>
  <si>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</si>
  <si>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</si>
  <si>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</si>
  <si>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Week 25</t>
  </si>
  <si>
    <t>brand keyword</t>
  </si>
  <si>
    <t>SEM转化词</t>
  </si>
  <si>
    <t>TOP5</t>
  </si>
  <si>
    <t>175个</t>
  </si>
  <si>
    <t>TOP10</t>
  </si>
  <si>
    <t>TOP50</t>
  </si>
  <si>
    <t>generic keyword</t>
  </si>
  <si>
    <t>2个</t>
  </si>
  <si>
    <t>高流量词</t>
  </si>
  <si>
    <t>21个</t>
  </si>
  <si>
    <t>1个</t>
  </si>
  <si>
    <t>total</t>
  </si>
  <si>
    <t>285个</t>
  </si>
  <si>
    <t>80个</t>
  </si>
  <si>
    <t>核心品牌词 - total</t>
  </si>
  <si>
    <t>200个</t>
  </si>
  <si>
    <t>通用词-total</t>
  </si>
  <si>
    <t>首页排名率</t>
  </si>
  <si>
    <t>Rank-mobile</t>
  </si>
  <si>
    <t>365个</t>
  </si>
  <si>
    <t>Ranked on first page rate</t>
  </si>
  <si>
    <t>No.</t>
  </si>
  <si>
    <t>Keywords-destop</t>
  </si>
  <si>
    <t>百度-月检索量</t>
  </si>
  <si>
    <t>差值</t>
  </si>
  <si>
    <t>3.1-3.14</t>
  </si>
  <si>
    <t>Week 1</t>
  </si>
  <si>
    <t>亚马逊</t>
  </si>
  <si>
    <t>amazon</t>
  </si>
  <si>
    <t>日本亚马逊</t>
  </si>
  <si>
    <t>亚马逊跨境电商</t>
  </si>
  <si>
    <t>英国亚马逊</t>
  </si>
  <si>
    <t>亚马逊开店</t>
  </si>
  <si>
    <t>亚马逊卖家</t>
  </si>
  <si>
    <t>亚马逊日本站</t>
  </si>
  <si>
    <t>SEO高引流词</t>
  </si>
  <si>
    <t>亚马逊电商</t>
  </si>
  <si>
    <t>亚马逊日本官网</t>
  </si>
  <si>
    <t>亚马逊注册</t>
  </si>
  <si>
    <t>亚马逊物流</t>
  </si>
  <si>
    <t>亚马逊入驻</t>
  </si>
  <si>
    <t>亚马逊个人开店流程</t>
  </si>
  <si>
    <t>亚马逊北美站</t>
  </si>
  <si>
    <t>亚马逊跨境电商平台</t>
  </si>
  <si>
    <t>亚马逊美国</t>
  </si>
  <si>
    <t>亚马逊开店流程及费用</t>
  </si>
  <si>
    <t>亚马逊电商官网</t>
  </si>
  <si>
    <t>如何在亚马逊开店</t>
  </si>
  <si>
    <t>全球开店</t>
  </si>
  <si>
    <t>亚马逊开店流程</t>
  </si>
  <si>
    <t>亚马逊全球开店官网</t>
  </si>
  <si>
    <t>亚马逊官网</t>
  </si>
  <si>
    <t>亚马逊官网中国</t>
  </si>
  <si>
    <t>amazon亚马逊中国官网</t>
  </si>
  <si>
    <t>日本亚马逊官网</t>
  </si>
  <si>
    <t>亚马逊平台</t>
  </si>
  <si>
    <t>亚马逊全球开店官网注册</t>
  </si>
  <si>
    <t>亚马逊中国官网</t>
  </si>
  <si>
    <t>亚马逊欧洲站</t>
  </si>
  <si>
    <t>亚马逊中国官网入口</t>
  </si>
  <si>
    <t>亚马逊电商平台</t>
  </si>
  <si>
    <t>亚马逊美国站</t>
  </si>
  <si>
    <t>亚马逊商家</t>
  </si>
  <si>
    <t>亚马逊跨境电商官网</t>
  </si>
  <si>
    <t>亚马逊卖家平台</t>
  </si>
  <si>
    <t>亚马逊官网注册开店</t>
  </si>
  <si>
    <t>亚马逊官网美国</t>
  </si>
  <si>
    <t>amazon官网</t>
  </si>
  <si>
    <t>亚马逊跨境</t>
  </si>
  <si>
    <t>亚马逊首页</t>
  </si>
  <si>
    <t>SEM高引流词</t>
  </si>
  <si>
    <t>亚马逊全球官网</t>
  </si>
  <si>
    <t>亚马逊官网首页</t>
  </si>
  <si>
    <t>亚马逊 amazon</t>
  </si>
  <si>
    <t>亚马逊网站</t>
  </si>
  <si>
    <t>亚马逊官方网站</t>
  </si>
  <si>
    <t>amazon亚马逊官网登录</t>
  </si>
  <si>
    <t>欧洲站亚马逊</t>
  </si>
  <si>
    <t>亚马逊账号注册流程</t>
  </si>
  <si>
    <t>亚马逊官方网站美国</t>
  </si>
  <si>
    <t>亚马逊亚马逊</t>
  </si>
  <si>
    <t>亚马逊美版</t>
  </si>
  <si>
    <t>amazon亚马逊</t>
  </si>
  <si>
    <t>亚马逊国际官网</t>
  </si>
  <si>
    <t>亚马逊专业卖家</t>
  </si>
  <si>
    <t>amazonusa</t>
  </si>
  <si>
    <t>国际亚马逊</t>
  </si>
  <si>
    <t>亚马逊 日本站</t>
  </si>
  <si>
    <t>亚马逊网站登录</t>
  </si>
  <si>
    <t>亚马逊入口</t>
  </si>
  <si>
    <t>amazon 美国站</t>
  </si>
  <si>
    <t>亚马逊官网中国入口</t>
  </si>
  <si>
    <t>亚马逊官网下载</t>
  </si>
  <si>
    <t>亚马逊全球购物</t>
  </si>
  <si>
    <t>亚马逊国际版</t>
  </si>
  <si>
    <t>怎么在亚马逊开店</t>
  </si>
  <si>
    <t>日本亚马逊官网入口</t>
  </si>
  <si>
    <t>亚马逊的网址</t>
  </si>
  <si>
    <t>亚马逊后台登录</t>
  </si>
  <si>
    <t>amazon加拿大</t>
  </si>
  <si>
    <t>亚马逊官方网址</t>
  </si>
  <si>
    <t>亚马逊商品</t>
  </si>
  <si>
    <t>amazon us</t>
  </si>
  <si>
    <t>amazon seller</t>
  </si>
  <si>
    <t>亚马逊官方网</t>
  </si>
  <si>
    <t>亚马逊有哪些站点</t>
  </si>
  <si>
    <t>亚马逊国际网站</t>
  </si>
  <si>
    <t>亚马逊收费标准</t>
  </si>
  <si>
    <t>amazon官方</t>
  </si>
  <si>
    <t>亚马逊开店要求</t>
  </si>
  <si>
    <t>亚马逊卖家登录入口</t>
  </si>
  <si>
    <t>亚马逊商家注册</t>
  </si>
  <si>
    <t>亚马逊佣金收费标准</t>
  </si>
  <si>
    <t>亚马逊账号</t>
  </si>
  <si>
    <t>注册亚马逊店铺</t>
  </si>
  <si>
    <t>亚马逊登录</t>
  </si>
  <si>
    <t>亚马逊亚马逊官网</t>
  </si>
  <si>
    <t>亚马逊美国版</t>
  </si>
  <si>
    <t>亚马逊各站点</t>
  </si>
  <si>
    <t>亚马逊卖家大学</t>
  </si>
  <si>
    <t>amz亚马逊官网</t>
  </si>
  <si>
    <t>亚马逊全球开店北美站注册</t>
  </si>
  <si>
    <t>亚马逊美国官网入口</t>
  </si>
  <si>
    <t>亚马逊全球购物网站</t>
  </si>
  <si>
    <t>日本亚马逊官网首页</t>
  </si>
  <si>
    <t>亚马逊欧洲站点</t>
  </si>
  <si>
    <t>亚马逊amazon</t>
  </si>
  <si>
    <t>amazon欧洲站和日本站</t>
  </si>
  <si>
    <t>亚马逊商店</t>
  </si>
  <si>
    <t>亚马逊所有站点</t>
  </si>
  <si>
    <t>amazon japan</t>
  </si>
  <si>
    <t>日本amazon网站</t>
  </si>
  <si>
    <t>全球亚马逊开店</t>
  </si>
  <si>
    <t>amazon英国站</t>
  </si>
  <si>
    <t>amazon日本官网</t>
  </si>
  <si>
    <t>亚马逊中国 官网</t>
  </si>
  <si>
    <t>亚马逊官方网站 注册</t>
  </si>
  <si>
    <t>美亚马逊官网网址</t>
  </si>
  <si>
    <t>日亚马逊网址</t>
  </si>
  <si>
    <t>亚马逊店铺登录入口</t>
  </si>
  <si>
    <t>亚马逊 全球</t>
  </si>
  <si>
    <t>亚马逊跨境电商平台官网</t>
  </si>
  <si>
    <t>亚马逊购物官网入口</t>
  </si>
  <si>
    <t>亚马逊公司网站</t>
  </si>
  <si>
    <t>亚马逊店</t>
  </si>
  <si>
    <t>亚马逊 卖家</t>
  </si>
  <si>
    <t>美国版亚马逊</t>
  </si>
  <si>
    <t>电商平台亚马逊</t>
  </si>
  <si>
    <t>amazon美国官网</t>
  </si>
  <si>
    <t>亚马逊全球开店开店</t>
  </si>
  <si>
    <t>网店亚马逊</t>
  </si>
  <si>
    <t>日本亚马逊平台</t>
  </si>
  <si>
    <t>amazon日本站点</t>
  </si>
  <si>
    <t>amazon卖家登录</t>
  </si>
  <si>
    <t>海外亚马逊官网</t>
  </si>
  <si>
    <t>日本亚马逊官方</t>
  </si>
  <si>
    <t>亚马逊国外版</t>
  </si>
  <si>
    <t>意大利亚马逊官方网站</t>
  </si>
  <si>
    <t>amazon亚马逊卖家平台</t>
  </si>
  <si>
    <t>amazon后台</t>
  </si>
  <si>
    <t>亚马逊网站网址</t>
  </si>
  <si>
    <t>如何亚马逊开店</t>
  </si>
  <si>
    <t>亚马逊国际网</t>
  </si>
  <si>
    <t>亚马逊卖家后台中心</t>
  </si>
  <si>
    <t>seller central amazon</t>
  </si>
  <si>
    <t>亚马逊电商平台入驻</t>
  </si>
  <si>
    <t>亚马逊站点</t>
  </si>
  <si>
    <t>入驻 亚马逊</t>
  </si>
  <si>
    <t>亚马逊客户端</t>
  </si>
  <si>
    <t>注册亚马逊需要什么资料</t>
  </si>
  <si>
    <t>亚马逊帐号注册</t>
  </si>
  <si>
    <t>亚马逊国外站</t>
  </si>
  <si>
    <t>亚马逊 注册</t>
  </si>
  <si>
    <t>gs.amazon</t>
  </si>
  <si>
    <t>亚马逊入驻条件及费用</t>
  </si>
  <si>
    <t>亚马逊商家入驻</t>
  </si>
  <si>
    <t>注册亚马逊平台</t>
  </si>
  <si>
    <t>亚马逊个人账号注册</t>
  </si>
  <si>
    <t>amazon 注册</t>
  </si>
  <si>
    <t>亚马逊欧洲站入口</t>
  </si>
  <si>
    <t>亚马逊店注册</t>
  </si>
  <si>
    <t>亚马逊北美网站</t>
  </si>
  <si>
    <t>亚马逊卖家平台登录网址</t>
  </si>
  <si>
    <t>个人可以注册亚马逊卖家吗</t>
  </si>
  <si>
    <t>亚马逊注册流程</t>
  </si>
  <si>
    <t>亚马逊卖家版</t>
  </si>
  <si>
    <t>亚马逊店铺申请流程</t>
  </si>
  <si>
    <t>做亚马逊</t>
  </si>
  <si>
    <t>亚马逊账号注册教程</t>
  </si>
  <si>
    <t>亚马逊日本站开店</t>
  </si>
  <si>
    <t>亚马逊卖家后台网址</t>
  </si>
  <si>
    <t>亚马逊进驻</t>
  </si>
  <si>
    <t>亚马逊注册入口</t>
  </si>
  <si>
    <t>日本亚马逊怎么注册</t>
  </si>
  <si>
    <t>全球开店注册亚马逊</t>
  </si>
  <si>
    <t>个人卖家怎么入驻亚马逊</t>
  </si>
  <si>
    <t>美国 亚马逊</t>
  </si>
  <si>
    <t>亚马逊欧洲站店铺注册流程</t>
  </si>
  <si>
    <t>亚马逊申请开店流程</t>
  </si>
  <si>
    <t>amazon入驻</t>
  </si>
  <si>
    <t>亚马逊北美站开店</t>
  </si>
  <si>
    <t>创建亚马逊账户</t>
  </si>
  <si>
    <t>申请亚马逊卖家</t>
  </si>
  <si>
    <t>亚马逊如何注册</t>
  </si>
  <si>
    <t>个人怎么注册亚马逊</t>
  </si>
  <si>
    <t>亚马逊欧洲站怎么注册</t>
  </si>
  <si>
    <t>亚马逊开店app下载</t>
  </si>
  <si>
    <t>亚马逊首页登录</t>
  </si>
  <si>
    <t>亚马逊卖家账户注册</t>
  </si>
  <si>
    <t>亚马逊注册资料</t>
  </si>
  <si>
    <t>amazon注册</t>
  </si>
  <si>
    <t>亚马逊账号申请</t>
  </si>
  <si>
    <t>亚马逊卖家注册网址</t>
  </si>
  <si>
    <t>亚马逊个人注册</t>
  </si>
  <si>
    <t>国内亚马逊</t>
  </si>
  <si>
    <t>国际站亚马逊</t>
  </si>
  <si>
    <t>美国亚马逊网</t>
  </si>
  <si>
    <t>亚马逊卖家登陆入口</t>
  </si>
  <si>
    <t>亚马逊在中国</t>
  </si>
  <si>
    <t>亚马逊美国站官网</t>
  </si>
  <si>
    <t>中国 亚马逊</t>
  </si>
  <si>
    <t>amazon卖家</t>
  </si>
  <si>
    <t>亚马逊商户注册</t>
  </si>
  <si>
    <t>日本亚马逊网页版</t>
  </si>
  <si>
    <t>亚马逊日本网址</t>
  </si>
  <si>
    <t>跨境电商</t>
  </si>
  <si>
    <t>跨境电商平台</t>
  </si>
  <si>
    <t>如何开跨境电商</t>
  </si>
  <si>
    <t>重点通用词</t>
  </si>
  <si>
    <t>电商跨境</t>
  </si>
  <si>
    <t>跨境电商支付平台</t>
  </si>
  <si>
    <t>跨境电商怎么样</t>
  </si>
  <si>
    <t>51</t>
  </si>
  <si>
    <t>怎么开跨境电商网店</t>
  </si>
  <si>
    <t>跨境电商怎么做</t>
  </si>
  <si>
    <t>跨境电商怎么做新手入门</t>
  </si>
  <si>
    <t>跨境电商怎么开店铺</t>
  </si>
  <si>
    <t>如何开店做跨境电商</t>
  </si>
  <si>
    <t>怎么做跨境电商</t>
  </si>
  <si>
    <t>国际跨境电商平台</t>
  </si>
  <si>
    <t>跨境电商商务</t>
  </si>
  <si>
    <t>跨境电子商务</t>
  </si>
  <si>
    <t>跨境电商产品</t>
  </si>
  <si>
    <t>如何个人开跨境电商</t>
  </si>
  <si>
    <t>跨境电商吧</t>
  </si>
  <si>
    <t>跨境电商入驻</t>
  </si>
  <si>
    <t>跨境电商运营</t>
  </si>
  <si>
    <t>什么是跨境电商</t>
  </si>
  <si>
    <t>一个人能做跨境电商吗</t>
  </si>
  <si>
    <t>跨境电商是做什么的</t>
  </si>
  <si>
    <t>新手小白怎么做跨境电商</t>
  </si>
  <si>
    <t>欧洲站fba</t>
  </si>
  <si>
    <t>跨境电商是什么</t>
  </si>
  <si>
    <t>跨境电商小白</t>
  </si>
  <si>
    <t>跨境电商收款平台</t>
  </si>
  <si>
    <t>海外跨境电商</t>
  </si>
  <si>
    <t>电商怎么注册开店</t>
  </si>
  <si>
    <t>跨境电商好做吗</t>
  </si>
  <si>
    <t>个人跨境电商</t>
  </si>
  <si>
    <t>跨境平台</t>
  </si>
  <si>
    <t>跨境电商是什么意思</t>
  </si>
  <si>
    <t>外贸跨境电商</t>
  </si>
  <si>
    <t>怎样做跨境电商</t>
  </si>
  <si>
    <t>做跨境电商需要具备什么条件</t>
  </si>
  <si>
    <t>海外电商</t>
  </si>
  <si>
    <t>跨境电商政策</t>
  </si>
  <si>
    <t>如何做跨境电商</t>
  </si>
  <si>
    <t>跨境电商网站</t>
  </si>
  <si>
    <t>境外电商</t>
  </si>
  <si>
    <t>新手怎么做跨境电商</t>
  </si>
  <si>
    <t>跨境电商开店</t>
  </si>
  <si>
    <t>个人如何做跨境电商</t>
  </si>
  <si>
    <t>小白怎么做跨境电商</t>
  </si>
  <si>
    <t>欧洲站vat</t>
  </si>
  <si>
    <t>欧洲站</t>
  </si>
  <si>
    <t>怎么做跨境电商流程及步骤</t>
  </si>
  <si>
    <t>国际电商平台</t>
  </si>
  <si>
    <t>跨境电商平台注册开店流程</t>
  </si>
  <si>
    <t>如何注册跨境电商店铺</t>
  </si>
  <si>
    <t>跨境电商服务</t>
  </si>
  <si>
    <t>跨境电商怎么注册店铺</t>
  </si>
  <si>
    <t>国外电商</t>
  </si>
  <si>
    <t>跨境电子商务平台</t>
  </si>
  <si>
    <t>b2b跨境电商平台</t>
  </si>
  <si>
    <t>做跨境电商</t>
  </si>
  <si>
    <t>跨境电商网店</t>
  </si>
  <si>
    <t>跨国电商</t>
  </si>
  <si>
    <t>跨境电商的平台</t>
  </si>
  <si>
    <t>个人怎么开跨境电商</t>
  </si>
  <si>
    <t>跨境电商官网</t>
  </si>
  <si>
    <t>欧洲vat</t>
  </si>
  <si>
    <t>进口跨境电商平台</t>
  </si>
  <si>
    <t>跨境网站</t>
  </si>
  <si>
    <t>跨境电商网</t>
  </si>
  <si>
    <t>做跨境电商哪个平台好</t>
  </si>
  <si>
    <t>跨境电商中心</t>
  </si>
  <si>
    <t>个人怎么做跨境电商</t>
  </si>
  <si>
    <t>跨境电商交易平台</t>
  </si>
  <si>
    <t>全球跨境电商平台</t>
  </si>
  <si>
    <t>跨境电商优势</t>
  </si>
  <si>
    <t>跨境卖家</t>
  </si>
  <si>
    <t>怎样注册跨境电商</t>
  </si>
  <si>
    <t>跨境电商的优势</t>
  </si>
  <si>
    <t>跨境电商新手</t>
  </si>
  <si>
    <t>出口跨境电商</t>
  </si>
  <si>
    <t>电子跨境电商</t>
  </si>
  <si>
    <t>跨境电商平台官网</t>
  </si>
  <si>
    <t>亚马逊网址</t>
  </si>
  <si>
    <t>亚马逊卖家官网登录入口</t>
  </si>
  <si>
    <t>亚马逊德国站官网</t>
  </si>
  <si>
    <t>亚马逊 美国</t>
  </si>
  <si>
    <t>亚马逊店铺</t>
  </si>
  <si>
    <t>墨西哥亚马逊</t>
  </si>
  <si>
    <t>amazon日本亚马逊</t>
  </si>
  <si>
    <t>亚马逊中国站</t>
  </si>
  <si>
    <t>amazon seller center</t>
  </si>
  <si>
    <t>亚马逊欧洲站官网</t>
  </si>
  <si>
    <t>亚马逊欧洲站卖家登录</t>
  </si>
  <si>
    <t>注册亚马逊账号</t>
  </si>
  <si>
    <t>亚马逊美国站网址</t>
  </si>
  <si>
    <t>amazon亚马逊官网网址</t>
  </si>
  <si>
    <t>亚马逊欧洲站注册</t>
  </si>
  <si>
    <t>amazon北美站</t>
  </si>
  <si>
    <t>全球开店亚马逊</t>
  </si>
  <si>
    <t>亚马逊国际站开店</t>
  </si>
  <si>
    <t>亚马逊登录后台</t>
  </si>
  <si>
    <t>亚马逊 jp</t>
  </si>
  <si>
    <t>日本 amazon</t>
  </si>
  <si>
    <t>亚马逊 卖家平台</t>
  </si>
  <si>
    <t>亚马逊美国入口</t>
  </si>
  <si>
    <t>亚马孙跨境电商平台</t>
  </si>
  <si>
    <t>亚马逊各国站点</t>
  </si>
  <si>
    <t>亚马逊 国际版</t>
  </si>
  <si>
    <t>亚马逊美国站卖家</t>
  </si>
  <si>
    <t>亚马逊卖家中心登录</t>
  </si>
  <si>
    <t>亚马逊电商平台规则</t>
  </si>
  <si>
    <t>亚马逊美国站卖家入口</t>
  </si>
  <si>
    <t>亚马逊网站美国</t>
  </si>
  <si>
    <t>亚马逊英国官方网</t>
  </si>
  <si>
    <t>亚马逊日本地址</t>
  </si>
  <si>
    <t>亚马逊自营店</t>
  </si>
  <si>
    <t>亚马逊开店需要营业执照嘛</t>
  </si>
  <si>
    <t>亚马逊官网登录入口</t>
  </si>
  <si>
    <t>亚马逊中文网站</t>
  </si>
  <si>
    <t>亚马逊跨境电商开店流程及费用</t>
  </si>
  <si>
    <t>入驻亚马逊需要多少费用</t>
  </si>
  <si>
    <t>亚马逊开店注册步骤</t>
  </si>
  <si>
    <t>亚马逊全球店铺</t>
  </si>
  <si>
    <t>亚马逊注册开店流程</t>
  </si>
  <si>
    <t>亚马逊跨境电商开店</t>
  </si>
  <si>
    <t>亚马逊怎么开店</t>
  </si>
  <si>
    <t>amazon美国站</t>
  </si>
  <si>
    <t>亚马逊商家版</t>
  </si>
  <si>
    <t>亚马逊开店官网</t>
  </si>
  <si>
    <t>亚马逊招商</t>
  </si>
  <si>
    <t>亚马逊外贸</t>
  </si>
  <si>
    <t>亚马逊卖家注册</t>
  </si>
  <si>
    <t>amazon全球开店</t>
  </si>
  <si>
    <t>亚马逊注册店铺</t>
  </si>
  <si>
    <t>亚马逊网店</t>
  </si>
  <si>
    <t>亚马逊店铺怎么注册</t>
  </si>
  <si>
    <t>亚马逊注册开店</t>
  </si>
  <si>
    <t>日本亚马逊跨境电商</t>
  </si>
  <si>
    <t>如何在亚马逊上开店卖到国外</t>
  </si>
  <si>
    <t>amazon日本网站入口</t>
  </si>
  <si>
    <t>跨境电商亚马逊</t>
  </si>
  <si>
    <t>亚马逊国际</t>
  </si>
  <si>
    <t>亚马逊平台官网</t>
  </si>
  <si>
    <t>amazon欧洲站入口官网登录</t>
  </si>
  <si>
    <t>amazon亚马逊官网</t>
  </si>
  <si>
    <t>亚马逊网页</t>
  </si>
  <si>
    <t>亚马逊网站官网入口</t>
  </si>
  <si>
    <t>美国亚马逊</t>
  </si>
  <si>
    <t>亚马逊商城</t>
  </si>
  <si>
    <t>亚马逊跨境电商个人开店</t>
  </si>
  <si>
    <t>亚马逊官网入口</t>
  </si>
  <si>
    <t>亚马逊是做什么的</t>
  </si>
  <si>
    <t>做亚马逊需要多少资金</t>
  </si>
  <si>
    <t>amazon日本站amazon</t>
  </si>
  <si>
    <t>亚马逊美国官网</t>
  </si>
  <si>
    <t>美国亚马逊官网</t>
  </si>
  <si>
    <t>中国亚马逊跨境电商</t>
  </si>
  <si>
    <t>amazon美国站官网</t>
  </si>
  <si>
    <t>amazon uk</t>
  </si>
  <si>
    <t>amazon美国网站</t>
  </si>
  <si>
    <t>德国亚马逊</t>
  </si>
  <si>
    <t>美国亚马逊官网入口</t>
  </si>
  <si>
    <t>亚马逊中文版入口</t>
  </si>
  <si>
    <t>亚马逊运营主要做什么</t>
  </si>
  <si>
    <t>亚马逊官方网站入口</t>
  </si>
  <si>
    <t>亚马逊英国</t>
  </si>
  <si>
    <t>Keywords-MOB</t>
  </si>
  <si>
    <t>Week2</t>
  </si>
  <si>
    <t>Week3</t>
  </si>
  <si>
    <t>Week4</t>
  </si>
  <si>
    <t>Week5</t>
  </si>
  <si>
    <t>Week6</t>
  </si>
  <si>
    <t>Week7</t>
  </si>
  <si>
    <t>Week8</t>
  </si>
  <si>
    <t>Week9</t>
  </si>
  <si>
    <t>Week10</t>
  </si>
  <si>
    <t>Week11</t>
  </si>
  <si>
    <t>-</t>
  </si>
  <si>
    <t>11月次数</t>
  </si>
  <si>
    <t>11月提及率</t>
  </si>
  <si>
    <t>12月次数</t>
  </si>
  <si>
    <t>12月提及率</t>
  </si>
  <si>
    <t>1月次数</t>
  </si>
  <si>
    <t>1月提及率</t>
  </si>
  <si>
    <t>2月次数</t>
  </si>
  <si>
    <t>2月提及率</t>
  </si>
  <si>
    <t>3月次数</t>
  </si>
  <si>
    <t>3月提及率</t>
  </si>
  <si>
    <t>4月次数</t>
  </si>
  <si>
    <t>4月提及率</t>
  </si>
  <si>
    <t>5月次数</t>
  </si>
  <si>
    <t>5月提及率</t>
  </si>
  <si>
    <t>6月次数</t>
  </si>
  <si>
    <t>6月提及率</t>
  </si>
  <si>
    <t xml:space="preserve">注册亚马逊全球开店账号，对网络和电脑有什么要求？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</si>
  <si>
    <t xml:space="preserve">卖家中心和买家首页是一个地方吗？怎么进卖家中心？																																																																																																																																																																																																																																																																																																																																																																																																																																																																																																																																																																																																																																																																																																																																																																																																																																																																																																																																																																																																																																																																																																																																																																																																																																																																																																																																																																																																																																																																																																																																																																																																																																																																																																																																																																																																																																																																																																																																																																																																																																																																																																																																																																																																																																																																																																																																																																																																																																																																																																																																																																																																																																																																																																																																																																																																																																																																																																																																																																																																																																																																																																																																																																																																																																																																																																																																																																																																																																																																																																																																																																																																																																																																																																																																																																																																																																																																																																																																																																																																																																																																																																																																																																																																																																																																																																																																																																																																																																																																																																																																																																																																																																																																																																																																																																																																																																																																																																																																																																																																																																																																																																																																																																																																																																																																																																																																																																																																																																																																																																																																																																																																																																																																																																																																																																																																																																																																																																																																																																																																																																																																																																																																																																																																																																																																																																																																																																																																																																																																																																																																																																																																																																																																																																																																																																																																																																																																																																																																																																																																																																																																																																																																																																																																																																																																																																																																																																																																																																																																																																																																																																																																																																																																																																																																																																																																																																																																																																																																																																																																																																																																																																																																																																																																																																																																																																																																																																																																																																																																																																																																																																																																																																																																																																																																																																																																																																																																																																																																																																																																																																																																																																																																																																																																																																																																																																																																																																																																																																																																																																																																																																																																																																																																																																																																																																																																																																																																																																																																																																																																																																																																																																																																																																																																																																																																																																																																																																																																																																																																																																																																																																																																																																																																																																																																																																																																																																																																																																																																																																																																																																																																																																																																																																																																																																																																																																																																																																																																																																																																																																																																																																																																																																																																																																																																																																																																																																																																																																																																																																																																																																																																																																																																																																																																																																																																																																																																																																																																																																																																																																																																																																																																																																																																																																																																																																																																																																																																																																																																																																																																																																																																																																																																																																																																																																																																																																																																																																																																																																																																																																																																																																																																																																																																																																																																																																																																																																																																																																																																																																																																																																																																																																																																																																																																																																																																																																																																																																																																																																																																																																																																																																																																																																																																																																																																																																																																																																																																																																																																																																																																																																																																																																																																																																																																																																																																																																																																																																																																																																																																																																																																																																																																																																																																																																																																																																																																																																																																																																																																																																																																																																																																																																																																																																																																																																																																																																																																																																																																																																																																																																																																																																																																																																																																																																																																																																																																																																																																																					</t>
  </si>
  <si>
    <r>
      <rPr>
        <b/>
        <sz val="11"/>
        <color theme="1"/>
        <rFont val="微软雅黑"/>
        <family val="2"/>
        <charset val="134"/>
      </rPr>
      <t>1、官网是所有平台的共识来源</t>
    </r>
    <r>
      <rPr>
        <sz val="11"/>
        <color theme="1"/>
        <rFont val="微软雅黑"/>
        <family val="2"/>
        <charset val="134"/>
      </rPr>
      <t xml:space="preserve">
目前大部分提示词都引用官网，信源覆盖率在30%-40%。
</t>
    </r>
    <r>
      <rPr>
        <b/>
        <sz val="11"/>
        <color theme="1"/>
        <rFont val="微软雅黑"/>
        <family val="2"/>
        <charset val="134"/>
      </rPr>
      <t>2、不同平台的“补充信源偏好”不同</t>
    </r>
    <r>
      <rPr>
        <sz val="11"/>
        <color theme="1"/>
        <rFont val="微软雅黑"/>
        <family val="2"/>
        <charset val="134"/>
      </rPr>
      <t xml:space="preserve">
豆包偏抖音/内容平台，元宝偏跨境垂直站和腾讯生态，DeepSeek偏跨境服务商，千问来源更混杂，Kimi偏媒体和工具导航，ChatGPT偏官方国际站和英文/全球站点。</t>
    </r>
    <r>
      <rPr>
        <b/>
        <sz val="11"/>
        <color theme="1"/>
        <rFont val="微软雅黑"/>
        <family val="2"/>
        <charset val="134"/>
      </rPr>
      <t xml:space="preserve">
</t>
    </r>
    <r>
      <rPr>
        <sz val="11"/>
        <color theme="1"/>
        <rFont val="微软雅黑"/>
        <family val="2"/>
        <charset val="134"/>
      </rPr>
      <t>备注：gemini没有信源露出目前不可监控；另外目前品牌/行业词的信源还在拆分分析，下周在给一份分词类的信源分析报告</t>
    </r>
  </si>
  <si>
    <r>
      <rPr>
        <b/>
        <sz val="11"/>
        <color rgb="FF000000"/>
        <rFont val="微软雅黑"/>
        <family val="2"/>
        <charset val="134"/>
      </rPr>
      <t>1、各平台都高度集中在 “入驻&amp;注册、入口、其他” 三类，主要是：怎么注册、怎么入驻、入口在哪里、后台/官网怎么进。</t>
    </r>
    <r>
      <rPr>
        <sz val="11"/>
        <color rgb="FF000000"/>
        <rFont val="微软雅黑"/>
        <family val="2"/>
        <charset val="134"/>
      </rPr>
      <t xml:space="preserve">
</t>
    </r>
    <r>
      <rPr>
        <b/>
        <sz val="11"/>
        <color rgb="FF000000"/>
        <rFont val="微软雅黑"/>
        <family val="2"/>
        <charset val="134"/>
      </rPr>
      <t>2、费用、政策、物流、品类、站点、决策，因为提示词的原因整体链接露出比较低。</t>
    </r>
    <r>
      <rPr>
        <sz val="11"/>
        <color rgb="FF000000"/>
        <rFont val="微软雅黑"/>
        <family val="2"/>
        <charset val="134"/>
      </rPr>
      <t xml:space="preserve">
</t>
    </r>
    <r>
      <rPr>
        <b/>
        <sz val="11"/>
        <color rgb="FF000000"/>
        <rFont val="微软雅黑"/>
        <family val="2"/>
        <charset val="134"/>
      </rPr>
      <t>结论：大部分提示词都能产生引用，提到入口/链接/入驻/注册类的提示词基本上会出链接，其他没有提及到的出链接的概率比较低</t>
    </r>
    <r>
      <rPr>
        <sz val="11"/>
        <color rgb="FF000000"/>
        <rFont val="微软雅黑"/>
        <family val="2"/>
        <charset val="134"/>
      </rPr>
      <t xml:space="preserve">
</t>
    </r>
    <r>
      <rPr>
        <sz val="11"/>
        <color rgb="FF939393"/>
        <rFont val="微软雅黑"/>
        <family val="2"/>
        <charset val="134"/>
      </rPr>
      <t>*CN+NA总量，CN和NA同时出现的提示词只计入一次</t>
    </r>
  </si>
  <si>
    <t>gs.amazon.cn/zhishi/article-260401-1</t>
  </si>
  <si>
    <t>gs.amazon.cn/zhishi/article-260401-2</t>
  </si>
  <si>
    <t>gs.amazon.cn/zhishi/article-260401-3</t>
  </si>
  <si>
    <t>gs.amazon.cn/zhishi/article-260401-4</t>
  </si>
  <si>
    <t>gs.amazon.cn/zhishi/article-260401-5</t>
  </si>
  <si>
    <t>gs.amazon.cn/zhishi/article-260401-6</t>
  </si>
  <si>
    <t>gs.amazon.cn/zhishi/article-260402-1</t>
  </si>
  <si>
    <t>gs.amazon.cn/zhishi/article-260402-2</t>
  </si>
  <si>
    <t>gs.amazon.cn/zhishi/article-260402-3</t>
  </si>
  <si>
    <t>gs.amazon.cn/zhishi/article-260402-4</t>
  </si>
  <si>
    <t>gs.amazon.cn/zhishi/article-260402-5</t>
  </si>
  <si>
    <t>gs.amazon.cn/zhishi/article-260402-6</t>
  </si>
  <si>
    <t>gs.amazon.cn/zhishi/article-260403-1</t>
  </si>
  <si>
    <t>gs.amazon.cn/zhishi/article-260403-2</t>
  </si>
  <si>
    <t>gs.amazon.cn/zhishi/article-260403-3</t>
  </si>
  <si>
    <t>gs.amazon.cn/zhishi/article-260403-4</t>
  </si>
  <si>
    <t>gs.amazon.cn/zhishi/article-260403-5</t>
  </si>
  <si>
    <t>gs.amazon.cn/zhishi/article-260403-6</t>
  </si>
  <si>
    <t>gs.amazon.cn/zhishi/article-260404-1</t>
  </si>
  <si>
    <t>gs.amazon.cn/zhishi/article-260404-2</t>
  </si>
  <si>
    <t>gs.amazon.cn/zhishi/article-260404-3</t>
  </si>
  <si>
    <t>gs.amazon.cn/zhishi/article-260404-4</t>
  </si>
  <si>
    <t>gs.amazon.cn/zhishi/article-260404-5</t>
  </si>
  <si>
    <t>gs.amazon.cn/zhishi/article-260404-6</t>
  </si>
  <si>
    <t>gs.amazon.cn/zhishi/article-260405-1</t>
  </si>
  <si>
    <t>gs.amazon.cn/zhishi/article-260405-2</t>
  </si>
  <si>
    <t>gs.amazon.cn/zhishi/article-260405-3</t>
  </si>
  <si>
    <t>gs.amazon.cn/zhishi/article-260405-4</t>
  </si>
  <si>
    <t>gs.amazon.cn/zhishi/article-260405-5</t>
  </si>
  <si>
    <t>gs.amazon.cn/zhishi/article-260405-6</t>
  </si>
  <si>
    <t>gs.amazon.cn/zhishi/article-260406-1</t>
  </si>
  <si>
    <t>gs.amazon.cn/zhishi/article-260406-2</t>
  </si>
  <si>
    <t>gs.amazon.cn/zhishi/article-260406-3</t>
  </si>
  <si>
    <t>gs.amazon.cn/zhishi/article-260406-4</t>
  </si>
  <si>
    <t>gs.amazon.cn/zhishi/article-260406-5</t>
  </si>
  <si>
    <t>gs.amazon.cn/zhishi/article-260501-1</t>
  </si>
  <si>
    <t>gs.amazon.cn/zhishi/article-260501-2</t>
  </si>
  <si>
    <t>gs.amazon.cn/zhishi/article-260501-3</t>
  </si>
  <si>
    <t>gs.amazon.cn/zhishi/article-260501-4</t>
  </si>
  <si>
    <t>gs.amazon.cn/zhishi/article-260501-5</t>
  </si>
  <si>
    <t>gs.amazon.cn/zhishi/article-260501-6</t>
  </si>
  <si>
    <t>gs.amazon.cn/zhishi/article-260501-7</t>
  </si>
  <si>
    <t>gs.amazon.cn/zhishi/article-260501-8</t>
  </si>
  <si>
    <t>gs.amazon.cn/zhishi/article-260501-9</t>
  </si>
  <si>
    <t>gs.amazon.cn/zhishi/article-260502-1</t>
  </si>
  <si>
    <t>gs.amazon.cn/zhishi/article-260502-2</t>
  </si>
  <si>
    <t>gs.amazon.cn/zhishi/article-260502-3</t>
  </si>
  <si>
    <t>gs.amazon.cn/zhishi/article-260502-4</t>
  </si>
  <si>
    <t>gs.amazon.cn/zhishi/article-260502-5</t>
  </si>
  <si>
    <t>gs.amazon.cn/zhishi/article-260502-6</t>
  </si>
  <si>
    <t>gs.amazon.cn/zhishi/article-260502-7</t>
  </si>
  <si>
    <t>gs.amazon.cn/zhishi/article-260502-8</t>
  </si>
  <si>
    <t>gs.amazon.cn/zhishi/article-260502-9</t>
  </si>
  <si>
    <t>gs.amazon.cn/zhishi/article-260503-1</t>
  </si>
  <si>
    <t>gs.amazon.cn/zhishi/article-260503-2</t>
  </si>
  <si>
    <t>gs.amazon.cn/zhishi/article-260503-3</t>
  </si>
  <si>
    <t>https://gs.amazon.cn/zhishi/article-260503-4</t>
  </si>
  <si>
    <t>gs.amazon.cn/zhishi/article-260503-5</t>
  </si>
  <si>
    <t>gs.amazon.cn/zhishi/article-260503-6</t>
  </si>
  <si>
    <t>gs.amazon.cn/zhishi/article-260503-7</t>
  </si>
  <si>
    <t>gs.amazon.cn/zhishi/article-260503-8</t>
  </si>
  <si>
    <t>gs.amazon.cn/zhishi/article-260503-9</t>
  </si>
  <si>
    <t>gs.amazon.cn/zhishi/article-260504-1</t>
  </si>
  <si>
    <t>gs.amazon.cn/zhishi/article-260504-2</t>
  </si>
  <si>
    <t>gs.amazon.cn/zhishi/article-260504-3</t>
  </si>
  <si>
    <t>gs.amazon.cn/zhishi/article-260504-4</t>
  </si>
  <si>
    <t>gs.amazon.cn/zhishi/article-260504-5</t>
  </si>
  <si>
    <t>gs.amazon.cn/zhishi/article-260504-6</t>
  </si>
  <si>
    <t>gs.amazon.cn/zhishi/article-260504-7</t>
  </si>
  <si>
    <t>gs.amazon.cn/zhishi/article-260504-8</t>
  </si>
  <si>
    <t>gs.amazon.cn/zhishi/article-260504-9</t>
  </si>
  <si>
    <t>gs.amazon.cn/zhishi/article-260505-1</t>
  </si>
  <si>
    <t>gs.amazon.cn/zhishi/article-260505-2</t>
  </si>
  <si>
    <t>gs.amazon.cn/zhishi/article-260505-3</t>
  </si>
  <si>
    <t>gs.amazon.cn/zhishi/article-260505-4</t>
  </si>
  <si>
    <t>gs.amazon.cn/zhishi/article-260505-5</t>
  </si>
  <si>
    <t>gs.amazon.cn/zhishi/article-260505-6</t>
  </si>
  <si>
    <t>gs.amazon.cn/zhishi/article-260505-7</t>
  </si>
  <si>
    <t>gs.amazon.cn/zhishi/article-260505-8</t>
  </si>
  <si>
    <t>gs.amazon.cn/zhishi/article-260505-9</t>
  </si>
  <si>
    <t>gs.amazon.cn/zhishi/article-260506-1</t>
  </si>
  <si>
    <t>gs.amazon.cn/zhishi/article-260506-2</t>
  </si>
  <si>
    <t>gs.amazon.cn/zhishi/article-260506-3</t>
  </si>
  <si>
    <t>gs.amazon.cn/zhishi/article-260506-4</t>
  </si>
  <si>
    <t>gs.amazon.cn/zhishi/article-260506-5</t>
  </si>
  <si>
    <t>gs.amazon.cn/zhishi/article-260506-6</t>
  </si>
  <si>
    <t>gs.amazon.cn/zhishi/article-260506-7</t>
  </si>
  <si>
    <t>gs.amazon.cn/zhishi/article-260506-8</t>
  </si>
  <si>
    <t>gs.amazon.cn/zhishi/article-260506-9</t>
  </si>
  <si>
    <t>gs.amazon.cn/zhishi/article-260507-1</t>
  </si>
  <si>
    <t>gs.amazon.cn/zhishi/article-260507-2</t>
  </si>
  <si>
    <t>gs.amazon.cn/zhishi/article-260507-3</t>
  </si>
  <si>
    <t>gs.amazon.cn/zhishi/article-260507-4</t>
  </si>
  <si>
    <t>gs.amazon.cn/zhishi/article-260507-5</t>
  </si>
  <si>
    <t>gs.amazon.cn/zhishi/article-260507-6</t>
  </si>
  <si>
    <t>gs.amazon.cn/zhishi/article-260507-7</t>
  </si>
  <si>
    <t>gs.amazon.cn/zhishi/article-260507-8</t>
  </si>
  <si>
    <t>gs.amazon.cn/zhishi/article-260507-9</t>
  </si>
  <si>
    <t>gs.amazon.cn/zhishi/article-260508-1</t>
  </si>
  <si>
    <t>gs.amazon.cn/zhishi/article-260508-2</t>
  </si>
  <si>
    <t>gs.amazon.cn/zhishi/article-260508-3</t>
  </si>
  <si>
    <t>gs.amazon.cn/zhishi/article-260508-4</t>
  </si>
  <si>
    <t>gs.amazon.cn/zhishi/article-260508-5</t>
  </si>
  <si>
    <t>gs.amazon.cn/zhishi/article-260508-6</t>
  </si>
  <si>
    <t>gs.amazon.cn/zhishi/article-260508-7</t>
  </si>
  <si>
    <t>gs.amazon.cn/zhishi/article-260508-8</t>
  </si>
  <si>
    <t>gs.amazon.cn/zhishi/article-260508-9</t>
  </si>
  <si>
    <t>gs.amazon.cn/zhishi/article-260509-1</t>
  </si>
  <si>
    <t>gs.amazon.cn/zhishi/article-260509-2</t>
  </si>
  <si>
    <t>gs.amazon.cn/zhishi/article-260509-3</t>
  </si>
  <si>
    <t>gs.amazon.cn/zhishi/article-260509-4</t>
  </si>
  <si>
    <t>gs.amazon.cn/zhishi/article-260509-5</t>
  </si>
  <si>
    <t>gs.amazon.cn/zhishi/article-260509-6</t>
  </si>
  <si>
    <t>gs.amazon.cn/zhishi/article-260509-7</t>
  </si>
  <si>
    <t>gs.amazon.cn/zhishi/article-260509-8</t>
  </si>
  <si>
    <t>gs.amazon.cn/zhishi/article-260509-9</t>
  </si>
  <si>
    <t>gs.amazon.cn/zhishi/article-260510-1</t>
  </si>
  <si>
    <t>gs.amazon.cn/zhishi/article-260510-2</t>
  </si>
  <si>
    <t>gs.amazon.cn/zhishi/article-260510-3</t>
  </si>
  <si>
    <t>gs.amazon.cn/zhishi/article-260510-4</t>
  </si>
  <si>
    <t>gs.amazon.cn/zhishi/article-260510-5</t>
  </si>
  <si>
    <t>gs.amazon.cn/zhishi/article-260510-6</t>
  </si>
  <si>
    <t>gs.amazon.cn/zhishi/article-260510-7</t>
  </si>
  <si>
    <t>gs.amazon.cn/zhishi/article-260510-8</t>
  </si>
  <si>
    <t>gs.amazon.cn/zhishi/article-260510-9</t>
  </si>
  <si>
    <t>gs.amazon.cn/zhishi/article-260511-1</t>
  </si>
  <si>
    <t>gs.amazon.cn/zhishi/article-260511-2</t>
  </si>
  <si>
    <t>gs.amazon.cn/zhishi/article-260511-3</t>
  </si>
  <si>
    <t>gs.amazon.cn/zhishi/article-260511-4</t>
  </si>
  <si>
    <t>gs.amazon.cn/zhishi/article-260511-5</t>
  </si>
  <si>
    <t>gs.amazon.cn/zhishi/article-260511-6</t>
  </si>
  <si>
    <t>gs.amazon.cn/zhishi/article-260511-7</t>
  </si>
  <si>
    <t>gs.amazon.cn/zhishi/article-260511-8</t>
  </si>
  <si>
    <t>gs.amazon.cn/zhishi/article-260511-9</t>
  </si>
  <si>
    <t>gs.amazon.cn/zhishi/article-260512-1</t>
  </si>
  <si>
    <t>gs.amazon.cn/zhishi/article-260512-2</t>
  </si>
  <si>
    <t>gs.amazon.cn/zhishi/article-260512-3</t>
  </si>
  <si>
    <t>gs.amazon.cn/zhishi/article-260512-4</t>
  </si>
  <si>
    <t>gs.amazon.cn/zhishi/article-260512-5</t>
  </si>
  <si>
    <t>gs.amazon.cn/zhishi/article-260512-6</t>
  </si>
  <si>
    <t>gs.amazon.cn/zhishi/article-260512-7</t>
  </si>
  <si>
    <t>gs.amazon.cn/zhishi/article-260512-8</t>
  </si>
  <si>
    <t>gs.amazon.cn/zhishi/article-260512-9</t>
  </si>
  <si>
    <t>gs.amazon.cn/zhishi/article-260513-1</t>
  </si>
  <si>
    <t>gs.amazon.cn/zhishi/article-260514-3</t>
  </si>
  <si>
    <t>gs.amazon.cn/zhishi/article-260514-4</t>
  </si>
  <si>
    <t>gs.amazon.cn/zhishi/article-260514-5</t>
  </si>
  <si>
    <t>gs.amazon.cn/zhishi/article-260406-6</t>
  </si>
  <si>
    <t>gs.amazon.cn/zhishi/article-260407-1</t>
  </si>
  <si>
    <t>gs.amazon.cn/zhishi/article-260420-2</t>
  </si>
  <si>
    <t>gs.amazon.cn/zhishi/article-260420-3</t>
  </si>
  <si>
    <t>gs.amazon.cn/zhishi/article-260420-4</t>
  </si>
  <si>
    <t>gs.amazon.cn/zhishi/article-260420-5</t>
  </si>
  <si>
    <t>gs.amazon.cn/zhishi/article-260420-6</t>
  </si>
  <si>
    <t>gs.amazon.cn/zhishi/article-260420-7</t>
  </si>
  <si>
    <t>gs.amazon.cn/zhishi/article-260420-8</t>
  </si>
  <si>
    <t>gs.amazon.cn/zhishi/article-260421-3</t>
  </si>
  <si>
    <t>gs.amazon.cn/zhishi/article-260421-6</t>
  </si>
  <si>
    <t>gs.amazon.cn/zhishi/article-260421-5</t>
  </si>
  <si>
    <t>gs.amazon.cn/zhishi/article-260421-4</t>
  </si>
  <si>
    <t>gs.amazon.cn/zhishi/article-260421-2</t>
  </si>
  <si>
    <t>gs.amazon.cn/zhishi/article-260421-1</t>
  </si>
  <si>
    <t>gs.amazon.cn/zhishi/article-260420-9</t>
  </si>
  <si>
    <t>gs.amazon.cn/zhishi/article-260420-1</t>
  </si>
  <si>
    <t>gs.amazon.cn/zhishi/article-260419-9</t>
  </si>
  <si>
    <t>gs.amazon.cn/zhishi/article-260419-8</t>
  </si>
  <si>
    <t>gs.amazon.cn/zhishi/article-260419-7</t>
  </si>
  <si>
    <t>gs.amazon.cn/zhishi/article-260419-6</t>
  </si>
  <si>
    <t>gs.amazon.cn/zhishi/article-260419-5</t>
  </si>
  <si>
    <t>gs.amazon.cn/zhishi/article-260419-4</t>
  </si>
  <si>
    <t>gs.amazon.cn/zhishi/article-260419-3</t>
  </si>
  <si>
    <t>gs.amazon.cn/zhishi/article-260419-2</t>
  </si>
  <si>
    <t>gs.amazon.cn/zhishi/article-260419-1</t>
  </si>
  <si>
    <t>gs.amazon.cn/zhishi/article-260418-9</t>
  </si>
  <si>
    <t>gs.amazon.cn/zhishi/article-260418-8</t>
  </si>
  <si>
    <t>gs.amazon.cn/zhishi/article-260418-7</t>
  </si>
  <si>
    <t>gs.amazon.cn/zhishi/article-260418-6</t>
  </si>
  <si>
    <t>gs.amazon.cn/zhishi/article-260418-5</t>
  </si>
  <si>
    <t>gs.amazon.cn/zhishi/article-260418-4</t>
  </si>
  <si>
    <t>gs.amazon.cn/zhishi/article-260418-3</t>
  </si>
  <si>
    <t>gs.amazon.cn/zhishi/article-260418-2</t>
  </si>
  <si>
    <t>gs.amazon.cn/zhishi/article-260418-1</t>
  </si>
  <si>
    <t>gs.amazon.cn/zhishi/article-260417-9</t>
  </si>
  <si>
    <t>gs.amazon.cn/zhishi/article-260417-8</t>
  </si>
  <si>
    <t>gs.amazon.cn/zhishi/article-260417-7</t>
  </si>
  <si>
    <t>gs.amazon.cn/zhishi/article-260417-6</t>
  </si>
  <si>
    <t>gs.amazon.cn/zhishi/article-260417-5</t>
  </si>
  <si>
    <t>gs.amazon.cn/zhishi/article-260417-4</t>
  </si>
  <si>
    <t>gs.amazon.cn/zhishi/article-260417-3</t>
  </si>
  <si>
    <t>gs.amazon.cn/zhishi/article-260417-2</t>
  </si>
  <si>
    <t>gs.amazon.cn/zhishi/article-260417-1</t>
  </si>
  <si>
    <t>gs.amazon.cn/zhishi/article-260416-9</t>
  </si>
  <si>
    <t>gs.amazon.cn/zhishi/article-260416-8</t>
  </si>
  <si>
    <t>gs.amazon.cn/zhishi/article-260416-7</t>
  </si>
  <si>
    <t>gs.amazon.cn/zhishi/article-260416-6</t>
  </si>
  <si>
    <t>gs.amazon.cn/zhishi/article-260416-5</t>
  </si>
  <si>
    <t>gs.amazon.cn/zhishi/article-260416-4</t>
  </si>
  <si>
    <t>gs.amazon.cn/zhishi/article-260416-3</t>
  </si>
  <si>
    <t>gs.amazon.cn/zhishi/article-260416-2</t>
  </si>
  <si>
    <t>gs.amazon.cn/zhishi/article-260415-6</t>
  </si>
  <si>
    <t>gs.amazon.cn/zhishi/article-260415-5</t>
  </si>
  <si>
    <t>gs.amazon.cn/zhishi/article-260415-4</t>
  </si>
  <si>
    <t>gs.amazon.cn/zhishi/article-260415-3</t>
  </si>
  <si>
    <t>gs.amazon.cn/zhishi/article-260415-2</t>
  </si>
  <si>
    <t>gs.amazon.cn/zhishi/article-260415-1</t>
  </si>
  <si>
    <t>gs.amazon.cn/zhishi/article-260416-1</t>
  </si>
  <si>
    <t>gs.amazon.cn/zhishi/article-260414-6</t>
  </si>
  <si>
    <t>gs.amazon.cn/zhishi/article-260414-5</t>
  </si>
  <si>
    <t>gs.amazon.cn/zhishi/article-260414-4</t>
  </si>
  <si>
    <t>gs.amazon.cn/zhishi/article-260414-3</t>
  </si>
  <si>
    <t>gs.amazon.cn/zhishi/article-260407-2</t>
  </si>
  <si>
    <t>gs.amazon.cn/zhishi/article-260407-3</t>
  </si>
  <si>
    <t>gs.amazon.cn/zhishi/article-260407-4</t>
  </si>
  <si>
    <t>gs.amazon.cn/zhishi/article-260407-5</t>
  </si>
  <si>
    <t>gs.amazon.cn/zhishi/article-260407-6</t>
  </si>
  <si>
    <t>gs.amazon.cn/zhishi/article-260408-1</t>
  </si>
  <si>
    <t>gs.amazon.cn/zhishi/article-260408-2</t>
  </si>
  <si>
    <t>gs.amazon.cn/zhishi/article-260408-3</t>
  </si>
  <si>
    <t>gs.amazon.cn/zhishi/article-260408-4</t>
  </si>
  <si>
    <t>gs.amazon.cn/zhishi/article-260408-5</t>
  </si>
  <si>
    <t>gs.amazon.cn/zhishi/article-260408-6</t>
  </si>
  <si>
    <t>gs.amazon.cn/zhishi/article-260409-1</t>
  </si>
  <si>
    <t>gs.amazon.cn/zhishi/article-260409-2</t>
  </si>
  <si>
    <t>gs.amazon.cn/zhishi/article-260409-3</t>
  </si>
  <si>
    <t>gs.amazon.cn/zhishi/article-260409-4</t>
  </si>
  <si>
    <t>gs.amazon.cn/zhishi/article-260409-5</t>
  </si>
  <si>
    <t>gs.amazon.cn/zhishi/article-260409-6</t>
  </si>
  <si>
    <t>gs.amazon.cn/zhishi/article-260410-1</t>
  </si>
  <si>
    <t>gs.amazon.cn/zhishi/article-260410-2</t>
  </si>
  <si>
    <t>gs.amazon.cn/zhishi/article-260410-3</t>
  </si>
  <si>
    <t>gs.amazon.cn/zhishi/article-260410-4</t>
  </si>
  <si>
    <t>gs.amazon.cn/zhishi/article-260410-5</t>
  </si>
  <si>
    <t>gs.amazon.cn/zhishi/article-260410-6</t>
  </si>
  <si>
    <t>gs.amazon.cn/zhishi/article-260411-1</t>
  </si>
  <si>
    <t>gs.amazon.cn/zhishi/article-260411-2</t>
  </si>
  <si>
    <t>gs.amazon.cn/zhishi/article-260411-3</t>
  </si>
  <si>
    <t>gs.amazon.cn/zhishi/article-260411-4</t>
  </si>
  <si>
    <t>gs.amazon.cn/zhishi/article-260411-5</t>
  </si>
  <si>
    <t>gs.amazon.cn/zhishi/article-260411-6</t>
  </si>
  <si>
    <t>gs.amazon.cn/zhishi/article-260412-1</t>
  </si>
  <si>
    <t>gs.amazon.cn/zhishi/article-260412-2</t>
  </si>
  <si>
    <t>gs.amazon.cn/zhishi/article-260412-3</t>
  </si>
  <si>
    <t>gs.amazon.cn/zhishi/article-260412-4</t>
  </si>
  <si>
    <t>gs.amazon.cn/zhishi/article-260412-5</t>
  </si>
  <si>
    <t>gs.amazon.cn/zhishi/article-260412-6</t>
  </si>
  <si>
    <t>gs.amazon.cn/zhishi/article-260413-1</t>
  </si>
  <si>
    <r>
      <rPr>
        <sz val="12"/>
        <rFont val="宋体"/>
        <family val="3"/>
        <charset val="134"/>
      </rPr>
      <t>gs.amazon.cn/zhishi/article-260603-1</t>
    </r>
  </si>
  <si>
    <r>
      <rPr>
        <sz val="12"/>
        <rFont val="宋体"/>
        <family val="3"/>
        <charset val="134"/>
      </rPr>
      <t>gs.amazon.cn/zhishi/article-260603-2</t>
    </r>
  </si>
  <si>
    <r>
      <rPr>
        <sz val="12"/>
        <rFont val="宋体"/>
        <family val="3"/>
        <charset val="134"/>
      </rPr>
      <t>gs.amazon.cn/zhishi/article-260603-3</t>
    </r>
  </si>
  <si>
    <r>
      <rPr>
        <sz val="12"/>
        <rFont val="宋体"/>
        <family val="3"/>
        <charset val="134"/>
      </rPr>
      <t>gs.amazon.cn/zhishi/article-260603-4</t>
    </r>
  </si>
  <si>
    <r>
      <rPr>
        <sz val="12"/>
        <rFont val="宋体"/>
        <family val="3"/>
        <charset val="134"/>
      </rPr>
      <t>gs.amazon.cn/zhishi/article-260603-5</t>
    </r>
  </si>
  <si>
    <r>
      <rPr>
        <sz val="12"/>
        <rFont val="宋体"/>
        <family val="3"/>
        <charset val="134"/>
      </rPr>
      <t>gs.amazon.cn/zhishi/article-260603-6</t>
    </r>
  </si>
  <si>
    <r>
      <rPr>
        <sz val="12"/>
        <rFont val="宋体"/>
        <family val="3"/>
        <charset val="134"/>
      </rPr>
      <t>gs.amazon.cn/zhishi/article-260603-7</t>
    </r>
  </si>
  <si>
    <r>
      <rPr>
        <sz val="12"/>
        <rFont val="宋体"/>
        <family val="3"/>
        <charset val="134"/>
      </rPr>
      <t>gs.amazon.cn/zhishi/article-260603-8</t>
    </r>
  </si>
  <si>
    <r>
      <rPr>
        <sz val="12"/>
        <rFont val="宋体"/>
        <family val="3"/>
        <charset val="134"/>
      </rPr>
      <t>gs.amazon.cn/zhishi/article-260603-9</t>
    </r>
  </si>
  <si>
    <r>
      <rPr>
        <sz val="12"/>
        <rFont val="宋体"/>
        <family val="3"/>
        <charset val="134"/>
      </rPr>
      <t>gs.amazon.cn/zhishi/article-260604-3</t>
    </r>
  </si>
  <si>
    <r>
      <rPr>
        <sz val="12"/>
        <rFont val="宋体"/>
        <family val="3"/>
        <charset val="134"/>
      </rPr>
      <t>gs.amazon.cn/zhishi/article-260604-6</t>
    </r>
  </si>
  <si>
    <r>
      <rPr>
        <sz val="12"/>
        <rFont val="宋体"/>
        <family val="3"/>
        <charset val="134"/>
      </rPr>
      <t>gs.amazon.cn/zhishi/article-260604-7</t>
    </r>
  </si>
  <si>
    <r>
      <rPr>
        <sz val="12"/>
        <rFont val="宋体"/>
        <family val="3"/>
        <charset val="134"/>
      </rPr>
      <t>gs.amazon.cn/zhishi/article-260604-8</t>
    </r>
  </si>
  <si>
    <r>
      <rPr>
        <sz val="12"/>
        <rFont val="宋体"/>
        <family val="3"/>
        <charset val="134"/>
      </rPr>
      <t>gs.amazon.cn/zhishi/article-260604-10</t>
    </r>
  </si>
  <si>
    <r>
      <rPr>
        <sz val="12"/>
        <rFont val="宋体"/>
        <family val="3"/>
        <charset val="134"/>
      </rPr>
      <t>gs.amazon.cn/zhishi/article-260605-1</t>
    </r>
  </si>
  <si>
    <r>
      <rPr>
        <sz val="12"/>
        <rFont val="宋体"/>
        <family val="3"/>
        <charset val="134"/>
      </rPr>
      <t>gs.amazon.cn/zhishi/article-260605-2</t>
    </r>
  </si>
  <si>
    <r>
      <rPr>
        <sz val="12"/>
        <rFont val="宋体"/>
        <family val="3"/>
        <charset val="134"/>
      </rPr>
      <t>gs.amazon.cn/zhishi/article-260605-3</t>
    </r>
  </si>
  <si>
    <r>
      <rPr>
        <sz val="12"/>
        <rFont val="宋体"/>
        <family val="3"/>
        <charset val="134"/>
      </rPr>
      <t>gs.amazon.cn/zhishi/article-260605-5</t>
    </r>
  </si>
  <si>
    <r>
      <rPr>
        <sz val="12"/>
        <rFont val="宋体"/>
        <family val="3"/>
        <charset val="134"/>
      </rPr>
      <t>gs.amazon.cn/zhishi/article-260605-6</t>
    </r>
  </si>
  <si>
    <r>
      <rPr>
        <sz val="12"/>
        <rFont val="宋体"/>
        <family val="3"/>
        <charset val="134"/>
      </rPr>
      <t>gs.amazon.cn/zhishi/article-260605-7</t>
    </r>
  </si>
  <si>
    <r>
      <rPr>
        <sz val="12"/>
        <rFont val="宋体"/>
        <family val="3"/>
        <charset val="134"/>
      </rPr>
      <t>gs.amazon.cn/zhishi/article-260605-8</t>
    </r>
  </si>
  <si>
    <r>
      <rPr>
        <sz val="12"/>
        <rFont val="宋体"/>
        <family val="3"/>
        <charset val="134"/>
      </rPr>
      <t>gs.amazon.cn/zhishi/article-260605-9</t>
    </r>
  </si>
  <si>
    <r>
      <rPr>
        <sz val="12"/>
        <rFont val="宋体"/>
        <family val="3"/>
        <charset val="134"/>
      </rPr>
      <t>gs.amazon.cn/zhishi/article-260605-10</t>
    </r>
  </si>
  <si>
    <r>
      <rPr>
        <sz val="12"/>
        <rFont val="宋体"/>
        <family val="3"/>
        <charset val="134"/>
      </rPr>
      <t>gs.amazon.cn/zhishi/article-260606-1</t>
    </r>
  </si>
  <si>
    <r>
      <rPr>
        <sz val="12"/>
        <rFont val="宋体"/>
        <family val="3"/>
        <charset val="134"/>
      </rPr>
      <t>gs.amazon.cn/zhishi/article-260606-3</t>
    </r>
  </si>
  <si>
    <r>
      <rPr>
        <sz val="12"/>
        <rFont val="宋体"/>
        <family val="3"/>
        <charset val="134"/>
      </rPr>
      <t>gs.amazon.cn/zhishi/article-260606-4</t>
    </r>
  </si>
  <si>
    <r>
      <rPr>
        <sz val="12"/>
        <rFont val="宋体"/>
        <family val="3"/>
        <charset val="134"/>
      </rPr>
      <t>gs.amazon.cn/zhishi/article-260606-5</t>
    </r>
  </si>
  <si>
    <r>
      <rPr>
        <sz val="12"/>
        <rFont val="宋体"/>
        <family val="3"/>
        <charset val="134"/>
      </rPr>
      <t>gs.amazon.cn/zhishi/article-260606-6</t>
    </r>
  </si>
  <si>
    <r>
      <rPr>
        <sz val="12"/>
        <rFont val="宋体"/>
        <family val="3"/>
        <charset val="134"/>
      </rPr>
      <t>gs.amazon.cn/zhishi/article-260606-7</t>
    </r>
  </si>
  <si>
    <r>
      <rPr>
        <sz val="12"/>
        <rFont val="宋体"/>
        <family val="3"/>
        <charset val="134"/>
      </rPr>
      <t>gs.amazon.cn/zhishi/article-260606-8</t>
    </r>
  </si>
  <si>
    <r>
      <rPr>
        <sz val="12"/>
        <rFont val="宋体"/>
        <family val="3"/>
        <charset val="134"/>
      </rPr>
      <t>gs.amazon.cn/zhishi/article-260606-9</t>
    </r>
  </si>
  <si>
    <r>
      <rPr>
        <sz val="12"/>
        <rFont val="宋体"/>
        <family val="3"/>
        <charset val="134"/>
      </rPr>
      <t>gs.amazon.cn/zhishi/article-260606-10</t>
    </r>
  </si>
  <si>
    <r>
      <rPr>
        <sz val="12"/>
        <rFont val="宋体"/>
        <family val="3"/>
        <charset val="134"/>
      </rPr>
      <t>gs.amazon.cn/zhishi/article-260607-1</t>
    </r>
  </si>
  <si>
    <r>
      <rPr>
        <sz val="12"/>
        <rFont val="宋体"/>
        <family val="3"/>
        <charset val="134"/>
      </rPr>
      <t>gs.amazon.cn/zhishi/article-260607-2</t>
    </r>
  </si>
  <si>
    <r>
      <rPr>
        <sz val="12"/>
        <rFont val="宋体"/>
        <family val="3"/>
        <charset val="134"/>
      </rPr>
      <t>gs.amazon.cn/zhishi/article-260607-3</t>
    </r>
  </si>
  <si>
    <r>
      <rPr>
        <sz val="12"/>
        <rFont val="宋体"/>
        <family val="3"/>
        <charset val="134"/>
      </rPr>
      <t>gs.amazon.cn/zhishi/article-260607-4</t>
    </r>
  </si>
  <si>
    <r>
      <rPr>
        <sz val="12"/>
        <rFont val="宋体"/>
        <family val="3"/>
        <charset val="134"/>
      </rPr>
      <t>gs.amazon.cn/zhishi/article-260607-5</t>
    </r>
  </si>
  <si>
    <r>
      <rPr>
        <sz val="12"/>
        <rFont val="宋体"/>
        <family val="3"/>
        <charset val="134"/>
      </rPr>
      <t>gs.amazon.cn/zhishi/article-260607-6</t>
    </r>
  </si>
  <si>
    <r>
      <rPr>
        <sz val="12"/>
        <rFont val="宋体"/>
        <family val="3"/>
        <charset val="134"/>
      </rPr>
      <t>gs.amazon.cn/zhishi/article-260607-7</t>
    </r>
  </si>
  <si>
    <r>
      <rPr>
        <sz val="12"/>
        <rFont val="宋体"/>
        <family val="3"/>
        <charset val="134"/>
      </rPr>
      <t>gs.amazon.cn/zhishi/article-260607-8</t>
    </r>
  </si>
  <si>
    <r>
      <rPr>
        <sz val="12"/>
        <rFont val="宋体"/>
        <family val="3"/>
        <charset val="134"/>
      </rPr>
      <t>gs.amazon.cn/zhishi/article-260607-9</t>
    </r>
  </si>
  <si>
    <r>
      <rPr>
        <sz val="12"/>
        <rFont val="宋体"/>
        <family val="3"/>
        <charset val="134"/>
      </rPr>
      <t>gs.amazon.cn/zhishi/article-260607-10</t>
    </r>
  </si>
  <si>
    <r>
      <rPr>
        <sz val="12"/>
        <rFont val="宋体"/>
        <family val="3"/>
        <charset val="134"/>
      </rPr>
      <t>gs.amazon.cn/zhishi/article-260608-1</t>
    </r>
  </si>
  <si>
    <r>
      <rPr>
        <sz val="12"/>
        <rFont val="宋体"/>
        <family val="3"/>
        <charset val="134"/>
      </rPr>
      <t>gs.amazon.cn/zhishi/article-260608-2</t>
    </r>
  </si>
  <si>
    <r>
      <rPr>
        <sz val="12"/>
        <rFont val="宋体"/>
        <family val="3"/>
        <charset val="134"/>
      </rPr>
      <t>gs.amazon.cn/zhishi/article-260608-3</t>
    </r>
  </si>
  <si>
    <r>
      <rPr>
        <sz val="12"/>
        <rFont val="宋体"/>
        <family val="3"/>
        <charset val="134"/>
      </rPr>
      <t>gs.amazon.cn/zhishi/article-260608-4</t>
    </r>
  </si>
  <si>
    <r>
      <rPr>
        <sz val="12"/>
        <rFont val="宋体"/>
        <family val="3"/>
        <charset val="134"/>
      </rPr>
      <t>gs.amazon.cn/zhishi/article-260608-5</t>
    </r>
  </si>
  <si>
    <r>
      <rPr>
        <sz val="12"/>
        <rFont val="宋体"/>
        <family val="3"/>
        <charset val="134"/>
      </rPr>
      <t>gs.amazon.cn/zhishi/article-260608-6</t>
    </r>
  </si>
  <si>
    <r>
      <rPr>
        <u/>
        <sz val="12"/>
        <color rgb="FF175CEB"/>
        <rFont val="宋体"/>
        <family val="3"/>
        <charset val="134"/>
      </rPr>
      <t>gs.amazon.cn/zhishi/article-260608-7</t>
    </r>
  </si>
  <si>
    <r>
      <rPr>
        <u/>
        <sz val="12"/>
        <color rgb="FF175CEB"/>
        <rFont val="宋体"/>
        <family val="3"/>
        <charset val="134"/>
      </rPr>
      <t>gs.amazon.cn/zhishi/article-260608-8</t>
    </r>
  </si>
  <si>
    <r>
      <rPr>
        <u/>
        <sz val="12"/>
        <color rgb="FF175CEB"/>
        <rFont val="宋体"/>
        <family val="3"/>
        <charset val="134"/>
      </rPr>
      <t>gs.amazon.cn/zhishi/article-260608-8--9</t>
    </r>
  </si>
  <si>
    <r>
      <rPr>
        <u/>
        <sz val="12"/>
        <color rgb="FF175CEB"/>
        <rFont val="宋体"/>
        <family val="3"/>
        <charset val="134"/>
      </rPr>
      <t>gs.amazon.cn/zhishi/article-260608-9</t>
    </r>
  </si>
  <si>
    <r>
      <rPr>
        <u/>
        <sz val="12"/>
        <color rgb="FF175CEB"/>
        <rFont val="宋体"/>
        <family val="3"/>
        <charset val="134"/>
      </rPr>
      <t>gs.amazon.cn/zhishi/article-260608-10</t>
    </r>
  </si>
  <si>
    <r>
      <rPr>
        <u/>
        <sz val="12"/>
        <color rgb="FF175CEB"/>
        <rFont val="宋体"/>
        <family val="3"/>
        <charset val="134"/>
      </rPr>
      <t>gs.amazon.cn/zhishi/article-260609-1</t>
    </r>
  </si>
  <si>
    <r>
      <rPr>
        <u/>
        <sz val="12"/>
        <color rgb="FF175CEB"/>
        <rFont val="宋体"/>
        <family val="3"/>
        <charset val="134"/>
      </rPr>
      <t>gs.amazon.cn/zhishi/article-260609-2</t>
    </r>
  </si>
  <si>
    <r>
      <rPr>
        <u/>
        <sz val="12"/>
        <color rgb="FF175CEB"/>
        <rFont val="宋体"/>
        <family val="3"/>
        <charset val="134"/>
      </rPr>
      <t>gs.amazon.cn/zhishi/article-260609-3</t>
    </r>
  </si>
  <si>
    <r>
      <rPr>
        <u/>
        <sz val="12"/>
        <color rgb="FF175CEB"/>
        <rFont val="宋体"/>
        <family val="3"/>
        <charset val="134"/>
      </rPr>
      <t>gs.amazon.cn/zhishi/article-260609-4</t>
    </r>
  </si>
  <si>
    <r>
      <rPr>
        <u/>
        <sz val="12"/>
        <color rgb="FF175CEB"/>
        <rFont val="宋体"/>
        <family val="3"/>
        <charset val="134"/>
      </rPr>
      <t>gs.amazon.cn/zhishi/article-260609-5</t>
    </r>
  </si>
  <si>
    <r>
      <rPr>
        <u/>
        <sz val="12"/>
        <color rgb="FF175CEB"/>
        <rFont val="宋体"/>
        <family val="3"/>
        <charset val="134"/>
      </rPr>
      <t>gs.amazon.cn/zhishi/article-260609-6</t>
    </r>
  </si>
  <si>
    <r>
      <rPr>
        <u/>
        <sz val="12"/>
        <color rgb="FF175CEB"/>
        <rFont val="宋体"/>
        <family val="3"/>
        <charset val="134"/>
      </rPr>
      <t>gs.amazon.cn/zhishi/article-260609-8</t>
    </r>
  </si>
  <si>
    <r>
      <rPr>
        <u/>
        <sz val="12"/>
        <color rgb="FF175CEB"/>
        <rFont val="宋体"/>
        <family val="3"/>
        <charset val="134"/>
      </rPr>
      <t>gs.amazon.cn/zhishi/article-260609-9</t>
    </r>
  </si>
  <si>
    <r>
      <rPr>
        <u/>
        <sz val="12"/>
        <color rgb="FF175CEB"/>
        <rFont val="宋体"/>
        <family val="3"/>
        <charset val="134"/>
      </rPr>
      <t>gs.amazon.cn/zhishi/article-260609-10</t>
    </r>
  </si>
  <si>
    <r>
      <rPr>
        <u/>
        <sz val="12"/>
        <color rgb="FF175CEB"/>
        <rFont val="宋体"/>
        <family val="3"/>
        <charset val="134"/>
      </rPr>
      <t>gs.amazon.cn/zhishi/article-260610-1</t>
    </r>
  </si>
  <si>
    <r>
      <rPr>
        <u/>
        <sz val="12"/>
        <color rgb="FF175CEB"/>
        <rFont val="宋体"/>
        <family val="3"/>
        <charset val="134"/>
      </rPr>
      <t>gs.amazon.cn/zhishi/article-260610-2</t>
    </r>
  </si>
  <si>
    <r>
      <rPr>
        <u/>
        <sz val="12"/>
        <color rgb="FF175CEB"/>
        <rFont val="宋体"/>
        <family val="3"/>
        <charset val="134"/>
      </rPr>
      <t>gs.amazon.cn/zhishi/article-260610-3</t>
    </r>
  </si>
  <si>
    <r>
      <rPr>
        <u/>
        <sz val="12"/>
        <color rgb="FF175CEB"/>
        <rFont val="宋体"/>
        <family val="3"/>
        <charset val="134"/>
      </rPr>
      <t>gs.amazon.cn/zhishi/article-260610-4</t>
    </r>
  </si>
  <si>
    <r>
      <rPr>
        <u/>
        <sz val="12"/>
        <color rgb="FF175CEB"/>
        <rFont val="宋体"/>
        <family val="3"/>
        <charset val="134"/>
      </rPr>
      <t>gs.amazon.cn/zhishi/article-260610-5</t>
    </r>
  </si>
  <si>
    <r>
      <rPr>
        <u/>
        <sz val="12"/>
        <color rgb="FF175CEB"/>
        <rFont val="宋体"/>
        <family val="3"/>
        <charset val="134"/>
      </rPr>
      <t>gs.amazon.cn/zhishi/article-260610-6</t>
    </r>
  </si>
  <si>
    <r>
      <rPr>
        <u/>
        <sz val="12"/>
        <color rgb="FF175CEB"/>
        <rFont val="宋体"/>
        <family val="3"/>
        <charset val="134"/>
      </rPr>
      <t>gs.amazon.cn/zhishi/article-260610-7</t>
    </r>
  </si>
  <si>
    <r>
      <rPr>
        <u/>
        <sz val="12"/>
        <color rgb="FF175CEB"/>
        <rFont val="宋体"/>
        <family val="3"/>
        <charset val="134"/>
      </rPr>
      <t>gs.amazon.cn/zhishi/article-260610-8</t>
    </r>
  </si>
  <si>
    <r>
      <rPr>
        <u/>
        <sz val="12"/>
        <color rgb="FF175CEB"/>
        <rFont val="宋体"/>
        <family val="3"/>
        <charset val="134"/>
      </rPr>
      <t>gs.amazon.cn/zhishi/article-260610-9</t>
    </r>
  </si>
  <si>
    <r>
      <rPr>
        <u/>
        <sz val="12"/>
        <color rgb="FF175CEB"/>
        <rFont val="宋体"/>
        <family val="3"/>
        <charset val="134"/>
      </rPr>
      <t>gs.amazon.cn/zhishi/article-260610-10</t>
    </r>
  </si>
  <si>
    <r>
      <rPr>
        <u/>
        <sz val="12"/>
        <color rgb="FF175CEB"/>
        <rFont val="宋体"/>
        <family val="3"/>
        <charset val="134"/>
      </rPr>
      <t>gs.amazon.cn/zhishi/article-260611-1</t>
    </r>
  </si>
  <si>
    <r>
      <rPr>
        <u/>
        <sz val="12"/>
        <color rgb="FF175CEB"/>
        <rFont val="宋体"/>
        <family val="3"/>
        <charset val="134"/>
      </rPr>
      <t>gs.amazon.cn/zhishi/article-260611-2</t>
    </r>
  </si>
  <si>
    <r>
      <rPr>
        <u/>
        <sz val="12"/>
        <color rgb="FF175CEB"/>
        <rFont val="宋体"/>
        <family val="3"/>
        <charset val="134"/>
      </rPr>
      <t>gs.amazon.cn/zhishi/article-260611-3</t>
    </r>
  </si>
  <si>
    <r>
      <rPr>
        <u/>
        <sz val="12"/>
        <color rgb="FF175CEB"/>
        <rFont val="宋体"/>
        <family val="3"/>
        <charset val="134"/>
      </rPr>
      <t>gs.amazon.cn/zhishi/article-260611-4</t>
    </r>
  </si>
  <si>
    <r>
      <rPr>
        <u/>
        <sz val="12"/>
        <color rgb="FF175CEB"/>
        <rFont val="宋体"/>
        <family val="3"/>
        <charset val="134"/>
      </rPr>
      <t>gs.amazon.cn/zhishi/article-260611-5</t>
    </r>
  </si>
  <si>
    <r>
      <rPr>
        <u/>
        <sz val="12"/>
        <color rgb="FF175CEB"/>
        <rFont val="宋体"/>
        <family val="3"/>
        <charset val="134"/>
      </rPr>
      <t>gs.amazon.cn/zhishi/article-260611-6</t>
    </r>
  </si>
  <si>
    <r>
      <rPr>
        <u/>
        <sz val="12"/>
        <color rgb="FF175CEB"/>
        <rFont val="宋体"/>
        <family val="3"/>
        <charset val="134"/>
      </rPr>
      <t>gs.amazon.cn/zhishi/article-260611-7</t>
    </r>
  </si>
  <si>
    <r>
      <rPr>
        <u/>
        <sz val="12"/>
        <color rgb="FF175CEB"/>
        <rFont val="宋体"/>
        <family val="3"/>
        <charset val="134"/>
      </rPr>
      <t>gs.amazon.cn/zhishi/article-260611-8</t>
    </r>
  </si>
  <si>
    <r>
      <rPr>
        <u/>
        <sz val="12"/>
        <color rgb="FF175CEB"/>
        <rFont val="宋体"/>
        <family val="3"/>
        <charset val="134"/>
      </rPr>
      <t>gs.amazon.cn/zhishi/article-260611-9</t>
    </r>
  </si>
  <si>
    <r>
      <rPr>
        <u/>
        <sz val="12"/>
        <color rgb="FF175CEB"/>
        <rFont val="宋体"/>
        <family val="3"/>
        <charset val="134"/>
      </rPr>
      <t>gs.amazon.cn/zhishi/article-260611-10</t>
    </r>
  </si>
  <si>
    <r>
      <rPr>
        <u/>
        <sz val="12"/>
        <color rgb="FF175CEB"/>
        <rFont val="宋体"/>
        <family val="3"/>
        <charset val="134"/>
      </rPr>
      <t>gs.amazon.cn/zhishi/article-260612-1</t>
    </r>
  </si>
  <si>
    <r>
      <rPr>
        <u/>
        <sz val="12"/>
        <color rgb="FF175CEB"/>
        <rFont val="宋体"/>
        <family val="3"/>
        <charset val="134"/>
      </rPr>
      <t>gs.amazon.cn/zhishi/article-260612-2</t>
    </r>
  </si>
  <si>
    <r>
      <rPr>
        <u/>
        <sz val="12"/>
        <color rgb="FF175CEB"/>
        <rFont val="宋体"/>
        <family val="3"/>
        <charset val="134"/>
      </rPr>
      <t>gs.amazon.cn/zhishi/article-260612-3</t>
    </r>
  </si>
  <si>
    <r>
      <rPr>
        <u/>
        <sz val="12"/>
        <color rgb="FF175CEB"/>
        <rFont val="宋体"/>
        <family val="3"/>
        <charset val="134"/>
      </rPr>
      <t>gs.amazon.cn/zhishi/article-260612-4</t>
    </r>
  </si>
  <si>
    <r>
      <rPr>
        <u/>
        <sz val="12"/>
        <color rgb="FF175CEB"/>
        <rFont val="宋体"/>
        <family val="3"/>
        <charset val="134"/>
      </rPr>
      <t>gs.amazon.cn/zhishi/article-260612-5</t>
    </r>
  </si>
  <si>
    <r>
      <rPr>
        <u/>
        <sz val="12"/>
        <color rgb="FF175CEB"/>
        <rFont val="宋体"/>
        <family val="3"/>
        <charset val="134"/>
      </rPr>
      <t>gs.amazon.cn/zhishi/article-260612-6</t>
    </r>
  </si>
  <si>
    <r>
      <rPr>
        <u/>
        <sz val="12"/>
        <color rgb="FF175CEB"/>
        <rFont val="宋体"/>
        <family val="3"/>
        <charset val="134"/>
      </rPr>
      <t>gs.amazon.cn/zhishi/article-260612-7</t>
    </r>
  </si>
  <si>
    <r>
      <rPr>
        <u/>
        <sz val="12"/>
        <color rgb="FF175CEB"/>
        <rFont val="宋体"/>
        <family val="3"/>
        <charset val="134"/>
      </rPr>
      <t>gs.amazon.cn/zhishi/article-260612-8</t>
    </r>
  </si>
  <si>
    <r>
      <rPr>
        <u/>
        <sz val="12"/>
        <color rgb="FF175CEB"/>
        <rFont val="宋体"/>
        <family val="3"/>
        <charset val="134"/>
      </rPr>
      <t>gs.amazon.cn/zhishi/article-260612-9</t>
    </r>
  </si>
  <si>
    <r>
      <rPr>
        <u/>
        <sz val="12"/>
        <color rgb="FF175CEB"/>
        <rFont val="宋体"/>
        <family val="3"/>
        <charset val="134"/>
      </rPr>
      <t>gs.amazon.cn/zhishi/article-260612-10</t>
    </r>
  </si>
  <si>
    <r>
      <rPr>
        <u/>
        <sz val="12"/>
        <color rgb="FF175CEB"/>
        <rFont val="宋体"/>
        <family val="3"/>
        <charset val="134"/>
      </rPr>
      <t>gs.amazon.cn/zhishi/article-260613-1</t>
    </r>
  </si>
  <si>
    <r>
      <rPr>
        <u/>
        <sz val="12"/>
        <color rgb="FF175CEB"/>
        <rFont val="宋体"/>
        <family val="3"/>
        <charset val="134"/>
      </rPr>
      <t>gs.amazon.cn/zhishi/article-260613-2</t>
    </r>
  </si>
  <si>
    <r>
      <rPr>
        <u/>
        <sz val="12"/>
        <color rgb="FF175CEB"/>
        <rFont val="宋体"/>
        <family val="3"/>
        <charset val="134"/>
      </rPr>
      <t>gs.amazon.cn/zhishi/article-260613-3</t>
    </r>
  </si>
  <si>
    <r>
      <rPr>
        <u/>
        <sz val="12"/>
        <color rgb="FF175CEB"/>
        <rFont val="宋体"/>
        <family val="3"/>
        <charset val="134"/>
      </rPr>
      <t>gs.amazon.cn/zhishi/article-260613-5</t>
    </r>
  </si>
  <si>
    <r>
      <rPr>
        <u/>
        <sz val="12"/>
        <color rgb="FF175CEB"/>
        <rFont val="宋体"/>
        <family val="3"/>
        <charset val="134"/>
      </rPr>
      <t>gs.amazon.cn/zhishi/article-260613-7</t>
    </r>
  </si>
  <si>
    <r>
      <rPr>
        <u/>
        <sz val="12"/>
        <color rgb="FF175CEB"/>
        <rFont val="宋体"/>
        <family val="3"/>
        <charset val="134"/>
      </rPr>
      <t>gs.amazon.cn/zhishi/article-260613-8</t>
    </r>
  </si>
  <si>
    <r>
      <rPr>
        <u/>
        <sz val="12"/>
        <color rgb="FF175CEB"/>
        <rFont val="宋体"/>
        <family val="3"/>
        <charset val="134"/>
      </rPr>
      <t>gs.amazon.cn/zhishi/article-260613-9</t>
    </r>
  </si>
  <si>
    <r>
      <rPr>
        <u/>
        <sz val="12"/>
        <color rgb="FF175CEB"/>
        <rFont val="宋体"/>
        <family val="3"/>
        <charset val="134"/>
      </rPr>
      <t>gs.amazon.cn/zhishi/article-260614-1</t>
    </r>
  </si>
  <si>
    <r>
      <rPr>
        <u/>
        <sz val="12"/>
        <color rgb="FF175CEB"/>
        <rFont val="宋体"/>
        <family val="3"/>
        <charset val="134"/>
      </rPr>
      <t>gs.amazon.cn/zhishi/article-260614-2</t>
    </r>
  </si>
  <si>
    <r>
      <rPr>
        <u/>
        <sz val="12"/>
        <color rgb="FF175CEB"/>
        <rFont val="宋体"/>
        <family val="3"/>
        <charset val="134"/>
      </rPr>
      <t>gs.amazon.cn/zhishi/article-260614-3</t>
    </r>
  </si>
  <si>
    <r>
      <rPr>
        <u/>
        <sz val="12"/>
        <color rgb="FF175CEB"/>
        <rFont val="宋体"/>
        <family val="3"/>
        <charset val="134"/>
      </rPr>
      <t>gs.amazon.cn/zhishi/article-260614-4</t>
    </r>
  </si>
  <si>
    <r>
      <rPr>
        <u/>
        <sz val="12"/>
        <color rgb="FF175CEB"/>
        <rFont val="宋体"/>
        <family val="3"/>
        <charset val="134"/>
      </rPr>
      <t>gs.amazon.cn/zhishi/article-260614-5</t>
    </r>
  </si>
  <si>
    <r>
      <rPr>
        <u/>
        <sz val="12"/>
        <color rgb="FF175CEB"/>
        <rFont val="宋体"/>
        <family val="3"/>
        <charset val="134"/>
      </rPr>
      <t>gs.amazon.cn/zhishi/article-260614-7</t>
    </r>
  </si>
  <si>
    <r>
      <rPr>
        <u/>
        <sz val="12"/>
        <color rgb="FF175CEB"/>
        <rFont val="宋体"/>
        <family val="3"/>
        <charset val="134"/>
      </rPr>
      <t>gs.amazon.cn/zhishi/article-260614-8</t>
    </r>
  </si>
  <si>
    <r>
      <rPr>
        <u/>
        <sz val="12"/>
        <color rgb="FF175CEB"/>
        <rFont val="宋体"/>
        <family val="3"/>
        <charset val="134"/>
      </rPr>
      <t>gs.amazon.cn/zhishi/article-260614-9</t>
    </r>
  </si>
  <si>
    <r>
      <rPr>
        <u/>
        <sz val="12"/>
        <color rgb="FF175CEB"/>
        <rFont val="宋体"/>
        <family val="3"/>
        <charset val="134"/>
      </rPr>
      <t>gs.amazon.cn/zhishi/article-260614-10</t>
    </r>
  </si>
  <si>
    <r>
      <rPr>
        <u/>
        <sz val="12"/>
        <color rgb="FF175CEB"/>
        <rFont val="宋体"/>
        <family val="3"/>
        <charset val="134"/>
      </rPr>
      <t>gs.amazon.cn/zhishi/article-260615-1</t>
    </r>
  </si>
  <si>
    <r>
      <rPr>
        <u/>
        <sz val="12"/>
        <color rgb="FF175CEB"/>
        <rFont val="宋体"/>
        <family val="3"/>
        <charset val="134"/>
      </rPr>
      <t>gs.amazon.cn/zhishi/article-260615-2</t>
    </r>
  </si>
  <si>
    <r>
      <rPr>
        <u/>
        <sz val="12"/>
        <color rgb="FF175CEB"/>
        <rFont val="宋体"/>
        <family val="3"/>
        <charset val="134"/>
      </rPr>
      <t>gs.amazon.cn/zhishi/article-260615-3</t>
    </r>
  </si>
  <si>
    <r>
      <rPr>
        <u/>
        <sz val="12"/>
        <color rgb="FF175CEB"/>
        <rFont val="宋体"/>
        <family val="3"/>
        <charset val="134"/>
      </rPr>
      <t>gs.amazon.cn/zhishi/article-260615-4</t>
    </r>
  </si>
  <si>
    <r>
      <rPr>
        <u/>
        <sz val="12"/>
        <color rgb="FF175CEB"/>
        <rFont val="宋体"/>
        <family val="3"/>
        <charset val="134"/>
      </rPr>
      <t>gs.amazon.cn/zhishi/article-260615-5</t>
    </r>
  </si>
  <si>
    <r>
      <rPr>
        <u/>
        <sz val="12"/>
        <color rgb="FF175CEB"/>
        <rFont val="宋体"/>
        <family val="3"/>
        <charset val="134"/>
      </rPr>
      <t>gs.amazon.cn/zhishi/article-260615-7</t>
    </r>
  </si>
  <si>
    <r>
      <rPr>
        <u/>
        <sz val="12"/>
        <color rgb="FF175CEB"/>
        <rFont val="宋体"/>
        <family val="3"/>
        <charset val="134"/>
      </rPr>
      <t>gs.amazon.cn/zhishi/article-260615-8</t>
    </r>
  </si>
  <si>
    <r>
      <rPr>
        <u/>
        <sz val="12"/>
        <color rgb="FF175CEB"/>
        <rFont val="宋体"/>
        <family val="3"/>
        <charset val="134"/>
      </rPr>
      <t>gs.amazon.cn/zhishi/article-260615-9</t>
    </r>
  </si>
  <si>
    <r>
      <rPr>
        <u/>
        <sz val="12"/>
        <color rgb="FF175CEB"/>
        <rFont val="宋体"/>
        <family val="3"/>
        <charset val="134"/>
      </rPr>
      <t>gs.amazon.cn/zhishi/article-260603-10</t>
    </r>
  </si>
  <si>
    <r>
      <rPr>
        <u/>
        <sz val="12"/>
        <color rgb="FF175CEB"/>
        <rFont val="宋体"/>
        <family val="3"/>
        <charset val="134"/>
      </rPr>
      <t>gs.amazon.cn/zhishi/article-260604-1</t>
    </r>
  </si>
  <si>
    <r>
      <rPr>
        <u/>
        <sz val="12"/>
        <color rgb="FF175CEB"/>
        <rFont val="宋体"/>
        <family val="3"/>
        <charset val="134"/>
      </rPr>
      <t>gs.amazon.cn/zhishi/article-260604-4</t>
    </r>
  </si>
  <si>
    <r>
      <rPr>
        <u/>
        <sz val="12"/>
        <color rgb="FF175CEB"/>
        <rFont val="宋体"/>
        <family val="3"/>
        <charset val="134"/>
      </rPr>
      <t>gs.amazon.cn/zhishi/article-260604-5</t>
    </r>
  </si>
  <si>
    <r>
      <rPr>
        <u/>
        <sz val="12"/>
        <color rgb="FF175CEB"/>
        <rFont val="宋体"/>
        <family val="3"/>
        <charset val="134"/>
      </rPr>
      <t>gs.amazon.cn/zhishi/article-260604-9</t>
    </r>
  </si>
  <si>
    <r>
      <rPr>
        <u/>
        <sz val="12"/>
        <color rgb="FF175CEB"/>
        <rFont val="宋体"/>
        <family val="3"/>
        <charset val="134"/>
      </rPr>
      <t>gs.amazon.cn/zhishi/article-260605-4</t>
    </r>
  </si>
  <si>
    <r>
      <rPr>
        <u/>
        <sz val="12"/>
        <color rgb="FF175CEB"/>
        <rFont val="宋体"/>
        <family val="3"/>
        <charset val="134"/>
      </rPr>
      <t>gs.amazon.cn/zhishi/article-260606-2</t>
    </r>
  </si>
  <si>
    <r>
      <rPr>
        <u/>
        <sz val="12"/>
        <color rgb="FF175CEB"/>
        <rFont val="宋体"/>
        <family val="3"/>
        <charset val="134"/>
      </rPr>
      <t>gs.amazon.cn/zhishi/article-260609-7</t>
    </r>
  </si>
  <si>
    <r>
      <rPr>
        <u/>
        <sz val="12"/>
        <color rgb="FF175CEB"/>
        <rFont val="宋体"/>
        <family val="3"/>
        <charset val="134"/>
      </rPr>
      <t>gs.amazon.cn/zhishi/article-260613-4</t>
    </r>
  </si>
  <si>
    <r>
      <rPr>
        <u/>
        <sz val="12"/>
        <color rgb="FF175CEB"/>
        <rFont val="宋体"/>
        <family val="3"/>
        <charset val="134"/>
      </rPr>
      <t>gs.amazon.cn/zhishi/article-260613-6</t>
    </r>
  </si>
  <si>
    <r>
      <rPr>
        <u/>
        <sz val="12"/>
        <color rgb="FF175CEB"/>
        <rFont val="宋体"/>
        <family val="3"/>
        <charset val="134"/>
      </rPr>
      <t>gs.amazon.cn/zhishi/article-260613-10</t>
    </r>
  </si>
  <si>
    <r>
      <rPr>
        <u/>
        <sz val="12"/>
        <color rgb="FF175CEB"/>
        <rFont val="宋体"/>
        <family val="3"/>
        <charset val="134"/>
      </rPr>
      <t>gs.amazon.cn/zhishi/article-260614-6</t>
    </r>
  </si>
  <si>
    <r>
      <rPr>
        <u/>
        <sz val="12"/>
        <color rgb="FF175CEB"/>
        <rFont val="宋体"/>
        <family val="3"/>
        <charset val="134"/>
      </rPr>
      <t>gs.amazon.cn/zhishi/article-260615-6</t>
    </r>
  </si>
  <si>
    <r>
      <rPr>
        <u/>
        <sz val="12"/>
        <color rgb="FF175CEB"/>
        <rFont val="宋体"/>
        <family val="3"/>
        <charset val="134"/>
      </rPr>
      <t>gs.amazon.cn/zhishi/article-260615-10</t>
    </r>
  </si>
  <si>
    <r>
      <rPr>
        <b/>
        <sz val="9"/>
        <color rgb="FFFFFFFF"/>
        <rFont val="微软雅黑"/>
        <family val="2"/>
        <charset val="134"/>
      </rPr>
      <t>提示词</t>
    </r>
    <r>
      <rPr>
        <b/>
        <sz val="9"/>
        <color rgb="FFFFFFFF"/>
        <rFont val="Aptos"/>
        <family val="2"/>
      </rPr>
      <t xml:space="preserve"> - </t>
    </r>
    <r>
      <rPr>
        <b/>
        <sz val="9"/>
        <color rgb="FFFFFFFF"/>
        <rFont val="微软雅黑"/>
        <family val="2"/>
        <charset val="134"/>
      </rPr>
      <t>热度</t>
    </r>
    <r>
      <rPr>
        <b/>
        <sz val="9"/>
        <color rgb="FFFFFFFF"/>
        <rFont val="Aptos"/>
        <family val="2"/>
      </rPr>
      <t>TOP 50</t>
    </r>
  </si>
  <si>
    <r>
      <rPr>
        <sz val="9"/>
        <color rgb="FF000000"/>
        <rFont val="Aptos"/>
        <family val="2"/>
      </rPr>
      <t>amazon</t>
    </r>
    <r>
      <rPr>
        <sz val="9"/>
        <color rgb="FF000000"/>
        <rFont val="微软雅黑"/>
        <family val="2"/>
        <charset val="134"/>
      </rPr>
      <t>官方网站入口在哪里？</t>
    </r>
  </si>
  <si>
    <r>
      <rPr>
        <sz val="9"/>
        <color rgb="FF000000"/>
        <rFont val="微软雅黑"/>
        <family val="2"/>
        <charset val="134"/>
      </rPr>
      <t>注册亚马逊卖家账户需要满足哪些基本条件？（公司</t>
    </r>
    <r>
      <rPr>
        <sz val="9"/>
        <color rgb="FF000000"/>
        <rFont val="Aptos"/>
        <family val="2"/>
      </rPr>
      <t>/</t>
    </r>
    <r>
      <rPr>
        <sz val="9"/>
        <color rgb="FF000000"/>
        <rFont val="微软雅黑"/>
        <family val="2"/>
        <charset val="134"/>
      </rPr>
      <t>个人）</t>
    </r>
  </si>
  <si>
    <r>
      <rPr>
        <u/>
        <sz val="11"/>
        <color rgb="FF175CEB"/>
        <rFont val="Carlito"/>
      </rPr>
      <t>gs.amazon.cn/zhishi/article-260510-3</t>
    </r>
    <r>
      <rPr>
        <sz val="11"/>
        <color rgb="FF000000"/>
        <rFont val="Carlito"/>
      </rPr>
      <t xml:space="preserve">		</t>
    </r>
  </si>
  <si>
    <r>
      <rPr>
        <u/>
        <sz val="11"/>
        <color rgb="FF175CEB"/>
        <rFont val="Carlito"/>
      </rPr>
      <t>gs.amazon.cn/zhishi/article-260510-4</t>
    </r>
    <r>
      <rPr>
        <sz val="11"/>
        <color rgb="FF000000"/>
        <rFont val="Carlito"/>
      </rPr>
      <t xml:space="preserve">		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</si>
</sst>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76" formatCode="#,##0_ "/>
    <numFmt numFmtId="177" formatCode="0.00_);[Red]\(0.00\)"/>
    <numFmt numFmtId="178" formatCode="#,##0_);[Red]\(#,##0\)"/>
    <numFmt numFmtId="179" formatCode="_ * #,##0_ ;_ * \-#,##0_ ;_ * &quot;-&quot;??_ ;_ @_ "/>
    <numFmt numFmtId="180" formatCode="0.0%"/>
    <numFmt numFmtId="181" formatCode="0_);[Red]\(0\)"/>
    <numFmt numFmtId="182" formatCode="0_ "/>
  </numFmts>
  <fonts count="97">
    <font>
      <sz val="11"/>
      <color theme="1"/>
      <name val="宋体"/>
      <charset val="134"/>
      <scheme val="minor"/>
    </font>
    <font>
      <b/>
      <sz val="12"/>
      <color theme="0"/>
      <name val="微软雅黑"/>
      <charset val="134"/>
    </font>
    <font>
      <b/>
      <sz val="18"/>
      <color theme="0"/>
      <name val="微软雅黑"/>
      <charset val="134"/>
    </font>
    <font>
      <b/>
      <sz val="18"/>
      <color theme="0"/>
      <name val="微软雅黑"/>
      <family val="2"/>
      <charset val="134"/>
    </font>
    <font>
      <sz val="12"/>
      <color theme="0"/>
      <name val="微软雅黑"/>
      <charset val="134"/>
    </font>
    <font>
      <b/>
      <sz val="12"/>
      <color theme="1"/>
      <name val="微软雅黑"/>
      <charset val="134"/>
    </font>
    <font>
      <b/>
      <sz val="12"/>
      <color theme="1"/>
      <name val="微软雅黑"/>
      <family val="2"/>
      <charset val="134"/>
    </font>
    <font>
      <b/>
      <sz val="12"/>
      <name val="微软雅黑"/>
      <charset val="134"/>
    </font>
    <font>
      <sz val="12"/>
      <color theme="1"/>
      <name val="微软雅黑"/>
      <charset val="134"/>
    </font>
    <font>
      <sz val="12"/>
      <color theme="1"/>
      <name val="微软雅黑"/>
      <family val="2"/>
      <charset val="134"/>
    </font>
    <font>
      <sz val="12"/>
      <name val="微软雅黑"/>
      <charset val="134"/>
    </font>
    <font>
      <b/>
      <sz val="12"/>
      <name val="微软雅黑"/>
      <family val="2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8"/>
      <color rgb="FFFFFFFF"/>
      <name val="微软雅黑"/>
      <family val="2"/>
      <charset val="134"/>
    </font>
    <font>
      <b/>
      <sz val="11"/>
      <color theme="0"/>
      <name val="微软雅黑"/>
      <charset val="134"/>
    </font>
    <font>
      <sz val="11"/>
      <name val="微软雅黑"/>
      <charset val="134"/>
    </font>
    <font>
      <sz val="11"/>
      <color theme="0"/>
      <name val="微软雅黑"/>
      <charset val="134"/>
    </font>
    <font>
      <b/>
      <sz val="9"/>
      <color theme="0"/>
      <name val="微软雅黑"/>
      <charset val="134"/>
    </font>
    <font>
      <sz val="9"/>
      <color rgb="FF1A1C1F"/>
      <name val="微软雅黑"/>
      <charset val="134"/>
    </font>
    <font>
      <b/>
      <sz val="11"/>
      <color theme="1"/>
      <name val="Aptos"/>
      <family val="2"/>
    </font>
    <font>
      <sz val="8"/>
      <color theme="1"/>
      <name val="Aptos"/>
      <family val="2"/>
    </font>
    <font>
      <sz val="11"/>
      <color theme="1"/>
      <name val="Aptos"/>
      <family val="2"/>
    </font>
    <font>
      <sz val="11"/>
      <color theme="0"/>
      <name val="Aptos"/>
      <family val="2"/>
    </font>
    <font>
      <sz val="11"/>
      <name val="Aptos"/>
      <family val="2"/>
    </font>
    <font>
      <i/>
      <sz val="11"/>
      <color theme="1"/>
      <name val="Aptos"/>
      <family val="2"/>
    </font>
    <font>
      <b/>
      <sz val="11"/>
      <color theme="0"/>
      <name val="Aptos"/>
      <family val="2"/>
    </font>
    <font>
      <sz val="11"/>
      <color theme="1"/>
      <name val="Aptos"/>
    </font>
    <font>
      <sz val="11"/>
      <color rgb="FF000000"/>
      <name val="Aptos"/>
      <family val="2"/>
    </font>
    <font>
      <b/>
      <sz val="10"/>
      <color theme="0"/>
      <name val="微软雅黑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sz val="11"/>
      <color rgb="FF000000"/>
      <name val="微软雅黑"/>
      <family val="2"/>
      <charset val="134"/>
    </font>
    <font>
      <b/>
      <sz val="11"/>
      <name val="微软雅黑"/>
      <charset val="134"/>
    </font>
    <font>
      <b/>
      <sz val="11"/>
      <color rgb="FFFFFFFF"/>
      <name val="微软雅黑"/>
      <charset val="134"/>
    </font>
    <font>
      <sz val="11"/>
      <color rgb="FF000000"/>
      <name val="宋体"/>
      <charset val="134"/>
    </font>
    <font>
      <sz val="11"/>
      <color rgb="FFFFFFFF"/>
      <name val="微软雅黑"/>
      <charset val="134"/>
    </font>
    <font>
      <sz val="11"/>
      <color rgb="FFFFFFFF"/>
      <name val="微软雅黑"/>
      <family val="2"/>
      <charset val="134"/>
    </font>
    <font>
      <sz val="10"/>
      <color rgb="FFFFFFFF"/>
      <name val="微软雅黑"/>
      <charset val="134"/>
    </font>
    <font>
      <sz val="9"/>
      <color rgb="FF000000"/>
      <name val="微软雅黑"/>
      <charset val="134"/>
    </font>
    <font>
      <sz val="11"/>
      <name val="宋体"/>
      <charset val="134"/>
    </font>
    <font>
      <b/>
      <sz val="9"/>
      <color rgb="FFFFFFFF"/>
      <name val="微软雅黑"/>
      <charset val="134"/>
    </font>
    <font>
      <sz val="11"/>
      <color rgb="FF000000"/>
      <name val="Calibri"/>
      <family val="2"/>
    </font>
    <font>
      <sz val="11"/>
      <name val="宋体"/>
      <charset val="134"/>
    </font>
    <font>
      <sz val="12"/>
      <color rgb="FF0F1115"/>
      <name val="宋体"/>
      <charset val="134"/>
      <scheme val="minor"/>
    </font>
    <font>
      <sz val="11"/>
      <name val="宋体"/>
      <charset val="134"/>
      <scheme val="minor"/>
    </font>
    <font>
      <sz val="12"/>
      <color rgb="FF0F1115"/>
      <name val="宋体"/>
      <charset val="134"/>
    </font>
    <font>
      <sz val="10"/>
      <name val="宋体"/>
      <charset val="134"/>
    </font>
    <font>
      <sz val="12"/>
      <name val="宋体"/>
      <charset val="134"/>
    </font>
    <font>
      <sz val="11"/>
      <name val="Aptos"/>
    </font>
    <font>
      <b/>
      <sz val="11"/>
      <color rgb="FFFFFFFF"/>
      <name val="Aptos"/>
    </font>
    <font>
      <b/>
      <sz val="11"/>
      <name val="Aptos"/>
    </font>
    <font>
      <sz val="11"/>
      <name val="Aptos"/>
    </font>
    <font>
      <b/>
      <sz val="11"/>
      <name val="Aptos"/>
    </font>
    <font>
      <sz val="9"/>
      <name val="Aptos"/>
    </font>
    <font>
      <sz val="9"/>
      <name val="微软雅黑"/>
      <family val="2"/>
      <charset val="134"/>
    </font>
    <font>
      <b/>
      <sz val="9"/>
      <color rgb="FFFFFFFF"/>
      <name val="Aptos"/>
    </font>
    <font>
      <sz val="9"/>
      <name val="宋体"/>
      <charset val="134"/>
    </font>
    <font>
      <b/>
      <sz val="15"/>
      <color rgb="FFFFFFFF"/>
      <name val="Carlito"/>
    </font>
    <font>
      <sz val="11"/>
      <color theme="1"/>
      <name val="宋体"/>
      <family val="3"/>
      <charset val="134"/>
    </font>
    <font>
      <b/>
      <sz val="11"/>
      <color rgb="FFFFFFFF"/>
      <name val="Carlito"/>
    </font>
    <font>
      <b/>
      <sz val="11"/>
      <color rgb="FFFFFFFF"/>
      <name val="Carlito"/>
    </font>
    <font>
      <sz val="10"/>
      <color rgb="FF111827"/>
      <name val="Carlito"/>
    </font>
    <font>
      <sz val="11"/>
      <name val="Arial"/>
      <family val="2"/>
    </font>
    <font>
      <b/>
      <sz val="11"/>
      <color rgb="FFFFFFFF"/>
      <name val="Carlito"/>
      <family val="2"/>
    </font>
    <font>
      <sz val="11"/>
      <name val="Carlito"/>
    </font>
    <font>
      <b/>
      <sz val="9"/>
      <color rgb="FF232F3E"/>
      <name val="微软雅黑"/>
      <family val="2"/>
      <charset val="134"/>
    </font>
    <font>
      <sz val="9"/>
      <color rgb="FF111827"/>
      <name val="微软雅黑"/>
      <family val="2"/>
      <charset val="134"/>
    </font>
    <font>
      <sz val="9"/>
      <color rgb="FF374151"/>
      <name val="微软雅黑"/>
      <family val="2"/>
      <charset val="134"/>
    </font>
    <font>
      <sz val="10"/>
      <color theme="0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sz val="12"/>
      <color theme="1"/>
      <name val="宋体"/>
      <family val="3"/>
      <charset val="134"/>
      <scheme val="minor"/>
    </font>
    <font>
      <b/>
      <sz val="11"/>
      <color rgb="FF000000"/>
      <name val="微软雅黑"/>
      <family val="2"/>
      <charset val="134"/>
    </font>
    <font>
      <sz val="12"/>
      <color rgb="FF000000"/>
      <name val="等线"/>
      <family val="3"/>
      <charset val="134"/>
    </font>
    <font>
      <b/>
      <sz val="12"/>
      <color rgb="FFFFFFFF"/>
      <name val="等线"/>
      <family val="3"/>
      <charset val="134"/>
    </font>
    <font>
      <b/>
      <sz val="12"/>
      <color rgb="FF000000"/>
      <name val="等线"/>
      <family val="3"/>
      <charset val="134"/>
    </font>
    <font>
      <b/>
      <sz val="10"/>
      <color rgb="FFFFFFFF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name val="Carlito"/>
      <family val="2"/>
    </font>
    <font>
      <sz val="11"/>
      <color theme="0"/>
      <name val="宋体"/>
      <family val="3"/>
      <charset val="134"/>
      <scheme val="minor"/>
    </font>
    <font>
      <sz val="11"/>
      <color rgb="FF9C5700"/>
      <name val="宋体"/>
      <family val="3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rgb="FF939393"/>
      <name val="微软雅黑"/>
      <family val="2"/>
      <charset val="134"/>
    </font>
    <font>
      <sz val="12"/>
      <name val="宋体"/>
      <family val="3"/>
      <charset val="134"/>
    </font>
    <font>
      <u/>
      <sz val="12"/>
      <color rgb="FF175CEB"/>
      <name val="宋体"/>
      <family val="3"/>
      <charset val="134"/>
    </font>
    <font>
      <b/>
      <sz val="9"/>
      <color rgb="FFFFFFFF"/>
      <name val="微软雅黑"/>
      <family val="2"/>
      <charset val="134"/>
    </font>
    <font>
      <b/>
      <sz val="9"/>
      <color rgb="FFFFFFFF"/>
      <name val="Aptos"/>
      <family val="2"/>
    </font>
    <font>
      <sz val="9"/>
      <color rgb="FF000000"/>
      <name val="Aptos"/>
      <family val="2"/>
    </font>
    <font>
      <sz val="9"/>
      <color rgb="FF000000"/>
      <name val="微软雅黑"/>
      <family val="2"/>
      <charset val="134"/>
    </font>
    <font>
      <u/>
      <sz val="11"/>
      <color rgb="FF175CEB"/>
      <name val="Carlito"/>
    </font>
    <font>
      <sz val="11"/>
      <color rgb="FF000000"/>
      <name val="Carlito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5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</patternFill>
    </fill>
    <fill>
      <patternFill patternType="lightUp">
        <bgColor theme="0" tint="-0.1498458815271462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0000"/>
      </patternFill>
    </fill>
    <fill>
      <patternFill patternType="solid">
        <fgColor theme="0" tint="-4.9958800012207406E-2"/>
        <bgColor indexed="64"/>
      </patternFill>
    </fill>
    <fill>
      <patternFill patternType="none"/>
    </fill>
    <fill>
      <patternFill patternType="solid">
        <fgColor rgb="FFFFFFFF"/>
        <bgColor indexed="64"/>
      </patternFill>
    </fill>
    <fill>
      <patternFill patternType="lightUp">
        <bgColor theme="2"/>
      </patternFill>
    </fill>
    <fill>
      <patternFill patternType="solid">
        <fgColor rgb="FFF2F2F2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3A5E21"/>
        <bgColor indexed="64"/>
      </patternFill>
    </fill>
    <fill>
      <patternFill patternType="solid">
        <fgColor rgb="FF72262F"/>
        <bgColor indexed="64"/>
      </patternFill>
    </fill>
    <fill>
      <patternFill patternType="solid">
        <fgColor rgb="FF222A35"/>
        <bgColor indexed="64"/>
      </patternFill>
    </fill>
    <fill>
      <patternFill patternType="solid">
        <fgColor rgb="FFB26123"/>
        <bgColor indexed="64"/>
      </patternFill>
    </fill>
    <fill>
      <patternFill patternType="solid">
        <fgColor rgb="FF737373"/>
        <bgColor indexed="64"/>
      </patternFill>
    </fill>
    <fill>
      <patternFill patternType="solid">
        <fgColor rgb="FF243A6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CE4D3"/>
        <bgColor auto="1"/>
      </patternFill>
    </fill>
    <fill>
      <patternFill patternType="solid">
        <fgColor rgb="FFEAFAF1"/>
        <bgColor auto="1"/>
      </patternFill>
    </fill>
    <fill>
      <patternFill patternType="solid">
        <fgColor rgb="FFEAFAF1"/>
        <bgColor auto="1"/>
      </patternFill>
    </fill>
    <fill>
      <patternFill patternType="solid">
        <fgColor rgb="FF000000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E3F2D9"/>
        <bgColor auto="1"/>
      </patternFill>
    </fill>
    <fill>
      <patternFill patternType="solid">
        <fgColor rgb="FFF2F2F2"/>
        <bgColor auto="1"/>
      </patternFill>
    </fill>
    <fill>
      <patternFill patternType="lightUp">
        <fgColor auto="1"/>
        <bgColor rgb="FFE7E6E6"/>
      </patternFill>
    </fill>
    <fill>
      <patternFill patternType="solid">
        <fgColor rgb="FF75BD42"/>
        <bgColor auto="1"/>
      </patternFill>
    </fill>
    <fill>
      <patternFill patternType="solid">
        <fgColor rgb="FF111827"/>
        <bgColor rgb="FF000000"/>
      </patternFill>
    </fill>
    <fill>
      <patternFill patternType="solid">
        <fgColor rgb="FF050505"/>
        <bgColor rgb="FF000000"/>
      </patternFill>
    </fill>
    <fill>
      <patternFill patternType="solid">
        <fgColor rgb="FF365E24"/>
        <bgColor rgb="FF000000"/>
      </patternFill>
    </fill>
    <fill>
      <patternFill patternType="solid">
        <fgColor rgb="FF155E75"/>
        <bgColor rgb="FF000000"/>
      </patternFill>
    </fill>
    <fill>
      <patternFill patternType="solid">
        <fgColor rgb="FF5B3A82"/>
        <bgColor rgb="FF000000"/>
      </patternFill>
    </fill>
    <fill>
      <patternFill patternType="solid">
        <fgColor rgb="FF9A3412"/>
        <bgColor rgb="FF000000"/>
      </patternFill>
    </fill>
    <fill>
      <patternFill patternType="solid">
        <fgColor rgb="FF1D4ED8"/>
        <bgColor rgb="FF000000"/>
      </patternFill>
    </fill>
    <fill>
      <patternFill patternType="solid">
        <fgColor rgb="FF0F766E"/>
        <bgColor rgb="FF000000"/>
      </patternFill>
    </fill>
    <fill>
      <patternFill patternType="solid">
        <fgColor rgb="FF7C2D12"/>
        <bgColor rgb="FF000000"/>
      </patternFill>
    </fill>
    <fill>
      <patternFill patternType="none">
        <fgColor auto="1"/>
        <bgColor auto="1"/>
      </patternFill>
    </fill>
    <fill>
      <patternFill patternType="solid">
        <fgColor rgb="FFEAFAF1"/>
      </patternFill>
    </fill>
    <fill>
      <patternFill patternType="solid">
        <fgColor rgb="FFF8FAFC"/>
        <bgColor rgb="FF000000"/>
      </patternFill>
    </fill>
    <fill>
      <patternFill patternType="solid">
        <fgColor rgb="FFEAFAF1"/>
      </patternFill>
    </fill>
    <fill>
      <patternFill patternType="none"/>
    </fill>
    <fill>
      <patternFill patternType="solid">
        <fgColor theme="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</fills>
  <borders count="95"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thick">
        <color auto="1"/>
      </right>
      <top/>
      <bottom/>
      <diagonal/>
    </border>
    <border>
      <left style="thick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 style="hair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 style="hair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thick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hair">
        <color auto="1"/>
      </right>
      <top/>
      <bottom style="thick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hair">
        <color auto="1"/>
      </right>
      <top/>
      <bottom style="thick">
        <color auto="1"/>
      </bottom>
      <diagonal/>
    </border>
    <border>
      <left style="hair">
        <color auto="1"/>
      </left>
      <right style="hair">
        <color auto="1"/>
      </right>
      <top/>
      <bottom style="thick">
        <color auto="1"/>
      </bottom>
      <diagonal/>
    </border>
    <border>
      <left style="hair">
        <color auto="1"/>
      </left>
      <right/>
      <top/>
      <bottom style="thick">
        <color auto="1"/>
      </bottom>
      <diagonal/>
    </border>
    <border>
      <left style="hair">
        <color auto="1"/>
      </left>
      <right/>
      <top/>
      <bottom style="thick">
        <color auto="1"/>
      </bottom>
      <diagonal/>
    </border>
    <border>
      <left style="hair">
        <color auto="1"/>
      </left>
      <right style="thick">
        <color auto="1"/>
      </right>
      <top/>
      <bottom style="thick">
        <color auto="1"/>
      </bottom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/>
      <right/>
      <top/>
      <bottom/>
      <diagonal/>
    </border>
    <border diagonalUp="1" diagonalDown="1">
      <left/>
      <right/>
      <top/>
      <bottom/>
      <diagonal/>
    </border>
    <border diagonalUp="1" diagonalDown="1"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2">
    <xf numFmtId="0" fontId="0" fillId="0" borderId="73">
      <alignment vertical="center"/>
    </xf>
    <xf numFmtId="0" fontId="79" fillId="11" borderId="73"/>
    <xf numFmtId="0" fontId="79" fillId="11" borderId="73">
      <alignment vertical="center"/>
    </xf>
    <xf numFmtId="43" fontId="79" fillId="11" borderId="73" applyFont="0" applyFill="0" applyBorder="0" applyAlignment="0" applyProtection="0">
      <alignment vertical="center"/>
    </xf>
    <xf numFmtId="0" fontId="80" fillId="11" borderId="73"/>
    <xf numFmtId="0" fontId="79" fillId="11" borderId="73"/>
    <xf numFmtId="9" fontId="79" fillId="11" borderId="73" applyFont="0" applyFill="0" applyBorder="0" applyAlignment="0" applyProtection="0">
      <alignment vertical="center"/>
    </xf>
    <xf numFmtId="9" fontId="79" fillId="11" borderId="73" applyFont="0" applyFill="0" applyBorder="0" applyAlignment="0" applyProtection="0">
      <alignment vertical="center"/>
    </xf>
    <xf numFmtId="0" fontId="81" fillId="49" borderId="73" applyNumberFormat="0" applyBorder="0" applyAlignment="0" applyProtection="0">
      <alignment vertical="center"/>
    </xf>
    <xf numFmtId="43" fontId="79" fillId="11" borderId="73" applyFont="0" applyFill="0" applyBorder="0" applyAlignment="0" applyProtection="0">
      <alignment vertical="center"/>
    </xf>
    <xf numFmtId="0" fontId="82" fillId="48" borderId="73" applyNumberFormat="0" applyBorder="0" applyAlignment="0" applyProtection="0">
      <alignment vertical="center"/>
    </xf>
    <xf numFmtId="0" fontId="79" fillId="11" borderId="73"/>
  </cellStyleXfs>
  <cellXfs count="529">
    <xf numFmtId="0" fontId="0" fillId="0" borderId="0" xfId="0" applyBorder="1">
      <alignment vertical="center"/>
    </xf>
    <xf numFmtId="0" fontId="1" fillId="2" borderId="73" xfId="0" applyFont="1" applyFill="1" applyAlignment="1">
      <alignment horizontal="center" vertical="center"/>
    </xf>
    <xf numFmtId="0" fontId="2" fillId="2" borderId="73" xfId="0" applyFont="1" applyFill="1" applyAlignment="1">
      <alignment horizontal="center" vertical="center"/>
    </xf>
    <xf numFmtId="0" fontId="2" fillId="2" borderId="73" xfId="0" applyFont="1" applyFill="1">
      <alignment vertical="center"/>
    </xf>
    <xf numFmtId="0" fontId="3" fillId="2" borderId="73" xfId="0" applyFont="1" applyFill="1">
      <alignment vertical="center"/>
    </xf>
    <xf numFmtId="0" fontId="2" fillId="2" borderId="3" xfId="0" applyFont="1" applyFill="1" applyBorder="1">
      <alignment vertical="center"/>
    </xf>
    <xf numFmtId="0" fontId="4" fillId="2" borderId="73" xfId="0" applyFont="1" applyFill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5" fillId="0" borderId="73" xfId="0" applyFont="1" applyAlignment="1">
      <alignment horizontal="center" vertical="center"/>
    </xf>
    <xf numFmtId="0" fontId="9" fillId="5" borderId="20" xfId="0" applyFont="1" applyFill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176" fontId="5" fillId="0" borderId="22" xfId="0" applyNumberFormat="1" applyFont="1" applyBorder="1" applyAlignment="1">
      <alignment horizontal="center" vertical="center"/>
    </xf>
    <xf numFmtId="176" fontId="8" fillId="0" borderId="23" xfId="0" applyNumberFormat="1" applyFont="1" applyBorder="1" applyAlignment="1">
      <alignment horizontal="center" vertical="center"/>
    </xf>
    <xf numFmtId="176" fontId="8" fillId="0" borderId="24" xfId="0" applyNumberFormat="1" applyFont="1" applyBorder="1" applyAlignment="1">
      <alignment horizontal="center" vertical="center"/>
    </xf>
    <xf numFmtId="176" fontId="8" fillId="0" borderId="25" xfId="0" applyNumberFormat="1" applyFont="1" applyBorder="1" applyAlignment="1">
      <alignment horizontal="center" vertical="center"/>
    </xf>
    <xf numFmtId="176" fontId="8" fillId="0" borderId="26" xfId="0" applyNumberFormat="1" applyFont="1" applyBorder="1" applyAlignment="1">
      <alignment horizontal="center" vertical="center"/>
    </xf>
    <xf numFmtId="176" fontId="8" fillId="0" borderId="27" xfId="0" applyNumberFormat="1" applyFont="1" applyBorder="1" applyAlignment="1">
      <alignment horizontal="center" vertical="center"/>
    </xf>
    <xf numFmtId="176" fontId="8" fillId="0" borderId="28" xfId="0" applyNumberFormat="1" applyFont="1" applyBorder="1" applyAlignment="1">
      <alignment horizontal="center"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24" xfId="0" applyNumberFormat="1" applyFont="1" applyBorder="1" applyAlignment="1">
      <alignment horizontal="center" vertical="center"/>
    </xf>
    <xf numFmtId="176" fontId="5" fillId="0" borderId="27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176" fontId="8" fillId="0" borderId="22" xfId="0" applyNumberFormat="1" applyFont="1" applyBorder="1" applyAlignment="1">
      <alignment horizontal="center" vertical="center"/>
    </xf>
    <xf numFmtId="177" fontId="8" fillId="6" borderId="24" xfId="0" applyNumberFormat="1" applyFont="1" applyFill="1" applyBorder="1" applyAlignment="1">
      <alignment horizontal="center" vertical="center"/>
    </xf>
    <xf numFmtId="176" fontId="8" fillId="0" borderId="32" xfId="0" applyNumberFormat="1" applyFont="1" applyBorder="1" applyAlignment="1">
      <alignment horizontal="center" vertical="center"/>
    </xf>
    <xf numFmtId="177" fontId="8" fillId="6" borderId="26" xfId="0" applyNumberFormat="1" applyFont="1" applyFill="1" applyBorder="1" applyAlignment="1">
      <alignment horizontal="center" vertical="center"/>
    </xf>
    <xf numFmtId="176" fontId="9" fillId="0" borderId="33" xfId="0" applyNumberFormat="1" applyFont="1" applyBorder="1" applyAlignment="1">
      <alignment horizontal="center" vertical="center"/>
    </xf>
    <xf numFmtId="176" fontId="8" fillId="0" borderId="34" xfId="0" applyNumberFormat="1" applyFont="1" applyBorder="1" applyAlignment="1">
      <alignment horizontal="center" vertical="center"/>
    </xf>
    <xf numFmtId="176" fontId="8" fillId="0" borderId="29" xfId="0" applyNumberFormat="1" applyFont="1" applyBorder="1" applyAlignment="1">
      <alignment horizontal="center" vertical="center"/>
    </xf>
    <xf numFmtId="0" fontId="8" fillId="0" borderId="35" xfId="0" applyFont="1" applyBorder="1" applyAlignment="1">
      <alignment vertical="center" wrapText="1"/>
    </xf>
    <xf numFmtId="176" fontId="8" fillId="7" borderId="22" xfId="0" applyNumberFormat="1" applyFont="1" applyFill="1" applyBorder="1" applyAlignment="1">
      <alignment horizontal="center" vertical="center"/>
    </xf>
    <xf numFmtId="176" fontId="8" fillId="7" borderId="23" xfId="0" applyNumberFormat="1" applyFont="1" applyFill="1" applyBorder="1" applyAlignment="1">
      <alignment horizontal="center" vertical="center"/>
    </xf>
    <xf numFmtId="176" fontId="8" fillId="7" borderId="34" xfId="0" applyNumberFormat="1" applyFont="1" applyFill="1" applyBorder="1" applyAlignment="1">
      <alignment horizontal="center" vertical="center"/>
    </xf>
    <xf numFmtId="176" fontId="8" fillId="7" borderId="24" xfId="0" applyNumberFormat="1" applyFont="1" applyFill="1" applyBorder="1" applyAlignment="1">
      <alignment horizontal="center" vertical="center"/>
    </xf>
    <xf numFmtId="176" fontId="8" fillId="7" borderId="26" xfId="0" applyNumberFormat="1" applyFont="1" applyFill="1" applyBorder="1" applyAlignment="1">
      <alignment horizontal="center" vertical="center"/>
    </xf>
    <xf numFmtId="176" fontId="8" fillId="7" borderId="27" xfId="0" applyNumberFormat="1" applyFont="1" applyFill="1" applyBorder="1" applyAlignment="1">
      <alignment horizontal="center" vertical="center"/>
    </xf>
    <xf numFmtId="176" fontId="8" fillId="7" borderId="28" xfId="0" applyNumberFormat="1" applyFont="1" applyFill="1" applyBorder="1" applyAlignment="1">
      <alignment horizontal="center" vertical="center" wrapText="1"/>
    </xf>
    <xf numFmtId="176" fontId="8" fillId="7" borderId="29" xfId="0" applyNumberFormat="1" applyFont="1" applyFill="1" applyBorder="1" applyAlignment="1">
      <alignment horizontal="center" vertical="center"/>
    </xf>
    <xf numFmtId="176" fontId="9" fillId="7" borderId="73" xfId="0" applyNumberFormat="1" applyFont="1" applyFill="1" applyAlignment="1">
      <alignment horizontal="center" vertical="center"/>
    </xf>
    <xf numFmtId="176" fontId="8" fillId="7" borderId="73" xfId="0" applyNumberFormat="1" applyFont="1" applyFill="1" applyAlignment="1">
      <alignment horizontal="center" vertical="center"/>
    </xf>
    <xf numFmtId="0" fontId="8" fillId="7" borderId="31" xfId="0" applyFont="1" applyFill="1" applyBorder="1" applyAlignment="1">
      <alignment vertical="center" wrapText="1"/>
    </xf>
    <xf numFmtId="176" fontId="5" fillId="0" borderId="36" xfId="0" applyNumberFormat="1" applyFont="1" applyBorder="1" applyAlignment="1">
      <alignment horizontal="center" vertical="center"/>
    </xf>
    <xf numFmtId="176" fontId="5" fillId="0" borderId="26" xfId="0" applyNumberFormat="1" applyFont="1" applyBorder="1" applyAlignment="1">
      <alignment horizontal="center" vertical="center"/>
    </xf>
    <xf numFmtId="176" fontId="6" fillId="0" borderId="37" xfId="0" applyNumberFormat="1" applyFont="1" applyBorder="1" applyAlignment="1">
      <alignment horizontal="center" vertical="center"/>
    </xf>
    <xf numFmtId="176" fontId="9" fillId="0" borderId="73" xfId="0" applyNumberFormat="1" applyFont="1" applyAlignment="1">
      <alignment horizontal="center" vertical="center"/>
    </xf>
    <xf numFmtId="176" fontId="8" fillId="0" borderId="73" xfId="0" applyNumberFormat="1" applyFont="1" applyAlignment="1">
      <alignment horizontal="center" vertical="center"/>
    </xf>
    <xf numFmtId="176" fontId="9" fillId="0" borderId="39" xfId="0" applyNumberFormat="1" applyFont="1" applyBorder="1" applyAlignment="1">
      <alignment horizontal="center" vertical="center"/>
    </xf>
    <xf numFmtId="176" fontId="8" fillId="0" borderId="40" xfId="0" applyNumberFormat="1" applyFont="1" applyBorder="1" applyAlignment="1">
      <alignment horizontal="center" vertical="center"/>
    </xf>
    <xf numFmtId="176" fontId="8" fillId="7" borderId="32" xfId="0" applyNumberFormat="1" applyFont="1" applyFill="1" applyBorder="1" applyAlignment="1">
      <alignment horizontal="center" vertical="center"/>
    </xf>
    <xf numFmtId="177" fontId="8" fillId="6" borderId="29" xfId="0" applyNumberFormat="1" applyFont="1" applyFill="1" applyBorder="1" applyAlignment="1">
      <alignment horizontal="center" vertical="center"/>
    </xf>
    <xf numFmtId="0" fontId="8" fillId="7" borderId="38" xfId="0" applyFont="1" applyFill="1" applyBorder="1" applyAlignment="1">
      <alignment vertical="center" wrapText="1"/>
    </xf>
    <xf numFmtId="176" fontId="9" fillId="0" borderId="43" xfId="0" applyNumberFormat="1" applyFont="1" applyBorder="1" applyAlignment="1">
      <alignment horizontal="center" vertical="center"/>
    </xf>
    <xf numFmtId="176" fontId="8" fillId="0" borderId="18" xfId="0" applyNumberFormat="1" applyFont="1" applyBorder="1" applyAlignment="1">
      <alignment horizontal="center" vertical="center"/>
    </xf>
    <xf numFmtId="0" fontId="8" fillId="7" borderId="32" xfId="0" applyFont="1" applyFill="1" applyBorder="1" applyAlignment="1">
      <alignment vertical="center" wrapText="1"/>
    </xf>
    <xf numFmtId="176" fontId="9" fillId="0" borderId="45" xfId="0" applyNumberFormat="1" applyFont="1" applyBorder="1" applyAlignment="1">
      <alignment horizontal="center" vertical="center"/>
    </xf>
    <xf numFmtId="176" fontId="8" fillId="0" borderId="46" xfId="0" applyNumberFormat="1" applyFont="1" applyBorder="1" applyAlignment="1">
      <alignment horizontal="center" vertical="center"/>
    </xf>
    <xf numFmtId="176" fontId="8" fillId="7" borderId="19" xfId="0" applyNumberFormat="1" applyFont="1" applyFill="1" applyBorder="1" applyAlignment="1">
      <alignment horizontal="center" vertical="center"/>
    </xf>
    <xf numFmtId="0" fontId="8" fillId="7" borderId="47" xfId="0" applyFont="1" applyFill="1" applyBorder="1" applyAlignment="1">
      <alignment vertical="center" wrapText="1"/>
    </xf>
    <xf numFmtId="177" fontId="8" fillId="6" borderId="48" xfId="0" applyNumberFormat="1" applyFont="1" applyFill="1" applyBorder="1" applyAlignment="1">
      <alignment horizontal="center" vertical="center"/>
    </xf>
    <xf numFmtId="176" fontId="8" fillId="7" borderId="50" xfId="0" applyNumberFormat="1" applyFont="1" applyFill="1" applyBorder="1" applyAlignment="1">
      <alignment horizontal="center" vertical="center"/>
    </xf>
    <xf numFmtId="176" fontId="8" fillId="7" borderId="51" xfId="0" applyNumberFormat="1" applyFont="1" applyFill="1" applyBorder="1" applyAlignment="1">
      <alignment horizontal="center" vertical="center"/>
    </xf>
    <xf numFmtId="176" fontId="8" fillId="7" borderId="52" xfId="0" applyNumberFormat="1" applyFont="1" applyFill="1" applyBorder="1" applyAlignment="1">
      <alignment horizontal="center" vertical="center"/>
    </xf>
    <xf numFmtId="176" fontId="8" fillId="7" borderId="53" xfId="0" applyNumberFormat="1" applyFont="1" applyFill="1" applyBorder="1" applyAlignment="1">
      <alignment horizontal="center" vertical="center"/>
    </xf>
    <xf numFmtId="176" fontId="8" fillId="7" borderId="54" xfId="0" applyNumberFormat="1" applyFont="1" applyFill="1" applyBorder="1" applyAlignment="1">
      <alignment horizontal="center" vertical="center" wrapText="1"/>
    </xf>
    <xf numFmtId="176" fontId="8" fillId="7" borderId="54" xfId="0" applyNumberFormat="1" applyFont="1" applyFill="1" applyBorder="1" applyAlignment="1">
      <alignment horizontal="center" vertical="center"/>
    </xf>
    <xf numFmtId="176" fontId="9" fillId="7" borderId="55" xfId="0" applyNumberFormat="1" applyFont="1" applyFill="1" applyBorder="1" applyAlignment="1">
      <alignment horizontal="center" vertical="center"/>
    </xf>
    <xf numFmtId="0" fontId="8" fillId="7" borderId="56" xfId="0" applyFont="1" applyFill="1" applyBorder="1" applyAlignment="1">
      <alignment vertical="center" wrapText="1"/>
    </xf>
    <xf numFmtId="176" fontId="8" fillId="0" borderId="3" xfId="0" applyNumberFormat="1" applyFont="1" applyBorder="1" applyAlignment="1">
      <alignment horizontal="center" vertical="center"/>
    </xf>
    <xf numFmtId="176" fontId="8" fillId="0" borderId="47" xfId="0" applyNumberFormat="1" applyFont="1" applyBorder="1" applyAlignment="1">
      <alignment horizontal="center" vertical="center"/>
    </xf>
    <xf numFmtId="176" fontId="8" fillId="0" borderId="46" xfId="0" applyNumberFormat="1" applyFont="1" applyBorder="1" applyAlignment="1">
      <alignment horizontal="center" vertical="center" wrapText="1"/>
    </xf>
    <xf numFmtId="0" fontId="8" fillId="0" borderId="41" xfId="0" applyFont="1" applyBorder="1" applyAlignment="1">
      <alignment vertical="center" wrapText="1"/>
    </xf>
    <xf numFmtId="176" fontId="5" fillId="0" borderId="58" xfId="0" applyNumberFormat="1" applyFont="1" applyBorder="1" applyAlignment="1">
      <alignment horizontal="center" vertical="center"/>
    </xf>
    <xf numFmtId="177" fontId="8" fillId="6" borderId="23" xfId="0" applyNumberFormat="1" applyFont="1" applyFill="1" applyBorder="1" applyAlignment="1">
      <alignment horizontal="center" vertical="center"/>
    </xf>
    <xf numFmtId="177" fontId="8" fillId="6" borderId="34" xfId="0" applyNumberFormat="1" applyFont="1" applyFill="1" applyBorder="1" applyAlignment="1">
      <alignment horizontal="center" vertical="center"/>
    </xf>
    <xf numFmtId="176" fontId="10" fillId="0" borderId="34" xfId="0" applyNumberFormat="1" applyFont="1" applyBorder="1" applyAlignment="1">
      <alignment horizontal="center" vertical="center"/>
    </xf>
    <xf numFmtId="176" fontId="10" fillId="0" borderId="27" xfId="0" applyNumberFormat="1" applyFont="1" applyBorder="1" applyAlignment="1">
      <alignment horizontal="center" vertical="center"/>
    </xf>
    <xf numFmtId="176" fontId="7" fillId="0" borderId="46" xfId="0" applyNumberFormat="1" applyFont="1" applyBorder="1" applyAlignment="1">
      <alignment horizontal="center" vertical="center"/>
    </xf>
    <xf numFmtId="176" fontId="7" fillId="0" borderId="34" xfId="0" applyNumberFormat="1" applyFont="1" applyBorder="1" applyAlignment="1">
      <alignment horizontal="center" vertical="center"/>
    </xf>
    <xf numFmtId="176" fontId="11" fillId="0" borderId="59" xfId="0" applyNumberFormat="1" applyFont="1" applyBorder="1" applyAlignment="1">
      <alignment horizontal="center" vertical="center"/>
    </xf>
    <xf numFmtId="176" fontId="8" fillId="0" borderId="58" xfId="0" applyNumberFormat="1" applyFont="1" applyBorder="1" applyAlignment="1">
      <alignment horizontal="center" vertical="center"/>
    </xf>
    <xf numFmtId="176" fontId="11" fillId="0" borderId="39" xfId="0" applyNumberFormat="1" applyFont="1" applyBorder="1" applyAlignment="1">
      <alignment horizontal="center" vertical="center"/>
    </xf>
    <xf numFmtId="176" fontId="7" fillId="0" borderId="40" xfId="0" applyNumberFormat="1" applyFont="1" applyBorder="1" applyAlignment="1">
      <alignment horizontal="center" vertical="center"/>
    </xf>
    <xf numFmtId="176" fontId="8" fillId="8" borderId="58" xfId="0" applyNumberFormat="1" applyFont="1" applyFill="1" applyBorder="1" applyAlignment="1">
      <alignment horizontal="center" vertical="center"/>
    </xf>
    <xf numFmtId="177" fontId="8" fillId="8" borderId="23" xfId="0" applyNumberFormat="1" applyFont="1" applyFill="1" applyBorder="1" applyAlignment="1">
      <alignment horizontal="center" vertical="center"/>
    </xf>
    <xf numFmtId="177" fontId="8" fillId="8" borderId="34" xfId="0" applyNumberFormat="1" applyFont="1" applyFill="1" applyBorder="1" applyAlignment="1">
      <alignment horizontal="center" vertical="center"/>
    </xf>
    <xf numFmtId="176" fontId="8" fillId="8" borderId="34" xfId="0" applyNumberFormat="1" applyFont="1" applyFill="1" applyBorder="1" applyAlignment="1">
      <alignment horizontal="center" vertical="center"/>
    </xf>
    <xf numFmtId="176" fontId="8" fillId="8" borderId="24" xfId="0" applyNumberFormat="1" applyFont="1" applyFill="1" applyBorder="1" applyAlignment="1">
      <alignment horizontal="center" vertical="center"/>
    </xf>
    <xf numFmtId="176" fontId="10" fillId="8" borderId="34" xfId="0" applyNumberFormat="1" applyFont="1" applyFill="1" applyBorder="1" applyAlignment="1">
      <alignment horizontal="center" vertical="center"/>
    </xf>
    <xf numFmtId="176" fontId="10" fillId="8" borderId="27" xfId="0" applyNumberFormat="1" applyFont="1" applyFill="1" applyBorder="1" applyAlignment="1">
      <alignment horizontal="center" vertical="center"/>
    </xf>
    <xf numFmtId="176" fontId="8" fillId="8" borderId="47" xfId="0" applyNumberFormat="1" applyFont="1" applyFill="1" applyBorder="1" applyAlignment="1">
      <alignment horizontal="center" vertical="center"/>
    </xf>
    <xf numFmtId="176" fontId="8" fillId="8" borderId="46" xfId="0" applyNumberFormat="1" applyFont="1" applyFill="1" applyBorder="1" applyAlignment="1">
      <alignment horizontal="center" vertical="center" wrapText="1"/>
    </xf>
    <xf numFmtId="176" fontId="7" fillId="8" borderId="46" xfId="0" applyNumberFormat="1" applyFont="1" applyFill="1" applyBorder="1" applyAlignment="1">
      <alignment horizontal="center" vertical="center"/>
    </xf>
    <xf numFmtId="0" fontId="8" fillId="8" borderId="41" xfId="0" applyFont="1" applyFill="1" applyBorder="1" applyAlignment="1">
      <alignment vertical="center" wrapText="1"/>
    </xf>
    <xf numFmtId="176" fontId="5" fillId="0" borderId="60" xfId="0" applyNumberFormat="1" applyFont="1" applyBorder="1" applyAlignment="1">
      <alignment horizontal="center" vertical="center"/>
    </xf>
    <xf numFmtId="176" fontId="10" fillId="0" borderId="24" xfId="0" applyNumberFormat="1" applyFont="1" applyBorder="1" applyAlignment="1">
      <alignment horizontal="center" vertical="center"/>
    </xf>
    <xf numFmtId="176" fontId="7" fillId="0" borderId="27" xfId="0" applyNumberFormat="1" applyFont="1" applyBorder="1" applyAlignment="1">
      <alignment horizontal="center" vertical="center"/>
    </xf>
    <xf numFmtId="0" fontId="8" fillId="0" borderId="47" xfId="0" applyFont="1" applyBorder="1" applyAlignment="1">
      <alignment vertical="center" wrapText="1"/>
    </xf>
    <xf numFmtId="176" fontId="11" fillId="0" borderId="45" xfId="0" applyNumberFormat="1" applyFont="1" applyBorder="1" applyAlignment="1">
      <alignment horizontal="center" vertical="center"/>
    </xf>
    <xf numFmtId="177" fontId="8" fillId="6" borderId="61" xfId="0" applyNumberFormat="1" applyFont="1" applyFill="1" applyBorder="1" applyAlignment="1">
      <alignment horizontal="center" vertical="center"/>
    </xf>
    <xf numFmtId="177" fontId="8" fillId="6" borderId="21" xfId="0" applyNumberFormat="1" applyFont="1" applyFill="1" applyBorder="1" applyAlignment="1">
      <alignment horizontal="center" vertical="center"/>
    </xf>
    <xf numFmtId="176" fontId="10" fillId="0" borderId="21" xfId="0" applyNumberFormat="1" applyFont="1" applyBorder="1" applyAlignment="1">
      <alignment horizontal="center" vertical="center"/>
    </xf>
    <xf numFmtId="176" fontId="10" fillId="0" borderId="62" xfId="0" applyNumberFormat="1" applyFont="1" applyBorder="1" applyAlignment="1">
      <alignment horizontal="center" vertical="center"/>
    </xf>
    <xf numFmtId="176" fontId="8" fillId="0" borderId="42" xfId="0" applyNumberFormat="1" applyFont="1" applyBorder="1" applyAlignment="1">
      <alignment horizontal="center" vertical="center"/>
    </xf>
    <xf numFmtId="176" fontId="8" fillId="0" borderId="62" xfId="0" applyNumberFormat="1" applyFont="1" applyBorder="1" applyAlignment="1">
      <alignment horizontal="center" vertical="center"/>
    </xf>
    <xf numFmtId="176" fontId="7" fillId="0" borderId="62" xfId="0" applyNumberFormat="1" applyFont="1" applyBorder="1" applyAlignment="1">
      <alignment horizontal="center" vertical="center"/>
    </xf>
    <xf numFmtId="176" fontId="11" fillId="0" borderId="73" xfId="0" applyNumberFormat="1" applyFont="1" applyAlignment="1">
      <alignment horizontal="center" vertical="center"/>
    </xf>
    <xf numFmtId="176" fontId="7" fillId="0" borderId="73" xfId="0" applyNumberFormat="1" applyFont="1" applyAlignment="1">
      <alignment horizontal="center" vertical="center"/>
    </xf>
    <xf numFmtId="0" fontId="8" fillId="0" borderId="31" xfId="0" applyFont="1" applyBorder="1" applyAlignment="1">
      <alignment vertical="center" wrapText="1"/>
    </xf>
    <xf numFmtId="176" fontId="8" fillId="0" borderId="65" xfId="0" applyNumberFormat="1" applyFont="1" applyBorder="1" applyAlignment="1">
      <alignment horizontal="center" vertical="center"/>
    </xf>
    <xf numFmtId="177" fontId="8" fillId="6" borderId="51" xfId="0" applyNumberFormat="1" applyFont="1" applyFill="1" applyBorder="1" applyAlignment="1">
      <alignment horizontal="center" vertical="center"/>
    </xf>
    <xf numFmtId="177" fontId="8" fillId="6" borderId="52" xfId="0" applyNumberFormat="1" applyFont="1" applyFill="1" applyBorder="1" applyAlignment="1">
      <alignment horizontal="center" vertical="center"/>
    </xf>
    <xf numFmtId="178" fontId="10" fillId="0" borderId="52" xfId="0" applyNumberFormat="1" applyFont="1" applyBorder="1" applyAlignment="1">
      <alignment horizontal="center" vertical="center"/>
    </xf>
    <xf numFmtId="176" fontId="8" fillId="0" borderId="53" xfId="0" applyNumberFormat="1" applyFont="1" applyBorder="1" applyAlignment="1">
      <alignment horizontal="center" vertical="center"/>
    </xf>
    <xf numFmtId="176" fontId="8" fillId="0" borderId="54" xfId="0" applyNumberFormat="1" applyFont="1" applyBorder="1" applyAlignment="1">
      <alignment horizontal="center" vertical="center"/>
    </xf>
    <xf numFmtId="178" fontId="7" fillId="0" borderId="54" xfId="0" applyNumberFormat="1" applyFont="1" applyBorder="1" applyAlignment="1">
      <alignment horizontal="center" vertical="center"/>
    </xf>
    <xf numFmtId="178" fontId="7" fillId="0" borderId="52" xfId="0" applyNumberFormat="1" applyFont="1" applyBorder="1" applyAlignment="1">
      <alignment horizontal="center" vertical="center"/>
    </xf>
    <xf numFmtId="178" fontId="11" fillId="0" borderId="66" xfId="0" applyNumberFormat="1" applyFont="1" applyBorder="1" applyAlignment="1">
      <alignment horizontal="center" vertical="center"/>
    </xf>
    <xf numFmtId="0" fontId="8" fillId="0" borderId="67" xfId="0" applyFont="1" applyBorder="1">
      <alignment vertical="center"/>
    </xf>
    <xf numFmtId="0" fontId="16" fillId="10" borderId="24" xfId="0" applyFont="1" applyFill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10" fontId="16" fillId="0" borderId="24" xfId="0" applyNumberFormat="1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 wrapText="1"/>
    </xf>
    <xf numFmtId="0" fontId="13" fillId="11" borderId="73" xfId="0" applyFont="1" applyFill="1">
      <alignment vertical="center"/>
    </xf>
    <xf numFmtId="0" fontId="13" fillId="0" borderId="24" xfId="0" applyFont="1" applyBorder="1" applyAlignment="1">
      <alignment horizontal="center" vertical="center"/>
    </xf>
    <xf numFmtId="10" fontId="13" fillId="0" borderId="24" xfId="0" applyNumberFormat="1" applyFont="1" applyBorder="1" applyAlignment="1">
      <alignment horizontal="center" vertical="center"/>
    </xf>
    <xf numFmtId="0" fontId="18" fillId="2" borderId="24" xfId="0" applyFont="1" applyFill="1" applyBorder="1" applyAlignment="1">
      <alignment horizontal="center" vertical="center" wrapText="1"/>
    </xf>
    <xf numFmtId="0" fontId="19" fillId="12" borderId="24" xfId="0" applyFont="1" applyFill="1" applyBorder="1" applyAlignment="1">
      <alignment horizontal="center" vertical="center" wrapText="1"/>
    </xf>
    <xf numFmtId="0" fontId="20" fillId="11" borderId="73" xfId="1" applyFont="1" applyAlignment="1">
      <alignment vertical="center"/>
    </xf>
    <xf numFmtId="0" fontId="21" fillId="11" borderId="73" xfId="1" applyFont="1" applyAlignment="1">
      <alignment horizontal="center" wrapText="1"/>
    </xf>
    <xf numFmtId="0" fontId="22" fillId="2" borderId="62" xfId="1" applyFont="1" applyFill="1" applyBorder="1" applyAlignment="1">
      <alignment vertical="center"/>
    </xf>
    <xf numFmtId="0" fontId="23" fillId="2" borderId="75" xfId="1" applyFont="1" applyFill="1" applyBorder="1" applyAlignment="1">
      <alignment horizontal="center" wrapText="1"/>
    </xf>
    <xf numFmtId="0" fontId="23" fillId="4" borderId="73" xfId="1" applyFont="1" applyFill="1" applyAlignment="1">
      <alignment wrapText="1"/>
    </xf>
    <xf numFmtId="0" fontId="22" fillId="2" borderId="18" xfId="1" applyFont="1" applyFill="1" applyBorder="1" applyAlignment="1">
      <alignment vertical="center"/>
    </xf>
    <xf numFmtId="0" fontId="23" fillId="2" borderId="73" xfId="1" applyFont="1" applyFill="1" applyAlignment="1">
      <alignment horizontal="center" vertical="center"/>
    </xf>
    <xf numFmtId="0" fontId="23" fillId="2" borderId="19" xfId="1" applyFont="1" applyFill="1" applyBorder="1" applyAlignment="1">
      <alignment horizontal="center" vertical="center"/>
    </xf>
    <xf numFmtId="0" fontId="22" fillId="11" borderId="73" xfId="1" applyFont="1" applyAlignment="1">
      <alignment horizontal="center" vertical="center"/>
    </xf>
    <xf numFmtId="0" fontId="23" fillId="2" borderId="18" xfId="1" applyFont="1" applyFill="1" applyBorder="1" applyAlignment="1">
      <alignment horizontal="center" vertical="center"/>
    </xf>
    <xf numFmtId="0" fontId="23" fillId="2" borderId="18" xfId="1" applyFont="1" applyFill="1" applyBorder="1" applyAlignment="1">
      <alignment vertical="center"/>
    </xf>
    <xf numFmtId="0" fontId="24" fillId="11" borderId="73" xfId="1" applyFont="1" applyAlignment="1">
      <alignment horizontal="left" vertical="center" wrapText="1"/>
    </xf>
    <xf numFmtId="179" fontId="22" fillId="11" borderId="73" xfId="9" applyNumberFormat="1" applyFont="1" applyAlignment="1"/>
    <xf numFmtId="179" fontId="22" fillId="11" borderId="19" xfId="9" applyNumberFormat="1" applyFont="1" applyBorder="1" applyAlignment="1"/>
    <xf numFmtId="179" fontId="22" fillId="11" borderId="18" xfId="9" applyNumberFormat="1" applyFont="1" applyBorder="1" applyAlignment="1"/>
    <xf numFmtId="0" fontId="25" fillId="10" borderId="73" xfId="1" applyFont="1" applyFill="1" applyAlignment="1">
      <alignment horizontal="left"/>
    </xf>
    <xf numFmtId="180" fontId="22" fillId="10" borderId="73" xfId="6" applyNumberFormat="1" applyFont="1" applyFill="1" applyAlignment="1"/>
    <xf numFmtId="180" fontId="22" fillId="10" borderId="19" xfId="6" applyNumberFormat="1" applyFont="1" applyFill="1" applyBorder="1" applyAlignment="1"/>
    <xf numFmtId="180" fontId="22" fillId="10" borderId="18" xfId="6" applyNumberFormat="1" applyFont="1" applyFill="1" applyBorder="1" applyAlignment="1"/>
    <xf numFmtId="0" fontId="22" fillId="11" borderId="73" xfId="1" applyFont="1" applyAlignment="1">
      <alignment vertical="center"/>
    </xf>
    <xf numFmtId="180" fontId="23" fillId="49" borderId="73" xfId="8" applyNumberFormat="1" applyFont="1" applyAlignment="1"/>
    <xf numFmtId="180" fontId="22" fillId="11" borderId="73" xfId="6" applyNumberFormat="1" applyFont="1" applyAlignment="1"/>
    <xf numFmtId="180" fontId="22" fillId="11" borderId="18" xfId="8" applyNumberFormat="1" applyFont="1" applyFill="1" applyBorder="1" applyAlignment="1"/>
    <xf numFmtId="180" fontId="22" fillId="11" borderId="73" xfId="10" applyNumberFormat="1" applyFont="1" applyFill="1" applyAlignment="1"/>
    <xf numFmtId="180" fontId="22" fillId="11" borderId="73" xfId="8" applyNumberFormat="1" applyFont="1" applyFill="1" applyAlignment="1"/>
    <xf numFmtId="180" fontId="23" fillId="49" borderId="19" xfId="8" applyNumberFormat="1" applyFont="1" applyBorder="1" applyAlignment="1"/>
    <xf numFmtId="181" fontId="22" fillId="11" borderId="73" xfId="9" applyNumberFormat="1" applyFont="1" applyAlignment="1"/>
    <xf numFmtId="0" fontId="22" fillId="11" borderId="73" xfId="1" applyFont="1" applyAlignment="1">
      <alignment horizontal="left" indent="1"/>
    </xf>
    <xf numFmtId="0" fontId="23" fillId="2" borderId="46" xfId="1" applyFont="1" applyFill="1" applyBorder="1" applyAlignment="1">
      <alignment vertical="center"/>
    </xf>
    <xf numFmtId="0" fontId="25" fillId="10" borderId="40" xfId="1" applyFont="1" applyFill="1" applyBorder="1" applyAlignment="1">
      <alignment horizontal="left"/>
    </xf>
    <xf numFmtId="180" fontId="22" fillId="10" borderId="40" xfId="6" applyNumberFormat="1" applyFont="1" applyFill="1" applyBorder="1" applyAlignment="1"/>
    <xf numFmtId="180" fontId="23" fillId="49" borderId="40" xfId="8" applyNumberFormat="1" applyFont="1" applyBorder="1" applyAlignment="1"/>
    <xf numFmtId="180" fontId="22" fillId="10" borderId="25" xfId="6" applyNumberFormat="1" applyFont="1" applyFill="1" applyBorder="1" applyAlignment="1"/>
    <xf numFmtId="9" fontId="22" fillId="11" borderId="73" xfId="6" applyFont="1" applyAlignment="1"/>
    <xf numFmtId="180" fontId="22" fillId="11" borderId="46" xfId="8" applyNumberFormat="1" applyFont="1" applyFill="1" applyBorder="1" applyAlignment="1"/>
    <xf numFmtId="180" fontId="22" fillId="11" borderId="40" xfId="10" applyNumberFormat="1" applyFont="1" applyFill="1" applyBorder="1" applyAlignment="1"/>
    <xf numFmtId="180" fontId="22" fillId="11" borderId="40" xfId="8" applyNumberFormat="1" applyFont="1" applyFill="1" applyBorder="1" applyAlignment="1"/>
    <xf numFmtId="180" fontId="23" fillId="49" borderId="25" xfId="8" applyNumberFormat="1" applyFont="1" applyBorder="1" applyAlignment="1"/>
    <xf numFmtId="0" fontId="23" fillId="2" borderId="73" xfId="1" applyFont="1" applyFill="1" applyAlignment="1">
      <alignment vertical="center"/>
    </xf>
    <xf numFmtId="3" fontId="22" fillId="11" borderId="73" xfId="1" applyNumberFormat="1" applyFont="1" applyAlignment="1">
      <alignment vertical="center"/>
    </xf>
    <xf numFmtId="179" fontId="22" fillId="11" borderId="73" xfId="1" applyNumberFormat="1" applyFont="1" applyAlignment="1">
      <alignment vertical="center"/>
    </xf>
    <xf numFmtId="0" fontId="26" fillId="2" borderId="24" xfId="1" applyFont="1" applyFill="1" applyBorder="1" applyAlignment="1">
      <alignment vertical="center"/>
    </xf>
    <xf numFmtId="0" fontId="23" fillId="2" borderId="24" xfId="1" applyFont="1" applyFill="1" applyBorder="1" applyAlignment="1">
      <alignment horizontal="center" vertical="center"/>
    </xf>
    <xf numFmtId="0" fontId="23" fillId="2" borderId="21" xfId="1" applyFont="1" applyFill="1" applyBorder="1" applyAlignment="1">
      <alignment horizontal="center" vertical="center"/>
    </xf>
    <xf numFmtId="0" fontId="23" fillId="2" borderId="21" xfId="1" applyFont="1" applyFill="1" applyBorder="1" applyAlignment="1">
      <alignment horizontal="center" vertical="center" wrapText="1"/>
    </xf>
    <xf numFmtId="0" fontId="22" fillId="11" borderId="24" xfId="11" applyFont="1" applyBorder="1" applyAlignment="1" applyProtection="1">
      <alignment horizontal="left" vertical="center"/>
      <protection locked="0"/>
    </xf>
    <xf numFmtId="181" fontId="22" fillId="4" borderId="24" xfId="1" applyNumberFormat="1" applyFont="1" applyFill="1" applyBorder="1" applyAlignment="1">
      <alignment horizontal="center" vertical="center"/>
    </xf>
    <xf numFmtId="0" fontId="22" fillId="11" borderId="24" xfId="1" applyFont="1" applyBorder="1" applyAlignment="1">
      <alignment horizontal="center" vertical="center"/>
    </xf>
    <xf numFmtId="180" fontId="22" fillId="11" borderId="24" xfId="6" applyNumberFormat="1" applyFont="1" applyBorder="1" applyAlignment="1">
      <alignment horizontal="center" vertical="center"/>
    </xf>
    <xf numFmtId="0" fontId="22" fillId="11" borderId="24" xfId="11" applyFont="1" applyBorder="1" applyAlignment="1" applyProtection="1">
      <alignment horizontal="left" vertical="center" indent="1"/>
      <protection locked="0"/>
    </xf>
    <xf numFmtId="182" fontId="22" fillId="11" borderId="24" xfId="1" applyNumberFormat="1" applyFont="1" applyBorder="1" applyAlignment="1">
      <alignment horizontal="center" vertical="center"/>
    </xf>
    <xf numFmtId="182" fontId="22" fillId="4" borderId="24" xfId="1" applyNumberFormat="1" applyFont="1" applyFill="1" applyBorder="1" applyAlignment="1">
      <alignment horizontal="center" vertical="center"/>
    </xf>
    <xf numFmtId="176" fontId="22" fillId="4" borderId="27" xfId="11" applyNumberFormat="1" applyFont="1" applyFill="1" applyBorder="1" applyAlignment="1">
      <alignment horizontal="center" vertical="center"/>
    </xf>
    <xf numFmtId="0" fontId="22" fillId="11" borderId="27" xfId="1" applyFont="1" applyBorder="1" applyAlignment="1">
      <alignment horizontal="center" vertical="center"/>
    </xf>
    <xf numFmtId="180" fontId="22" fillId="4" borderId="24" xfId="6" applyNumberFormat="1" applyFont="1" applyFill="1" applyBorder="1" applyAlignment="1">
      <alignment horizontal="center" vertical="center"/>
    </xf>
    <xf numFmtId="0" fontId="22" fillId="4" borderId="27" xfId="6" applyNumberFormat="1" applyFont="1" applyFill="1" applyBorder="1" applyAlignment="1">
      <alignment horizontal="center" vertical="center"/>
    </xf>
    <xf numFmtId="179" fontId="22" fillId="4" borderId="24" xfId="9" applyNumberFormat="1" applyFont="1" applyFill="1" applyBorder="1" applyAlignment="1">
      <alignment horizontal="center" vertical="center"/>
    </xf>
    <xf numFmtId="180" fontId="22" fillId="4" borderId="24" xfId="1" applyNumberFormat="1" applyFont="1" applyFill="1" applyBorder="1" applyAlignment="1">
      <alignment horizontal="center" vertical="center"/>
    </xf>
    <xf numFmtId="0" fontId="28" fillId="11" borderId="24" xfId="1" applyFont="1" applyBorder="1" applyAlignment="1">
      <alignment horizontal="center" vertical="center"/>
    </xf>
    <xf numFmtId="0" fontId="20" fillId="11" borderId="24" xfId="11" applyFont="1" applyBorder="1" applyAlignment="1" applyProtection="1">
      <alignment horizontal="left" vertical="center"/>
      <protection locked="0"/>
    </xf>
    <xf numFmtId="0" fontId="29" fillId="2" borderId="24" xfId="0" applyFont="1" applyFill="1" applyBorder="1" applyAlignment="1">
      <alignment horizontal="left" vertical="center"/>
    </xf>
    <xf numFmtId="0" fontId="29" fillId="2" borderId="24" xfId="0" applyFont="1" applyFill="1" applyBorder="1" applyAlignment="1">
      <alignment horizontal="center" vertical="center" wrapText="1"/>
    </xf>
    <xf numFmtId="0" fontId="30" fillId="0" borderId="24" xfId="0" applyFont="1" applyBorder="1" applyAlignment="1">
      <alignment horizontal="left" vertical="center" wrapText="1"/>
    </xf>
    <xf numFmtId="0" fontId="31" fillId="0" borderId="24" xfId="0" applyFont="1" applyBorder="1" applyAlignment="1">
      <alignment horizontal="center" vertical="center" wrapText="1"/>
    </xf>
    <xf numFmtId="0" fontId="32" fillId="0" borderId="24" xfId="0" applyFont="1" applyBorder="1" applyAlignment="1">
      <alignment horizontal="center" vertical="center"/>
    </xf>
    <xf numFmtId="0" fontId="79" fillId="0" borderId="73" xfId="0" applyFont="1">
      <alignment vertical="center"/>
    </xf>
    <xf numFmtId="0" fontId="30" fillId="0" borderId="24" xfId="0" applyFont="1" applyBorder="1" applyAlignment="1">
      <alignment horizontal="left" vertical="center" wrapText="1" indent="1"/>
    </xf>
    <xf numFmtId="0" fontId="31" fillId="0" borderId="24" xfId="0" applyFont="1" applyBorder="1" applyAlignment="1">
      <alignment horizontal="left" vertical="center" wrapText="1" indent="1"/>
    </xf>
    <xf numFmtId="177" fontId="32" fillId="13" borderId="24" xfId="0" applyNumberFormat="1" applyFont="1" applyFill="1" applyBorder="1" applyAlignment="1">
      <alignment horizontal="center" vertical="center"/>
    </xf>
    <xf numFmtId="0" fontId="31" fillId="0" borderId="24" xfId="0" applyFont="1" applyBorder="1" applyAlignment="1">
      <alignment horizontal="left" vertical="center" wrapText="1"/>
    </xf>
    <xf numFmtId="0" fontId="33" fillId="0" borderId="24" xfId="0" applyFont="1" applyBorder="1" applyAlignment="1">
      <alignment horizontal="center" vertical="center"/>
    </xf>
    <xf numFmtId="10" fontId="31" fillId="0" borderId="24" xfId="0" applyNumberFormat="1" applyFont="1" applyBorder="1" applyAlignment="1">
      <alignment horizontal="center" vertical="center" wrapText="1"/>
    </xf>
    <xf numFmtId="0" fontId="0" fillId="5" borderId="0" xfId="0" applyFill="1" applyBorder="1">
      <alignment vertical="center"/>
    </xf>
    <xf numFmtId="10" fontId="31" fillId="5" borderId="24" xfId="0" applyNumberFormat="1" applyFont="1" applyFill="1" applyBorder="1" applyAlignment="1">
      <alignment horizontal="center" vertical="center" wrapText="1"/>
    </xf>
    <xf numFmtId="10" fontId="32" fillId="0" borderId="24" xfId="0" applyNumberFormat="1" applyFont="1" applyBorder="1" applyAlignment="1">
      <alignment horizontal="center" vertical="center"/>
    </xf>
    <xf numFmtId="176" fontId="31" fillId="0" borderId="24" xfId="0" applyNumberFormat="1" applyFont="1" applyBorder="1" applyAlignment="1">
      <alignment horizontal="center" vertical="center" wrapText="1"/>
    </xf>
    <xf numFmtId="176" fontId="32" fillId="0" borderId="24" xfId="0" applyNumberFormat="1" applyFont="1" applyBorder="1" applyAlignment="1">
      <alignment horizontal="center" vertical="center"/>
    </xf>
    <xf numFmtId="0" fontId="79" fillId="3" borderId="73" xfId="0" applyFont="1" applyFill="1">
      <alignment vertical="center"/>
    </xf>
    <xf numFmtId="0" fontId="31" fillId="0" borderId="24" xfId="0" applyFont="1" applyBorder="1" applyAlignment="1">
      <alignment horizontal="center" vertical="center"/>
    </xf>
    <xf numFmtId="0" fontId="33" fillId="0" borderId="73" xfId="0" applyFont="1">
      <alignment vertical="center"/>
    </xf>
    <xf numFmtId="0" fontId="33" fillId="0" borderId="73" xfId="0" applyFont="1" applyAlignment="1">
      <alignment horizontal="center" vertical="center"/>
    </xf>
    <xf numFmtId="0" fontId="34" fillId="0" borderId="73" xfId="0" applyFont="1">
      <alignment vertical="center"/>
    </xf>
    <xf numFmtId="0" fontId="38" fillId="21" borderId="76" xfId="0" applyFont="1" applyFill="1" applyBorder="1" applyAlignment="1">
      <alignment horizontal="center" vertical="center"/>
    </xf>
    <xf numFmtId="0" fontId="39" fillId="21" borderId="81" xfId="0" applyFont="1" applyFill="1" applyBorder="1" applyAlignment="1">
      <alignment horizontal="center" vertical="center"/>
    </xf>
    <xf numFmtId="0" fontId="40" fillId="16" borderId="76" xfId="0" applyFont="1" applyFill="1" applyBorder="1" applyAlignment="1">
      <alignment horizontal="center" vertical="center"/>
    </xf>
    <xf numFmtId="0" fontId="40" fillId="17" borderId="76" xfId="0" applyFont="1" applyFill="1" applyBorder="1" applyAlignment="1">
      <alignment horizontal="center" vertical="center"/>
    </xf>
    <xf numFmtId="0" fontId="40" fillId="16" borderId="82" xfId="0" applyFont="1" applyFill="1" applyBorder="1" applyAlignment="1">
      <alignment horizontal="center" vertical="center"/>
    </xf>
    <xf numFmtId="0" fontId="40" fillId="18" borderId="82" xfId="0" applyFont="1" applyFill="1" applyBorder="1" applyAlignment="1">
      <alignment horizontal="center" vertical="center"/>
    </xf>
    <xf numFmtId="0" fontId="40" fillId="19" borderId="82" xfId="0" applyFont="1" applyFill="1" applyBorder="1" applyAlignment="1">
      <alignment horizontal="center" vertical="center"/>
    </xf>
    <xf numFmtId="0" fontId="40" fillId="20" borderId="82" xfId="0" applyFont="1" applyFill="1" applyBorder="1" applyAlignment="1">
      <alignment horizontal="center" vertical="center"/>
    </xf>
    <xf numFmtId="0" fontId="40" fillId="20" borderId="85" xfId="0" applyFont="1" applyFill="1" applyBorder="1" applyAlignment="1">
      <alignment horizontal="center" vertical="center"/>
    </xf>
    <xf numFmtId="0" fontId="38" fillId="21" borderId="86" xfId="0" applyFont="1" applyFill="1" applyBorder="1" applyAlignment="1">
      <alignment horizontal="center" vertical="center"/>
    </xf>
    <xf numFmtId="0" fontId="33" fillId="0" borderId="76" xfId="0" applyFont="1" applyBorder="1" applyAlignment="1">
      <alignment horizontal="center" vertical="center"/>
    </xf>
    <xf numFmtId="0" fontId="42" fillId="0" borderId="81" xfId="0" applyFont="1" applyBorder="1" applyAlignment="1">
      <alignment horizontal="center" vertical="center"/>
    </xf>
    <xf numFmtId="0" fontId="33" fillId="22" borderId="73" xfId="0" applyFont="1" applyFill="1">
      <alignment vertical="center"/>
    </xf>
    <xf numFmtId="0" fontId="33" fillId="22" borderId="76" xfId="0" applyFont="1" applyFill="1" applyBorder="1" applyAlignment="1">
      <alignment horizontal="center" vertical="center"/>
    </xf>
    <xf numFmtId="0" fontId="42" fillId="23" borderId="81" xfId="0" applyFont="1" applyFill="1" applyBorder="1" applyAlignment="1">
      <alignment horizontal="center" vertical="center"/>
    </xf>
    <xf numFmtId="0" fontId="43" fillId="15" borderId="24" xfId="0" applyFont="1" applyFill="1" applyBorder="1" applyAlignment="1">
      <alignment horizontal="center" vertical="center"/>
    </xf>
    <xf numFmtId="0" fontId="38" fillId="21" borderId="24" xfId="0" applyFont="1" applyFill="1" applyBorder="1" applyAlignment="1">
      <alignment horizontal="center" vertical="center"/>
    </xf>
    <xf numFmtId="0" fontId="40" fillId="16" borderId="24" xfId="0" applyFont="1" applyFill="1" applyBorder="1" applyAlignment="1">
      <alignment horizontal="center" vertical="center"/>
    </xf>
    <xf numFmtId="0" fontId="40" fillId="17" borderId="24" xfId="0" applyFont="1" applyFill="1" applyBorder="1" applyAlignment="1">
      <alignment horizontal="center" vertical="center"/>
    </xf>
    <xf numFmtId="0" fontId="40" fillId="18" borderId="24" xfId="0" applyFont="1" applyFill="1" applyBorder="1" applyAlignment="1">
      <alignment horizontal="center" vertical="center"/>
    </xf>
    <xf numFmtId="0" fontId="40" fillId="19" borderId="24" xfId="0" applyFont="1" applyFill="1" applyBorder="1" applyAlignment="1">
      <alignment horizontal="center" vertical="center"/>
    </xf>
    <xf numFmtId="0" fontId="40" fillId="20" borderId="24" xfId="0" applyFont="1" applyFill="1" applyBorder="1" applyAlignment="1">
      <alignment horizontal="center" vertical="center"/>
    </xf>
    <xf numFmtId="57" fontId="31" fillId="0" borderId="24" xfId="0" applyNumberFormat="1" applyFont="1" applyBorder="1" applyAlignment="1">
      <alignment horizontal="center" vertical="center"/>
    </xf>
    <xf numFmtId="0" fontId="31" fillId="4" borderId="24" xfId="0" applyFont="1" applyFill="1" applyBorder="1" applyAlignment="1">
      <alignment horizontal="center" vertical="center"/>
    </xf>
    <xf numFmtId="0" fontId="31" fillId="0" borderId="24" xfId="0" applyFont="1" applyBorder="1" applyAlignment="1">
      <alignment horizontal="center"/>
    </xf>
    <xf numFmtId="0" fontId="44" fillId="0" borderId="24" xfId="0" applyFont="1" applyBorder="1" applyAlignment="1">
      <alignment horizontal="center" vertical="center"/>
    </xf>
    <xf numFmtId="0" fontId="44" fillId="0" borderId="24" xfId="0" applyFont="1" applyBorder="1" applyAlignment="1">
      <alignment horizontal="center"/>
    </xf>
    <xf numFmtId="0" fontId="33" fillId="0" borderId="24" xfId="0" applyFont="1" applyBorder="1">
      <alignment vertical="center"/>
    </xf>
    <xf numFmtId="57" fontId="31" fillId="0" borderId="73" xfId="0" applyNumberFormat="1" applyFont="1" applyAlignment="1">
      <alignment horizontal="center" vertical="center"/>
    </xf>
    <xf numFmtId="0" fontId="31" fillId="0" borderId="73" xfId="0" applyFont="1" applyAlignment="1">
      <alignment horizontal="center" vertical="center"/>
    </xf>
    <xf numFmtId="0" fontId="31" fillId="4" borderId="73" xfId="0" applyFont="1" applyFill="1" applyAlignment="1">
      <alignment horizontal="center" vertical="center"/>
    </xf>
    <xf numFmtId="0" fontId="40" fillId="18" borderId="76" xfId="0" applyFont="1" applyFill="1" applyBorder="1" applyAlignment="1">
      <alignment horizontal="center" vertical="center"/>
    </xf>
    <xf numFmtId="0" fontId="40" fillId="19" borderId="76" xfId="0" applyFont="1" applyFill="1" applyBorder="1" applyAlignment="1">
      <alignment horizontal="center" vertical="center"/>
    </xf>
    <xf numFmtId="0" fontId="40" fillId="20" borderId="76" xfId="0" applyFont="1" applyFill="1" applyBorder="1" applyAlignment="1">
      <alignment horizontal="center" vertical="center"/>
    </xf>
    <xf numFmtId="57" fontId="31" fillId="0" borderId="76" xfId="0" applyNumberFormat="1" applyFont="1" applyBorder="1" applyAlignment="1">
      <alignment horizontal="center" vertical="center"/>
    </xf>
    <xf numFmtId="0" fontId="31" fillId="0" borderId="76" xfId="0" applyFont="1" applyBorder="1" applyAlignment="1">
      <alignment horizontal="center" vertical="center"/>
    </xf>
    <xf numFmtId="0" fontId="31" fillId="0" borderId="76" xfId="0" applyFont="1" applyBorder="1" applyAlignment="1">
      <alignment horizontal="center"/>
    </xf>
    <xf numFmtId="0" fontId="44" fillId="0" borderId="76" xfId="0" applyFont="1" applyBorder="1" applyAlignment="1">
      <alignment horizontal="center" vertical="center"/>
    </xf>
    <xf numFmtId="0" fontId="33" fillId="0" borderId="76" xfId="0" applyFont="1" applyBorder="1">
      <alignment vertical="center"/>
    </xf>
    <xf numFmtId="57" fontId="33" fillId="0" borderId="76" xfId="0" applyNumberFormat="1" applyFont="1" applyBorder="1">
      <alignment vertical="center"/>
    </xf>
    <xf numFmtId="0" fontId="45" fillId="24" borderId="76" xfId="0" applyFont="1" applyFill="1" applyBorder="1" applyAlignment="1">
      <alignment horizontal="center" vertical="center"/>
    </xf>
    <xf numFmtId="0" fontId="46" fillId="24" borderId="76" xfId="0" applyFont="1" applyFill="1" applyBorder="1" applyAlignment="1">
      <alignment horizontal="center" vertical="center" wrapText="1"/>
    </xf>
    <xf numFmtId="0" fontId="45" fillId="25" borderId="76" xfId="0" applyFont="1" applyFill="1" applyBorder="1" applyAlignment="1">
      <alignment horizontal="center" vertical="center"/>
    </xf>
    <xf numFmtId="0" fontId="46" fillId="25" borderId="76" xfId="0" applyFont="1" applyFill="1" applyBorder="1" applyAlignment="1">
      <alignment horizontal="center" vertical="center" wrapText="1"/>
    </xf>
    <xf numFmtId="0" fontId="47" fillId="24" borderId="76" xfId="0" applyFont="1" applyFill="1" applyBorder="1" applyAlignment="1">
      <alignment horizontal="center" vertical="center"/>
    </xf>
    <xf numFmtId="0" fontId="45" fillId="24" borderId="81" xfId="0" applyFont="1" applyFill="1" applyBorder="1" applyAlignment="1">
      <alignment horizontal="center" vertical="center"/>
    </xf>
    <xf numFmtId="0" fontId="34" fillId="0" borderId="81" xfId="0" applyFont="1" applyBorder="1" applyAlignment="1">
      <alignment horizontal="center" vertical="center"/>
    </xf>
    <xf numFmtId="0" fontId="0" fillId="0" borderId="81" xfId="0" applyBorder="1">
      <alignment vertical="center"/>
    </xf>
    <xf numFmtId="0" fontId="0" fillId="11" borderId="81" xfId="0" applyFill="1" applyBorder="1" applyAlignment="1">
      <alignment horizontal="center" vertical="center"/>
    </xf>
    <xf numFmtId="0" fontId="48" fillId="25" borderId="81" xfId="0" applyFont="1" applyFill="1" applyBorder="1" applyAlignment="1">
      <alignment horizontal="center" vertical="center" wrapText="1"/>
    </xf>
    <xf numFmtId="0" fontId="49" fillId="0" borderId="81" xfId="0" applyFont="1" applyBorder="1" applyAlignment="1">
      <alignment horizontal="center" vertical="center"/>
    </xf>
    <xf numFmtId="0" fontId="50" fillId="0" borderId="81" xfId="0" applyFont="1" applyBorder="1" applyAlignment="1">
      <alignment horizontal="center" vertical="center" wrapText="1"/>
    </xf>
    <xf numFmtId="0" fontId="45" fillId="25" borderId="81" xfId="0" applyFont="1" applyFill="1" applyBorder="1" applyAlignment="1">
      <alignment horizontal="center" vertical="center"/>
    </xf>
    <xf numFmtId="0" fontId="51" fillId="0" borderId="0" xfId="0" applyFont="1" applyBorder="1" applyAlignment="1"/>
    <xf numFmtId="0" fontId="51" fillId="0" borderId="0" xfId="0" applyFont="1" applyBorder="1" applyAlignment="1">
      <alignment horizontal="center" vertical="center"/>
    </xf>
    <xf numFmtId="0" fontId="51" fillId="0" borderId="0" xfId="0" applyFont="1" applyBorder="1">
      <alignment vertical="center"/>
    </xf>
    <xf numFmtId="0" fontId="52" fillId="26" borderId="81" xfId="0" applyFont="1" applyFill="1" applyBorder="1" applyAlignment="1"/>
    <xf numFmtId="0" fontId="52" fillId="26" borderId="81" xfId="0" applyFont="1" applyFill="1" applyBorder="1" applyAlignment="1">
      <alignment horizontal="center" vertical="center"/>
    </xf>
    <xf numFmtId="49" fontId="53" fillId="27" borderId="81" xfId="0" applyNumberFormat="1" applyFont="1" applyFill="1" applyBorder="1" applyAlignment="1">
      <alignment vertical="center" wrapText="1"/>
    </xf>
    <xf numFmtId="176" fontId="54" fillId="27" borderId="81" xfId="0" applyNumberFormat="1" applyFont="1" applyFill="1" applyBorder="1" applyAlignment="1">
      <alignment horizontal="center" vertical="center"/>
    </xf>
    <xf numFmtId="176" fontId="54" fillId="0" borderId="81" xfId="0" applyNumberFormat="1" applyFont="1" applyBorder="1" applyAlignment="1">
      <alignment horizontal="center" vertical="center"/>
    </xf>
    <xf numFmtId="176" fontId="54" fillId="28" borderId="81" xfId="0" applyNumberFormat="1" applyFont="1" applyFill="1" applyBorder="1" applyAlignment="1">
      <alignment horizontal="center" vertical="center"/>
    </xf>
    <xf numFmtId="0" fontId="51" fillId="27" borderId="81" xfId="0" applyFont="1" applyFill="1" applyBorder="1">
      <alignment vertical="center"/>
    </xf>
    <xf numFmtId="49" fontId="55" fillId="27" borderId="81" xfId="0" applyNumberFormat="1" applyFont="1" applyFill="1" applyBorder="1" applyAlignment="1">
      <alignment vertical="center" wrapText="1"/>
    </xf>
    <xf numFmtId="0" fontId="51" fillId="0" borderId="81" xfId="0" applyFont="1" applyBorder="1" applyAlignment="1">
      <alignment horizontal="center" vertical="center"/>
    </xf>
    <xf numFmtId="180" fontId="51" fillId="0" borderId="81" xfId="0" applyNumberFormat="1" applyFont="1" applyBorder="1" applyAlignment="1">
      <alignment horizontal="center" vertical="center"/>
    </xf>
    <xf numFmtId="180" fontId="51" fillId="28" borderId="81" xfId="0" applyNumberFormat="1" applyFont="1" applyFill="1" applyBorder="1" applyAlignment="1">
      <alignment horizontal="center" vertical="center"/>
    </xf>
    <xf numFmtId="0" fontId="56" fillId="0" borderId="0" xfId="0" applyFont="1" applyBorder="1" applyAlignment="1"/>
    <xf numFmtId="0" fontId="58" fillId="26" borderId="81" xfId="0" applyFont="1" applyFill="1" applyBorder="1" applyAlignment="1">
      <alignment horizontal="center" vertical="center"/>
    </xf>
    <xf numFmtId="0" fontId="56" fillId="26" borderId="81" xfId="0" applyFont="1" applyFill="1" applyBorder="1" applyAlignment="1"/>
    <xf numFmtId="176" fontId="58" fillId="26" borderId="81" xfId="0" applyNumberFormat="1" applyFont="1" applyFill="1" applyBorder="1" applyAlignment="1">
      <alignment horizontal="center" vertical="center"/>
    </xf>
    <xf numFmtId="176" fontId="59" fillId="28" borderId="81" xfId="0" applyNumberFormat="1" applyFont="1" applyFill="1" applyBorder="1" applyAlignment="1">
      <alignment horizontal="center" vertical="center"/>
    </xf>
    <xf numFmtId="0" fontId="56" fillId="30" borderId="81" xfId="0" applyFont="1" applyFill="1" applyBorder="1" applyAlignment="1">
      <alignment horizontal="center" vertical="center"/>
    </xf>
    <xf numFmtId="176" fontId="56" fillId="0" borderId="81" xfId="0" applyNumberFormat="1" applyFont="1" applyBorder="1" applyAlignment="1">
      <alignment horizontal="center" vertical="center"/>
    </xf>
    <xf numFmtId="176" fontId="59" fillId="0" borderId="81" xfId="0" applyNumberFormat="1" applyFont="1" applyBorder="1" applyAlignment="1">
      <alignment horizontal="center" vertical="center"/>
    </xf>
    <xf numFmtId="0" fontId="56" fillId="0" borderId="81" xfId="0" applyFont="1" applyBorder="1" applyAlignment="1">
      <alignment horizontal="center" vertical="center"/>
    </xf>
    <xf numFmtId="9" fontId="56" fillId="0" borderId="81" xfId="0" applyNumberFormat="1" applyFont="1" applyBorder="1" applyAlignment="1"/>
    <xf numFmtId="0" fontId="56" fillId="0" borderId="81" xfId="0" applyFont="1" applyBorder="1" applyAlignment="1"/>
    <xf numFmtId="176" fontId="56" fillId="31" borderId="81" xfId="0" applyNumberFormat="1" applyFont="1" applyFill="1" applyBorder="1" applyAlignment="1">
      <alignment horizontal="center" vertical="center"/>
    </xf>
    <xf numFmtId="0" fontId="61" fillId="11" borderId="89" xfId="0" applyFont="1" applyFill="1" applyBorder="1">
      <alignment vertical="center"/>
    </xf>
    <xf numFmtId="0" fontId="62" fillId="11" borderId="73" xfId="4" applyFont="1" applyAlignment="1">
      <alignment horizontal="center" vertical="center" wrapText="1"/>
    </xf>
    <xf numFmtId="0" fontId="63" fillId="34" borderId="81" xfId="0" applyFont="1" applyFill="1" applyBorder="1" applyAlignment="1">
      <alignment horizontal="center" vertical="center"/>
    </xf>
    <xf numFmtId="0" fontId="63" fillId="35" borderId="81" xfId="0" applyFont="1" applyFill="1" applyBorder="1" applyAlignment="1">
      <alignment horizontal="center" vertical="center"/>
    </xf>
    <xf numFmtId="0" fontId="63" fillId="36" borderId="81" xfId="0" applyFont="1" applyFill="1" applyBorder="1" applyAlignment="1">
      <alignment horizontal="center" vertical="center"/>
    </xf>
    <xf numFmtId="0" fontId="63" fillId="37" borderId="81" xfId="0" applyFont="1" applyFill="1" applyBorder="1" applyAlignment="1">
      <alignment horizontal="center" vertical="center"/>
    </xf>
    <xf numFmtId="0" fontId="63" fillId="38" borderId="81" xfId="0" applyFont="1" applyFill="1" applyBorder="1" applyAlignment="1">
      <alignment horizontal="center" vertical="center"/>
    </xf>
    <xf numFmtId="0" fontId="63" fillId="39" borderId="81" xfId="0" applyFont="1" applyFill="1" applyBorder="1" applyAlignment="1">
      <alignment horizontal="center" vertical="center"/>
    </xf>
    <xf numFmtId="0" fontId="63" fillId="40" borderId="81" xfId="0" applyFont="1" applyFill="1" applyBorder="1" applyAlignment="1">
      <alignment horizontal="center" vertical="center"/>
    </xf>
    <xf numFmtId="0" fontId="64" fillId="41" borderId="81" xfId="0" applyFont="1" applyFill="1" applyBorder="1" applyAlignment="1">
      <alignment horizontal="center" vertical="center"/>
    </xf>
    <xf numFmtId="0" fontId="61" fillId="11" borderId="90" xfId="0" applyFont="1" applyFill="1" applyBorder="1">
      <alignment vertical="center"/>
    </xf>
    <xf numFmtId="10" fontId="64" fillId="42" borderId="81" xfId="0" applyNumberFormat="1" applyFont="1" applyFill="1" applyBorder="1" applyAlignment="1">
      <alignment horizontal="center" vertical="center"/>
    </xf>
    <xf numFmtId="0" fontId="64" fillId="43" borderId="81" xfId="0" applyFont="1" applyFill="1" applyBorder="1" applyAlignment="1">
      <alignment horizontal="center" vertical="center"/>
    </xf>
    <xf numFmtId="0" fontId="64" fillId="0" borderId="81" xfId="0" applyFont="1" applyBorder="1" applyAlignment="1">
      <alignment horizontal="center" vertical="center"/>
    </xf>
    <xf numFmtId="0" fontId="61" fillId="45" borderId="89" xfId="0" applyFont="1" applyFill="1" applyBorder="1">
      <alignment vertical="center"/>
    </xf>
    <xf numFmtId="0" fontId="62" fillId="45" borderId="73" xfId="4" applyFont="1" applyFill="1" applyAlignment="1">
      <alignment horizontal="center" vertical="center" wrapText="1"/>
    </xf>
    <xf numFmtId="0" fontId="61" fillId="11" borderId="91" xfId="0" applyFont="1" applyFill="1" applyBorder="1">
      <alignment vertical="center"/>
    </xf>
    <xf numFmtId="0" fontId="66" fillId="2" borderId="73" xfId="4" applyFont="1" applyFill="1" applyAlignment="1">
      <alignment horizontal="center" vertical="center" wrapText="1"/>
    </xf>
    <xf numFmtId="0" fontId="62" fillId="2" borderId="92" xfId="4" applyFont="1" applyFill="1" applyBorder="1" applyAlignment="1">
      <alignment horizontal="center" vertical="center" wrapText="1"/>
    </xf>
    <xf numFmtId="0" fontId="80" fillId="4" borderId="24" xfId="4" applyFill="1" applyBorder="1" applyAlignment="1">
      <alignment vertical="center"/>
    </xf>
    <xf numFmtId="0" fontId="80" fillId="4" borderId="24" xfId="4" applyFill="1" applyBorder="1" applyAlignment="1">
      <alignment vertical="center" wrapText="1"/>
    </xf>
    <xf numFmtId="0" fontId="80" fillId="4" borderId="24" xfId="4" applyFill="1" applyBorder="1" applyAlignment="1">
      <alignment horizontal="center" vertical="center"/>
    </xf>
    <xf numFmtId="0" fontId="80" fillId="4" borderId="37" xfId="4" applyFill="1" applyBorder="1" applyAlignment="1">
      <alignment horizontal="center" vertical="center"/>
    </xf>
    <xf numFmtId="0" fontId="42" fillId="4" borderId="37" xfId="4" applyFont="1" applyFill="1" applyBorder="1" applyAlignment="1">
      <alignment horizontal="center" vertical="center"/>
    </xf>
    <xf numFmtId="0" fontId="67" fillId="4" borderId="24" xfId="4" applyFont="1" applyFill="1" applyBorder="1" applyAlignment="1">
      <alignment vertical="center" wrapText="1"/>
    </xf>
    <xf numFmtId="0" fontId="80" fillId="4" borderId="37" xfId="4" applyFill="1" applyBorder="1" applyAlignment="1">
      <alignment vertical="center"/>
    </xf>
    <xf numFmtId="0" fontId="67" fillId="4" borderId="37" xfId="4" applyFont="1" applyFill="1" applyBorder="1" applyAlignment="1">
      <alignment vertical="center" wrapText="1"/>
    </xf>
    <xf numFmtId="0" fontId="80" fillId="4" borderId="37" xfId="4" applyFill="1" applyBorder="1" applyAlignment="1">
      <alignment vertical="center" wrapText="1"/>
    </xf>
    <xf numFmtId="0" fontId="36" fillId="2" borderId="73" xfId="4" applyFont="1" applyFill="1" applyAlignment="1">
      <alignment horizontal="center" vertical="center" wrapText="1"/>
    </xf>
    <xf numFmtId="0" fontId="68" fillId="4" borderId="24" xfId="4" applyFont="1" applyFill="1" applyBorder="1" applyAlignment="1">
      <alignment horizontal="center" vertical="center" wrapText="1"/>
    </xf>
    <xf numFmtId="0" fontId="69" fillId="4" borderId="24" xfId="4" applyFont="1" applyFill="1" applyBorder="1" applyAlignment="1">
      <alignment horizontal="center" vertical="center" wrapText="1"/>
    </xf>
    <xf numFmtId="0" fontId="69" fillId="4" borderId="24" xfId="4" applyFont="1" applyFill="1" applyBorder="1" applyAlignment="1">
      <alignment horizontal="left" vertical="center" wrapText="1"/>
    </xf>
    <xf numFmtId="0" fontId="70" fillId="4" borderId="24" xfId="4" applyFont="1" applyFill="1" applyBorder="1" applyAlignment="1">
      <alignment horizontal="center" vertical="center" wrapText="1"/>
    </xf>
    <xf numFmtId="176" fontId="29" fillId="2" borderId="24" xfId="0" applyNumberFormat="1" applyFont="1" applyFill="1" applyBorder="1" applyAlignment="1">
      <alignment horizontal="center" vertical="center"/>
    </xf>
    <xf numFmtId="176" fontId="71" fillId="2" borderId="24" xfId="0" applyNumberFormat="1" applyFont="1" applyFill="1" applyBorder="1">
      <alignment vertical="center"/>
    </xf>
    <xf numFmtId="0" fontId="72" fillId="15" borderId="24" xfId="0" applyFont="1" applyFill="1" applyBorder="1" applyAlignment="1">
      <alignment horizontal="center" vertical="center"/>
    </xf>
    <xf numFmtId="176" fontId="18" fillId="2" borderId="24" xfId="0" applyNumberFormat="1" applyFont="1" applyFill="1" applyBorder="1" applyAlignment="1">
      <alignment horizontal="center" vertical="center"/>
    </xf>
    <xf numFmtId="0" fontId="73" fillId="0" borderId="73" xfId="0" applyFont="1" applyAlignment="1">
      <alignment horizontal="center" vertical="center"/>
    </xf>
    <xf numFmtId="0" fontId="32" fillId="0" borderId="73" xfId="0" applyFont="1" applyAlignment="1">
      <alignment horizontal="center" vertical="center"/>
    </xf>
    <xf numFmtId="0" fontId="72" fillId="15" borderId="24" xfId="0" applyFont="1" applyFill="1" applyBorder="1" applyAlignment="1">
      <alignment horizontal="center" vertical="center" wrapText="1"/>
    </xf>
    <xf numFmtId="0" fontId="36" fillId="15" borderId="24" xfId="0" applyFont="1" applyFill="1" applyBorder="1" applyAlignment="1">
      <alignment horizontal="center" vertical="center"/>
    </xf>
    <xf numFmtId="176" fontId="31" fillId="0" borderId="24" xfId="0" applyNumberFormat="1" applyFont="1" applyBorder="1" applyAlignment="1">
      <alignment horizontal="center" vertical="center"/>
    </xf>
    <xf numFmtId="176" fontId="31" fillId="8" borderId="24" xfId="0" applyNumberFormat="1" applyFont="1" applyFill="1" applyBorder="1" applyAlignment="1">
      <alignment horizontal="center" vertical="center"/>
    </xf>
    <xf numFmtId="0" fontId="32" fillId="8" borderId="24" xfId="0" applyFont="1" applyFill="1" applyBorder="1" applyAlignment="1">
      <alignment horizontal="center" vertical="center"/>
    </xf>
    <xf numFmtId="9" fontId="31" fillId="8" borderId="24" xfId="0" applyNumberFormat="1" applyFont="1" applyFill="1" applyBorder="1" applyAlignment="1">
      <alignment horizontal="center" vertical="center"/>
    </xf>
    <xf numFmtId="9" fontId="32" fillId="0" borderId="24" xfId="0" applyNumberFormat="1" applyFont="1" applyBorder="1" applyAlignment="1">
      <alignment horizontal="center" vertical="center"/>
    </xf>
    <xf numFmtId="176" fontId="31" fillId="0" borderId="73" xfId="0" applyNumberFormat="1" applyFont="1" applyAlignment="1">
      <alignment horizontal="center" vertical="center"/>
    </xf>
    <xf numFmtId="0" fontId="36" fillId="15" borderId="26" xfId="0" applyFont="1" applyFill="1" applyBorder="1" applyAlignment="1">
      <alignment vertical="center" wrapText="1"/>
    </xf>
    <xf numFmtId="0" fontId="36" fillId="15" borderId="24" xfId="0" applyFont="1" applyFill="1" applyBorder="1" applyAlignment="1">
      <alignment vertical="center" wrapText="1"/>
    </xf>
    <xf numFmtId="0" fontId="40" fillId="15" borderId="24" xfId="0" applyFont="1" applyFill="1" applyBorder="1" applyAlignment="1">
      <alignment horizontal="center" vertical="center"/>
    </xf>
    <xf numFmtId="3" fontId="31" fillId="12" borderId="24" xfId="0" applyNumberFormat="1" applyFont="1" applyFill="1" applyBorder="1" applyAlignment="1">
      <alignment horizontal="center" vertical="center" wrapText="1"/>
    </xf>
    <xf numFmtId="182" fontId="31" fillId="0" borderId="24" xfId="0" applyNumberFormat="1" applyFont="1" applyBorder="1" applyAlignment="1">
      <alignment horizontal="center"/>
    </xf>
    <xf numFmtId="182" fontId="31" fillId="0" borderId="24" xfId="0" applyNumberFormat="1" applyFont="1" applyBorder="1" applyAlignment="1">
      <alignment horizontal="center" vertical="center"/>
    </xf>
    <xf numFmtId="49" fontId="32" fillId="0" borderId="24" xfId="0" applyNumberFormat="1" applyFont="1" applyBorder="1" applyAlignment="1">
      <alignment horizontal="center" vertical="center"/>
    </xf>
    <xf numFmtId="3" fontId="32" fillId="0" borderId="24" xfId="0" applyNumberFormat="1" applyFont="1" applyBorder="1" applyAlignment="1">
      <alignment horizontal="center" vertical="center"/>
    </xf>
    <xf numFmtId="0" fontId="40" fillId="15" borderId="73" xfId="0" applyFont="1" applyFill="1" applyAlignment="1">
      <alignment horizontal="center" vertical="center"/>
    </xf>
    <xf numFmtId="3" fontId="31" fillId="12" borderId="73" xfId="0" applyNumberFormat="1" applyFont="1" applyFill="1" applyAlignment="1">
      <alignment horizontal="center" vertical="center" wrapText="1"/>
    </xf>
    <xf numFmtId="176" fontId="32" fillId="0" borderId="73" xfId="0" applyNumberFormat="1" applyFont="1" applyAlignment="1">
      <alignment horizontal="center" vertical="center"/>
    </xf>
    <xf numFmtId="182" fontId="31" fillId="0" borderId="73" xfId="0" applyNumberFormat="1" applyFont="1" applyAlignment="1">
      <alignment horizontal="center"/>
    </xf>
    <xf numFmtId="182" fontId="31" fillId="0" borderId="73" xfId="0" applyNumberFormat="1" applyFont="1" applyAlignment="1">
      <alignment horizontal="center" vertical="center"/>
    </xf>
    <xf numFmtId="0" fontId="75" fillId="0" borderId="73" xfId="0" applyFont="1">
      <alignment vertical="center"/>
    </xf>
    <xf numFmtId="0" fontId="73" fillId="0" borderId="73" xfId="0" applyFont="1">
      <alignment vertical="center"/>
    </xf>
    <xf numFmtId="176" fontId="31" fillId="12" borderId="24" xfId="0" applyNumberFormat="1" applyFont="1" applyFill="1" applyBorder="1" applyAlignment="1">
      <alignment horizontal="center" vertical="center" wrapText="1"/>
    </xf>
    <xf numFmtId="49" fontId="31" fillId="0" borderId="24" xfId="0" applyNumberFormat="1" applyFont="1" applyBorder="1" applyAlignment="1">
      <alignment horizontal="center" vertical="center"/>
    </xf>
    <xf numFmtId="0" fontId="73" fillId="0" borderId="24" xfId="0" applyFont="1" applyBorder="1">
      <alignment vertical="center"/>
    </xf>
    <xf numFmtId="3" fontId="31" fillId="47" borderId="76" xfId="0" applyNumberFormat="1" applyFont="1" applyFill="1" applyBorder="1" applyAlignment="1">
      <alignment horizontal="center" vertical="center" wrapText="1"/>
    </xf>
    <xf numFmtId="3" fontId="31" fillId="47" borderId="93" xfId="0" applyNumberFormat="1" applyFont="1" applyFill="1" applyBorder="1" applyAlignment="1">
      <alignment horizontal="center" vertical="center" wrapText="1"/>
    </xf>
    <xf numFmtId="0" fontId="45" fillId="0" borderId="0" xfId="0" applyFont="1" applyBorder="1">
      <alignment vertical="center"/>
    </xf>
    <xf numFmtId="0" fontId="78" fillId="26" borderId="81" xfId="0" applyFont="1" applyFill="1" applyBorder="1" applyAlignment="1">
      <alignment horizontal="center" vertical="center"/>
    </xf>
    <xf numFmtId="0" fontId="59" fillId="0" borderId="81" xfId="0" applyFont="1" applyBorder="1" applyAlignment="1">
      <alignment horizontal="center" vertical="center"/>
    </xf>
    <xf numFmtId="10" fontId="59" fillId="0" borderId="81" xfId="0" applyNumberFormat="1" applyFont="1" applyBorder="1" applyAlignment="1">
      <alignment horizontal="center" vertical="center"/>
    </xf>
    <xf numFmtId="57" fontId="59" fillId="0" borderId="81" xfId="0" applyNumberFormat="1" applyFont="1" applyBorder="1" applyAlignment="1">
      <alignment horizontal="center" vertical="center"/>
    </xf>
    <xf numFmtId="0" fontId="61" fillId="11" borderId="20" xfId="0" applyFont="1" applyFill="1" applyBorder="1">
      <alignment vertical="center"/>
    </xf>
    <xf numFmtId="0" fontId="65" fillId="42" borderId="81" xfId="0" applyFont="1" applyFill="1" applyBorder="1" applyAlignment="1">
      <alignment horizontal="center" vertical="center"/>
    </xf>
    <xf numFmtId="0" fontId="65" fillId="44" borderId="81" xfId="0" applyFont="1" applyFill="1" applyBorder="1" applyAlignment="1">
      <alignment horizontal="center" vertical="center"/>
    </xf>
    <xf numFmtId="0" fontId="65" fillId="41" borderId="81" xfId="0" applyFont="1" applyFill="1" applyBorder="1" applyAlignment="1">
      <alignment horizontal="center" vertical="center"/>
    </xf>
    <xf numFmtId="0" fontId="65" fillId="0" borderId="81" xfId="0" applyFont="1" applyBorder="1" applyAlignment="1">
      <alignment horizontal="center" vertical="center"/>
    </xf>
    <xf numFmtId="0" fontId="8" fillId="11" borderId="73" xfId="0" applyFont="1" applyFill="1">
      <alignment vertical="center"/>
    </xf>
    <xf numFmtId="0" fontId="9" fillId="11" borderId="20" xfId="0" applyFont="1" applyFill="1" applyBorder="1">
      <alignment vertical="center"/>
    </xf>
    <xf numFmtId="0" fontId="79" fillId="11" borderId="73" xfId="0" applyFont="1" applyFill="1" applyAlignment="1">
      <alignment horizontal="left" vertical="center"/>
    </xf>
    <xf numFmtId="0" fontId="79" fillId="22" borderId="73" xfId="0" applyFont="1" applyFill="1">
      <alignment vertical="center"/>
    </xf>
    <xf numFmtId="0" fontId="79" fillId="11" borderId="73" xfId="0" applyFont="1" applyFill="1">
      <alignment vertical="center"/>
    </xf>
    <xf numFmtId="0" fontId="79" fillId="11" borderId="94" xfId="0" applyFont="1" applyFill="1" applyBorder="1" applyAlignment="1">
      <alignment horizontal="center" vertical="center"/>
    </xf>
    <xf numFmtId="0" fontId="80" fillId="11" borderId="20" xfId="4" applyBorder="1" applyAlignment="1">
      <alignment vertical="center"/>
    </xf>
    <xf numFmtId="0" fontId="80" fillId="11" borderId="73" xfId="4" applyAlignment="1">
      <alignment vertical="center"/>
    </xf>
    <xf numFmtId="0" fontId="80" fillId="11" borderId="73" xfId="4" applyAlignment="1">
      <alignment horizontal="center"/>
    </xf>
    <xf numFmtId="0" fontId="80" fillId="11" borderId="20" xfId="4" applyBorder="1" applyAlignment="1">
      <alignment horizontal="center"/>
    </xf>
    <xf numFmtId="0" fontId="73" fillId="11" borderId="73" xfId="0" applyFont="1" applyFill="1">
      <alignment vertical="center"/>
    </xf>
    <xf numFmtId="0" fontId="75" fillId="11" borderId="73" xfId="0" applyFont="1" applyFill="1">
      <alignment vertical="center"/>
    </xf>
    <xf numFmtId="0" fontId="32" fillId="11" borderId="73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73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73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176" fontId="8" fillId="0" borderId="46" xfId="0" applyNumberFormat="1" applyFont="1" applyBorder="1" applyAlignment="1">
      <alignment horizontal="center" vertical="center"/>
    </xf>
    <xf numFmtId="176" fontId="8" fillId="0" borderId="73" xfId="0" applyNumberFormat="1" applyFont="1" applyAlignment="1">
      <alignment horizontal="center" vertical="center"/>
    </xf>
    <xf numFmtId="176" fontId="8" fillId="0" borderId="19" xfId="0" applyNumberFormat="1" applyFont="1" applyBorder="1" applyAlignment="1">
      <alignment horizontal="center" vertical="center"/>
    </xf>
    <xf numFmtId="176" fontId="8" fillId="0" borderId="34" xfId="0" applyNumberFormat="1" applyFont="1" applyBorder="1" applyAlignment="1">
      <alignment horizontal="center" vertical="center"/>
    </xf>
    <xf numFmtId="176" fontId="8" fillId="0" borderId="40" xfId="0" applyNumberFormat="1" applyFont="1" applyBorder="1" applyAlignment="1">
      <alignment horizontal="center" vertical="center"/>
    </xf>
    <xf numFmtId="176" fontId="8" fillId="0" borderId="46" xfId="0" applyNumberFormat="1" applyFont="1" applyBorder="1" applyAlignment="1">
      <alignment horizontal="center" vertical="center" wrapText="1"/>
    </xf>
    <xf numFmtId="0" fontId="8" fillId="0" borderId="63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73" xfId="0" applyFont="1" applyAlignment="1">
      <alignment horizontal="center" vertical="center" wrapText="1"/>
    </xf>
    <xf numFmtId="0" fontId="8" fillId="0" borderId="49" xfId="0" applyFont="1" applyBorder="1" applyAlignment="1">
      <alignment horizontal="center" vertical="center" wrapText="1"/>
    </xf>
    <xf numFmtId="0" fontId="8" fillId="0" borderId="57" xfId="0" applyFont="1" applyBorder="1" applyAlignment="1">
      <alignment horizontal="center" vertical="center" wrapText="1"/>
    </xf>
    <xf numFmtId="0" fontId="8" fillId="0" borderId="64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31" xfId="0" applyFont="1" applyBorder="1" applyAlignment="1">
      <alignment horizontal="left" vertical="center" wrapText="1"/>
    </xf>
    <xf numFmtId="0" fontId="8" fillId="0" borderId="38" xfId="0" applyFont="1" applyBorder="1" applyAlignment="1">
      <alignment horizontal="left" vertical="center" wrapText="1"/>
    </xf>
    <xf numFmtId="0" fontId="8" fillId="0" borderId="41" xfId="0" applyFont="1" applyBorder="1" applyAlignment="1">
      <alignment horizontal="left" vertical="center" wrapText="1"/>
    </xf>
    <xf numFmtId="0" fontId="8" fillId="0" borderId="42" xfId="0" applyFont="1" applyBorder="1" applyAlignment="1">
      <alignment horizontal="left" vertical="center" wrapText="1"/>
    </xf>
    <xf numFmtId="0" fontId="8" fillId="0" borderId="44" xfId="0" applyFont="1" applyBorder="1" applyAlignment="1">
      <alignment horizontal="left" vertical="center" wrapText="1"/>
    </xf>
    <xf numFmtId="0" fontId="8" fillId="0" borderId="47" xfId="0" applyFont="1" applyBorder="1" applyAlignment="1">
      <alignment horizontal="left" vertical="center" wrapText="1"/>
    </xf>
    <xf numFmtId="0" fontId="8" fillId="0" borderId="68" xfId="0" applyFont="1" applyBorder="1" applyAlignment="1">
      <alignment horizontal="left" vertical="center" wrapText="1"/>
    </xf>
    <xf numFmtId="0" fontId="8" fillId="0" borderId="64" xfId="0" applyFont="1" applyBorder="1" applyAlignment="1">
      <alignment horizontal="left" vertical="center"/>
    </xf>
    <xf numFmtId="0" fontId="8" fillId="0" borderId="69" xfId="0" applyFont="1" applyBorder="1" applyAlignment="1">
      <alignment horizontal="left" vertical="center"/>
    </xf>
    <xf numFmtId="0" fontId="8" fillId="0" borderId="70" xfId="0" applyFont="1" applyBorder="1" applyAlignment="1">
      <alignment horizontal="left" vertical="center"/>
    </xf>
    <xf numFmtId="0" fontId="9" fillId="0" borderId="71" xfId="0" applyFont="1" applyBorder="1" applyAlignment="1">
      <alignment horizontal="left" vertical="center" wrapText="1"/>
    </xf>
    <xf numFmtId="0" fontId="8" fillId="0" borderId="72" xfId="0" applyFont="1" applyBorder="1" applyAlignment="1">
      <alignment horizontal="left" vertical="center"/>
    </xf>
    <xf numFmtId="0" fontId="12" fillId="0" borderId="73" xfId="0" applyFont="1" applyAlignment="1">
      <alignment horizontal="left" vertical="center" wrapText="1"/>
    </xf>
    <xf numFmtId="0" fontId="13" fillId="0" borderId="73" xfId="0" applyFont="1" applyAlignment="1">
      <alignment horizontal="left" vertical="center"/>
    </xf>
    <xf numFmtId="0" fontId="15" fillId="2" borderId="24" xfId="0" applyFont="1" applyFill="1" applyBorder="1" applyAlignment="1">
      <alignment horizontal="center" vertical="center"/>
    </xf>
    <xf numFmtId="0" fontId="14" fillId="9" borderId="20" xfId="0" applyFont="1" applyFill="1" applyBorder="1" applyAlignment="1">
      <alignment horizontal="center" vertical="center"/>
    </xf>
    <xf numFmtId="0" fontId="13" fillId="11" borderId="73" xfId="0" applyFont="1" applyFill="1">
      <alignment vertical="center"/>
    </xf>
    <xf numFmtId="0" fontId="18" fillId="2" borderId="24" xfId="0" applyFont="1" applyFill="1" applyBorder="1" applyAlignment="1">
      <alignment horizontal="center" vertical="center" wrapText="1"/>
    </xf>
    <xf numFmtId="0" fontId="19" fillId="12" borderId="24" xfId="0" applyFont="1" applyFill="1" applyBorder="1" applyAlignment="1">
      <alignment horizontal="left" vertical="top" wrapText="1"/>
    </xf>
    <xf numFmtId="0" fontId="15" fillId="2" borderId="18" xfId="0" applyFont="1" applyFill="1" applyBorder="1" applyAlignment="1">
      <alignment horizontal="center" vertical="center"/>
    </xf>
    <xf numFmtId="0" fontId="13" fillId="2" borderId="73" xfId="0" applyFont="1" applyFill="1" applyAlignment="1">
      <alignment horizontal="center" vertical="center"/>
    </xf>
    <xf numFmtId="14" fontId="15" fillId="2" borderId="18" xfId="0" applyNumberFormat="1" applyFont="1" applyFill="1" applyBorder="1" applyAlignment="1">
      <alignment horizontal="center" vertical="center"/>
    </xf>
    <xf numFmtId="14" fontId="13" fillId="2" borderId="73" xfId="0" applyNumberFormat="1" applyFont="1" applyFill="1" applyAlignment="1">
      <alignment horizontal="center" vertical="center"/>
    </xf>
    <xf numFmtId="0" fontId="17" fillId="2" borderId="73" xfId="0" applyFont="1" applyFill="1" applyAlignment="1">
      <alignment horizontal="center" vertical="center"/>
    </xf>
    <xf numFmtId="0" fontId="23" fillId="2" borderId="74" xfId="1" applyFont="1" applyFill="1" applyBorder="1" applyAlignment="1">
      <alignment horizontal="center" wrapText="1"/>
    </xf>
    <xf numFmtId="0" fontId="23" fillId="2" borderId="62" xfId="1" applyFont="1" applyFill="1" applyBorder="1" applyAlignment="1">
      <alignment horizontal="center"/>
    </xf>
    <xf numFmtId="0" fontId="23" fillId="2" borderId="74" xfId="1" applyFont="1" applyFill="1" applyBorder="1" applyAlignment="1">
      <alignment horizontal="center"/>
    </xf>
    <xf numFmtId="0" fontId="23" fillId="2" borderId="75" xfId="1" applyFont="1" applyFill="1" applyBorder="1" applyAlignment="1">
      <alignment horizontal="center"/>
    </xf>
    <xf numFmtId="0" fontId="26" fillId="2" borderId="27" xfId="1" applyFont="1" applyFill="1" applyBorder="1" applyAlignment="1">
      <alignment horizontal="center" wrapText="1"/>
    </xf>
    <xf numFmtId="0" fontId="26" fillId="2" borderId="26" xfId="1" applyFont="1" applyFill="1" applyBorder="1" applyAlignment="1">
      <alignment horizontal="center" wrapText="1"/>
    </xf>
    <xf numFmtId="0" fontId="26" fillId="2" borderId="27" xfId="1" applyFont="1" applyFill="1" applyBorder="1" applyAlignment="1">
      <alignment horizontal="center" vertical="center" wrapText="1"/>
    </xf>
    <xf numFmtId="0" fontId="26" fillId="2" borderId="28" xfId="1" applyFont="1" applyFill="1" applyBorder="1" applyAlignment="1">
      <alignment horizontal="center" vertical="center" wrapText="1"/>
    </xf>
    <xf numFmtId="0" fontId="26" fillId="2" borderId="26" xfId="1" applyFont="1" applyFill="1" applyBorder="1" applyAlignment="1">
      <alignment horizontal="center" vertical="center" wrapText="1"/>
    </xf>
    <xf numFmtId="0" fontId="23" fillId="2" borderId="74" xfId="1" applyFont="1" applyFill="1" applyBorder="1" applyAlignment="1">
      <alignment horizontal="left" vertical="center" wrapText="1"/>
    </xf>
    <xf numFmtId="0" fontId="23" fillId="2" borderId="73" xfId="1" applyFont="1" applyFill="1" applyAlignment="1">
      <alignment horizontal="left" vertical="center" wrapText="1"/>
    </xf>
    <xf numFmtId="0" fontId="27" fillId="11" borderId="20" xfId="1" applyFont="1" applyBorder="1" applyAlignment="1">
      <alignment vertical="center" wrapText="1"/>
    </xf>
    <xf numFmtId="0" fontId="22" fillId="11" borderId="73" xfId="1" applyFont="1" applyAlignment="1">
      <alignment vertical="center"/>
    </xf>
    <xf numFmtId="0" fontId="38" fillId="16" borderId="78" xfId="0" applyFont="1" applyFill="1" applyBorder="1" applyAlignment="1">
      <alignment horizontal="center" vertical="center"/>
    </xf>
    <xf numFmtId="0" fontId="37" fillId="0" borderId="79" xfId="0" applyFont="1" applyBorder="1" applyAlignment="1"/>
    <xf numFmtId="0" fontId="38" fillId="17" borderId="78" xfId="0" applyFont="1" applyFill="1" applyBorder="1" applyAlignment="1">
      <alignment horizontal="center" vertical="center"/>
    </xf>
    <xf numFmtId="0" fontId="37" fillId="0" borderId="79" xfId="0" applyFont="1" applyBorder="1" applyAlignment="1">
      <alignment horizontal="center"/>
    </xf>
    <xf numFmtId="0" fontId="38" fillId="16" borderId="76" xfId="0" applyFont="1" applyFill="1" applyBorder="1" applyAlignment="1">
      <alignment horizontal="center" vertical="center"/>
    </xf>
    <xf numFmtId="0" fontId="37" fillId="0" borderId="80" xfId="0" applyFont="1" applyBorder="1" applyAlignment="1"/>
    <xf numFmtId="0" fontId="38" fillId="18" borderId="76" xfId="0" applyFont="1" applyFill="1" applyBorder="1" applyAlignment="1">
      <alignment horizontal="center" vertical="center"/>
    </xf>
    <xf numFmtId="0" fontId="38" fillId="19" borderId="76" xfId="0" applyFont="1" applyFill="1" applyBorder="1" applyAlignment="1">
      <alignment horizontal="center" vertical="center"/>
    </xf>
    <xf numFmtId="0" fontId="38" fillId="20" borderId="76" xfId="0" applyFont="1" applyFill="1" applyBorder="1" applyAlignment="1">
      <alignment horizontal="center" vertical="center"/>
    </xf>
    <xf numFmtId="0" fontId="38" fillId="16" borderId="24" xfId="0" applyFont="1" applyFill="1" applyBorder="1" applyAlignment="1">
      <alignment horizontal="center" vertical="center"/>
    </xf>
    <xf numFmtId="0" fontId="37" fillId="0" borderId="24" xfId="0" applyFont="1" applyBorder="1" applyAlignment="1"/>
    <xf numFmtId="0" fontId="38" fillId="17" borderId="24" xfId="0" applyFont="1" applyFill="1" applyBorder="1" applyAlignment="1">
      <alignment horizontal="center" vertical="center"/>
    </xf>
    <xf numFmtId="0" fontId="37" fillId="0" borderId="24" xfId="0" applyFont="1" applyBorder="1" applyAlignment="1">
      <alignment horizontal="center"/>
    </xf>
    <xf numFmtId="0" fontId="38" fillId="18" borderId="24" xfId="0" applyFont="1" applyFill="1" applyBorder="1" applyAlignment="1">
      <alignment horizontal="center" vertical="center"/>
    </xf>
    <xf numFmtId="0" fontId="38" fillId="19" borderId="24" xfId="0" applyFont="1" applyFill="1" applyBorder="1" applyAlignment="1">
      <alignment horizontal="center" vertical="center"/>
    </xf>
    <xf numFmtId="0" fontId="38" fillId="20" borderId="24" xfId="0" applyFont="1" applyFill="1" applyBorder="1" applyAlignment="1">
      <alignment horizontal="center" vertical="center"/>
    </xf>
    <xf numFmtId="0" fontId="37" fillId="0" borderId="76" xfId="0" applyFont="1" applyBorder="1" applyAlignment="1"/>
    <xf numFmtId="0" fontId="38" fillId="17" borderId="76" xfId="0" applyFont="1" applyFill="1" applyBorder="1" applyAlignment="1">
      <alignment horizontal="center" vertical="center"/>
    </xf>
    <xf numFmtId="0" fontId="37" fillId="0" borderId="76" xfId="0" applyFont="1" applyBorder="1" applyAlignment="1">
      <alignment horizontal="center"/>
    </xf>
    <xf numFmtId="0" fontId="36" fillId="15" borderId="76" xfId="0" applyFont="1" applyFill="1" applyBorder="1" applyAlignment="1">
      <alignment horizontal="center" vertical="center"/>
    </xf>
    <xf numFmtId="0" fontId="37" fillId="0" borderId="82" xfId="0" applyFont="1" applyBorder="1" applyAlignment="1"/>
    <xf numFmtId="0" fontId="43" fillId="15" borderId="24" xfId="0" applyFont="1" applyFill="1" applyBorder="1" applyAlignment="1">
      <alignment horizontal="center" vertical="center"/>
    </xf>
    <xf numFmtId="0" fontId="43" fillId="15" borderId="76" xfId="0" applyFont="1" applyFill="1" applyBorder="1" applyAlignment="1">
      <alignment horizontal="center" vertical="center"/>
    </xf>
    <xf numFmtId="0" fontId="37" fillId="0" borderId="77" xfId="0" applyFont="1" applyBorder="1" applyAlignment="1"/>
    <xf numFmtId="0" fontId="37" fillId="0" borderId="83" xfId="0" applyFont="1" applyBorder="1" applyAlignment="1"/>
    <xf numFmtId="0" fontId="37" fillId="0" borderId="84" xfId="0" applyFont="1" applyBorder="1" applyAlignment="1"/>
    <xf numFmtId="0" fontId="41" fillId="0" borderId="76" xfId="0" applyFont="1" applyBorder="1" applyAlignment="1">
      <alignment horizontal="left" vertical="center" wrapText="1"/>
    </xf>
    <xf numFmtId="0" fontId="37" fillId="0" borderId="86" xfId="0" applyFont="1" applyBorder="1" applyAlignment="1"/>
    <xf numFmtId="0" fontId="37" fillId="0" borderId="87" xfId="0" applyFont="1" applyBorder="1" applyAlignment="1"/>
    <xf numFmtId="0" fontId="37" fillId="22" borderId="86" xfId="0" applyFont="1" applyFill="1" applyBorder="1" applyAlignment="1"/>
    <xf numFmtId="0" fontId="37" fillId="22" borderId="87" xfId="0" applyFont="1" applyFill="1" applyBorder="1" applyAlignment="1"/>
    <xf numFmtId="0" fontId="35" fillId="14" borderId="73" xfId="0" applyFont="1" applyFill="1" applyAlignment="1">
      <alignment horizontal="left" vertical="center" wrapText="1"/>
    </xf>
    <xf numFmtId="0" fontId="33" fillId="0" borderId="73" xfId="0" applyFont="1">
      <alignment vertical="center"/>
    </xf>
    <xf numFmtId="0" fontId="33" fillId="0" borderId="73" xfId="0" applyFont="1" applyAlignment="1">
      <alignment horizontal="center" vertical="center"/>
    </xf>
    <xf numFmtId="0" fontId="52" fillId="26" borderId="81" xfId="0" applyFont="1" applyFill="1" applyBorder="1" applyAlignment="1">
      <alignment horizontal="center" vertical="center" wrapText="1"/>
    </xf>
    <xf numFmtId="0" fontId="0" fillId="0" borderId="81" xfId="0" applyBorder="1">
      <alignment vertical="center"/>
    </xf>
    <xf numFmtId="0" fontId="52" fillId="26" borderId="81" xfId="0" applyFont="1" applyFill="1" applyBorder="1" applyAlignment="1">
      <alignment horizontal="center" wrapText="1"/>
    </xf>
    <xf numFmtId="0" fontId="57" fillId="29" borderId="0" xfId="0" applyFont="1" applyFill="1" applyBorder="1">
      <alignment vertical="center"/>
    </xf>
    <xf numFmtId="0" fontId="0" fillId="0" borderId="0" xfId="0" applyBorder="1">
      <alignment vertical="center"/>
    </xf>
    <xf numFmtId="0" fontId="58" fillId="26" borderId="81" xfId="0" applyFont="1" applyFill="1" applyBorder="1" applyAlignment="1">
      <alignment horizontal="center" vertical="center"/>
    </xf>
    <xf numFmtId="176" fontId="58" fillId="26" borderId="81" xfId="0" applyNumberFormat="1" applyFont="1" applyFill="1" applyBorder="1" applyAlignment="1">
      <alignment horizontal="center" vertical="center" wrapText="1"/>
    </xf>
    <xf numFmtId="0" fontId="63" fillId="33" borderId="81" xfId="0" applyFont="1" applyFill="1" applyBorder="1" applyAlignment="1">
      <alignment horizontal="center" vertical="center"/>
    </xf>
    <xf numFmtId="0" fontId="61" fillId="11" borderId="88" xfId="0" applyFont="1" applyFill="1" applyBorder="1">
      <alignment vertical="center"/>
    </xf>
    <xf numFmtId="0" fontId="63" fillId="34" borderId="81" xfId="0" applyFont="1" applyFill="1" applyBorder="1" applyAlignment="1">
      <alignment horizontal="center" vertical="center"/>
    </xf>
    <xf numFmtId="0" fontId="63" fillId="35" borderId="81" xfId="0" applyFont="1" applyFill="1" applyBorder="1" applyAlignment="1">
      <alignment horizontal="center" vertical="center"/>
    </xf>
    <xf numFmtId="0" fontId="63" fillId="36" borderId="81" xfId="0" applyFont="1" applyFill="1" applyBorder="1" applyAlignment="1">
      <alignment horizontal="center" vertical="center"/>
    </xf>
    <xf numFmtId="0" fontId="63" fillId="37" borderId="81" xfId="0" applyFont="1" applyFill="1" applyBorder="1" applyAlignment="1">
      <alignment horizontal="center" vertical="center"/>
    </xf>
    <xf numFmtId="0" fontId="63" fillId="38" borderId="81" xfId="0" applyFont="1" applyFill="1" applyBorder="1" applyAlignment="1">
      <alignment horizontal="center" vertical="center"/>
    </xf>
    <xf numFmtId="0" fontId="63" fillId="39" borderId="81" xfId="0" applyFont="1" applyFill="1" applyBorder="1" applyAlignment="1">
      <alignment horizontal="center" vertical="center"/>
    </xf>
    <xf numFmtId="0" fontId="63" fillId="40" borderId="81" xfId="0" applyFont="1" applyFill="1" applyBorder="1" applyAlignment="1">
      <alignment horizontal="center" vertical="center"/>
    </xf>
    <xf numFmtId="0" fontId="60" fillId="32" borderId="88" xfId="0" applyFont="1" applyFill="1" applyBorder="1" applyAlignment="1">
      <alignment horizontal="center" vertical="center"/>
    </xf>
    <xf numFmtId="0" fontId="64" fillId="41" borderId="81" xfId="0" applyFont="1" applyFill="1" applyBorder="1" applyAlignment="1">
      <alignment horizontal="center" vertical="center" wrapText="1"/>
    </xf>
    <xf numFmtId="0" fontId="64" fillId="41" borderId="81" xfId="0" applyFont="1" applyFill="1" applyBorder="1" applyAlignment="1">
      <alignment horizontal="center" vertical="center"/>
    </xf>
    <xf numFmtId="0" fontId="64" fillId="43" borderId="81" xfId="0" applyFont="1" applyFill="1" applyBorder="1" applyAlignment="1">
      <alignment horizontal="center" vertical="center" wrapText="1"/>
    </xf>
    <xf numFmtId="0" fontId="64" fillId="43" borderId="81" xfId="0" applyFont="1" applyFill="1" applyBorder="1" applyAlignment="1">
      <alignment horizontal="center" vertical="center"/>
    </xf>
    <xf numFmtId="0" fontId="64" fillId="0" borderId="81" xfId="0" applyFont="1" applyBorder="1" applyAlignment="1">
      <alignment horizontal="center" vertical="center" wrapText="1"/>
    </xf>
    <xf numFmtId="0" fontId="64" fillId="0" borderId="81" xfId="0" applyFont="1" applyBorder="1" applyAlignment="1">
      <alignment horizontal="center" vertical="center"/>
    </xf>
    <xf numFmtId="176" fontId="31" fillId="8" borderId="24" xfId="0" applyNumberFormat="1" applyFont="1" applyFill="1" applyBorder="1" applyAlignment="1">
      <alignment horizontal="center" vertical="center"/>
    </xf>
    <xf numFmtId="176" fontId="31" fillId="8" borderId="27" xfId="0" applyNumberFormat="1" applyFont="1" applyFill="1" applyBorder="1" applyAlignment="1">
      <alignment horizontal="center" vertical="center"/>
    </xf>
    <xf numFmtId="176" fontId="31" fillId="8" borderId="26" xfId="0" applyNumberFormat="1" applyFont="1" applyFill="1" applyBorder="1" applyAlignment="1">
      <alignment horizontal="center" vertical="center"/>
    </xf>
    <xf numFmtId="0" fontId="36" fillId="15" borderId="27" xfId="0" applyFont="1" applyFill="1" applyBorder="1" applyAlignment="1">
      <alignment horizontal="center" vertical="center"/>
    </xf>
    <xf numFmtId="0" fontId="36" fillId="15" borderId="28" xfId="0" applyFont="1" applyFill="1" applyBorder="1" applyAlignment="1">
      <alignment horizontal="center" vertical="center"/>
    </xf>
    <xf numFmtId="0" fontId="36" fillId="15" borderId="26" xfId="0" applyFont="1" applyFill="1" applyBorder="1" applyAlignment="1">
      <alignment horizontal="center" vertical="center"/>
    </xf>
    <xf numFmtId="0" fontId="43" fillId="15" borderId="18" xfId="0" applyFont="1" applyFill="1" applyBorder="1" applyAlignment="1">
      <alignment horizontal="center" vertical="center"/>
    </xf>
    <xf numFmtId="0" fontId="43" fillId="15" borderId="73" xfId="0" applyFont="1" applyFill="1" applyAlignment="1">
      <alignment horizontal="center" vertical="center"/>
    </xf>
    <xf numFmtId="0" fontId="36" fillId="15" borderId="24" xfId="0" applyFont="1" applyFill="1" applyBorder="1" applyAlignment="1">
      <alignment horizontal="center" vertical="center"/>
    </xf>
    <xf numFmtId="0" fontId="74" fillId="15" borderId="24" xfId="0" applyFont="1" applyFill="1" applyBorder="1" applyAlignment="1">
      <alignment horizontal="center" vertical="center"/>
    </xf>
    <xf numFmtId="0" fontId="76" fillId="15" borderId="24" xfId="0" applyFont="1" applyFill="1" applyBorder="1" applyAlignment="1">
      <alignment horizontal="center" vertical="center"/>
    </xf>
    <xf numFmtId="0" fontId="77" fillId="15" borderId="24" xfId="0" applyFont="1" applyFill="1" applyBorder="1" applyAlignment="1">
      <alignment horizontal="center" vertical="center"/>
    </xf>
    <xf numFmtId="176" fontId="31" fillId="0" borderId="24" xfId="0" applyNumberFormat="1" applyFont="1" applyBorder="1" applyAlignment="1">
      <alignment horizontal="center" vertical="center"/>
    </xf>
    <xf numFmtId="176" fontId="29" fillId="2" borderId="24" xfId="0" applyNumberFormat="1" applyFont="1" applyFill="1" applyBorder="1" applyAlignment="1">
      <alignment horizontal="center" vertical="center"/>
    </xf>
    <xf numFmtId="0" fontId="32" fillId="0" borderId="24" xfId="0" applyFont="1" applyBorder="1" applyAlignment="1">
      <alignment horizontal="center" vertical="center"/>
    </xf>
    <xf numFmtId="0" fontId="32" fillId="0" borderId="21" xfId="0" applyFont="1" applyBorder="1" applyAlignment="1">
      <alignment horizontal="center" vertical="center"/>
    </xf>
    <xf numFmtId="0" fontId="32" fillId="0" borderId="34" xfId="0" applyFont="1" applyBorder="1" applyAlignment="1">
      <alignment horizontal="center" vertical="center"/>
    </xf>
    <xf numFmtId="0" fontId="36" fillId="15" borderId="24" xfId="0" applyFont="1" applyFill="1" applyBorder="1" applyAlignment="1">
      <alignment horizontal="center" vertical="center" wrapText="1"/>
    </xf>
    <xf numFmtId="0" fontId="36" fillId="15" borderId="24" xfId="0" applyFont="1" applyFill="1" applyBorder="1" applyAlignment="1">
      <alignment vertical="center" wrapText="1"/>
    </xf>
    <xf numFmtId="176" fontId="29" fillId="46" borderId="24" xfId="0" applyNumberFormat="1" applyFont="1" applyFill="1" applyBorder="1" applyAlignment="1">
      <alignment horizontal="center" vertical="center"/>
    </xf>
    <xf numFmtId="0" fontId="36" fillId="15" borderId="34" xfId="0" applyFont="1" applyFill="1" applyBorder="1" applyAlignment="1">
      <alignment horizontal="center" vertical="center"/>
    </xf>
  </cellXfs>
  <cellStyles count="12">
    <cellStyle name="Accent3 2" xfId="8" xr:uid="{00000000-0005-0000-0000-000034000000}"/>
    <cellStyle name="Comma 2" xfId="9" xr:uid="{00000000-0005-0000-0000-000037000000}"/>
    <cellStyle name="Comma 3" xfId="3" xr:uid="{00000000-0005-0000-0000-000016000000}"/>
    <cellStyle name="Neutral 2" xfId="10" xr:uid="{00000000-0005-0000-0000-000038000000}"/>
    <cellStyle name="Normal" xfId="0" builtinId="0"/>
    <cellStyle name="Normal 12" xfId="5" xr:uid="{00000000-0005-0000-0000-00001F000000}"/>
    <cellStyle name="Normal 2" xfId="1" xr:uid="{00000000-0005-0000-0000-000012000000}"/>
    <cellStyle name="Normal 2 2 2" xfId="2" xr:uid="{00000000-0005-0000-0000-000013000000}"/>
    <cellStyle name="Normal 3" xfId="4" xr:uid="{00000000-0005-0000-0000-000019000000}"/>
    <cellStyle name="Normal 5 2" xfId="11" xr:uid="{00000000-0005-0000-0000-00003A000000}"/>
    <cellStyle name="Percent 2" xfId="6" xr:uid="{00000000-0005-0000-0000-00002B000000}"/>
    <cellStyle name="Percent 2 2" xfId="7" xr:uid="{00000000-0005-0000-0000-000030000000}"/>
  </cellStyles>
  <dxfs count="5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externalLink" Target="externalLinks/externalLink15.xml"/><Relationship Id="rId39" Type="http://schemas.openxmlformats.org/officeDocument/2006/relationships/externalLink" Target="externalLinks/externalLink28.xml"/><Relationship Id="rId21" Type="http://schemas.openxmlformats.org/officeDocument/2006/relationships/externalLink" Target="externalLinks/externalLink10.xml"/><Relationship Id="rId34" Type="http://schemas.openxmlformats.org/officeDocument/2006/relationships/externalLink" Target="externalLinks/externalLink23.xml"/><Relationship Id="rId42" Type="http://schemas.openxmlformats.org/officeDocument/2006/relationships/externalLink" Target="externalLinks/externalLink31.xml"/><Relationship Id="rId47" Type="http://schemas.openxmlformats.org/officeDocument/2006/relationships/styles" Target="styles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9" Type="http://schemas.openxmlformats.org/officeDocument/2006/relationships/externalLink" Target="externalLinks/externalLink18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externalLink" Target="externalLinks/externalLink21.xml"/><Relationship Id="rId37" Type="http://schemas.openxmlformats.org/officeDocument/2006/relationships/externalLink" Target="externalLinks/externalLink26.xml"/><Relationship Id="rId40" Type="http://schemas.openxmlformats.org/officeDocument/2006/relationships/externalLink" Target="externalLinks/externalLink29.xml"/><Relationship Id="rId45" Type="http://schemas.openxmlformats.org/officeDocument/2006/relationships/externalLink" Target="externalLinks/externalLink34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36" Type="http://schemas.openxmlformats.org/officeDocument/2006/relationships/externalLink" Target="externalLinks/externalLink25.xml"/><Relationship Id="rId49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0.xml"/><Relationship Id="rId44" Type="http://schemas.openxmlformats.org/officeDocument/2006/relationships/externalLink" Target="externalLinks/externalLink3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externalLink" Target="externalLinks/externalLink19.xml"/><Relationship Id="rId35" Type="http://schemas.openxmlformats.org/officeDocument/2006/relationships/externalLink" Target="externalLinks/externalLink24.xml"/><Relationship Id="rId43" Type="http://schemas.openxmlformats.org/officeDocument/2006/relationships/externalLink" Target="externalLinks/externalLink32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externalLink" Target="externalLinks/externalLink22.xml"/><Relationship Id="rId38" Type="http://schemas.openxmlformats.org/officeDocument/2006/relationships/externalLink" Target="externalLinks/externalLink27.xml"/><Relationship Id="rId46" Type="http://schemas.openxmlformats.org/officeDocument/2006/relationships/theme" Target="theme/theme1.xml"/><Relationship Id="rId20" Type="http://schemas.openxmlformats.org/officeDocument/2006/relationships/externalLink" Target="externalLinks/externalLink9.xml"/><Relationship Id="rId41" Type="http://schemas.openxmlformats.org/officeDocument/2006/relationships/externalLink" Target="externalLinks/externalLink3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158750</xdr:colOff>
      <xdr:row>23</xdr:row>
      <xdr:rowOff>144318</xdr:rowOff>
    </xdr:from>
    <xdr:ext cx="3989757" cy="3078061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r:link="rId1"/>
        <a:stretch>
          <a:fillRect/>
        </a:stretch>
      </xdr:blipFill>
      <xdr:spPr>
        <a:xfrm>
          <a:off x="0" y="0"/>
          <a:ext cx="3989757" cy="3078061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23</xdr:row>
      <xdr:rowOff>115455</xdr:rowOff>
    </xdr:from>
    <xdr:ext cx="3810000" cy="3099572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 r:link="rId2"/>
        <a:stretch>
          <a:fillRect/>
        </a:stretch>
      </xdr:blipFill>
      <xdr:spPr>
        <a:xfrm>
          <a:off x="0" y="0"/>
          <a:ext cx="3810000" cy="3099572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34</xdr:col>
      <xdr:colOff>1037917</xdr:colOff>
      <xdr:row>1</xdr:row>
      <xdr:rowOff>316476</xdr:rowOff>
    </xdr:from>
    <xdr:ext cx="3702460" cy="614516"/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0" y="0"/>
          <a:ext cx="0" cy="0"/>
        </a:xfrm>
        <a:prstGeom prst="roundRect">
          <a:avLst/>
        </a:prstGeom>
        <a:noFill/>
        <a:ln w="9525">
          <a:solidFill>
            <a:srgbClr val="F2F2F2"/>
          </a:solidFill>
          <a:prstDash val="solid"/>
          <a:headEnd/>
          <a:tailEnd/>
        </a:ln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166255</xdr:colOff>
      <xdr:row>1</xdr:row>
      <xdr:rowOff>58882</xdr:rowOff>
    </xdr:from>
    <xdr:ext cx="10263672" cy="5074232"/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0" y="0"/>
          <a:ext cx="0" cy="0"/>
        </a:xfrm>
        <a:prstGeom prst="roundRect">
          <a:avLst/>
        </a:prstGeom>
        <a:solidFill>
          <a:srgbClr val="F2F2F2"/>
        </a:solidFill>
        <a:ln w="9525">
          <a:solidFill>
            <a:srgbClr val="172C51"/>
          </a:solidFill>
          <a:prstDash val="solid"/>
          <a:headEnd/>
          <a:tailEnd/>
        </a:ln>
      </xdr:spPr>
      <xdr:txBody>
        <a:bodyPr anchorCtr="0"/>
        <a:lstStyle/>
        <a:p>
          <a:pPr lvl="0">
            <a:lnSpc>
              <a:spcPct val="150000"/>
            </a:lnSpc>
          </a:pPr>
          <a:endParaRPr/>
        </a:p>
        <a:p>
          <a:pPr lvl="0">
            <a:lnSpc>
              <a:spcPct val="150000"/>
            </a:lnSpc>
          </a:pPr>
          <a:endParaRPr/>
        </a:p>
        <a:p>
          <a:pPr lvl="0">
            <a:lnSpc>
              <a:spcPct val="120000"/>
            </a:lnSpc>
          </a:pPr>
          <a:r>
            <a:rPr sz="1650" b="1" i="0" strike="noStrike">
              <a:ln w="9525" cap="flat">
                <a:prstDash val="solid"/>
                <a:miter lim="800000"/>
                <a:headEnd type="none" w="sm" len="sm"/>
                <a:tailEnd type="none" w="sm" len="sm"/>
              </a:ln>
              <a:solidFill>
                <a:srgbClr val="000000"/>
              </a:solidFill>
              <a:latin typeface="Microsoft YaHei"/>
              <a:ea typeface="Microsoft YaHei"/>
            </a:rPr>
            <a:t>主要原因：</a:t>
          </a:r>
        </a:p>
        <a:p>
          <a:pPr lvl="0">
            <a:lnSpc>
              <a:spcPct val="120000"/>
            </a:lnSpc>
          </a:pPr>
          <a:r>
            <a:rPr sz="1650" b="0" i="0" strike="noStrike">
              <a:ln w="9525" cap="flat">
                <a:prstDash val="solid"/>
                <a:miter lim="800000"/>
                <a:headEnd type="none" w="sm" len="sm"/>
                <a:tailEnd type="none" w="sm" len="sm"/>
              </a:ln>
              <a:solidFill>
                <a:srgbClr val="000000"/>
              </a:solidFill>
              <a:latin typeface="Microsoft YaHei"/>
              <a:ea typeface="Microsoft YaHei"/>
            </a:rPr>
            <a:t>1、高流量平台引流效率下降：下降Doubao 提及217→275，但流量3500.77→2759；【展示变多了，但有效点击变少了】</a:t>
          </a:r>
        </a:p>
        <a:p>
          <a:pPr lvl="0">
            <a:lnSpc>
              <a:spcPct val="120000"/>
            </a:lnSpc>
          </a:pPr>
          <a:r>
            <a:rPr sz="1650" b="0" i="0" strike="noStrike">
              <a:ln w="9525" cap="flat">
                <a:prstDash val="solid"/>
                <a:miter lim="800000"/>
                <a:headEnd type="none" w="sm" len="sm"/>
                <a:tailEnd type="none" w="sm" len="sm"/>
              </a:ln>
              <a:solidFill>
                <a:srgbClr val="000000"/>
              </a:solidFill>
              <a:latin typeface="Microsoft YaHei"/>
              <a:ea typeface="Microsoft YaHei"/>
            </a:rPr>
            <a:t>2、新增提及更多落在低价值曝光：多个平台提及增加，但总流量下降-18.43%；【没有落到高意图词上：5-6月新增了许多行业词 入口注册这类减少】</a:t>
          </a:r>
        </a:p>
        <a:p>
          <a:pPr lvl="0">
            <a:lnSpc>
              <a:spcPct val="120000"/>
            </a:lnSpc>
          </a:pPr>
          <a:r>
            <a:rPr sz="1650" b="1" i="0" strike="noStrike">
              <a:ln w="9525" cap="flat">
                <a:prstDash val="solid"/>
                <a:miter lim="800000"/>
                <a:headEnd type="none" w="sm" len="sm"/>
                <a:tailEnd type="none" w="sm" len="sm"/>
              </a:ln>
              <a:solidFill>
                <a:srgbClr val="000000"/>
              </a:solidFill>
              <a:latin typeface="Microsoft YaHei"/>
              <a:ea typeface="Microsoft YaHei"/>
            </a:rPr>
            <a:t>7月行动：</a:t>
          </a:r>
        </a:p>
        <a:p>
          <a:pPr lvl="0">
            <a:lnSpc>
              <a:spcPct val="120000"/>
            </a:lnSpc>
          </a:pPr>
          <a:r>
            <a:rPr sz="1650" b="0" i="0" strike="noStrike">
              <a:ln w="9525" cap="flat">
                <a:prstDash val="solid"/>
                <a:miter lim="800000"/>
                <a:headEnd type="none" w="sm" len="sm"/>
                <a:tailEnd type="none" w="sm" len="sm"/>
              </a:ln>
              <a:solidFill>
                <a:srgbClr val="000000"/>
              </a:solidFill>
              <a:latin typeface="Microsoft YaHei"/>
              <a:ea typeface="Microsoft YaHei"/>
            </a:rPr>
            <a:t>1、调整词池结构：强化入口（新增50个提示词及相关内容）、入驻&amp;注册（提示词待审核）、费用类高意图词，减少泛词扩量</a:t>
          </a:r>
        </a:p>
        <a:p>
          <a:pPr lvl="0">
            <a:lnSpc>
              <a:spcPct val="120000"/>
            </a:lnSpc>
          </a:pPr>
          <a:r>
            <a:rPr sz="1650" b="1" i="0" strike="noStrike">
              <a:ln w="9525" cap="flat">
                <a:prstDash val="solid"/>
                <a:miter lim="800000"/>
                <a:headEnd type="none" w="sm" len="sm"/>
                <a:tailEnd type="none" w="sm" len="sm"/>
              </a:ln>
              <a:solidFill>
                <a:srgbClr val="000000"/>
              </a:solidFill>
              <a:latin typeface="Microsoft YaHei"/>
              <a:ea typeface="Microsoft YaHei"/>
            </a:rPr>
            <a:t>已经进行中：</a:t>
          </a:r>
        </a:p>
        <a:p>
          <a:pPr lvl="0">
            <a:lnSpc>
              <a:spcPct val="120000"/>
            </a:lnSpc>
          </a:pPr>
          <a:r>
            <a:rPr sz="1650" b="0" i="0" strike="noStrike">
              <a:ln w="9525" cap="flat">
                <a:prstDash val="solid"/>
                <a:miter lim="800000"/>
                <a:headEnd type="none" w="sm" len="sm"/>
                <a:tailEnd type="none" w="sm" len="sm"/>
              </a:ln>
              <a:solidFill>
                <a:srgbClr val="000000"/>
              </a:solidFill>
              <a:latin typeface="Microsoft YaHei"/>
              <a:ea typeface="Microsoft YaHei"/>
            </a:rPr>
            <a:t>1、入驻&amp;注册：内容RAG需要重新测试，上周已经初步成型</a:t>
          </a:r>
        </a:p>
        <a:p>
          <a:pPr lvl="0">
            <a:lnSpc>
              <a:spcPct val="120000"/>
            </a:lnSpc>
          </a:pPr>
          <a:r>
            <a:rPr sz="1650" b="0" i="0" strike="noStrike">
              <a:ln w="9525" cap="flat">
                <a:prstDash val="solid"/>
                <a:miter lim="800000"/>
                <a:headEnd type="none" w="sm" len="sm"/>
                <a:tailEnd type="none" w="sm" len="sm"/>
              </a:ln>
              <a:solidFill>
                <a:srgbClr val="000000"/>
              </a:solidFill>
              <a:latin typeface="Microsoft YaHei"/>
              <a:ea typeface="Microsoft YaHei"/>
            </a:rPr>
            <a:t>2、入口类在7月已经新增（50个提示词），内容打分完成待发布（预计一周内文章发布完成）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Downloads/HR-positions-map.xlsx" TargetMode="External"/><Relationship Id="rId1" Type="http://schemas.openxmlformats.org/officeDocument/2006/relationships/externalLinkPath" Target="/Users/yujiashi/Downloads/HR-positions-map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6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0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2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8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Downloads/Monthly_Infrastructure_01.xls" TargetMode="External"/><Relationship Id="rId1" Type="http://schemas.openxmlformats.org/officeDocument/2006/relationships/externalLinkPath" Target="/Users/yujiashi/Downloads/Monthly_Infrastructure_0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8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5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7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4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4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Downloads/CLOSE.XLS" TargetMode="External"/><Relationship Id="rId1" Type="http://schemas.openxmlformats.org/officeDocument/2006/relationships/externalLinkPath" Target="/Users/yujiashi/Downloads/CLOS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3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Downloads/CircuitInfo2.xls" TargetMode="External"/><Relationship Id="rId1" Type="http://schemas.openxmlformats.org/officeDocument/2006/relationships/externalLinkPath" Target="/Users/yujiashi/Downloads/CircuitInfo2.xls" TargetMode="External"/></Relationships>
</file>

<file path=xl/externalLinks/_rels/externalLink1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eo/Desktop/&#39033;&#30446;/&#20122;&#39532;&#36874;&#20840;&#29699;&#24320;&#24215;/GEO/2026&#24180;6&#26376;/&#25968;&#25454;/Users/leo/Desktop/&#39033;&#30446;/&#20122;&#39532;&#36874;&#20840;&#29699;&#24320;&#24215;/&#20854;&#20182;/Users/leo/Desktop/&#39033;&#30446;/&#20122;&#39532;&#36874;&#20840;&#29699;&#24320;&#24215;/GEO/2026&#24180;6&#26376;/https:/share.amazon.com/JE/201502/done/Succeed/NOV-13/CAC_CN_189.1_R_H_WZ_Accrual%20Freight%20in%20capitalization%201030.xls" TargetMode="External"/><Relationship Id="rId2" Type="http://schemas.microsoft.com/office/2019/04/relationships/externalLinkLongPath" Target="/Users/leo/Desktop/&#39033;&#30446;/&#20122;&#39532;&#36874;&#20840;&#29699;&#24320;&#24215;/GEO/2026&#24180;6&#26376;/&#25968;&#25454;/Users/leo/Desktop/&#39033;&#30446;/&#20122;&#39532;&#36874;&#20840;&#29699;&#24320;&#24215;/&#20854;&#20182;/Users/leo/Desktop/&#39033;&#30446;/&#20122;&#39532;&#36874;&#20840;&#29699;&#24320;&#24215;/GEO/2026&#24180;6&#26376;/https:/share.amazon.com/JE/201502/done/Succeed/NOV-13/CAC_CN_189.1_R_H_WZ_Accrual%20Freight%20in%20capitalization%201030.xls?5360A9E5" TargetMode="External"/><Relationship Id="rId1" Type="http://schemas.openxmlformats.org/officeDocument/2006/relationships/externalLinkPath" Target="file:///\\5360A9E5\CAC_CN_189.1_R_H_WZ_Accrual%20Freight%20in%20capitalization%201030.xls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Downloads/MERGER10.XLS" TargetMode="External"/><Relationship Id="rId1" Type="http://schemas.openxmlformats.org/officeDocument/2006/relationships/externalLinkPath" Target="/Users/yujiashi/Downloads/MERGER10.XLS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Downloads/216530_3.XLS" TargetMode="External"/><Relationship Id="rId1" Type="http://schemas.openxmlformats.org/officeDocument/2006/relationships/externalLinkPath" Target="/Users/yujiashi/Downloads/216530_3.XLS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Downloads/218593_1.xls" TargetMode="External"/><Relationship Id="rId1" Type="http://schemas.openxmlformats.org/officeDocument/2006/relationships/externalLinkPath" Target="/Users/yujiashi/Downloads/218593_1.xls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Downloads/209500_4.XLS" TargetMode="External"/><Relationship Id="rId1" Type="http://schemas.openxmlformats.org/officeDocument/2006/relationships/externalLinkPath" Target="/Users/yujiashi/Downloads/209500_4.XLS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Downloads/Sept98_7100.xls" TargetMode="External"/><Relationship Id="rId1" Type="http://schemas.openxmlformats.org/officeDocument/2006/relationships/externalLinkPath" Target="/Users/yujiashi/Downloads/Sept98_7100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Downloads/216530_1.XLS" TargetMode="External"/><Relationship Id="rId1" Type="http://schemas.openxmlformats.org/officeDocument/2006/relationships/externalLinkPath" Target="/Users/yujiashi/Downloads/216530_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9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7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1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leo/Desktop/&#39033;&#30446;/&#20122;&#39532;&#36874;&#20840;&#29699;&#24320;&#24215;/GEO/2026&#24180;6&#26376;/&#25968;&#25454;/Users/leo/Desktop/&#39033;&#30446;/&#20122;&#39532;&#36874;&#20840;&#29699;&#24320;&#24215;/&#20854;&#20182;/Users/leo/Desktop/&#39033;&#30446;/&#20122;&#39532;&#36874;&#20840;&#29699;&#24320;&#24215;/GEO/2026&#24180;6&#26376;/https:/share.amazon.com/ant/dept-as/Users/gwenying/Downloads/FY22%20Online%20Calendar%20Intake(3).xlsx" TargetMode="External"/><Relationship Id="rId1" Type="http://schemas.openxmlformats.org/officeDocument/2006/relationships/externalLinkPath" Target="/Users/leo/Desktop/&#39033;&#30446;/&#20122;&#39532;&#36874;&#20840;&#29699;&#24320;&#24215;/GEO/2026&#24180;6&#26376;/&#25968;&#25454;/Users/leo/Desktop/&#39033;&#30446;/&#20122;&#39532;&#36874;&#20840;&#29699;&#24320;&#24215;/&#20854;&#20182;/Users/leo/Desktop/&#39033;&#30446;/&#20122;&#39532;&#36874;&#20840;&#29699;&#24320;&#24215;/GEO/2026&#24180;6&#26376;/https:/share.amazon.com/ant/dept-as/Users/gwenying/Downloads/FY22%20Online%20Calendar%20Intake(3).xlsx" TargetMode="External"/></Relationships>
</file>

<file path=xl/externalLinks/_rels/externalLink29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eo/Desktop/&#39033;&#30446;/&#20122;&#39532;&#36874;&#20840;&#29699;&#24320;&#24215;/GEO/2026&#24180;6&#26376;/&#25968;&#25454;/Users/leo/Desktop/&#39033;&#30446;/&#20122;&#39532;&#36874;&#20840;&#29699;&#24320;&#24215;/&#20854;&#20182;/Users/leo/Desktop/&#39033;&#30446;/&#20122;&#39532;&#36874;&#20840;&#29699;&#24320;&#24215;/GEO/2026&#24180;6&#26376;/ant/dept-as/dept/Documents%20and%20Settings/bealee/Local%20Settings/Temporary%20Internet%20Files/OLK24/2001%20Q2%20Demand%20Generation%20Scorecard%20-%20Wk%20231.xls" TargetMode="External"/><Relationship Id="rId2" Type="http://schemas.microsoft.com/office/2019/04/relationships/externalLinkLongPath" Target="/Users/leo/Desktop/&#39033;&#30446;/&#20122;&#39532;&#36874;&#20840;&#29699;&#24320;&#24215;/GEO/2026&#24180;6&#26376;/&#25968;&#25454;/Users/leo/Desktop/&#39033;&#30446;/&#20122;&#39532;&#36874;&#20840;&#29699;&#24320;&#24215;/&#20854;&#20182;/Users/leo/Desktop/&#39033;&#30446;/&#20122;&#39532;&#36874;&#20840;&#29699;&#24320;&#24215;/GEO/2026&#24180;6&#26376;/ant/dept-as/dept/Documents%20and%20Settings/bealee/Local%20Settings/Temporary%20Internet%20Files/OLK24/2001%20Q2%20Demand%20Generation%20Scorecard%20-%20Wk%20231.xls?D220138D" TargetMode="External"/><Relationship Id="rId1" Type="http://schemas.openxmlformats.org/officeDocument/2006/relationships/externalLinkPath" Target="file:///\\D220138D\2001%20Q2%20Demand%20Generation%20Scorecard%20-%20Wk%20231.xls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leo/Desktop/&#39033;&#30446;/&#20122;&#39532;&#36874;&#20840;&#29699;&#24320;&#24215;/GEO/2026&#24180;6&#26376;/&#25968;&#25454;/Users/leo/Desktop/&#39033;&#30446;/&#20122;&#39532;&#36874;&#20840;&#29699;&#24320;&#24215;/&#20854;&#20182;/Users/leo/Desktop/&#39033;&#30446;/&#20122;&#39532;&#36874;&#20840;&#29699;&#24320;&#24215;/GEO/2026&#24180;6&#26376;/E:/AUTERA/RATES/UPS/RATE98/ZONE98.XLS" TargetMode="External"/><Relationship Id="rId1" Type="http://schemas.openxmlformats.org/officeDocument/2006/relationships/externalLinkPath" Target="/Users/leo/Desktop/&#39033;&#30446;/&#20122;&#39532;&#36874;&#20840;&#29699;&#24320;&#24215;/GEO/2026&#24180;6&#26376;/&#25968;&#25454;/Users/leo/Desktop/&#39033;&#30446;/&#20122;&#39532;&#36874;&#20840;&#29699;&#24320;&#24215;/&#20854;&#20182;/Users/leo/Desktop/&#39033;&#30446;/&#20122;&#39532;&#36874;&#20840;&#29699;&#24320;&#24215;/GEO/2026&#24180;6&#26376;/E:/AUTERA/RATES/UPS/RATE98/ZONE98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9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5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6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0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osition-drop-down"/>
      <sheetName val="OP1 Template"/>
      <sheetName val="Lists"/>
      <sheetName val="Master-Job Info"/>
      <sheetName val="Job Family reconciliation"/>
      <sheetName val="menu-lists"/>
      <sheetName val="DropDownLists"/>
      <sheetName val="List"/>
      <sheetName val="Settings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rrYear_V1"/>
      <sheetName val="YoY_V1"/>
      <sheetName val="V2"/>
      <sheetName val="Admin"/>
      <sheetName val="DATA_Depr_Capex"/>
      <sheetName val="OPPU - V1-V2 deck_v2.11"/>
      <sheetName val="Lists"/>
      <sheetName val="Contr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Template"/>
      <sheetName val="Flash"/>
      <sheetName val="Clothing SixBoxer"/>
      <sheetName val="BizDev SixBoxer"/>
      <sheetName val="Launches"/>
      <sheetName val="GMS"/>
      <sheetName val="Offers"/>
      <sheetName val="Units"/>
      <sheetName val="FBO"/>
      <sheetName val="LDR"/>
      <sheetName val="Quarantine"/>
      <sheetName val="Suspension"/>
      <sheetName val="AwaGV"/>
      <sheetName val="AwaSale"/>
      <sheetName val="ASP"/>
      <sheetName val="M &amp; S"/>
      <sheetName val="FBA"/>
      <sheetName val="RDR"/>
      <sheetName val="Traffic"/>
      <sheetName val="PCA"/>
      <sheetName val="FBA ASINs"/>
      <sheetName val="Category"/>
      <sheetName val="Brands"/>
      <sheetName val="Seller"/>
      <sheetName val="Sellers by Cat"/>
      <sheetName val="Top ASINs"/>
      <sheetName val="Clothing FlexBoxer"/>
      <sheetName val="BizDev FlexBoxer"/>
      <sheetName val="Offers Pivot"/>
      <sheetName val="3P Offers"/>
      <sheetName val="3P Offers PY "/>
      <sheetName val="3P Offers MS"/>
      <sheetName val="3P Offers Brands"/>
      <sheetName val="NS Offers MS"/>
      <sheetName val="NS Offers"/>
      <sheetName val="NS Offers PY"/>
      <sheetName val="NS Offers PC CY"/>
      <sheetName val="FBO Pivot"/>
      <sheetName val="3P FBO"/>
      <sheetName val="3P FBO PY"/>
      <sheetName val="3P FBO MS"/>
      <sheetName val="3P FBO Brands"/>
      <sheetName val="NS FBO MS"/>
      <sheetName val="NS FBO"/>
      <sheetName val="NS FBO PY"/>
      <sheetName val="NS FBO PC CY"/>
      <sheetName val="GMS Pivot"/>
      <sheetName val="3P GMS"/>
      <sheetName val="3P GMS PY"/>
      <sheetName val="3P GMS MS"/>
      <sheetName val="NS GMS"/>
      <sheetName val="NS GMS MS"/>
      <sheetName val="NS GMS PY"/>
      <sheetName val="NS GMS PC CY"/>
      <sheetName val="3P GMS Brands"/>
      <sheetName val="GMS YTD Pivot"/>
      <sheetName val="3P GMS YTD"/>
      <sheetName val="3P GMS PY YTD"/>
      <sheetName val="3P GMS YTD MS"/>
      <sheetName val="NS GMS YTD"/>
      <sheetName val="NS GMS PY YTD"/>
      <sheetName val="NS GMS PC YTD"/>
      <sheetName val="3P GMS Brands YTD"/>
      <sheetName val="LDR Pivot"/>
      <sheetName val="3P LDR"/>
      <sheetName val="3P LDR PY"/>
      <sheetName val="3P LDR MS"/>
      <sheetName val="3P LDR Brands"/>
      <sheetName val="NS LDR"/>
      <sheetName val="NS LDR MS"/>
      <sheetName val="NS LDR PY"/>
      <sheetName val="NS LDR PC CY"/>
      <sheetName val="AwaSale Pivot"/>
      <sheetName val="3P AwaSale"/>
      <sheetName val="3P AwaSale PY"/>
      <sheetName val="NS AwaSale"/>
      <sheetName val="NS AwaSale PY"/>
      <sheetName val="NS AwaSale PC CY"/>
      <sheetName val="3P AwaSale Brands"/>
      <sheetName val="AwaGV Pivot"/>
      <sheetName val="3P AwaGV"/>
      <sheetName val="3P AwaGV PY"/>
      <sheetName val="3P AwaGV MS"/>
      <sheetName val="NS AwaGV"/>
      <sheetName val="NS AwaGV MS"/>
      <sheetName val="NS AwaGV PY"/>
      <sheetName val="NS AwaGV PC CY"/>
      <sheetName val="3P AwaGV Brands"/>
      <sheetName val="Launch Pivot"/>
      <sheetName val="NS Launches"/>
      <sheetName val="NS Launches PY"/>
      <sheetName val="NS Launches YTD"/>
      <sheetName val="NS Launches PY YTD"/>
      <sheetName val="NS Launches FBA YTD"/>
      <sheetName val="NS Launches FBA PY YTD"/>
      <sheetName val="NS Launches Alltime"/>
      <sheetName val="NS Launches WBA YTD"/>
      <sheetName val="NS Launches WBA PY YTD"/>
      <sheetName val="NS Launches CBA YTD"/>
      <sheetName val="NS Launches CBA PY YTD"/>
      <sheetName val="Quarantine Pivot"/>
      <sheetName val="MS Pivot"/>
      <sheetName val="3P Top ASIN Data"/>
      <sheetName val="3P Top Parent ASIN Data"/>
      <sheetName val="NS Top ASIN Data"/>
      <sheetName val="NS Top Parent ASIN Data"/>
      <sheetName val="BB Eligibility Data"/>
      <sheetName val="3P Top Sellers"/>
      <sheetName val="NS Top Sellers"/>
      <sheetName val="3P ZM Data"/>
      <sheetName val="3P Quarantine MS"/>
      <sheetName val="Suspension Pivot"/>
      <sheetName val="Suspension Data"/>
      <sheetName val="Lists"/>
      <sheetName val="Contro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TransferSummary"/>
      <sheetName val="Recon"/>
      <sheetName val="Instructions"/>
      <sheetName val="OPEX"/>
      <sheetName val="South Korea"/>
      <sheetName val="Singapore"/>
      <sheetName val="China"/>
      <sheetName val="JPToCN"/>
      <sheetName val="JP Transfer to CN"/>
      <sheetName val="Pivot Data"/>
      <sheetName val="Global 2015 Incr HC Allocation"/>
      <sheetName val="FX"/>
      <sheetName val="FX Slice"/>
      <sheetName val="Merit"/>
      <sheetName val="TM1-old"/>
      <sheetName val="Allocations"/>
      <sheetName val="Map"/>
      <sheetName val="Inputs"/>
      <sheetName val="Salary"/>
      <sheetName val="List"/>
      <sheetName val="Salary-2014"/>
      <sheetName val="Intern-2014"/>
      <sheetName val="salary-2012"/>
      <sheetName val="Salary-2013"/>
      <sheetName val="TM1-Avg"/>
      <sheetName val="Sheet2"/>
      <sheetName val="Assumptions"/>
      <sheetName val="Internal Histo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mparison"/>
      <sheetName val="Summary"/>
      <sheetName val="Traffic"/>
      <sheetName val="Revenue"/>
      <sheetName val="Costs"/>
      <sheetName val="Depn"/>
      <sheetName val="Core Data"/>
      <sheetName val="OfficeExp"/>
      <sheetName val="TechExp"/>
      <sheetName val="R&amp;O Impact"/>
      <sheetName val="Rev Load"/>
      <sheetName val="Opex Load"/>
      <sheetName val="C_Intang Val"/>
      <sheetName val="B_Def Comp "/>
      <sheetName val="R&amp;O Impact 7_11"/>
      <sheetName val="CorpDev R&amp;O"/>
      <sheetName val="R&amp;O Impact 4_17"/>
      <sheetName val="R&amp;O 4_11"/>
      <sheetName val="Expenditure"/>
      <sheetName val="Input"/>
      <sheetName val="Essbase-GL_Pull"/>
      <sheetName val="2009_Bis Dev Assumptions"/>
      <sheetName val="2002 Exp"/>
      <sheetName val="Fin_Inv_Data"/>
      <sheetName val="Essbase"/>
      <sheetName val="TC Minutes"/>
      <sheetName val="FX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otal U.S. Infrastructure"/>
      <sheetName val="Total U.S. Infrastructure 1999"/>
      <sheetName val="Misc Detail"/>
      <sheetName val="Allocated Detail"/>
      <sheetName val="4300 Brand Detail"/>
      <sheetName val="4350 Cust Exp Detail"/>
      <sheetName val="Lists"/>
      <sheetName val="Essbase(HIDE)"/>
      <sheetName val="RawData"/>
      <sheetName val="Controls"/>
      <sheetName val="US_FR_FC_DPMO"/>
      <sheetName val="Internal History"/>
      <sheetName val="Dec 2009 ETB"/>
      <sheetName val="US_Data"/>
      <sheetName val="Maintenence"/>
      <sheetName val="IS-Ext"/>
      <sheetName val="Scorecard"/>
      <sheetName val="General Assumptions"/>
      <sheetName val="3M"/>
      <sheetName val="2010 ETB"/>
      <sheetName val="Index"/>
      <sheetName val="2000 Plan"/>
      <sheetName val="PopCache_Sheet1"/>
      <sheetName val="High Level Summary"/>
      <sheetName val="Data"/>
      <sheetName val="2009 ETB"/>
      <sheetName val="2002 Exp"/>
      <sheetName val="VG Data for summary"/>
      <sheetName val="Imaginarium Daily output"/>
      <sheetName val="Other Data for summary"/>
      <sheetName val="AMZN Daily output "/>
      <sheetName val="VG Revenue essbase 2001"/>
      <sheetName val="Baby Revenue essbase 2001"/>
      <sheetName val="ToysRUs essbase 2001"/>
      <sheetName val="Toys Revenue essbase 2001"/>
      <sheetName val="BabyRUs essbase 2001"/>
      <sheetName val="Toy Daily output"/>
      <sheetName val="VG Daily output"/>
      <sheetName val="Inventory"/>
      <sheetName val="Baby Daily output"/>
      <sheetName val="Toys Dashboard"/>
      <sheetName val="Baby Dashboard"/>
      <sheetName val="VG Dashboard"/>
      <sheetName val="OOS &amp; Rotos"/>
      <sheetName val="FOR TRU"/>
      <sheetName val="TRU Outbound Forecast - GMS"/>
      <sheetName val="2000 Data - Toys"/>
      <sheetName val="ToysRUs essbase 2000"/>
      <sheetName val="Toys Revenue essbase 2000"/>
      <sheetName val="VG Revenue essbase 2000"/>
      <sheetName val="Total_U_S__Infrastructure1"/>
      <sheetName val="Total_U_S__Infrastructure_19991"/>
      <sheetName val="Misc_Detail1"/>
      <sheetName val="Allocated_Detail1"/>
      <sheetName val="Total_U_S__Infrastructure"/>
      <sheetName val="Total_U_S__Infrastructure_1999"/>
      <sheetName val="Misc_Detail"/>
      <sheetName val="Allocated_Detail"/>
      <sheetName val="Total_U_S__Infrastructure2"/>
      <sheetName val="Total_U_S__Infrastructure_19992"/>
      <sheetName val="Misc_Detail2"/>
      <sheetName val="Allocated_Detail2"/>
      <sheetName val="Total_U_S__Infrastructure3"/>
      <sheetName val="Total_U_S__Infrastructure_19993"/>
      <sheetName val="Misc_Detail3"/>
      <sheetName val="Allocated_Detail3"/>
      <sheetName val="Total_U_S__Infrastructure4"/>
      <sheetName val="Total_U_S__Infrastructure_19994"/>
      <sheetName val="Misc_Detail4"/>
      <sheetName val="Allocated_Detail4"/>
      <sheetName val="Cover"/>
      <sheetName val="Retail-Whole"/>
      <sheetName val="Control"/>
      <sheetName val="PopCache"/>
      <sheetName val="Workings"/>
      <sheetName val="Tabelle2"/>
      <sheetName val="GMS"/>
      <sheetName val="Seller"/>
      <sheetName val="Catego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s"/>
      <sheetName val="US OP1"/>
      <sheetName val="US2 OP1"/>
      <sheetName val="US3 OP1"/>
      <sheetName val="US4 OP1"/>
      <sheetName val="US5 OP1"/>
      <sheetName val="2012 OP2 Variable Costs NA"/>
      <sheetName val="Variable Opex"/>
      <sheetName val="US Headcount"/>
      <sheetName val="ASINs Offers GMS by Cat"/>
      <sheetName val="Data Sheet"/>
      <sheetName val="Data Page - Direct Sales"/>
      <sheetName val="Data Page - SSR and Individuals"/>
      <sheetName val="2011 Variable Costs OP2 NA"/>
      <sheetName val="2012 OP1 Variable Costs NA"/>
      <sheetName val="2012 OP1.5 Variable Costs NA"/>
      <sheetName val="2011 Variable Costs Act NA"/>
      <sheetName val="Headcount 2012 OP1"/>
      <sheetName val="Headcount 2012 OP1.5"/>
      <sheetName val="Headcount 2010 Actual"/>
      <sheetName val="Headcount 2012 Actual"/>
      <sheetName val="2010 Variable Costs US Actual"/>
      <sheetName val="2011 Variable Costs CE3 NA"/>
      <sheetName val="2013 Variable Costs Est NA"/>
      <sheetName val="2014 Variable Costs Est NA"/>
      <sheetName val="2011 Variable Costs Rev Est."/>
      <sheetName val="Cognos Pull Admin Expenses"/>
      <sheetName val="Cognos Pull Employee Exp"/>
      <sheetName val="Cognos Pull Opex"/>
      <sheetName val="Cognos Pull Headcount"/>
      <sheetName val="Year Round Petco Employee List"/>
      <sheetName val="Headcount 2011 Actual"/>
      <sheetName val="Headcount 2012 OP2"/>
      <sheetName val="Headcount 2012 CE3"/>
      <sheetName val="Headcount 2013 OP1"/>
      <sheetName val="LAUNCHES"/>
      <sheetName val="TOTAL VALUE"/>
      <sheetName val="BUYABLE OFFERS"/>
      <sheetName val="ASINS CREATED"/>
      <sheetName val="M@ Goal Tracker"/>
      <sheetName val="Auto Total View"/>
      <sheetName val="Sheet1"/>
      <sheetName val="DD List"/>
      <sheetName val="Traffic"/>
      <sheetName val="CurrYear_V1"/>
      <sheetName val="V2"/>
      <sheetName val="Lists"/>
      <sheetName val="Sheet2"/>
      <sheetName val="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Input"/>
      <sheetName val="S-1 BS"/>
      <sheetName val="S-1 IS"/>
      <sheetName val="Increm IS"/>
      <sheetName val="S-1 CF-EXT"/>
      <sheetName val="S-1 CF-INT "/>
      <sheetName val="Consolidating_BS"/>
      <sheetName val="IS_Consolidating"/>
      <sheetName val="BS_UK"/>
      <sheetName val="IS_UK"/>
      <sheetName val="BS_DE"/>
      <sheetName val="IS_DE"/>
      <sheetName val="BS_IMDb"/>
      <sheetName val="IS_IMDb"/>
      <sheetName val="IS_AMAZON.JapanKK"/>
      <sheetName val="IS_AMAZON.frSARL"/>
      <sheetName val="IS_AMAZON.Spain"/>
      <sheetName val="BS_AMAZONINTL"/>
      <sheetName val="IS_AMAZONINTL"/>
      <sheetName val="BS_Planetall"/>
      <sheetName val="IS_PlanetAll"/>
      <sheetName val="BS_JUNGLEE"/>
      <sheetName val="IS_Junglee"/>
      <sheetName val="BS_MGREET"/>
      <sheetName val="IS_MGREET"/>
      <sheetName val="BS_AUCTIONS"/>
      <sheetName val="IS_AUCTIONS"/>
      <sheetName val="IS_AMAZON.comD"/>
      <sheetName val="IS_AMAZON.ksdc"/>
      <sheetName val="IS_AMAZON.kydc"/>
      <sheetName val="IS_AMAZON.gadc"/>
      <sheetName val="IS_ALEXA"/>
      <sheetName val="IS_ACCEPT"/>
      <sheetName val="IS_PETS"/>
      <sheetName val="IS_RED"/>
      <sheetName val="IS_EMPTOR"/>
      <sheetName val="IS_SOBRIQUET"/>
      <sheetName val="IS_BIBLIOFIND"/>
      <sheetName val="BS_Amazon01"/>
      <sheetName val=".com_Internal"/>
      <sheetName val="New Q3 Whiteboard"/>
      <sheetName val="3P GMS YTD MS"/>
      <sheetName val="IS-Ext"/>
      <sheetName val="HC Graphs"/>
      <sheetName val="GM"/>
      <sheetName val="Rev"/>
      <sheetName val="Key Drivers"/>
      <sheetName val="2009 ETB"/>
      <sheetName val="1D1.1 tax comp"/>
      <sheetName val="1D1.2 deferred tax"/>
      <sheetName val="1D1.3 tax accounts"/>
      <sheetName val="1D1.4 Fixed Asset Rollforward"/>
      <sheetName val="INV-Amz"/>
      <sheetName val="INV-Adv"/>
      <sheetName val="DE Inventory"/>
      <sheetName val="FR Inventory"/>
      <sheetName val="JP Inventory"/>
      <sheetName val="COGS_02"/>
      <sheetName val="CC ID"/>
      <sheetName val="Customize Your Purchase Order"/>
      <sheetName val="Index"/>
      <sheetName val="Vlookup"/>
      <sheetName val="Essbase"/>
      <sheetName val="Inv_Essbase"/>
      <sheetName val="P&amp;L - QTD"/>
      <sheetName val="P&amp;L - YTD"/>
      <sheetName val="S-1_BS1"/>
      <sheetName val="S-1_IS1"/>
      <sheetName val="Increm_IS1"/>
      <sheetName val="S-1_CF-EXT1"/>
      <sheetName val="S-1_CF-INT_1"/>
      <sheetName val="IS_AMAZON_JapanKK1"/>
      <sheetName val="IS_AMAZON_frSARL1"/>
      <sheetName val="IS_AMAZON_Spain1"/>
      <sheetName val="IS_AMAZON_comD1"/>
      <sheetName val="IS_AMAZON_ksdc1"/>
      <sheetName val="IS_AMAZON_kydc1"/>
      <sheetName val="IS_AMAZON_gadc1"/>
      <sheetName val="_com_Internal1"/>
      <sheetName val="New_Q3_Whiteboard1"/>
      <sheetName val="HC_Graphs1"/>
      <sheetName val="Key_Drivers1"/>
      <sheetName val="2009_ETB1"/>
      <sheetName val="1D1_1_tax_comp1"/>
      <sheetName val="1D1_2_deferred_tax1"/>
      <sheetName val="1D1_3_tax_accounts1"/>
      <sheetName val="1D1_4_Fixed_Asset_Rollforward1"/>
      <sheetName val="S-1_BS"/>
      <sheetName val="S-1_IS"/>
      <sheetName val="Increm_IS"/>
      <sheetName val="S-1_CF-EXT"/>
      <sheetName val="S-1_CF-INT_"/>
      <sheetName val="IS_AMAZON_JapanKK"/>
      <sheetName val="IS_AMAZON_frSARL"/>
      <sheetName val="IS_AMAZON_Spain"/>
      <sheetName val="IS_AMAZON_comD"/>
      <sheetName val="IS_AMAZON_ksdc"/>
      <sheetName val="IS_AMAZON_kydc"/>
      <sheetName val="IS_AMAZON_gadc"/>
      <sheetName val="_com_Internal"/>
      <sheetName val="New_Q3_Whiteboard"/>
      <sheetName val="HC_Graphs"/>
      <sheetName val="Key_Drivers"/>
      <sheetName val="2009_ETB"/>
      <sheetName val="1D1_1_tax_comp"/>
      <sheetName val="1D1_2_deferred_tax"/>
      <sheetName val="1D1_3_tax_accounts"/>
      <sheetName val="1D1_4_Fixed_Asset_Rollforward"/>
      <sheetName val="S-1_BS2"/>
      <sheetName val="S-1_IS2"/>
      <sheetName val="Increm_IS2"/>
      <sheetName val="S-1_CF-EXT2"/>
      <sheetName val="S-1_CF-INT_2"/>
      <sheetName val="IS_AMAZON_JapanKK2"/>
      <sheetName val="IS_AMAZON_frSARL2"/>
      <sheetName val="IS_AMAZON_Spain2"/>
      <sheetName val="IS_AMAZON_comD2"/>
      <sheetName val="IS_AMAZON_ksdc2"/>
      <sheetName val="IS_AMAZON_kydc2"/>
      <sheetName val="IS_AMAZON_gadc2"/>
      <sheetName val="_com_Internal2"/>
      <sheetName val="New_Q3_Whiteboard2"/>
      <sheetName val="HC_Graphs2"/>
      <sheetName val="Key_Drivers2"/>
      <sheetName val="2009_ETB2"/>
      <sheetName val="1D1_1_tax_comp2"/>
      <sheetName val="1D1_2_deferred_tax2"/>
      <sheetName val="1D1_3_tax_accounts2"/>
      <sheetName val="1D1_4_Fixed_Asset_Rollforward2"/>
      <sheetName val="S-1_BS3"/>
      <sheetName val="S-1_IS3"/>
      <sheetName val="Increm_IS3"/>
      <sheetName val="S-1_CF-EXT3"/>
      <sheetName val="S-1_CF-INT_3"/>
      <sheetName val="IS_AMAZON_JapanKK3"/>
      <sheetName val="IS_AMAZON_frSARL3"/>
      <sheetName val="IS_AMAZON_Spain3"/>
      <sheetName val="IS_AMAZON_comD3"/>
      <sheetName val="IS_AMAZON_ksdc3"/>
      <sheetName val="IS_AMAZON_kydc3"/>
      <sheetName val="IS_AMAZON_gadc3"/>
      <sheetName val="_com_Internal3"/>
      <sheetName val="New_Q3_Whiteboard3"/>
      <sheetName val="HC_Graphs3"/>
      <sheetName val="Key_Drivers3"/>
      <sheetName val="2009_ETB3"/>
      <sheetName val="1D1_1_tax_comp3"/>
      <sheetName val="1D1_2_deferred_tax3"/>
      <sheetName val="1D1_3_tax_accounts3"/>
      <sheetName val="1D1_4_Fixed_Asset_Rollforward3"/>
      <sheetName val="S-1_BS4"/>
      <sheetName val="S-1_IS4"/>
      <sheetName val="Increm_IS4"/>
      <sheetName val="S-1_CF-EXT4"/>
      <sheetName val="S-1_CF-INT_4"/>
      <sheetName val="IS_AMAZON_JapanKK4"/>
      <sheetName val="IS_AMAZON_frSARL4"/>
      <sheetName val="IS_AMAZON_Spain4"/>
      <sheetName val="IS_AMAZON_comD4"/>
      <sheetName val="IS_AMAZON_ksdc4"/>
      <sheetName val="IS_AMAZON_kydc4"/>
      <sheetName val="IS_AMAZON_gadc4"/>
      <sheetName val="_com_Internal4"/>
      <sheetName val="New_Q3_Whiteboard4"/>
      <sheetName val="HC_Graphs4"/>
      <sheetName val="Key_Drivers4"/>
      <sheetName val="2009_ETB4"/>
      <sheetName val="1D1_1_tax_comp4"/>
      <sheetName val="1D1_2_deferred_tax4"/>
      <sheetName val="1D1_3_tax_accounts4"/>
      <sheetName val="1D1_4_Fixed_Asset_Rollforward4"/>
      <sheetName val="Unvested Options Details"/>
      <sheetName val="Data&amp;TC"/>
      <sheetName val="P&amp;L Detail"/>
      <sheetName val="0 month rev assumption"/>
      <sheetName val="COGS"/>
      <sheetName val="Fin_Inv_Data"/>
      <sheetName val="Inv"/>
      <sheetName val="2002 Exp"/>
      <sheetName val="S-1_BS5"/>
      <sheetName val="S-1_IS5"/>
      <sheetName val="Increm_IS5"/>
      <sheetName val="S-1_CF-EXT5"/>
      <sheetName val="S-1_CF-INT_5"/>
      <sheetName val="IS_AMAZON_JapanKK5"/>
      <sheetName val="IS_AMAZON_frSARL5"/>
      <sheetName val="IS_AMAZON_Spain5"/>
      <sheetName val="IS_AMAZON_comD5"/>
      <sheetName val="IS_AMAZON_ksdc5"/>
      <sheetName val="IS_AMAZON_kydc5"/>
      <sheetName val="IS_AMAZON_gadc5"/>
      <sheetName val="_com_Internal5"/>
      <sheetName val="HC_Graphs5"/>
      <sheetName val="New_Q3_Whiteboard5"/>
      <sheetName val="Key_Drivers5"/>
      <sheetName val="2009_ETB5"/>
      <sheetName val="1D1_1_tax_comp5"/>
      <sheetName val="1D1_2_deferred_tax5"/>
      <sheetName val="1D1_3_tax_accounts5"/>
      <sheetName val="1D1_4_Fixed_Asset_Rollforward5"/>
      <sheetName val="CC_ID"/>
      <sheetName val="DE_Inventory"/>
      <sheetName val="FR_Inventory"/>
      <sheetName val="JP_Inventory"/>
      <sheetName val="Customize_Your_Purchase_Order"/>
      <sheetName val="P&amp;L_-_QTD"/>
      <sheetName val="P&amp;L_-_YTD"/>
      <sheetName val="3P_GMS_YTD_MS"/>
      <sheetName val="P&amp;L_Detail"/>
      <sheetName val="0_month_rev_assumption"/>
      <sheetName val="S-1_BS6"/>
      <sheetName val="S-1_IS6"/>
      <sheetName val="Increm_IS6"/>
      <sheetName val="S-1_CF-EXT6"/>
      <sheetName val="S-1_CF-INT_6"/>
      <sheetName val="IS_AMAZON_JapanKK6"/>
      <sheetName val="IS_AMAZON_frSARL6"/>
      <sheetName val="IS_AMAZON_Spain6"/>
      <sheetName val="IS_AMAZON_comD6"/>
      <sheetName val="IS_AMAZON_ksdc6"/>
      <sheetName val="IS_AMAZON_kydc6"/>
      <sheetName val="IS_AMAZON_gadc6"/>
      <sheetName val="_com_Internal6"/>
      <sheetName val="New_Q3_Whiteboard6"/>
      <sheetName val="HC_Graphs6"/>
      <sheetName val="Key_Drivers6"/>
      <sheetName val="2009_ETB6"/>
      <sheetName val="1D1_1_tax_comp6"/>
      <sheetName val="1D1_2_deferred_tax6"/>
      <sheetName val="1D1_3_tax_accounts6"/>
      <sheetName val="1D1_4_Fixed_Asset_Rollforward6"/>
      <sheetName val="CC_ID1"/>
      <sheetName val="DE_Inventory1"/>
      <sheetName val="FR_Inventory1"/>
      <sheetName val="JP_Inventory1"/>
      <sheetName val="Customize_Your_Purchase_Order1"/>
      <sheetName val="P&amp;L_-_QTD1"/>
      <sheetName val="P&amp;L_-_YTD1"/>
      <sheetName val="3P_GMS_YTD_MS1"/>
      <sheetName val="P&amp;L_Detail1"/>
      <sheetName val="0_month_rev_assumption1"/>
      <sheetName val="S-1_BS7"/>
      <sheetName val="S-1_IS7"/>
      <sheetName val="Increm_IS7"/>
      <sheetName val="S-1_CF-EXT7"/>
      <sheetName val="S-1_CF-INT_7"/>
      <sheetName val="IS_AMAZON_JapanKK7"/>
      <sheetName val="IS_AMAZON_frSARL7"/>
      <sheetName val="IS_AMAZON_Spain7"/>
      <sheetName val="IS_AMAZON_comD7"/>
      <sheetName val="IS_AMAZON_ksdc7"/>
      <sheetName val="IS_AMAZON_kydc7"/>
      <sheetName val="IS_AMAZON_gadc7"/>
      <sheetName val="_com_Internal7"/>
      <sheetName val="New_Q3_Whiteboard7"/>
      <sheetName val="HC_Graphs7"/>
      <sheetName val="Key_Drivers7"/>
      <sheetName val="2009_ETB7"/>
      <sheetName val="1D1_1_tax_comp7"/>
      <sheetName val="1D1_2_deferred_tax7"/>
      <sheetName val="1D1_3_tax_accounts7"/>
      <sheetName val="1D1_4_Fixed_Asset_Rollforward7"/>
      <sheetName val="CC_ID2"/>
      <sheetName val="DE_Inventory2"/>
      <sheetName val="FR_Inventory2"/>
      <sheetName val="JP_Inventory2"/>
      <sheetName val="Customize_Your_Purchase_Order2"/>
      <sheetName val="3P_GMS_YTD_MS2"/>
      <sheetName val="P&amp;L_-_QTD2"/>
      <sheetName val="P&amp;L_-_YTD2"/>
      <sheetName val="Unvested_Options_Details"/>
      <sheetName val="2002_Exp"/>
      <sheetName val="Consolidated"/>
      <sheetName val="Read Me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 refreshError="1"/>
      <sheetData sheetId="27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.6- PaidEdu Overall View"/>
      <sheetName val="5.7- PE Enrollment by Channel"/>
      <sheetName val="5.8-PE Enroll Rev by Channel"/>
      <sheetName val="5.9- PE Payment by Channel"/>
      <sheetName val="5.10 PE Paymnt Rev By Channel"/>
      <sheetName val="Home"/>
      <sheetName val="Weekly Callout"/>
      <sheetName val="5.1-Service by Amazon_Total"/>
      <sheetName val="5.2- Service By Amazon_Pipeline"/>
      <sheetName val="5.4-PaidEdu Traffic"/>
      <sheetName val="5.5-Ecommerce Attach"/>
      <sheetName val="5.3- Paid Education_Pipeline"/>
      <sheetName val="Education Enrollment"/>
      <sheetName val="SBA Goal"/>
      <sheetName val="Satisfaction"/>
      <sheetName val="Service Revenue"/>
      <sheetName val="PAS-data"/>
      <sheetName val="Pipeline data"/>
      <sheetName val="Hubble"/>
      <sheetName val="Attach Rate"/>
      <sheetName val="Revenue"/>
      <sheetName val="Enrollment Team"/>
      <sheetName val="JQ WBR Schedule"/>
      <sheetName val="Pipelinemanual"/>
      <sheetName val="3.City Ra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min"/>
      <sheetName val="Other Fixed"/>
      <sheetName val="Other Fixed Emg"/>
      <sheetName val="Other Variables"/>
      <sheetName val="Other Variables Emg"/>
      <sheetName val="CN"/>
      <sheetName val="Assumptions"/>
      <sheetName val="Summary"/>
      <sheetName val="OP per RMB"/>
      <sheetName val="Sheet1"/>
      <sheetName val="Input"/>
      <sheetName val="TTL"/>
      <sheetName val="CE"/>
      <sheetName val="OHL"/>
      <sheetName val="Cons"/>
      <sheetName val="GL--&gt;"/>
      <sheetName val="Books"/>
      <sheetName val="Wireless"/>
      <sheetName val="Camera"/>
      <sheetName val="MI"/>
      <sheetName val="ME"/>
      <sheetName val="Office"/>
      <sheetName val="Kitchen"/>
      <sheetName val="Sports"/>
      <sheetName val="HI"/>
      <sheetName val="Toy"/>
      <sheetName val="Home"/>
      <sheetName val="Auto"/>
      <sheetName val="Baby"/>
      <sheetName val="Wine"/>
      <sheetName val="Grocery"/>
      <sheetName val="HPC"/>
      <sheetName val="ATS 2017 OP2_01.0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Weekly Callout"/>
      <sheetName val="5.1-Service by Amazon_Total"/>
      <sheetName val="5.2- Service By Amazon_Pipeline"/>
      <sheetName val="Education Enrollment"/>
      <sheetName val="5.3- Paid Education_Pipeline"/>
      <sheetName val="5.4-PaidEdu Traffic"/>
      <sheetName val="5.5-Ecommerce Attach"/>
      <sheetName val="Satisfaction"/>
      <sheetName val="Service Revenue"/>
      <sheetName val="SBA Goal"/>
      <sheetName val="PAS-data"/>
      <sheetName val="Pipeline data"/>
      <sheetName val="Revenue"/>
      <sheetName val="Hubble"/>
      <sheetName val="Attach Rate"/>
      <sheetName val="Launch data"/>
      <sheetName val="Pipelinemanu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ller distribution"/>
      <sheetName val="NS Launches_Alltime"/>
      <sheetName val="3P GMS YTD MS"/>
      <sheetName val="CC ID"/>
      <sheetName val="2002 Exp"/>
      <sheetName val="S-1 CF-EXT"/>
      <sheetName val="Input"/>
      <sheetName val="IS_Consolidating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LOSE"/>
      <sheetName val="GTACAP"/>
      <sheetName val="BPCCAP"/>
      <sheetName val="GTANAV"/>
      <sheetName val="BPCNAV"/>
      <sheetName val="REITindex"/>
      <sheetName val="NAV - Table 6"/>
      <sheetName val="Implied Cap - Table 7"/>
      <sheetName val="Financials"/>
      <sheetName val="SMU - AVS with Leverage"/>
      <sheetName val="BTCNAV"/>
      <sheetName val="indicesMIK"/>
      <sheetName val="relative yields"/>
      <sheetName val="Utilities Index"/>
      <sheetName val="Debt Capacity"/>
      <sheetName val="BalSht"/>
      <sheetName val="Sum.det"/>
      <sheetName val="TBL7,9,5 "/>
      <sheetName val="orourke"/>
      <sheetName val="Indx94base"/>
      <sheetName val="reitonlyindex"/>
      <sheetName val="Employment"/>
      <sheetName val="Real GDP"/>
      <sheetName val="float"/>
      <sheetName val="int, dep &amp; other"/>
      <sheetName val="BS(TBL10)"/>
      <sheetName val="#REF"/>
      <sheetName val="NOI Est"/>
      <sheetName val="TBL2"/>
      <sheetName val="Inflation"/>
      <sheetName val="Portfolio"/>
      <sheetName val="EPS"/>
      <sheetName val="MODEL-7"/>
      <sheetName val="Table 12"/>
      <sheetName val="Financial"/>
      <sheetName val="EARNMOD"/>
      <sheetName val="Sheet5"/>
      <sheetName val="Sheet16"/>
      <sheetName val="laroux"/>
      <sheetName val="datamaster"/>
      <sheetName val="Data"/>
      <sheetName val="Data Master"/>
      <sheetName val="REIT TR"/>
      <sheetName val="Performance - Data"/>
      <sheetName val="Toronto"/>
      <sheetName val="Vancouver"/>
      <sheetName val="Calgary"/>
      <sheetName val="Edmonton"/>
      <sheetName val="Winnipeg"/>
      <sheetName val="Ottawa"/>
      <sheetName val="Montreal"/>
      <sheetName val="Halifax"/>
      <sheetName val="National"/>
      <sheetName val="email model"/>
      <sheetName val="Sheet1"/>
      <sheetName val="BS"/>
      <sheetName val="CF"/>
      <sheetName val="IS"/>
      <sheetName val="Quarterly"/>
      <sheetName val="Operating"/>
      <sheetName val="Model"/>
      <sheetName val="P&amp;L"/>
      <sheetName val="NAV"/>
      <sheetName val="Implied Cap Rate"/>
      <sheetName val="BalanceSheet"/>
      <sheetName val="OXGCAP"/>
      <sheetName val="OXGNAV"/>
      <sheetName val="TZHNAV"/>
      <sheetName val="TZHCAP"/>
      <sheetName val="BTCCAP"/>
      <sheetName val="Interest"/>
      <sheetName val="Implied Cap-9"/>
      <sheetName val="LeaseRolls-3"/>
      <sheetName val="NOI Estimate"/>
      <sheetName val="Components-6"/>
      <sheetName val="ACFO"/>
      <sheetName val="Portfolio-A1"/>
      <sheetName val="Rental NOI"/>
      <sheetName val="Bal Sht"/>
      <sheetName val="N"/>
      <sheetName val="Shares"/>
      <sheetName val="Inputs"/>
      <sheetName val="Company"/>
      <sheetName val="Control"/>
      <sheetName val="Newco"/>
      <sheetName val="BASE METAL PAGE"/>
      <sheetName val="Coal"/>
      <sheetName val="Market"/>
      <sheetName val="EDISON-2"/>
      <sheetName val="Oct R&amp;O"/>
      <sheetName val="LO"/>
      <sheetName val="HI"/>
      <sheetName val="fdg_22_a"/>
      <sheetName val="Yield"/>
      <sheetName val="fncl"/>
      <sheetName val="Non-Cable Value"/>
      <sheetName val="Quarterly Model OLD"/>
      <sheetName val="cdn_q2_96"/>
      <sheetName val="IBT"/>
      <sheetName val="nx"/>
      <sheetName val="Close120701"/>
      <sheetName val="Annual"/>
      <sheetName val="Close102902"/>
      <sheetName val="ACM Income"/>
      <sheetName val="Spring 1999"/>
      <sheetName val="Debt"/>
      <sheetName val="income"/>
      <sheetName val="CDN Long Dist"/>
      <sheetName val="Sheet4"/>
      <sheetName val="CDN ILECS - CONSOLIDATED"/>
      <sheetName val="NA Wireless"/>
      <sheetName val="Consolidated"/>
      <sheetName val="Mobility"/>
      <sheetName val="present"/>
      <sheetName val="value-fc"/>
      <sheetName val="Wireless"/>
      <sheetName val="14. Q2 2021 Team Level"/>
      <sheetName val="13. Q1 2021 Team Level"/>
      <sheetName val="2020 q4"/>
      <sheetName val="2020 q3"/>
      <sheetName val="2020 q2 "/>
      <sheetName val="2020 q1"/>
      <sheetName val="COVID Graphs"/>
      <sheetName val="Support_Transfer"/>
      <sheetName val="DC-USADJ"/>
      <sheetName val="Year Graph"/>
      <sheetName val="NAV_-_Table_6"/>
      <sheetName val="Implied_Cap_-_Table_7"/>
      <sheetName val="SMU_-_AVS_with_Leverage"/>
      <sheetName val="relative_yields"/>
      <sheetName val="Utilities_Index"/>
      <sheetName val="Debt_Capacity"/>
      <sheetName val="Sum_det"/>
      <sheetName val="TBL7,9,5_"/>
      <sheetName val="Real_GDP"/>
      <sheetName val="int,_dep_&amp;_other"/>
      <sheetName val="NOI_Est"/>
      <sheetName val="Table_12"/>
      <sheetName val="Data_Master"/>
      <sheetName val="REIT_TR"/>
      <sheetName val="Performance_-_Data"/>
      <sheetName val="email_model"/>
      <sheetName val="Implied_Cap_Rate"/>
      <sheetName val="Implied_Cap-9"/>
      <sheetName val="NOI_Estimate"/>
      <sheetName val="Rental_NOI"/>
      <sheetName val="Bal_Sht"/>
      <sheetName val="BASE_METAL_PAGE"/>
      <sheetName val="Oct_R&amp;O"/>
      <sheetName val="Non-Cable_Value"/>
      <sheetName val="Quarterly_Model_OLD"/>
      <sheetName val="ACM_Income"/>
      <sheetName val="Spring_1999"/>
      <sheetName val="CDN_Long_Dist"/>
      <sheetName val="CDN_ILECS_-_CONSOLIDATED"/>
      <sheetName val="NA_Wireless"/>
      <sheetName val="14__Q2_2021_Team_Level"/>
      <sheetName val="13__Q1_2021_Team_Level"/>
      <sheetName val="2020_q4"/>
      <sheetName val="2020_q3"/>
      <sheetName val="2020_q2_"/>
      <sheetName val="2020_q1"/>
      <sheetName val="COVID_Graphs"/>
      <sheetName val="Year_Graph"/>
      <sheetName val="2000 Aircraft Usage"/>
      <sheetName val="Cover"/>
      <sheetName val="CTRL"/>
      <sheetName val="DC"/>
      <sheetName val="Requerimiento"/>
      <sheetName val="IFRS"/>
      <sheetName val="Local"/>
      <sheetName val="Gastos no deducibles"/>
      <sheetName val="Gastos por reembolsos"/>
      <sheetName val="RSU"/>
      <sheetName val="Beneficios"/>
      <sheetName val="Conciliación"/>
      <sheetName val="Impuesto diferido"/>
      <sheetName val="PF"/>
      <sheetName val="Comentarios"/>
      <sheetName val="Activos fijos"/>
      <sheetName val="RS"/>
      <sheetName val="PR"/>
      <sheetName val="Facturas"/>
      <sheetName val="MV 2019"/>
      <sheetName val="TB"/>
      <sheetName val="Contabilidad MV"/>
      <sheetName val="Bal 2018"/>
      <sheetName val="Validación"/>
      <sheetName val="Plano MV"/>
      <sheetName val="Plano"/>
      <sheetName val="Resumen MV"/>
      <sheetName val="MV"/>
      <sheetName val="MV 2018"/>
      <sheetName val="OT"/>
      <sheetName val="DE"/>
      <sheetName val="PJ"/>
      <sheetName val="SU"/>
      <sheetName val="DA"/>
      <sheetName val="B1"/>
      <sheetName val="GO"/>
      <sheetName val="PE"/>
      <sheetName val="DL-Detalle"/>
      <sheetName val="DL"/>
      <sheetName val="Ajustes"/>
      <sheetName val="Config"/>
      <sheetName val="Retail-Whole"/>
      <sheetName val="DAT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untry List"/>
      <sheetName val="Headcount Input"/>
      <sheetName val="Sales Rep Productivity"/>
      <sheetName val="AM Productivity"/>
      <sheetName val="Spokes"/>
      <sheetName val="Funded Scenario"/>
      <sheetName val="OPEX per FTE"/>
      <sheetName val="Marketplace Output Tables"/>
      <sheetName val="Scenario Table Outputs"/>
      <sheetName val="HC&amp;OPEX Output Tables"/>
      <sheetName val="FTE Calculator"/>
      <sheetName val="Assumptions"/>
      <sheetName val="Aggregated Output"/>
      <sheetName val="2014 OPEX"/>
      <sheetName val="2014 OPEX by Marketplace"/>
      <sheetName val="Assumption"/>
      <sheetName val="Hiring Ramp - Plan"/>
      <sheetName val="CN 2015 Allocation "/>
      <sheetName val="P&amp;L-SGKRIN"/>
      <sheetName val="P&amp;L-MEAFLAEE"/>
      <sheetName val="New Entity Setup Costs"/>
      <sheetName val="Sheet1"/>
      <sheetName val="Inputs"/>
      <sheetName val="South Kore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 Chart"/>
      <sheetName val="Summary"/>
      <sheetName val="IP Transit"/>
      <sheetName val="AT&amp;T"/>
      <sheetName val="att issues"/>
      <sheetName val="Deutsche Telekom"/>
      <sheetName val="ELI"/>
      <sheetName val="ELI issues"/>
      <sheetName val="France Telecom"/>
      <sheetName val="Internap"/>
      <sheetName val="Westin"/>
      <sheetName val="MFN"/>
      <sheetName val="NevadaBell"/>
      <sheetName val="NTT"/>
      <sheetName val="Qwest-USWest"/>
      <sheetName val="qwest issues"/>
      <sheetName val="Southwestern Bell"/>
      <sheetName val="Sprint"/>
      <sheetName val="Telewest"/>
      <sheetName val="Verio"/>
      <sheetName val="Verizon"/>
      <sheetName val="Worldcom-UUNET-MFS"/>
      <sheetName val="wcom issues"/>
      <sheetName val="Lists"/>
      <sheetName val="Contracts Cheatsheet"/>
      <sheetName val="Category Model"/>
      <sheetName val="Output"/>
      <sheetName val="Data"/>
      <sheetName val="Rev Prior Yr"/>
      <sheetName val="BkLogPLInput"/>
      <sheetName val="CurEstRevSeas"/>
      <sheetName val="Input"/>
      <sheetName val="NetRev"/>
      <sheetName val="Benefit Costs"/>
      <sheetName val="Internal History"/>
      <sheetName val="FX"/>
      <sheetName val="Key Drivers"/>
      <sheetName val="IS-Ext"/>
      <sheetName val="ListOfChoice"/>
      <sheetName val="Options"/>
      <sheetName val="Q399 Outlook"/>
      <sheetName val="02-8E"/>
      <sheetName val="Macro Registry"/>
      <sheetName val="Nudge"/>
      <sheetName val="QBR"/>
      <sheetName val="Toy Daily output"/>
      <sheetName val="Trend DE"/>
      <sheetName val="2012_OP1"/>
      <sheetName val="FR 3Y Keyfacts (2)"/>
      <sheetName val="Summary_Chart1"/>
      <sheetName val="IP_Transit1"/>
      <sheetName val="att_issues1"/>
      <sheetName val="Deutsche_Telekom1"/>
      <sheetName val="ELI_issues1"/>
      <sheetName val="France_Telecom1"/>
      <sheetName val="qwest_issues1"/>
      <sheetName val="Southwestern_Bell1"/>
      <sheetName val="wcom_issues1"/>
      <sheetName val="Contracts_Cheatsheet1"/>
      <sheetName val="FR_3Y_Keyfacts_(2)1"/>
      <sheetName val="Summary_Chart"/>
      <sheetName val="IP_Transit"/>
      <sheetName val="att_issues"/>
      <sheetName val="Deutsche_Telekom"/>
      <sheetName val="ELI_issues"/>
      <sheetName val="France_Telecom"/>
      <sheetName val="qwest_issues"/>
      <sheetName val="Southwestern_Bell"/>
      <sheetName val="wcom_issues"/>
      <sheetName val="Contracts_Cheatsheet"/>
      <sheetName val="FR_3Y_Keyfacts_(2)"/>
      <sheetName val="Summary_Chart2"/>
      <sheetName val="IP_Transit2"/>
      <sheetName val="att_issues2"/>
      <sheetName val="Deutsche_Telekom2"/>
      <sheetName val="ELI_issues2"/>
      <sheetName val="France_Telecom2"/>
      <sheetName val="qwest_issues2"/>
      <sheetName val="Southwestern_Bell2"/>
      <sheetName val="wcom_issues2"/>
      <sheetName val="Contracts_Cheatsheet2"/>
      <sheetName val="FR_3Y_Keyfacts_(2)2"/>
      <sheetName val="Summary_Chart3"/>
      <sheetName val="IP_Transit3"/>
      <sheetName val="att_issues3"/>
      <sheetName val="Deutsche_Telekom3"/>
      <sheetName val="ELI_issues3"/>
      <sheetName val="France_Telecom3"/>
      <sheetName val="qwest_issues3"/>
      <sheetName val="Southwestern_Bell3"/>
      <sheetName val="wcom_issues3"/>
      <sheetName val="Contracts_Cheatsheet3"/>
      <sheetName val="FR_3Y_Keyfacts_(2)3"/>
      <sheetName val="Summary_Chart4"/>
      <sheetName val="IP_Transit4"/>
      <sheetName val="att_issues4"/>
      <sheetName val="Deutsche_Telekom4"/>
      <sheetName val="ELI_issues4"/>
      <sheetName val="France_Telecom4"/>
      <sheetName val="qwest_issues4"/>
      <sheetName val="Southwestern_Bell4"/>
      <sheetName val="wcom_issues4"/>
      <sheetName val="Contracts_Cheatsheet4"/>
      <sheetName val="FR_3Y_Keyfacts_(2)4"/>
      <sheetName val="Assumptions"/>
      <sheetName val="input OP1"/>
      <sheetName val="Output RnO"/>
      <sheetName val="LTN March 09 Summary"/>
      <sheetName val="%_PLAN"/>
      <sheetName val="Calcs (Satellite)"/>
      <sheetName val="Plan Q2Q3"/>
      <sheetName val="Essbase Pull"/>
      <sheetName val="Receipts Data"/>
      <sheetName val="Receipts Pivot"/>
      <sheetName val="Essbase 99 00"/>
      <sheetName val="Cover"/>
      <sheetName val="FY 00 ActsFcst"/>
      <sheetName val="Rev Points"/>
      <sheetName val="PPM Points"/>
      <sheetName val="GM Points (add comp)"/>
      <sheetName val="GM Points (Inv-AP)"/>
      <sheetName val="GM Points - Ship-GW"/>
      <sheetName val="FY2001"/>
      <sheetName val="Q3 GM to PPM Waterfall"/>
      <sheetName val="GM Dec"/>
      <sheetName val="Jan Waterfall"/>
      <sheetName val="GM Q4"/>
      <sheetName val="Q4 Waterfall "/>
      <sheetName val="GM Charts"/>
      <sheetName val="Op Income"/>
      <sheetName val="Customers"/>
      <sheetName val="Customer Data"/>
      <sheetName val="Customer Pivot"/>
      <sheetName val="DSS Customer Query"/>
      <sheetName val="Units"/>
      <sheetName val="Sheet1 (2)"/>
      <sheetName val="BackUp"/>
      <sheetName val="Metrics"/>
      <sheetName val="US Revenue"/>
      <sheetName val="GM%"/>
      <sheetName val="GM$"/>
      <sheetName val="Snapshot"/>
      <sheetName val="Category Sales"/>
      <sheetName val="PPM by Category"/>
      <sheetName val="Category Data"/>
      <sheetName val="Purchase Discounts"/>
      <sheetName val="Op Cycle "/>
      <sheetName val="Inventory Aging"/>
      <sheetName val="HeadCount"/>
      <sheetName val="Global Scorecards"/>
      <sheetName val="Scorecard"/>
      <sheetName val="General Assumptions"/>
      <sheetName val="Essbas"/>
      <sheetName val="Opex"/>
      <sheetName val="Metrics Query"/>
      <sheetName val="INPC"/>
      <sheetName val="TRAB REV"/>
      <sheetName val="Balance Sheet "/>
      <sheetName val="Tabelle2"/>
      <sheetName val="5.1a"/>
      <sheetName val="4.1a"/>
      <sheetName val="2.3"/>
      <sheetName val="DD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PopCache"/>
      <sheetName val="BneWorkBookProperties"/>
      <sheetName val="BneLog"/>
      <sheetName val="Sheet1"/>
      <sheetName val="5.6- PaidEdu Overall View"/>
      <sheetName val="5.7- PE Enrollment by Channel"/>
      <sheetName val="5.8-PE Enroll Rev by Channel"/>
      <sheetName val="5.9- PE Payment by Channel"/>
      <sheetName val="5.10 PE Paymnt Rev By Channel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erger"/>
      <sheetName val="Performance Graphs"/>
      <sheetName val="Lookup"/>
      <sheetName val="Seasons"/>
      <sheetName val="Control"/>
      <sheetName val="Lists"/>
      <sheetName val="Perspectives_Data"/>
      <sheetName val="6.Reqs Pivot"/>
      <sheetName val="IS"/>
      <sheetName val="Pamida"/>
      <sheetName val="Overview"/>
      <sheetName val="Mults"/>
      <sheetName val="Struc"/>
      <sheetName val="Input"/>
      <sheetName val="OpPage"/>
      <sheetName val="PriceMatrix"/>
      <sheetName val="WACC"/>
      <sheetName val="Co. C"/>
      <sheetName val="#REF"/>
      <sheetName val="Main Menu"/>
      <sheetName val="Instructions"/>
      <sheetName val="Assumptions"/>
      <sheetName val="Profit &amp; Loss"/>
      <sheetName val="DO NOT USE PRINT! Macro Data"/>
      <sheetName val="trasferimenti tra cdc"/>
      <sheetName val="Hoja2"/>
      <sheetName val="O"/>
      <sheetName val="Information"/>
      <sheetName val="trasferimenti_tra_cdc"/>
      <sheetName val="Co__C"/>
      <sheetName val="Main_Menu"/>
      <sheetName val="Profit_&amp;_Loss"/>
      <sheetName val="DO_NOT_USE_PRINT!_Macro_Data"/>
      <sheetName val="401083"/>
      <sheetName val="MERGER10"/>
      <sheetName val="MAIN"/>
      <sheetName val="Owatonna"/>
      <sheetName val="Actual"/>
      <sheetName val="LTN1 Dec"/>
      <sheetName val="Retail-Whole"/>
      <sheetName val="LF Documentation"/>
      <sheetName val="업무분장 "/>
      <sheetName val="공통"/>
      <sheetName val="Pull Down Tables"/>
      <sheetName val="3000PJ"/>
      <sheetName val="Menus"/>
      <sheetName val="Sheet1"/>
      <sheetName val="ref"/>
      <sheetName val="OLD-Mapping_Category"/>
      <sheetName val="Ref-Dropdown Options"/>
      <sheetName val="A"/>
      <sheetName val="trasferimenti_tra_cdc1"/>
      <sheetName val="Co__C1"/>
      <sheetName val="Main_Menu1"/>
      <sheetName val="Profit_&amp;_Loss1"/>
      <sheetName val="DO_NOT_USE_PRINT!_Macro_Data1"/>
      <sheetName val="trasferimenti_tra_cdc2"/>
      <sheetName val="Co__C2"/>
      <sheetName val="Main_Menu2"/>
      <sheetName val="Profit_&amp;_Loss2"/>
      <sheetName val="DO_NOT_USE_PRINT!_Macro_Data2"/>
      <sheetName val="HE Hobbit1"/>
      <sheetName val="Model"/>
      <sheetName val="Deferred's"/>
      <sheetName val="Summary Analysis"/>
      <sheetName val="P1 - ETR"/>
      <sheetName val="B.S."/>
      <sheetName val="Products"/>
      <sheetName val="I.S."/>
      <sheetName val="FA"/>
      <sheetName val="C.F."/>
      <sheetName val="Performance_Graphs"/>
      <sheetName val="6_Reqs_Pivot"/>
      <sheetName val="LTN1_Dec"/>
      <sheetName val="LF_Documentation"/>
      <sheetName val="업무분장_"/>
      <sheetName val="Graph by Product Type"/>
      <sheetName val="SGA Graph"/>
      <sheetName val="Income Summary"/>
      <sheetName val="Balance Summary"/>
      <sheetName val="SGA"/>
      <sheetName val="Subs- Input"/>
      <sheetName val="EDISON-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WC"/>
      <sheetName val="MP Graphs"/>
      <sheetName val="Inventory"/>
      <sheetName val="Customers"/>
      <sheetName val="SGA Graph"/>
      <sheetName val="MP Graphs DO NOT USe"/>
      <sheetName val="Bridge"/>
      <sheetName val="Income Summary"/>
      <sheetName val="Comparison Yearly"/>
      <sheetName val="Comparison 2004"/>
      <sheetName val="Comparison 2005"/>
      <sheetName val="Variance"/>
      <sheetName val="Comparison 04"/>
      <sheetName val="Retail-Whole"/>
      <sheetName val="Growth by Category"/>
      <sheetName val="Performance Graphs"/>
      <sheetName val="CAGRs"/>
      <sheetName val="List"/>
      <sheetName val="FX"/>
      <sheetName val="Mappings"/>
      <sheetName val="LOOKUP"/>
      <sheetName val="MAPPING"/>
      <sheetName val="Constant"/>
      <sheetName val="USD"/>
      <sheetName val="Notes"/>
      <sheetName val="Inputs"/>
      <sheetName val="CONTROL"/>
      <sheetName val="Admin"/>
      <sheetName val="GL PG"/>
      <sheetName val="PL-list"/>
      <sheetName val="Gross Margin Lookups"/>
      <sheetName val="Month"/>
      <sheetName val="GL List"/>
      <sheetName val="Lists"/>
      <sheetName val="MAP"/>
      <sheetName val="Master Data"/>
      <sheetName val="-&gt;"/>
      <sheetName val="LOOKUP (2)"/>
      <sheetName val="Lookups"/>
      <sheetName val="DO NOT DELETE"/>
      <sheetName val="DO NOTE DELETE"/>
      <sheetName val="New Q3 Whiteboard"/>
      <sheetName val="Index"/>
      <sheetName val="List_validation"/>
      <sheetName val="Sheet12"/>
      <sheetName val="Summary"/>
      <sheetName val="COGNOS"/>
      <sheetName val="How to"/>
      <sheetName val="DropDown"/>
      <sheetName val="Killer Table"/>
      <sheetName val="Killer_Table_Draft"/>
      <sheetName val="By Category"/>
      <sheetName val="By_GCID--&gt;"/>
      <sheetName val="by_gcid_final"/>
      <sheetName val="Consumables--&gt;"/>
      <sheetName val="Basics"/>
      <sheetName val="MP"/>
      <sheetName val="Data Val"/>
      <sheetName val="Capex Summary by FC"/>
      <sheetName val="2015-2016 Volume By Month"/>
      <sheetName val="Pre_set"/>
      <sheetName val="Acct listing"/>
      <sheetName val="List (Finance)"/>
      <sheetName val="IB forecast"/>
      <sheetName val="Others"/>
      <sheetName val="Update"/>
      <sheetName val="Scenarios"/>
      <sheetName val="有效值"/>
      <sheetName val="Controls"/>
      <sheetName val="Global AdHoc Results"/>
      <sheetName val="Ref"/>
      <sheetName val="EDISON-2"/>
      <sheetName val="Tables"/>
      <sheetName val="Source"/>
      <sheetName val="Monthly"/>
      <sheetName val="order_data"/>
      <sheetName val="Lists_2"/>
      <sheetName val="ステータスリスト"/>
      <sheetName val="DD"/>
      <sheetName val="Channels"/>
      <sheetName val="DE"/>
      <sheetName val="Sheet4"/>
      <sheetName val="Lookup Page"/>
      <sheetName val="VALUES-don't open"/>
      <sheetName val="Z Ref"/>
      <sheetName val="Sheet1"/>
      <sheetName val="Account"/>
      <sheetName val="Retail &gt;&gt;"/>
      <sheetName val="Pull Set Up MX"/>
      <sheetName val="vendor"/>
      <sheetName val="MERCH"/>
      <sheetName val="Key"/>
      <sheetName val="Menu"/>
      <sheetName val="Comparative"/>
      <sheetName val="Actual vs Plan"/>
      <sheetName val="Display_Ads_Detail_Mth"/>
      <sheetName val="Revenue Summary - WW"/>
      <sheetName val="Definitions"/>
      <sheetName val="Date Ref"/>
      <sheetName val="City List"/>
      <sheetName val="Data"/>
      <sheetName val="SGA_Graph"/>
      <sheetName val="MP_Graphs_DO_NOT_USe"/>
      <sheetName val="Income_Summary"/>
      <sheetName val="Comparison_Yearly"/>
      <sheetName val="Comparison_2004"/>
      <sheetName val="Comparison_2005"/>
      <sheetName val="Comparison_04"/>
      <sheetName val="Growth_by_Category"/>
      <sheetName val="MP_Graphs"/>
      <sheetName val="Performance_Graphs"/>
      <sheetName val="GL_List"/>
      <sheetName val="Gross_Margin_Lookups"/>
      <sheetName val="GL_PG"/>
      <sheetName val="LOOKUP_(2)"/>
      <sheetName val="Master_Data"/>
      <sheetName val="How_to"/>
      <sheetName val="DO_NOT_DELETE"/>
      <sheetName val="DO_NOTE_DELETE"/>
      <sheetName val="New_Q3_Whiteboard"/>
      <sheetName val="Data_Val"/>
      <sheetName val="Capex_Summary_by_FC"/>
      <sheetName val="2015-2016_Volume_By_Month"/>
      <sheetName val="Acct_listing"/>
      <sheetName val="List_(Finance)"/>
      <sheetName val="IB_forecast"/>
      <sheetName val="Fortune P&amp;L by Category Rates"/>
      <sheetName val="Options"/>
      <sheetName val="Maker List"/>
      <sheetName val="CLOSE"/>
      <sheetName val="WK18_No1"/>
      <sheetName val="Global_AdHoc_Results"/>
      <sheetName val="Killer_Table"/>
      <sheetName val="By_Category"/>
      <sheetName val="Lookup_Page"/>
      <sheetName val="VALUES-don't_open"/>
      <sheetName val="Z_Ref"/>
      <sheetName val="Pull_Set_Up_MX"/>
      <sheetName val="Retail_&gt;&gt;"/>
      <sheetName val="Heirarchy"/>
      <sheetName val="(管理用)プルダウンリスト"/>
      <sheetName val="Maker_List"/>
      <sheetName val="SGA_Graph1"/>
      <sheetName val="MP_Graphs_DO_NOT_USe1"/>
      <sheetName val="Income_Summary1"/>
      <sheetName val="Comparison_Yearly1"/>
      <sheetName val="Comparison_20041"/>
      <sheetName val="Comparison_20051"/>
      <sheetName val="Comparison_041"/>
      <sheetName val="Growth_by_Category1"/>
      <sheetName val="MP_Graphs1"/>
      <sheetName val="Performance_Graphs1"/>
      <sheetName val="GL_List1"/>
      <sheetName val="Gross_Margin_Lookups1"/>
      <sheetName val="GL_PG1"/>
      <sheetName val="LOOKUP_(2)1"/>
      <sheetName val="Master_Data1"/>
      <sheetName val="How_to1"/>
      <sheetName val="DO_NOT_DELETE1"/>
      <sheetName val="DO_NOTE_DELETE1"/>
      <sheetName val="New_Q3_Whiteboard1"/>
      <sheetName val="Capex_Summary_by_FC1"/>
      <sheetName val="Data_Val1"/>
      <sheetName val="2015-2016_Volume_By_Month1"/>
      <sheetName val="Acct_listing1"/>
      <sheetName val="List_(Finance)1"/>
      <sheetName val="IB_forecast1"/>
      <sheetName val="Actual_vs_Plan"/>
      <sheetName val="Revenue_Summary_-_WW"/>
      <sheetName val="City_List"/>
      <sheetName val="Date_Ref"/>
      <sheetName val="Fortune_P&amp;L_by_Category_Rates"/>
      <sheetName val="Master_List_ACES"/>
      <sheetName val="Master_List_SCT"/>
      <sheetName val="216530_3"/>
      <sheetName val="IVSA"/>
      <sheetName val="GoBigP&amp;L_50K"/>
      <sheetName val="Content Asset Expense"/>
      <sheetName val="SGA_Graph2"/>
      <sheetName val="MP_Graphs_DO_NOT_USe2"/>
      <sheetName val="Income_Summary2"/>
      <sheetName val="Comparison_Yearly2"/>
      <sheetName val="Comparison_20042"/>
      <sheetName val="Comparison_20052"/>
      <sheetName val="Comparison_042"/>
      <sheetName val="Growth_by_Category2"/>
      <sheetName val="MP_Graphs2"/>
      <sheetName val="Performance_Graphs2"/>
      <sheetName val="Gross_Margin_Lookups2"/>
      <sheetName val="DO_NOT_DELETE2"/>
      <sheetName val="DO_NOTE_DELETE2"/>
      <sheetName val="GL_PG2"/>
      <sheetName val="GL_List2"/>
      <sheetName val="LOOKUP_(2)2"/>
      <sheetName val="Master_Data2"/>
      <sheetName val="New_Q3_Whiteboard2"/>
      <sheetName val="Capex_Summary_by_FC2"/>
      <sheetName val="Data_Val2"/>
      <sheetName val="2015-2016_Volume_By_Month2"/>
      <sheetName val="Acct_listing2"/>
      <sheetName val="List_(Finance)2"/>
      <sheetName val="How_to2"/>
      <sheetName val="IB_forecast2"/>
      <sheetName val="Global_AdHoc_Results1"/>
      <sheetName val="Killer_Table1"/>
      <sheetName val="By_Category1"/>
      <sheetName val="Pull_Set_Up_MX1"/>
      <sheetName val="Lookup_Page1"/>
      <sheetName val="VALUES-don't_open1"/>
      <sheetName val="Z_Ref1"/>
      <sheetName val="Retail_&gt;&gt;1"/>
      <sheetName val="Actual_vs_Plan1"/>
      <sheetName val="Revenue_Summary_-_WW1"/>
      <sheetName val="City_List1"/>
      <sheetName val="Date_Ref1"/>
      <sheetName val="Fortune_P&amp;L_by_Category_Rates1"/>
      <sheetName val="Maker_List1"/>
      <sheetName val="Helper"/>
      <sheetName val="Feuil1"/>
      <sheetName val="Driver_lookup"/>
      <sheetName val="Content Asset Expense04"/>
      <sheetName val="Amort Trends Essbase"/>
      <sheetName val="Cat Dump"/>
      <sheetName val="setup"/>
      <sheetName val="Annexure"/>
      <sheetName val="comment"/>
      <sheetName val="Assumptions"/>
      <sheetName val="Daily Curve"/>
      <sheetName val="1171 SPR"/>
      <sheetName val="DS Org Structure"/>
      <sheetName val="Other 1172 &amp; 1173"/>
      <sheetName val="Week Level"/>
      <sheetName val="Graph by Product Type"/>
      <sheetName val="Balance Summary"/>
      <sheetName val="SGA"/>
      <sheetName val="PopCache"/>
      <sheetName val="weekly_metrics"/>
      <sheetName val="top_customers"/>
      <sheetName val="gainer_loser"/>
      <sheetName val="weekly_credits"/>
      <sheetName val="new_customers"/>
      <sheetName val="dropped_customers"/>
      <sheetName val="C"/>
      <sheetName val="Content_Asset_Expense"/>
      <sheetName val="BDD_YMT (2)"/>
      <sheetName val="Sample Audience Sizing"/>
      <sheetName val="MP_Graphs3"/>
      <sheetName val="SGA_Graph3"/>
      <sheetName val="MP_Graphs_DO_NOT_USe3"/>
      <sheetName val="Income_Summary3"/>
      <sheetName val="Comparison_Yearly3"/>
      <sheetName val="Comparison_20043"/>
      <sheetName val="Comparison_20053"/>
      <sheetName val="Comparison_043"/>
      <sheetName val="Growth_by_Category3"/>
      <sheetName val="Performance_Graphs3"/>
      <sheetName val="Gross_Margin_Lookups3"/>
      <sheetName val="List_(Finance)3"/>
      <sheetName val="IB_forecast3"/>
      <sheetName val="GL_List3"/>
      <sheetName val="DO_NOT_DELETE3"/>
      <sheetName val="DO_NOTE_DELETE3"/>
      <sheetName val="GL_PG3"/>
      <sheetName val="Master_Data3"/>
      <sheetName val="LOOKUP_(2)3"/>
      <sheetName val="Acct_listing3"/>
      <sheetName val="How_to3"/>
      <sheetName val="New_Q3_Whiteboard3"/>
      <sheetName val="Capex_Summary_by_FC3"/>
      <sheetName val="Data_Val3"/>
      <sheetName val="2015-2016_Volume_By_Month3"/>
      <sheetName val="Killer_Table2"/>
      <sheetName val="By_Category2"/>
      <sheetName val="Global_AdHoc_Results2"/>
      <sheetName val="Lookup_Page2"/>
      <sheetName val="VALUES-don't_open2"/>
      <sheetName val="Z_Ref2"/>
      <sheetName val="Pull_Set_Up_MX2"/>
      <sheetName val="Retail_&gt;&gt;2"/>
      <sheetName val="City_List2"/>
      <sheetName val="Revenue_Summary_-_WW2"/>
      <sheetName val="Actual_vs_Plan2"/>
      <sheetName val="Date_Ref2"/>
      <sheetName val="Fortune_P&amp;L_by_Category_Rates2"/>
      <sheetName val="Maker_List2"/>
      <sheetName val="Content_Asset_Expense1"/>
      <sheetName val="Content_Asset_Expense04"/>
      <sheetName val="Amort_Trends_Essbase"/>
      <sheetName val="Cat_Dump"/>
      <sheetName val="Daily_Curve"/>
      <sheetName val="1171_SPR"/>
      <sheetName val="DS_Org_Structure"/>
      <sheetName val="Other_1172_&amp;_1173"/>
      <sheetName val="Week_Level"/>
      <sheetName val="Graph_by_Product_Type"/>
      <sheetName val="Balance_Summary"/>
      <sheetName val="MAN"/>
      <sheetName val="Weekly HC Tracking Table"/>
      <sheetName val="REVENUE"/>
      <sheetName val="Cntmrs"/>
      <sheetName val="Statistics"/>
      <sheetName val="SGA_Graph4"/>
      <sheetName val="MP_Graphs_DO_NOT_USe4"/>
      <sheetName val="Income_Summary4"/>
      <sheetName val="Comparison_Yearly4"/>
      <sheetName val="Comparison_20044"/>
      <sheetName val="Comparison_20054"/>
      <sheetName val="Comparison_044"/>
      <sheetName val="Growth_by_Category4"/>
      <sheetName val="MP_Graphs4"/>
      <sheetName val="Performance_Graphs4"/>
      <sheetName val="Gross_Margin_Lookups4"/>
      <sheetName val="DO_NOT_DELETE4"/>
      <sheetName val="DO_NOTE_DELETE4"/>
      <sheetName val="GL_PG4"/>
      <sheetName val="GL_List4"/>
      <sheetName val="Master_Data4"/>
      <sheetName val="LOOKUP_(2)4"/>
      <sheetName val="Acct_listing4"/>
      <sheetName val="List_(Finance)4"/>
      <sheetName val="New_Q3_Whiteboard4"/>
      <sheetName val="Capex_Summary_by_FC4"/>
      <sheetName val="Data_Val4"/>
      <sheetName val="2015-2016_Volume_By_Month4"/>
      <sheetName val="How_to4"/>
      <sheetName val="IB_forecast4"/>
      <sheetName val="Global_AdHoc_Results3"/>
      <sheetName val="Killer_Table3"/>
      <sheetName val="By_Category3"/>
      <sheetName val="Pull_Set_Up_MX3"/>
      <sheetName val="Lookup_Page3"/>
      <sheetName val="VALUES-don't_open3"/>
      <sheetName val="Z_Ref3"/>
      <sheetName val="Retail_&gt;&gt;3"/>
      <sheetName val="Actual_vs_Plan3"/>
      <sheetName val="Revenue_Summary_-_WW3"/>
      <sheetName val="City_List3"/>
      <sheetName val="Date_Ref3"/>
      <sheetName val="Fortune_P&amp;L_by_Category_Rates3"/>
      <sheetName val="Maker_List3"/>
      <sheetName val="Content_Asset_Expense2"/>
      <sheetName val="Content_Asset_Expense041"/>
      <sheetName val="Amort_Trends_Essbase1"/>
      <sheetName val="Cat_Dump1"/>
      <sheetName val="Daily_Curve1"/>
      <sheetName val="1171_SPR1"/>
      <sheetName val="DS_Org_Structure1"/>
      <sheetName val="Other_1172_&amp;_11731"/>
      <sheetName val="Week_Level1"/>
      <sheetName val="Graph_by_Product_Type1"/>
      <sheetName val="Balance_Summary1"/>
      <sheetName val="Weekly_HC_Tracking_Table"/>
      <sheetName val="Sample_Audience_Sizing"/>
      <sheetName val="BDD_YMT_(2)"/>
      <sheetName val="INT April $ May abuse 2024"/>
      <sheetName val="Methodology Impact"/>
      <sheetName val="exh b-5"/>
      <sheetName val="exh b-2"/>
      <sheetName val="exh b-6"/>
      <sheetName val="exh b-8"/>
      <sheetName val="exh b-4"/>
      <sheetName val="exh b-3"/>
      <sheetName val="exh b-7"/>
      <sheetName val="exh b-1"/>
      <sheetName val="raw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/>
      <sheetData sheetId="244" refreshError="1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 refreshError="1"/>
      <sheetData sheetId="298" refreshError="1"/>
      <sheetData sheetId="299" refreshError="1"/>
      <sheetData sheetId="300" refreshError="1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 refreshError="1"/>
      <sheetData sheetId="355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raph by Product Type"/>
      <sheetName val="SGA Graph"/>
      <sheetName val="Income Summary"/>
      <sheetName val="Balance Summary"/>
      <sheetName val="SGA"/>
      <sheetName val="Graphs=&gt;"/>
      <sheetName val="Retail-Whole"/>
      <sheetName val="Sheet1 (2)"/>
      <sheetName val="&lt;=Data"/>
      <sheetName val="CIM"/>
      <sheetName val="Chart Data"/>
      <sheetName val="Upside Quarterly "/>
      <sheetName val="Upside vs. Base"/>
      <sheetName val="Base Quarterly"/>
      <sheetName val="Base Summary"/>
      <sheetName val="Val Sum"/>
      <sheetName val="Football"/>
      <sheetName val="CAGR"/>
      <sheetName val="Assumptions"/>
      <sheetName val="CF Summary"/>
      <sheetName val="Q1 05 Comparison for MP"/>
      <sheetName val="Analysis=&gt;"/>
      <sheetName val="LBO Output"/>
      <sheetName val="LBO Sensitivity"/>
      <sheetName val="CF"/>
      <sheetName val="Cap"/>
      <sheetName val="LBO"/>
      <sheetName val="DCF"/>
      <sheetName val="Comparison"/>
      <sheetName val="Other Revenue"/>
      <sheetName val="BUDG2004-Post CIM"/>
      <sheetName val="COVER"/>
      <sheetName val="TOC"/>
      <sheetName val="I. SUMMARY"/>
      <sheetName val="I.1 Graphs"/>
      <sheetName val="II. MODEL"/>
      <sheetName val="III.1 Revenue"/>
      <sheetName val="III.2 COGS"/>
      <sheetName val="III.3 Gross Margin"/>
      <sheetName val="III.4 SG&amp;A"/>
      <sheetName val="III.4a LEASE"/>
      <sheetName val="III. 5 CAPEX"/>
      <sheetName val="III.4 REVENUE - By DC"/>
      <sheetName val="FINAL BUDG2004 FINAL"/>
      <sheetName val="2004 YE Adjustments"/>
      <sheetName val="Comparison 2004 Actual"/>
      <sheetName val="Comparisons=&gt;"/>
      <sheetName val="Q1 05 Comparison by month"/>
      <sheetName val="December Comparison by Year"/>
      <sheetName val="December Comparison"/>
      <sheetName val="4Q Days"/>
      <sheetName val="4Q Comparison - Revenue"/>
      <sheetName val="4Q Comparison - COGS"/>
      <sheetName val="4Q Comparison - GM"/>
      <sheetName val="RAW-&gt;"/>
      <sheetName val="1Q 05 YTD"/>
      <sheetName val="1Q 04 YTD"/>
      <sheetName val="BUDGFINALX2004"/>
      <sheetName val="BUDG2004FINAL"/>
      <sheetName val="BUDG2004NEW2"/>
      <sheetName val="BUDG2004NEW"/>
      <sheetName val="ANNBUD2004"/>
      <sheetName val="2002Q"/>
      <sheetName val="2003-2004Q"/>
      <sheetName val="Rev by Prod"/>
      <sheetName val="Dec04"/>
      <sheetName val="Real Estate Leases"/>
      <sheetName val="Depr- Equip"/>
      <sheetName val="Depr - Office"/>
      <sheetName val="Depr - Vehicles"/>
      <sheetName val="MACRS"/>
      <sheetName val="November03"/>
      <sheetName val="October03"/>
      <sheetName val="November04"/>
      <sheetName val="October04"/>
      <sheetName val="List"/>
      <sheetName val="WC"/>
      <sheetName val="MP Graphs"/>
      <sheetName val="Lookup Page"/>
      <sheetName val="LOOKUP"/>
      <sheetName val="Inputs"/>
      <sheetName val="Control"/>
      <sheetName val="validationInfo"/>
      <sheetName val="Admin"/>
      <sheetName val="Lists"/>
      <sheetName val="Sheet1_(2)"/>
      <sheetName val="Graph_by_Product_Type"/>
      <sheetName val="Chart_Data"/>
      <sheetName val="Upside_Quarterly_"/>
      <sheetName val="Upside_vs__Base"/>
      <sheetName val="Base_Quarterly"/>
      <sheetName val="Base_Summary"/>
      <sheetName val="Val_Sum"/>
      <sheetName val="Balance_Summary"/>
      <sheetName val="CF_Summary"/>
      <sheetName val="Income_Summary"/>
      <sheetName val="SGA_Graph"/>
      <sheetName val="Q1_05_Comparison_for_MP"/>
      <sheetName val="LBO_Output"/>
      <sheetName val="LBO_Sensitivity"/>
      <sheetName val="Other_Revenue"/>
      <sheetName val="BUDG2004-Post_CIM"/>
      <sheetName val="I__SUMMARY"/>
      <sheetName val="I_1_Graphs"/>
      <sheetName val="II__MODEL"/>
      <sheetName val="III_1_Revenue"/>
      <sheetName val="III_2_COGS"/>
      <sheetName val="III_3_Gross_Margin"/>
      <sheetName val="III_4_SG&amp;A"/>
      <sheetName val="III_4a_LEASE"/>
      <sheetName val="III__5_CAPEX"/>
      <sheetName val="III_4_REVENUE_-_By_DC"/>
      <sheetName val="FINAL_BUDG2004_FINAL"/>
      <sheetName val="2004_YE_Adjustments"/>
      <sheetName val="Comparison_2004_Actual"/>
      <sheetName val="Q1_05_Comparison_by_month"/>
      <sheetName val="December_Comparison_by_Year"/>
      <sheetName val="December_Comparison"/>
      <sheetName val="4Q_Days"/>
      <sheetName val="4Q_Comparison_-_Revenue"/>
      <sheetName val="4Q_Comparison_-_COGS"/>
      <sheetName val="4Q_Comparison_-_GM"/>
      <sheetName val="1Q_05_YTD"/>
      <sheetName val="1Q_04_YTD"/>
      <sheetName val="Rev_by_Prod"/>
      <sheetName val="Real_Estate_Leases"/>
      <sheetName val="Depr-_Equip"/>
      <sheetName val="Depr_-_Office"/>
      <sheetName val="Depr_-_Vehicles"/>
      <sheetName val="MP_Graphs"/>
      <sheetName val="Lookup_Page"/>
      <sheetName val="Sheet1_(2)1"/>
      <sheetName val="Graph_by_Product_Type1"/>
      <sheetName val="Chart_Data1"/>
      <sheetName val="Upside_Quarterly_1"/>
      <sheetName val="Upside_vs__Base1"/>
      <sheetName val="Base_Quarterly1"/>
      <sheetName val="Base_Summary1"/>
      <sheetName val="Val_Sum1"/>
      <sheetName val="Balance_Summary1"/>
      <sheetName val="CF_Summary1"/>
      <sheetName val="Income_Summary1"/>
      <sheetName val="SGA_Graph1"/>
      <sheetName val="Q1_05_Comparison_for_MP1"/>
      <sheetName val="LBO_Output1"/>
      <sheetName val="LBO_Sensitivity1"/>
      <sheetName val="Other_Revenue1"/>
      <sheetName val="BUDG2004-Post_CIM1"/>
      <sheetName val="I__SUMMARY1"/>
      <sheetName val="I_1_Graphs1"/>
      <sheetName val="II__MODEL1"/>
      <sheetName val="III_1_Revenue1"/>
      <sheetName val="III_2_COGS1"/>
      <sheetName val="III_3_Gross_Margin1"/>
      <sheetName val="III_4_SG&amp;A1"/>
      <sheetName val="III_4a_LEASE1"/>
      <sheetName val="III__5_CAPEX1"/>
      <sheetName val="III_4_REVENUE_-_By_DC1"/>
      <sheetName val="FINAL_BUDG2004_FINAL1"/>
      <sheetName val="2004_YE_Adjustments1"/>
      <sheetName val="Comparison_2004_Actual1"/>
      <sheetName val="Q1_05_Comparison_by_month1"/>
      <sheetName val="December_Comparison_by_Year1"/>
      <sheetName val="December_Comparison1"/>
      <sheetName val="4Q_Days1"/>
      <sheetName val="4Q_Comparison_-_Revenue1"/>
      <sheetName val="4Q_Comparison_-_COGS1"/>
      <sheetName val="4Q_Comparison_-_GM1"/>
      <sheetName val="1Q_05_YTD1"/>
      <sheetName val="1Q_04_YTD1"/>
      <sheetName val="Rev_by_Prod1"/>
      <sheetName val="Real_Estate_Leases1"/>
      <sheetName val="Depr-_Equip1"/>
      <sheetName val="Depr_-_Office1"/>
      <sheetName val="Depr_-_Vehicles1"/>
      <sheetName val="MP_Graphs1"/>
      <sheetName val="Lookup_Page1"/>
      <sheetName val="Methodology_Assumptions"/>
      <sheetName val="Sheet1_(2)2"/>
      <sheetName val="Graph_by_Product_Type2"/>
      <sheetName val="Chart_Data2"/>
      <sheetName val="Upside_Quarterly_2"/>
      <sheetName val="Upside_vs__Base2"/>
      <sheetName val="Base_Quarterly2"/>
      <sheetName val="Base_Summary2"/>
      <sheetName val="Val_Sum2"/>
      <sheetName val="Balance_Summary2"/>
      <sheetName val="CF_Summary2"/>
      <sheetName val="Income_Summary2"/>
      <sheetName val="SGA_Graph2"/>
      <sheetName val="Q1_05_Comparison_for_MP2"/>
      <sheetName val="LBO_Output2"/>
      <sheetName val="LBO_Sensitivity2"/>
      <sheetName val="Other_Revenue2"/>
      <sheetName val="BUDG2004-Post_CIM2"/>
      <sheetName val="I__SUMMARY2"/>
      <sheetName val="I_1_Graphs2"/>
      <sheetName val="II__MODEL2"/>
      <sheetName val="III_1_Revenue2"/>
      <sheetName val="III_2_COGS2"/>
      <sheetName val="III_3_Gross_Margin2"/>
      <sheetName val="III_4_SG&amp;A2"/>
      <sheetName val="III_4a_LEASE2"/>
      <sheetName val="III__5_CAPEX2"/>
      <sheetName val="III_4_REVENUE_-_By_DC2"/>
      <sheetName val="FINAL_BUDG2004_FINAL2"/>
      <sheetName val="2004_YE_Adjustments2"/>
      <sheetName val="Comparison_2004_Actual2"/>
      <sheetName val="Q1_05_Comparison_by_month2"/>
      <sheetName val="December_Comparison_by_Year2"/>
      <sheetName val="December_Comparison2"/>
      <sheetName val="4Q_Days2"/>
      <sheetName val="4Q_Comparison_-_Revenue2"/>
      <sheetName val="4Q_Comparison_-_COGS2"/>
      <sheetName val="4Q_Comparison_-_GM2"/>
      <sheetName val="1Q_05_YTD2"/>
      <sheetName val="1Q_04_YTD2"/>
      <sheetName val="Rev_by_Prod2"/>
      <sheetName val="Real_Estate_Leases2"/>
      <sheetName val="Depr-_Equip2"/>
      <sheetName val="Depr_-_Office2"/>
      <sheetName val="Depr_-_Vehicles2"/>
      <sheetName val="MP_Graphs2"/>
      <sheetName val="Lookup_Page2"/>
      <sheetName val="console"/>
      <sheetName val="CLOSE"/>
      <sheetName val="LTN Sep 09 Summary"/>
      <sheetName val="218593_1"/>
      <sheetName val="Year Graph"/>
      <sheetName val="edison-2"/>
      <sheetName val="Graph_by_Product_Type3"/>
      <sheetName val="SGA_Graph3"/>
      <sheetName val="Income_Summary3"/>
      <sheetName val="Balance_Summary3"/>
      <sheetName val="Sheet1_(2)3"/>
      <sheetName val="Chart_Data3"/>
      <sheetName val="Upside_Quarterly_3"/>
      <sheetName val="Upside_vs__Base3"/>
      <sheetName val="Base_Quarterly3"/>
      <sheetName val="Base_Summary3"/>
      <sheetName val="Val_Sum3"/>
      <sheetName val="CF_Summary3"/>
      <sheetName val="Q1_05_Comparison_for_MP3"/>
      <sheetName val="LBO_Output3"/>
      <sheetName val="LBO_Sensitivity3"/>
      <sheetName val="Other_Revenue3"/>
      <sheetName val="BUDG2004-Post_CIM3"/>
      <sheetName val="I__SUMMARY3"/>
      <sheetName val="I_1_Graphs3"/>
      <sheetName val="II__MODEL3"/>
      <sheetName val="III_1_Revenue3"/>
      <sheetName val="III_2_COGS3"/>
      <sheetName val="III_3_Gross_Margin3"/>
      <sheetName val="III_4_SG&amp;A3"/>
      <sheetName val="III_4a_LEASE3"/>
      <sheetName val="III__5_CAPEX3"/>
      <sheetName val="III_4_REVENUE_-_By_DC3"/>
      <sheetName val="FINAL_BUDG2004_FINAL3"/>
      <sheetName val="2004_YE_Adjustments3"/>
      <sheetName val="Comparison_2004_Actual3"/>
      <sheetName val="Q1_05_Comparison_by_month3"/>
      <sheetName val="December_Comparison_by_Year3"/>
      <sheetName val="December_Comparison3"/>
      <sheetName val="4Q_Days3"/>
      <sheetName val="4Q_Comparison_-_Revenue3"/>
      <sheetName val="4Q_Comparison_-_COGS3"/>
      <sheetName val="4Q_Comparison_-_GM3"/>
      <sheetName val="1Q_05_YTD3"/>
      <sheetName val="1Q_04_YTD3"/>
      <sheetName val="Rev_by_Prod3"/>
      <sheetName val="Real_Estate_Leases3"/>
      <sheetName val="Depr-_Equip3"/>
      <sheetName val="Depr_-_Office3"/>
      <sheetName val="Depr_-_Vehicles3"/>
      <sheetName val="MP_Graphs3"/>
      <sheetName val="Lookup_Page3"/>
      <sheetName val="LTN_Sep_09_Summary"/>
      <sheetName val="Year_Graph"/>
      <sheetName val="Library Expirations"/>
      <sheetName val="Movies Released"/>
      <sheetName val="Library Stats"/>
      <sheetName val="CHARTS"/>
      <sheetName val="Release Costs"/>
      <sheetName val="Sheet1_(2)4"/>
      <sheetName val="Graph_by_Product_Type4"/>
      <sheetName val="Chart_Data4"/>
      <sheetName val="Upside_Quarterly_4"/>
      <sheetName val="Upside_vs__Base4"/>
      <sheetName val="Base_Quarterly4"/>
      <sheetName val="Base_Summary4"/>
      <sheetName val="Val_Sum4"/>
      <sheetName val="Balance_Summary4"/>
      <sheetName val="CF_Summary4"/>
      <sheetName val="Income_Summary4"/>
      <sheetName val="SGA_Graph4"/>
      <sheetName val="Q1_05_Comparison_for_MP4"/>
      <sheetName val="LBO_Output4"/>
      <sheetName val="LBO_Sensitivity4"/>
      <sheetName val="Other_Revenue4"/>
      <sheetName val="BUDG2004-Post_CIM4"/>
      <sheetName val="I__SUMMARY4"/>
      <sheetName val="I_1_Graphs4"/>
      <sheetName val="II__MODEL4"/>
      <sheetName val="III_1_Revenue4"/>
      <sheetName val="III_2_COGS4"/>
      <sheetName val="III_3_Gross_Margin4"/>
      <sheetName val="III_4_SG&amp;A4"/>
      <sheetName val="III_4a_LEASE4"/>
      <sheetName val="III__5_CAPEX4"/>
      <sheetName val="III_4_REVENUE_-_By_DC4"/>
      <sheetName val="FINAL_BUDG2004_FINAL4"/>
      <sheetName val="2004_YE_Adjustments4"/>
      <sheetName val="Comparison_2004_Actual4"/>
      <sheetName val="Q1_05_Comparison_by_month4"/>
      <sheetName val="December_Comparison_by_Year4"/>
      <sheetName val="December_Comparison4"/>
      <sheetName val="4Q_Days4"/>
      <sheetName val="4Q_Comparison_-_Revenue4"/>
      <sheetName val="4Q_Comparison_-_COGS4"/>
      <sheetName val="4Q_Comparison_-_GM4"/>
      <sheetName val="1Q_05_YTD4"/>
      <sheetName val="1Q_04_YTD4"/>
      <sheetName val="Rev_by_Prod4"/>
      <sheetName val="Real_Estate_Leases4"/>
      <sheetName val="Depr-_Equip4"/>
      <sheetName val="Depr_-_Office4"/>
      <sheetName val="Depr_-_Vehicles4"/>
      <sheetName val="MP_Graphs4"/>
      <sheetName val="Lookup_Page4"/>
      <sheetName val="LTN_Sep_09_Summary1"/>
      <sheetName val="Year_Graph1"/>
      <sheetName val="merger"/>
      <sheetName val="extra3"/>
      <sheetName val="extra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 refreshError="1"/>
      <sheetData sheetId="225"/>
      <sheetData sheetId="226" refreshError="1"/>
      <sheetData sheetId="227" refreshError="1"/>
      <sheetData sheetId="228" refreshError="1"/>
      <sheetData sheetId="229" refreshError="1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 refreshError="1"/>
      <sheetData sheetId="332" refreshError="1"/>
      <sheetData sheetId="333" refreshError="1"/>
      <sheetData sheetId="33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tail-Whole"/>
      <sheetName val="Balance Summary"/>
      <sheetName val="Income Summary"/>
      <sheetName val="CF Summary"/>
      <sheetName val="Industry"/>
      <sheetName val="SGA"/>
      <sheetName val="Revenue by Product"/>
      <sheetName val="Industry Graphs"/>
      <sheetName val="ownership"/>
      <sheetName val="employees"/>
      <sheetName val="facilities"/>
      <sheetName val="fac_util"/>
      <sheetName val="Clients"/>
      <sheetName val="Opinion"/>
      <sheetName val="Total NA Tire Aftermarket"/>
      <sheetName val="Total NA Wheel Aftermarket (2)"/>
      <sheetName val="Sheet1 (2)"/>
      <sheetName val="List"/>
      <sheetName val="Graph by Product Type"/>
      <sheetName val="SGA Graph"/>
      <sheetName val="Mappings"/>
      <sheetName val="FX"/>
      <sheetName val="Admin"/>
      <sheetName val="Inputs"/>
      <sheetName val="CLOSE"/>
      <sheetName val="List management"/>
      <sheetName val="Lists"/>
      <sheetName val="Balance_Summary"/>
      <sheetName val="Income_Summary"/>
      <sheetName val="CF_Summary"/>
      <sheetName val="Revenue_by_Product"/>
      <sheetName val="Industry_Graphs"/>
      <sheetName val="Total_NA_Tire_Aftermarket"/>
      <sheetName val="Total_NA_Wheel_Aftermarket_(2)"/>
      <sheetName val="Sheet1_(2)"/>
      <sheetName val="Graph_by_Product_Type"/>
      <sheetName val="SGA_Graph"/>
      <sheetName val="List_management"/>
      <sheetName val="Balance_Summary1"/>
      <sheetName val="Income_Summary1"/>
      <sheetName val="CF_Summary1"/>
      <sheetName val="Revenue_by_Product1"/>
      <sheetName val="Industry_Graphs1"/>
      <sheetName val="Total_NA_Tire_Aftermarket1"/>
      <sheetName val="Total_NA_Wheel_Aftermarket_(2)1"/>
      <sheetName val="Sheet1_(2)1"/>
      <sheetName val="Graph_by_Product_Type1"/>
      <sheetName val="SGA_Graph1"/>
      <sheetName val="UK Topline &amp; Revenue Inputs"/>
      <sheetName val="Balance_Summary2"/>
      <sheetName val="Income_Summary2"/>
      <sheetName val="CF_Summary2"/>
      <sheetName val="Revenue_by_Product2"/>
      <sheetName val="Industry_Graphs2"/>
      <sheetName val="Total_NA_Tire_Aftermarket2"/>
      <sheetName val="Total_NA_Wheel_Aftermarket_(2)2"/>
      <sheetName val="Sheet1_(2)2"/>
      <sheetName val="Graph_by_Product_Type2"/>
      <sheetName val="SGA_Graph2"/>
      <sheetName val="List_management1"/>
      <sheetName val="WC"/>
      <sheetName val="MP Graphs"/>
      <sheetName val="Locker_info"/>
      <sheetName val="LTN May 09 Summary"/>
      <sheetName val="_2003_DS"/>
      <sheetName val="_2003_USFC"/>
      <sheetName val="_2004_DS"/>
      <sheetName val="_2004_USFC"/>
      <sheetName val="JAW_DROPSHIP"/>
      <sheetName val="JAW_USFC"/>
      <sheetName val="DATA_2005"/>
      <sheetName val="TC"/>
      <sheetName val="Balance_Summary3"/>
      <sheetName val="Income_Summary3"/>
      <sheetName val="CF_Summary3"/>
      <sheetName val="Revenue_by_Product3"/>
      <sheetName val="Industry_Graphs3"/>
      <sheetName val="Total_NA_Tire_Aftermarket3"/>
      <sheetName val="Total_NA_Wheel_Aftermarket_(2)3"/>
      <sheetName val="Sheet1_(2)3"/>
      <sheetName val="Graph_by_Product_Type3"/>
      <sheetName val="SGA_Graph3"/>
      <sheetName val="List_management2"/>
      <sheetName val="UK_Topline_&amp;_Revenue_Inputs"/>
      <sheetName val="MP_Graphs"/>
      <sheetName val="LTN_May_09_Summary"/>
      <sheetName val="Pro Forma OUTPUT"/>
      <sheetName val="Performance Graphs"/>
      <sheetName val="Balance_Summary4"/>
      <sheetName val="Income_Summary4"/>
      <sheetName val="CF_Summary4"/>
      <sheetName val="Revenue_by_Product4"/>
      <sheetName val="Industry_Graphs4"/>
      <sheetName val="Total_NA_Tire_Aftermarket4"/>
      <sheetName val="Total_NA_Wheel_Aftermarket_(2)4"/>
      <sheetName val="Sheet1_(2)4"/>
      <sheetName val="Graph_by_Product_Type4"/>
      <sheetName val="SGA_Graph4"/>
      <sheetName val="List_management3"/>
      <sheetName val="UK_Topline_&amp;_Revenue_Inputs1"/>
      <sheetName val="MP_Graphs1"/>
      <sheetName val="LTN_May_09_Summary1"/>
      <sheetName val="Express"/>
      <sheetName val="Blu-Ray Players"/>
      <sheetName val="Historical LCF"/>
      <sheetName val="Home Video (MS)"/>
      <sheetName val="VOD"/>
      <sheetName val="Home Video WW"/>
      <sheetName val="Casino Royale Cash Flows"/>
      <sheetName val="Domestic Home Video"/>
      <sheetName val="Film Genre Performance"/>
      <sheetName val="U.S. Online"/>
      <sheetName val="Stargate"/>
      <sheetName val="Film Production Financing"/>
      <sheetName val="Features &amp; TV Distribu Timeline"/>
      <sheetName val="Potential Film Breakout Value"/>
      <sheetName val="TV Programming"/>
      <sheetName val="Library Comparison"/>
      <sheetName val="Library Composition By Release"/>
      <sheetName val="summary"/>
      <sheetName val="DVD Unit Sales &amp; Conversion"/>
      <sheetName val="DATA_2002"/>
      <sheetName val="DATA_2003"/>
      <sheetName val="DATA_2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C ID"/>
      <sheetName val="Sep Fcst"/>
      <sheetName val="New April Fcst"/>
      <sheetName val="Headcount"/>
      <sheetName val="foxz"/>
      <sheetName val="Act5050"/>
      <sheetName val="Maintenence"/>
      <sheetName val="Input data"/>
      <sheetName val="2002 Exp"/>
      <sheetName val="Performance Graphs"/>
      <sheetName val="Reconciliation Total"/>
      <sheetName val="Marketing Summary"/>
      <sheetName val="Index"/>
      <sheetName val="GM Essbase"/>
      <sheetName val="Revenue Essbase"/>
      <sheetName val="GM Dec"/>
      <sheetName val="Trend DE"/>
      <sheetName val="Parameters"/>
      <sheetName val="Macro Registry"/>
      <sheetName val="2002EmpExpEss"/>
      <sheetName val=""/>
      <sheetName val="DATA"/>
      <sheetName val="ItemNo.List"/>
      <sheetName val="Sheet2"/>
      <sheetName val="CC_ID1"/>
      <sheetName val="Sep_Fcst1"/>
      <sheetName val="New_April_Fcst1"/>
      <sheetName val="Input_data1"/>
      <sheetName val="2002_Exp1"/>
      <sheetName val="Reconciliation_Total1"/>
      <sheetName val="Marketing_Summary1"/>
      <sheetName val="Trend_DE1"/>
      <sheetName val="GM_Essbase1"/>
      <sheetName val="Revenue_Essbase1"/>
      <sheetName val="GM_Dec1"/>
      <sheetName val="Performance_Graphs1"/>
      <sheetName val="Macro_Registry1"/>
      <sheetName val="CC_ID"/>
      <sheetName val="Sep_Fcst"/>
      <sheetName val="New_April_Fcst"/>
      <sheetName val="Input_data"/>
      <sheetName val="2002_Exp"/>
      <sheetName val="Reconciliation_Total"/>
      <sheetName val="Marketing_Summary"/>
      <sheetName val="Trend_DE"/>
      <sheetName val="GM_Essbase"/>
      <sheetName val="Revenue_Essbase"/>
      <sheetName val="GM_Dec"/>
      <sheetName val="Performance_Graphs"/>
      <sheetName val="Macro_Registry"/>
      <sheetName val="CC_ID2"/>
      <sheetName val="Sep_Fcst2"/>
      <sheetName val="New_April_Fcst2"/>
      <sheetName val="Input_data2"/>
      <sheetName val="2002_Exp2"/>
      <sheetName val="Reconciliation_Total2"/>
      <sheetName val="Marketing_Summary2"/>
      <sheetName val="Trend_DE2"/>
      <sheetName val="GM_Essbase2"/>
      <sheetName val="Revenue_Essbase2"/>
      <sheetName val="GM_Dec2"/>
      <sheetName val="Performance_Graphs2"/>
      <sheetName val="Macro_Registry2"/>
      <sheetName val="CC_ID3"/>
      <sheetName val="Sep_Fcst3"/>
      <sheetName val="New_April_Fcst3"/>
      <sheetName val="Input_data3"/>
      <sheetName val="2002_Exp3"/>
      <sheetName val="Reconciliation_Total3"/>
      <sheetName val="Marketing_Summary3"/>
      <sheetName val="Trend_DE3"/>
      <sheetName val="GM_Essbase3"/>
      <sheetName val="Revenue_Essbase3"/>
      <sheetName val="GM_Dec3"/>
      <sheetName val="Performance_Graphs3"/>
      <sheetName val="Macro_Registry3"/>
      <sheetName val="CC_ID4"/>
      <sheetName val="Sep_Fcst4"/>
      <sheetName val="New_April_Fcst4"/>
      <sheetName val="Input_data4"/>
      <sheetName val="2002_Exp4"/>
      <sheetName val="Reconciliation_Total4"/>
      <sheetName val="Marketing_Summary4"/>
      <sheetName val="Trend_DE4"/>
      <sheetName val="GM_Essbase4"/>
      <sheetName val="Revenue_Essbase4"/>
      <sheetName val="GM_Dec4"/>
      <sheetName val="Performance_Graphs4"/>
      <sheetName val="Macro_Registry4"/>
      <sheetName val="Control"/>
      <sheetName val="Lookup"/>
      <sheetName val="ATS_Managed"/>
      <sheetName val="Non_ATS_Managed"/>
      <sheetName val="Toy Daily output"/>
      <sheetName val="Ref"/>
      <sheetName val="AMZN Order Blend"/>
      <sheetName val="BOOKS Revenue"/>
      <sheetName val="AMZN Sessions"/>
      <sheetName val="%_Benchmark"/>
      <sheetName val="VOL_&amp;_HOURS"/>
      <sheetName val="%_PLAN"/>
      <sheetName val="Variable_Costs"/>
      <sheetName val="Table"/>
      <sheetName val="Iva Acred Pag´02´08"/>
      <sheetName val="TC"/>
      <sheetName val="BASE DE DONNEES"/>
      <sheetName val="Summary"/>
      <sheetName val="DOCK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 refreshError="1"/>
      <sheetData sheetId="107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"/>
      <sheetName val="Summary"/>
      <sheetName val="Units Shipped"/>
      <sheetName val="op plan II"/>
      <sheetName val="2002 Exp"/>
      <sheetName val="P&amp;L Summary"/>
      <sheetName val="ListOfChoice"/>
      <sheetName val="Actuals"/>
      <sheetName val="WorkEst"/>
      <sheetName val="Admin"/>
      <sheetName val="LOV"/>
      <sheetName val="Lists"/>
      <sheetName val="List"/>
      <sheetName val="Lookups"/>
      <sheetName val="Forecast"/>
      <sheetName val="CRITERIA1"/>
      <sheetName val="Total IT"/>
      <sheetName val="data"/>
      <sheetName val="Global COA"/>
      <sheetName val="Data_General"/>
      <sheetName val="CPE"/>
      <sheetName val="IP_DED_QUOTE"/>
      <sheetName val="FORMULA"/>
      <sheetName val="OLD_DATA_PRODUCT_SPEED"/>
      <sheetName val="Data_Product"/>
      <sheetName val="DATA_MAX_SPEED"/>
      <sheetName val="NEW_DATA_PROD_SPEED"/>
      <sheetName val="SPI"/>
      <sheetName val="FX"/>
      <sheetName val="DED_CONFIG"/>
      <sheetName val="PRICE"/>
      <sheetName val="VM"/>
      <sheetName val="T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erformance Graphs"/>
      <sheetName val="Sheet1"/>
      <sheetName val="Sheet2"/>
      <sheetName val="Sheet3"/>
      <sheetName val="Retail-Whole"/>
      <sheetName val="List"/>
      <sheetName val="Lookup"/>
      <sheetName val="Inputs"/>
      <sheetName val="WC"/>
      <sheetName val="MP Graphs"/>
      <sheetName val="Update"/>
      <sheetName val="Admin"/>
      <sheetName val="Comparative"/>
      <sheetName val="Performance_Graphs"/>
      <sheetName val="MP_Graphs"/>
      <sheetName val="Performance_Graphs1"/>
      <sheetName val="MP_Graphs1"/>
      <sheetName val="Performance_Graphs2"/>
      <sheetName val="MP_Graphs2"/>
      <sheetName val="Graph by Product Type"/>
      <sheetName val="SGA Graph"/>
      <sheetName val="Income Summary"/>
      <sheetName val="Balance Summary"/>
      <sheetName val="SGA"/>
      <sheetName val="2020 Transfer rate all busin..."/>
      <sheetName val="CWL Summary April 2009"/>
      <sheetName val="_2004_DATA"/>
      <sheetName val="data"/>
      <sheetName val="Essbase_ShipMargin"/>
      <sheetName val="CLOSE"/>
      <sheetName val="Definitions"/>
      <sheetName val="merger"/>
      <sheetName val="Retail_WBR_Summary"/>
      <sheetName val="216530_1"/>
      <sheetName val="Performance_Graphs3"/>
      <sheetName val="MP_Graphs3"/>
      <sheetName val="Graph_by_Product_Type"/>
      <sheetName val="SGA_Graph"/>
      <sheetName val="Income_Summary"/>
      <sheetName val="Balance_Summary"/>
      <sheetName val="CWL_Summary_April_2009"/>
      <sheetName val="2020_Transfer_rate_all_busin___"/>
      <sheetName val="HV graph"/>
      <sheetName val="gnm full site list"/>
      <sheetName val="Performance_Graphs4"/>
      <sheetName val="MP_Graphs4"/>
      <sheetName val="Graph_by_Product_Type1"/>
      <sheetName val="SGA_Graph1"/>
      <sheetName val="Income_Summary1"/>
      <sheetName val="Balance_Summary1"/>
      <sheetName val="2020_Transfer_rate_all_busin__1"/>
      <sheetName val="CWL_Summary_April_20091"/>
      <sheetName val="PopCache"/>
      <sheetName val="Vin P&amp;L"/>
      <sheetName val="edison-2"/>
      <sheetName val="Performance_Graphs5"/>
      <sheetName val="MP_Graphs5"/>
      <sheetName val="Graph_by_Product_Type2"/>
      <sheetName val="SGA_Graph2"/>
      <sheetName val="Income_Summary2"/>
      <sheetName val="Balance_Summary2"/>
      <sheetName val="2020_Transfer_rate_all_busin__2"/>
      <sheetName val="CWL_Summary_April_20092"/>
      <sheetName val="gnm_full_site_list"/>
      <sheetName val="HV_grap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min"/>
      <sheetName val="CN_5PG"/>
      <sheetName val="CN"/>
      <sheetName val="Media"/>
      <sheetName val="CE"/>
      <sheetName val="Sheet1"/>
      <sheetName val="OtherHL"/>
      <sheetName val="Softlines"/>
      <sheetName val="Consumables"/>
      <sheetName val="Other Adj"/>
      <sheetName val="Books"/>
      <sheetName val="Music"/>
      <sheetName val="DVD"/>
      <sheetName val="SW"/>
      <sheetName val="VG"/>
      <sheetName val="AV"/>
      <sheetName val="Camera"/>
      <sheetName val="MobileElec"/>
      <sheetName val="MusicalInstruments"/>
      <sheetName val="Office"/>
      <sheetName val="PC"/>
      <sheetName val="Wireless"/>
      <sheetName val="Kitchen"/>
      <sheetName val="MA"/>
      <sheetName val="Home"/>
      <sheetName val="Pets"/>
      <sheetName val="HomeImprovement"/>
      <sheetName val="Sports"/>
      <sheetName val="Toys"/>
      <sheetName val="Auto"/>
      <sheetName val="Lawn&amp;Garden"/>
      <sheetName val="Shoes"/>
      <sheetName val="Apparel"/>
      <sheetName val="Luggage"/>
      <sheetName val="Jewelry"/>
      <sheetName val="Watches"/>
      <sheetName val="Beauty"/>
      <sheetName val="HPC"/>
      <sheetName val="Baby"/>
      <sheetName val="Grocery"/>
      <sheetName val="Liquor"/>
      <sheetName val="PCA"/>
      <sheetName val="Pantry"/>
      <sheetName val="Other Fixed"/>
      <sheetName val="Other Fixed Emg"/>
      <sheetName val="Other Variables"/>
      <sheetName val="Other Variables Emg"/>
      <sheetName val="DATA_IS"/>
      <sheetName val="DATA_Other"/>
      <sheetName val="DATA_BS"/>
      <sheetName val="DATA_Depr_Capex"/>
      <sheetName val="Cover"/>
      <sheetName val="Intl Est"/>
      <sheetName val="Intl Emg"/>
      <sheetName val="Intl Emg Core"/>
      <sheetName val="Summary"/>
      <sheetName val="B1"/>
      <sheetName val="B2"/>
      <sheetName val="PopCache"/>
      <sheetName val="V1"/>
      <sheetName val="V2"/>
      <sheetName val="Subs_V1"/>
      <sheetName val="Subs_Other_Fixed_Variable"/>
      <sheetName val="Subs_DATA"/>
      <sheetName val="Subs_Manual_Adj"/>
      <sheetName val="Subs_BS"/>
      <sheetName val="Subs_Depr_Capex"/>
      <sheetName val="NA Est"/>
      <sheetName val="NA Emg"/>
      <sheetName val="NA Core"/>
      <sheetName val="Intl Est Core"/>
      <sheetName val="EU5"/>
      <sheetName val="EU3"/>
      <sheetName val="Summary_NA_Emg"/>
      <sheetName val="Subs Check MTH"/>
      <sheetName val="Subs Check YTD"/>
      <sheetName val="CurrYear_V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ndy"/>
      <sheetName val="Runway to Quarter"/>
      <sheetName val="EU"/>
      <sheetName val="UK"/>
      <sheetName val="DE"/>
      <sheetName val="FR"/>
      <sheetName val="IT"/>
      <sheetName val="ES"/>
      <sheetName val="Config"/>
      <sheetName val="FX"/>
      <sheetName val="historical EU"/>
      <sheetName val="historical UK"/>
      <sheetName val="historical DE"/>
      <sheetName val="historical FR"/>
      <sheetName val="historical IT"/>
      <sheetName val="historical ES"/>
      <sheetName val="Historical 2012"/>
      <sheetName val="Goals 2013"/>
      <sheetName val="MTDQTD"/>
      <sheetName val="DE fraud"/>
      <sheetName val="M@ Metrics 2013"/>
      <sheetName val="Essbase-GL_Pull"/>
      <sheetName val="CurrYear_V1"/>
      <sheetName val="V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Instructions"/>
      <sheetName val="S-1 Inc Stmt"/>
      <sheetName val="S-1 Balance Sheet"/>
      <sheetName val="S-1 CF Print"/>
      <sheetName val="Formal"/>
      <sheetName val="Internal"/>
      <sheetName val="Incremental IS"/>
      <sheetName val="Credit Stats"/>
      <sheetName val="Gross Margin Print"/>
      <sheetName val="XXXX"/>
      <sheetName val="IS Input"/>
      <sheetName val="BS Input"/>
      <sheetName val="Gross Margin Mix"/>
      <sheetName val="S-1 Cash Flow"/>
      <sheetName val="Internal History"/>
      <sheetName val=""/>
      <sheetName val="In Stock JP"/>
      <sheetName val="Q399 Outlook"/>
      <sheetName val="S-1 Inc Stmt (2)"/>
      <sheetName val="Input US"/>
      <sheetName val="Traffic"/>
      <sheetName val="3P GMS YTD MS"/>
      <sheetName val="2010 ETB"/>
      <sheetName val="2009 ETB"/>
      <sheetName val="Scorecard"/>
      <sheetName val="AMZN Order Blend"/>
      <sheetName val="BOOKS Revenue"/>
      <sheetName val="AMZN Sessions"/>
      <sheetName val="Options"/>
      <sheetName val="OtherBucket"/>
      <sheetName val="Income Statement (GuV)"/>
      <sheetName val="Inv_Essbase"/>
      <sheetName val="Essbase"/>
      <sheetName val="P&amp;L - QTD"/>
      <sheetName val="P&amp;L - YTD"/>
      <sheetName val="General Assumptions"/>
      <sheetName val="Tools-Internet"/>
      <sheetName val="PPM Essbase"/>
      <sheetName val="Inv age Essbase"/>
      <sheetName val="Reserve Essbase"/>
      <sheetName val="WW Essbase"/>
      <sheetName val="Extrap Graphs"/>
      <sheetName val="Q100 Seasonality"/>
      <sheetName val="WW Summary"/>
      <sheetName val="_"/>
      <sheetName val="Curve Creator"/>
      <sheetName val="PPA_Inputs"/>
      <sheetName val="S-1_Inc_Stmt1"/>
      <sheetName val="S-1_Balance_Sheet1"/>
      <sheetName val="S-1_CF_Print1"/>
      <sheetName val="Incremental_IS1"/>
      <sheetName val="Credit_Stats1"/>
      <sheetName val="Gross_Margin_Print1"/>
      <sheetName val="IS_Input1"/>
      <sheetName val="BS_Input1"/>
      <sheetName val="Gross_Margin_Mix1"/>
      <sheetName val="S-1_Cash_Flow1"/>
      <sheetName val="Internal_History1"/>
      <sheetName val="In_Stock_JP1"/>
      <sheetName val="Q399_Outlook1"/>
      <sheetName val="Input_US1"/>
      <sheetName val="S-1_Inc_Stmt_(2)1"/>
      <sheetName val="2010_ETB1"/>
      <sheetName val="2009_ETB1"/>
      <sheetName val="AMZN_Order_Blend1"/>
      <sheetName val="BOOKS_Revenue1"/>
      <sheetName val="AMZN_Sessions1"/>
      <sheetName val="Income_Statement_(GuV)1"/>
      <sheetName val="P&amp;L_-_QTD1"/>
      <sheetName val="P&amp;L_-_YTD1"/>
      <sheetName val="General_Assumptions1"/>
      <sheetName val="PPM_Essbase1"/>
      <sheetName val="Inv_age_Essbase1"/>
      <sheetName val="Reserve_Essbase1"/>
      <sheetName val="WW_Essbase1"/>
      <sheetName val="Extrap_Graphs1"/>
      <sheetName val="Q100_Seasonality1"/>
      <sheetName val="WW_Summary1"/>
      <sheetName val="S-1_Inc_Stmt"/>
      <sheetName val="S-1_Balance_Sheet"/>
      <sheetName val="S-1_CF_Print"/>
      <sheetName val="Incremental_IS"/>
      <sheetName val="Credit_Stats"/>
      <sheetName val="Gross_Margin_Print"/>
      <sheetName val="IS_Input"/>
      <sheetName val="BS_Input"/>
      <sheetName val="Gross_Margin_Mix"/>
      <sheetName val="S-1_Cash_Flow"/>
      <sheetName val="Internal_History"/>
      <sheetName val="In_Stock_JP"/>
      <sheetName val="Q399_Outlook"/>
      <sheetName val="Input_US"/>
      <sheetName val="S-1_Inc_Stmt_(2)"/>
      <sheetName val="2010_ETB"/>
      <sheetName val="2009_ETB"/>
      <sheetName val="AMZN_Order_Blend"/>
      <sheetName val="BOOKS_Revenue"/>
      <sheetName val="AMZN_Sessions"/>
      <sheetName val="Income_Statement_(GuV)"/>
      <sheetName val="P&amp;L_-_QTD"/>
      <sheetName val="P&amp;L_-_YTD"/>
      <sheetName val="General_Assumptions"/>
      <sheetName val="PPM_Essbase"/>
      <sheetName val="Inv_age_Essbase"/>
      <sheetName val="Reserve_Essbase"/>
      <sheetName val="WW_Essbase"/>
      <sheetName val="Extrap_Graphs"/>
      <sheetName val="Q100_Seasonality"/>
      <sheetName val="WW_Summary"/>
      <sheetName val="S-1_Inc_Stmt2"/>
      <sheetName val="S-1_Balance_Sheet2"/>
      <sheetName val="S-1_CF_Print2"/>
      <sheetName val="Incremental_IS2"/>
      <sheetName val="Credit_Stats2"/>
      <sheetName val="Gross_Margin_Print2"/>
      <sheetName val="IS_Input2"/>
      <sheetName val="BS_Input2"/>
      <sheetName val="Gross_Margin_Mix2"/>
      <sheetName val="S-1_Cash_Flow2"/>
      <sheetName val="Internal_History2"/>
      <sheetName val="In_Stock_JP2"/>
      <sheetName val="Q399_Outlook2"/>
      <sheetName val="Input_US2"/>
      <sheetName val="S-1_Inc_Stmt_(2)2"/>
      <sheetName val="2010_ETB2"/>
      <sheetName val="2009_ETB2"/>
      <sheetName val="AMZN_Order_Blend2"/>
      <sheetName val="BOOKS_Revenue2"/>
      <sheetName val="AMZN_Sessions2"/>
      <sheetName val="Income_Statement_(GuV)2"/>
      <sheetName val="P&amp;L_-_QTD2"/>
      <sheetName val="P&amp;L_-_YTD2"/>
      <sheetName val="General_Assumptions2"/>
      <sheetName val="PPM_Essbase2"/>
      <sheetName val="Inv_age_Essbase2"/>
      <sheetName val="Reserve_Essbase2"/>
      <sheetName val="WW_Essbase2"/>
      <sheetName val="Extrap_Graphs2"/>
      <sheetName val="Q100_Seasonality2"/>
      <sheetName val="WW_Summary2"/>
      <sheetName val="S-1_Inc_Stmt3"/>
      <sheetName val="S-1_Balance_Sheet3"/>
      <sheetName val="S-1_CF_Print3"/>
      <sheetName val="Incremental_IS3"/>
      <sheetName val="Credit_Stats3"/>
      <sheetName val="Gross_Margin_Print3"/>
      <sheetName val="IS_Input3"/>
      <sheetName val="BS_Input3"/>
      <sheetName val="Gross_Margin_Mix3"/>
      <sheetName val="S-1_Cash_Flow3"/>
      <sheetName val="Internal_History3"/>
      <sheetName val="In_Stock_JP3"/>
      <sheetName val="Q399_Outlook3"/>
      <sheetName val="Input_US3"/>
      <sheetName val="S-1_Inc_Stmt_(2)3"/>
      <sheetName val="2010_ETB3"/>
      <sheetName val="2009_ETB3"/>
      <sheetName val="AMZN_Order_Blend3"/>
      <sheetName val="BOOKS_Revenue3"/>
      <sheetName val="AMZN_Sessions3"/>
      <sheetName val="Income_Statement_(GuV)3"/>
      <sheetName val="P&amp;L_-_QTD3"/>
      <sheetName val="P&amp;L_-_YTD3"/>
      <sheetName val="General_Assumptions3"/>
      <sheetName val="PPM_Essbase3"/>
      <sheetName val="Inv_age_Essbase3"/>
      <sheetName val="Reserve_Essbase3"/>
      <sheetName val="WW_Essbase3"/>
      <sheetName val="Extrap_Graphs3"/>
      <sheetName val="Q100_Seasonality3"/>
      <sheetName val="WW_Summary3"/>
      <sheetName val="S-1_Inc_Stmt4"/>
      <sheetName val="S-1_Balance_Sheet4"/>
      <sheetName val="S-1_CF_Print4"/>
      <sheetName val="Incremental_IS4"/>
      <sheetName val="Credit_Stats4"/>
      <sheetName val="Gross_Margin_Print4"/>
      <sheetName val="IS_Input4"/>
      <sheetName val="BS_Input4"/>
      <sheetName val="Gross_Margin_Mix4"/>
      <sheetName val="S-1_Cash_Flow4"/>
      <sheetName val="Internal_History4"/>
      <sheetName val="In_Stock_JP4"/>
      <sheetName val="Q399_Outlook4"/>
      <sheetName val="Input_US4"/>
      <sheetName val="S-1_Inc_Stmt_(2)4"/>
      <sheetName val="2010_ETB4"/>
      <sheetName val="2009_ETB4"/>
      <sheetName val="AMZN_Order_Blend4"/>
      <sheetName val="BOOKS_Revenue4"/>
      <sheetName val="AMZN_Sessions4"/>
      <sheetName val="Income_Statement_(GuV)4"/>
      <sheetName val="P&amp;L_-_QTD4"/>
      <sheetName val="P&amp;L_-_YTD4"/>
      <sheetName val="General_Assumptions4"/>
      <sheetName val="PPM_Essbase4"/>
      <sheetName val="Inv_age_Essbase4"/>
      <sheetName val="Reserve_Essbase4"/>
      <sheetName val="WW_Essbase4"/>
      <sheetName val="Extrap_Graphs4"/>
      <sheetName val="Q100_Seasonality4"/>
      <sheetName val="WW_Summary4"/>
      <sheetName val="FT_Other"/>
      <sheetName val="Inventory"/>
      <sheetName val="Rolling_POS"/>
      <sheetName val="Rolling_CQ"/>
      <sheetName val="Rolling_Receipts"/>
      <sheetName val="Rolling Returns"/>
      <sheetName val="Admin"/>
      <sheetName val="Subs V1"/>
      <sheetName val="V1"/>
      <sheetName val="V2"/>
      <sheetName val="Cover"/>
      <sheetName val="Inv. Essbase"/>
      <sheetName val="Historic Trading Multiples"/>
      <sheetName val="Price Performance"/>
      <sheetName val="Temp Database"/>
      <sheetName val="Ord$"/>
      <sheetName val="INPC"/>
      <sheetName val="Validations"/>
      <sheetName val="EU NIAP SOP"/>
      <sheetName val="S-1_Inc_Stmt5"/>
      <sheetName val="S-1_Balance_Sheet5"/>
      <sheetName val="S-1_CF_Print5"/>
      <sheetName val="Incremental_IS5"/>
      <sheetName val="Credit_Stats5"/>
      <sheetName val="Gross_Margin_Print5"/>
      <sheetName val="IS_Input5"/>
      <sheetName val="BS_Input5"/>
      <sheetName val="Gross_Margin_Mix5"/>
      <sheetName val="S-1_Cash_Flow5"/>
      <sheetName val="Internal_History5"/>
      <sheetName val="In_Stock_JP5"/>
      <sheetName val="Q399_Outlook5"/>
      <sheetName val="S-1_Inc_Stmt_(2)5"/>
      <sheetName val="Input_US5"/>
      <sheetName val="Income_Statement_(GuV)5"/>
      <sheetName val="2010_ETB5"/>
      <sheetName val="2009_ETB5"/>
      <sheetName val="AMZN_Order_Blend5"/>
      <sheetName val="BOOKS_Revenue5"/>
      <sheetName val="AMZN_Sessions5"/>
      <sheetName val="P&amp;L_-_QTD5"/>
      <sheetName val="P&amp;L_-_YTD5"/>
      <sheetName val="General_Assumptions5"/>
      <sheetName val="PPM_Essbase5"/>
      <sheetName val="Inv_age_Essbase5"/>
      <sheetName val="Reserve_Essbase5"/>
      <sheetName val="WW_Essbase5"/>
      <sheetName val="Extrap_Graphs5"/>
      <sheetName val="Q100_Seasonality5"/>
      <sheetName val="WW_Summary5"/>
      <sheetName val="3P_GMS_YTD_MS"/>
      <sheetName val="Curve_Creator"/>
      <sheetName val="Historic_Trading_Multiples"/>
      <sheetName val="Price_Performance"/>
      <sheetName val="Temp_Database"/>
      <sheetName val="Rolling_Returns"/>
      <sheetName val="EU_NIAP_SOP"/>
      <sheetName val="Raw_Fees"/>
      <sheetName val="FeeTypes"/>
      <sheetName val="Raw_Transaction"/>
      <sheetName val="S-1_Inc_Stmt6"/>
      <sheetName val="S-1_Balance_Sheet6"/>
      <sheetName val="S-1_CF_Print6"/>
      <sheetName val="Incremental_IS6"/>
      <sheetName val="Credit_Stats6"/>
      <sheetName val="Gross_Margin_Print6"/>
      <sheetName val="IS_Input6"/>
      <sheetName val="BS_Input6"/>
      <sheetName val="Gross_Margin_Mix6"/>
      <sheetName val="S-1_Cash_Flow6"/>
      <sheetName val="Internal_History6"/>
      <sheetName val="In_Stock_JP6"/>
      <sheetName val="Q399_Outlook6"/>
      <sheetName val="Input_US6"/>
      <sheetName val="S-1_Inc_Stmt_(2)6"/>
      <sheetName val="Income_Statement_(GuV)6"/>
      <sheetName val="P&amp;L_-_QTD6"/>
      <sheetName val="P&amp;L_-_YTD6"/>
      <sheetName val="2010_ETB6"/>
      <sheetName val="2009_ETB6"/>
      <sheetName val="AMZN_Order_Blend6"/>
      <sheetName val="BOOKS_Revenue6"/>
      <sheetName val="AMZN_Sessions6"/>
      <sheetName val="General_Assumptions6"/>
      <sheetName val="PPM_Essbase6"/>
      <sheetName val="Inv_age_Essbase6"/>
      <sheetName val="Reserve_Essbase6"/>
      <sheetName val="WW_Essbase6"/>
      <sheetName val="Extrap_Graphs6"/>
      <sheetName val="Q100_Seasonality6"/>
      <sheetName val="WW_Summary6"/>
      <sheetName val="3P_GMS_YTD_MS1"/>
      <sheetName val="Curve_Creator1"/>
      <sheetName val="Historic_Trading_Multiples1"/>
      <sheetName val="Price_Performance1"/>
      <sheetName val="Temp_Database1"/>
      <sheetName val="Rolling_Returns1"/>
      <sheetName val="EU_NIAP_SOP1"/>
      <sheetName val="JAPAN"/>
      <sheetName val="S-1_Inc_Stmt7"/>
      <sheetName val="S-1_Balance_Sheet7"/>
      <sheetName val="S-1_CF_Print7"/>
      <sheetName val="Incremental_IS7"/>
      <sheetName val="Credit_Stats7"/>
      <sheetName val="Gross_Margin_Print7"/>
      <sheetName val="IS_Input7"/>
      <sheetName val="BS_Input7"/>
      <sheetName val="Gross_Margin_Mix7"/>
      <sheetName val="S-1_Cash_Flow7"/>
      <sheetName val="Internal_History7"/>
      <sheetName val="In_Stock_JP7"/>
      <sheetName val="Q399_Outlook7"/>
      <sheetName val="S-1_Inc_Stmt_(2)7"/>
      <sheetName val="Input_US7"/>
      <sheetName val="P&amp;L_-_QTD7"/>
      <sheetName val="P&amp;L_-_YTD7"/>
      <sheetName val="Income_Statement_(GuV)7"/>
      <sheetName val="2010_ETB7"/>
      <sheetName val="2009_ETB7"/>
      <sheetName val="AMZN_Order_Blend7"/>
      <sheetName val="BOOKS_Revenue7"/>
      <sheetName val="AMZN_Sessions7"/>
      <sheetName val="General_Assumptions7"/>
      <sheetName val="PPM_Essbase7"/>
      <sheetName val="Inv_age_Essbase7"/>
      <sheetName val="Reserve_Essbase7"/>
      <sheetName val="WW_Essbase7"/>
      <sheetName val="Extrap_Graphs7"/>
      <sheetName val="Q100_Seasonality7"/>
      <sheetName val="WW_Summary7"/>
      <sheetName val="3P_GMS_YTD_MS2"/>
      <sheetName val="Curve_Creator2"/>
      <sheetName val="Historic_Trading_Multiples2"/>
      <sheetName val="Price_Performance2"/>
      <sheetName val="Temp_Database2"/>
      <sheetName val="Rolling_Returns2"/>
      <sheetName val="Subs_V1"/>
      <sheetName val="Inv__Essbase"/>
      <sheetName val="P&amp;L98"/>
      <sheetName val="1 - Master lease deta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 refreshError="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 refreshError="1"/>
      <sheetData sheetId="34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finition"/>
      <sheetName val="Home page-old"/>
      <sheetName val="Home page-New June"/>
      <sheetName val="Hero placement"/>
      <sheetName val="Page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tegorty Definition"/>
      <sheetName val="Sheet1"/>
      <sheetName val="Category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Waterfall (2)"/>
      <sheetName val="Waterfall"/>
      <sheetName val="Scorecard"/>
      <sheetName val="Activity Revenue"/>
      <sheetName val="Calendar"/>
      <sheetName val="Impressions"/>
      <sheetName val="MetricsSeas"/>
      <sheetName val="Rev-Week"/>
      <sheetName val="Daily Sales Through 5-20"/>
      <sheetName val="Rev-Week (2)"/>
      <sheetName val="2001 Daily Data - Update"/>
      <sheetName val="2000 Raw Data"/>
      <sheetName val="Input"/>
      <sheetName val="DE"/>
      <sheetName val=""/>
      <sheetName val="lookups"/>
      <sheetName val="List 2"/>
      <sheetName val="Base D"/>
      <sheetName val="Data"/>
      <sheetName val="DROPDOWN"/>
      <sheetName val="Lists"/>
      <sheetName val="merger"/>
      <sheetName val="Weeks of Cover-Age"/>
      <sheetName val="Org Hierarchy"/>
      <sheetName val="Toy Daily output"/>
      <sheetName val="US Metri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xpress"/>
      <sheetName val="Expedited"/>
      <sheetName val="FBA Admin Lookup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Tracker"/>
      <sheetName val="NA_Est_V1"/>
      <sheetName val="Intl_Est_V1"/>
      <sheetName val="NA_Emg_V1"/>
      <sheetName val="Intl_Emg_V1"/>
      <sheetName val="Admin"/>
      <sheetName val="1.Content"/>
      <sheetName val="Traffic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eries"/>
      <sheetName val="SSR Pro Pipeline"/>
      <sheetName val="Global Selling"/>
      <sheetName val="SSR Individual Pipeline"/>
      <sheetName val="Inbound"/>
      <sheetName val="SSR Pro Seller Success"/>
      <sheetName val="FBA Page"/>
      <sheetName val="SSR Pipeline New"/>
      <sheetName val="Inbound ASIN's Created"/>
      <sheetName val="Inbound Launches"/>
      <sheetName val="Inbound ZM"/>
      <sheetName val="Inbound Offers"/>
      <sheetName val="Inbound Offers PY"/>
      <sheetName val="Inbound GMS"/>
      <sheetName val="Inbound FBA Launches"/>
      <sheetName val="Inbound Suspended Sellers"/>
      <sheetName val="Inbound FBA Ordered Units"/>
      <sheetName val="DD List"/>
      <sheetName val="New Registrations Pivot"/>
      <sheetName val="New Registrations"/>
      <sheetName val="New Launches"/>
      <sheetName val="New Launches Pivot"/>
      <sheetName val="New GMS"/>
      <sheetName val="New GMS Pivot"/>
      <sheetName val="Goals"/>
      <sheetName val="Traffic"/>
      <sheetName val="Reg Starts"/>
      <sheetName val="Reg Completes"/>
      <sheetName val="Launches"/>
      <sheetName val="Zero Metric"/>
      <sheetName val="Offer Count"/>
      <sheetName val="Offer Count PY"/>
      <sheetName val="ASINs Created"/>
      <sheetName val="GMS"/>
      <sheetName val="Blocked Sellers"/>
      <sheetName val="FBA Launches"/>
      <sheetName val="FBA Ordered Units"/>
      <sheetName val="Sheet1"/>
      <sheetName val="Curve Creator"/>
      <sheetName val="Input"/>
      <sheetName val="Control"/>
      <sheetName val="OPEX per F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gnos_Office_Connection_Cache"/>
      <sheetName val="INSTRUCTIONS"/>
      <sheetName val="PPM Analysis"/>
      <sheetName val="Total"/>
      <sheetName val="ML"/>
      <sheetName val="HL"/>
      <sheetName val="Con"/>
      <sheetName val="SL"/>
      <sheetName val="Book_14"/>
      <sheetName val="Music_15"/>
      <sheetName val="DVD_74"/>
      <sheetName val="Software_65"/>
      <sheetName val="PCgame_63"/>
      <sheetName val="MP3_23"/>
      <sheetName val="Camera_114"/>
      <sheetName val="Automotive_263"/>
      <sheetName val="Computer_147"/>
      <sheetName val="Wireless_107"/>
      <sheetName val="SHA_Kitchen_79"/>
      <sheetName val="Home_201"/>
      <sheetName val="Office_229"/>
      <sheetName val="HomeImprove_60"/>
      <sheetName val="Watch_241"/>
      <sheetName val="Jewelry_197"/>
      <sheetName val="Gifts_20"/>
      <sheetName val="Apparel_193"/>
      <sheetName val="Shoes_309"/>
      <sheetName val="Sports_200"/>
      <sheetName val="Toy_21"/>
      <sheetName val="HPC_121"/>
      <sheetName val="Grocery_325"/>
      <sheetName val="Beauty_194"/>
      <sheetName val="Software"/>
      <sheetName val="Electronics_23"/>
      <sheetName val="CE"/>
      <sheetName val="J&amp;W"/>
      <sheetName val="G&amp;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Curve Creator"/>
      <sheetName val="Adjustments"/>
      <sheetName val="Launches and GMS Adjustments"/>
      <sheetName val="Headcount Adjustments"/>
      <sheetName val="Goal Table"/>
      <sheetName val="Per Seller Metrics"/>
      <sheetName val="Correlation"/>
      <sheetName val="Launch Pivot"/>
      <sheetName val="Sheet2"/>
      <sheetName val="Launch Data"/>
      <sheetName val="GMS Pivot"/>
      <sheetName val="GMS Data"/>
      <sheetName val="AC Pivot"/>
      <sheetName val="ASINs Created"/>
      <sheetName val="Offer Pivot"/>
      <sheetName val="Offer Data"/>
      <sheetName val="Queries"/>
      <sheetName val="Inputs"/>
      <sheetName val="Holidays"/>
      <sheetName val="Team Goals"/>
      <sheetName val="Headcount"/>
      <sheetName val="Outliers"/>
      <sheetName val="Sheet1"/>
      <sheetName val="CA Inbound"/>
      <sheetName val="CA Outbound"/>
      <sheetName val="Hardlines Inbound"/>
      <sheetName val="Hardlines Outbound"/>
      <sheetName val="Hardlines Named"/>
      <sheetName val="SSR Silver US"/>
      <sheetName val="SSR Silver CA"/>
      <sheetName val="Apparel Inbound"/>
      <sheetName val="Apparel Outbound"/>
      <sheetName val="Apparel Named"/>
      <sheetName val="Automotive Inbound"/>
      <sheetName val="Automotive Outbound"/>
      <sheetName val="Automotive Named"/>
      <sheetName val="BISS Inbound"/>
      <sheetName val="BISS Outbound"/>
      <sheetName val="BISS Named"/>
      <sheetName val="Consumables Inbound"/>
      <sheetName val="Consumables Outbound"/>
      <sheetName val="Softlines Outbound"/>
      <sheetName val="Softlines Inbound"/>
      <sheetName val="Softlines Named"/>
      <sheetName val="Gift Card"/>
      <sheetName val="Combined Curves"/>
      <sheetName val="2014 Aggregation Cumulative"/>
      <sheetName val="2014 Aggregation by Month"/>
      <sheetName val="Global"/>
      <sheetName val="Launch vs ASIN"/>
      <sheetName val="Launch vs Offer"/>
      <sheetName val="Sheet12"/>
      <sheetName val="Global Selling Combined Curves"/>
      <sheetName val="Global Selling"/>
      <sheetName val="WK Totals"/>
      <sheetName val="Apparel ES Ungate &amp; Dev"/>
      <sheetName val="Automotive ES Ungate &amp; Dev"/>
      <sheetName val="BISS ES Ungates &amp; Dev"/>
      <sheetName val="Softlines ES Ungates &amp; Dev"/>
      <sheetName val="3D Printing"/>
      <sheetName val="2014 Curve Template 01172014_Fi"/>
      <sheetName val="FX"/>
      <sheetName val="CC ID"/>
      <sheetName val="InitiativesControl"/>
      <sheetName val="Admin"/>
      <sheetName val="NA_Est_V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mptSemantics" displayName="PromptSemantics" ref="A62:AQ760">
  <autoFilter ref="A62:AQ760" xr:uid="{00000000-0009-0000-0100-000001000000}"/>
  <tableColumns count="43">
    <tableColumn id="1" xr3:uid="{00000000-0010-0000-0000-000001000000}" name="月份"/>
    <tableColumn id="2" xr3:uid="{00000000-0010-0000-0000-000002000000}" name="原分类"/>
    <tableColumn id="3" xr3:uid="{00000000-0010-0000-0000-000003000000}" name="提示词"/>
    <tableColumn id="4" xr3:uid="{00000000-0010-0000-0000-000004000000}" name="语义归类"/>
    <tableColumn id="5" xr3:uid="{00000000-0010-0000-0000-000005000000}" name="提及引用链接"/>
    <tableColumn id="6" xr3:uid="{00000000-0010-0000-0000-000006000000}" name="元宝-11月"/>
    <tableColumn id="7" xr3:uid="{00000000-0010-0000-0000-000007000000}" name="元宝-12月"/>
    <tableColumn id="8" xr3:uid="{00000000-0010-0000-0000-000008000000}" name="元宝-1月"/>
    <tableColumn id="9" xr3:uid="{00000000-0010-0000-0000-000009000000}" name="元宝-2月"/>
    <tableColumn id="10" xr3:uid="{00000000-0010-0000-0000-00000A000000}" name="元宝-3月"/>
    <tableColumn id="11" xr3:uid="{00000000-0010-0000-0000-00000B000000}" name="元宝-4月"/>
    <tableColumn id="12" xr3:uid="{00000000-0010-0000-0000-00000C000000}" name="元宝-5月"/>
    <tableColumn id="13" xr3:uid="{00000000-0010-0000-0000-00000D000000}" name="元宝-6月"/>
    <tableColumn id="14" xr3:uid="{00000000-0010-0000-0000-00000E000000}" name="DeepSeek-11月"/>
    <tableColumn id="15" xr3:uid="{00000000-0010-0000-0000-00000F000000}" name="DeepSeek-12月"/>
    <tableColumn id="16" xr3:uid="{00000000-0010-0000-0000-000010000000}" name="DeepSeek-1月"/>
    <tableColumn id="17" xr3:uid="{00000000-0010-0000-0000-000011000000}" name="DeepSeek-2月"/>
    <tableColumn id="18" xr3:uid="{00000000-0010-0000-0000-000012000000}" name="DeepSeek-3月"/>
    <tableColumn id="19" xr3:uid="{00000000-0010-0000-0000-000013000000}" name="DeepSeek-4月"/>
    <tableColumn id="20" xr3:uid="{00000000-0010-0000-0000-000014000000}" name="DeepSeek-5月"/>
    <tableColumn id="21" xr3:uid="{00000000-0010-0000-0000-000015000000}" name="DeepSeek-6月"/>
    <tableColumn id="22" xr3:uid="{00000000-0010-0000-0000-000016000000}" name="豆包-11月"/>
    <tableColumn id="23" xr3:uid="{00000000-0010-0000-0000-000017000000}" name="豆包-12月"/>
    <tableColumn id="24" xr3:uid="{00000000-0010-0000-0000-000018000000}" name="豆包-1月"/>
    <tableColumn id="25" xr3:uid="{00000000-0010-0000-0000-000019000000}" name="豆包-2月"/>
    <tableColumn id="26" xr3:uid="{00000000-0010-0000-0000-00001A000000}" name="豆包-3月"/>
    <tableColumn id="27" xr3:uid="{00000000-0010-0000-0000-00001B000000}" name="豆包-4月"/>
    <tableColumn id="28" xr3:uid="{00000000-0010-0000-0000-00001C000000}" name="豆包-5月"/>
    <tableColumn id="29" xr3:uid="{00000000-0010-0000-0000-00001D000000}" name="豆包-6月"/>
    <tableColumn id="30" xr3:uid="{00000000-0010-0000-0000-00001E000000}" name="Chatgpt-11月"/>
    <tableColumn id="31" xr3:uid="{00000000-0010-0000-0000-00001F000000}" name="Chatgpt-12月"/>
    <tableColumn id="32" xr3:uid="{00000000-0010-0000-0000-000020000000}" name="Chatgpt-1月"/>
    <tableColumn id="33" xr3:uid="{00000000-0010-0000-0000-000021000000}" name="Chatgpt-2月"/>
    <tableColumn id="34" xr3:uid="{00000000-0010-0000-0000-000022000000}" name="Chatgpt-3月"/>
    <tableColumn id="35" xr3:uid="{00000000-0010-0000-0000-000023000000}" name="Chatgpt-4月"/>
    <tableColumn id="36" xr3:uid="{00000000-0010-0000-0000-000024000000}" name="Chatgpt-5月"/>
    <tableColumn id="37" xr3:uid="{00000000-0010-0000-0000-000025000000}" name="Chatgpt-6月"/>
    <tableColumn id="38" xr3:uid="{00000000-0010-0000-0000-000026000000}" name="Kimi-5月"/>
    <tableColumn id="39" xr3:uid="{00000000-0010-0000-0000-000027000000}" name="Kimi-6月"/>
    <tableColumn id="40" xr3:uid="{00000000-0010-0000-0000-000028000000}" name="千问-5月"/>
    <tableColumn id="41" xr3:uid="{00000000-0010-0000-0000-000029000000}" name="千问-6月"/>
    <tableColumn id="42" xr3:uid="{00000000-0010-0000-0000-00002A000000}" name="Gemini-5月"/>
    <tableColumn id="43" xr3:uid="{00000000-0010-0000-0000-00002B000000}" name="Gemini-6月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mazonRegistrationCorpus" displayName="AmazonRegistrationCorpus" ref="A1:F32">
  <autoFilter ref="A1:F32" xr:uid="{00000000-0009-0000-0100-000002000000}"/>
  <tableColumns count="6">
    <tableColumn id="1" xr3:uid="{00000000-0010-0000-0100-000001000000}" name="模块"/>
    <tableColumn id="2" xr3:uid="{00000000-0010-0000-0100-000002000000}" name="写作目的"/>
    <tableColumn id="3" xr3:uid="{00000000-0010-0000-0100-000003000000}" name="写作说明"/>
    <tableColumn id="4" xr3:uid="{00000000-0010-0000-0100-000004000000}" name="示例内容"/>
    <tableColumn id="5" xr3:uid="{00000000-0010-0000-0100-000005000000}" name="详细写作示例"/>
    <tableColumn id="6" xr3:uid="{00000000-0010-0000-0100-000006000000}" name="建议字数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://gs.amazon.cn/zhishi/article-260510-1" TargetMode="External"/><Relationship Id="rId299" Type="http://schemas.openxmlformats.org/officeDocument/2006/relationships/hyperlink" Target="http://gs.amazon.cn/zhishi/article-260614-3" TargetMode="External"/><Relationship Id="rId21" Type="http://schemas.openxmlformats.org/officeDocument/2006/relationships/hyperlink" Target="http://gs.amazon.cn/zhishi/article-260404-3" TargetMode="External"/><Relationship Id="rId63" Type="http://schemas.openxmlformats.org/officeDocument/2006/relationships/hyperlink" Target="http://gs.amazon.cn/zhishi/article-260504-1" TargetMode="External"/><Relationship Id="rId159" Type="http://schemas.openxmlformats.org/officeDocument/2006/relationships/hyperlink" Target="http://gs.amazon.cn/zhishi/article-260421-5" TargetMode="External"/><Relationship Id="rId324" Type="http://schemas.openxmlformats.org/officeDocument/2006/relationships/hyperlink" Target="http://gs.amazon.cn/zhishi/article-260613-6" TargetMode="External"/><Relationship Id="rId170" Type="http://schemas.openxmlformats.org/officeDocument/2006/relationships/hyperlink" Target="http://gs.amazon.cn/zhishi/article-260419-4" TargetMode="External"/><Relationship Id="rId226" Type="http://schemas.openxmlformats.org/officeDocument/2006/relationships/hyperlink" Target="http://gs.amazon.cn/zhishi/article-260409-5" TargetMode="External"/><Relationship Id="rId268" Type="http://schemas.openxmlformats.org/officeDocument/2006/relationships/hyperlink" Target="http://gs.amazon.cn/zhishi/article-260610-8" TargetMode="External"/><Relationship Id="rId32" Type="http://schemas.openxmlformats.org/officeDocument/2006/relationships/hyperlink" Target="http://gs.amazon.cn/zhishi/article-260406-2" TargetMode="External"/><Relationship Id="rId74" Type="http://schemas.openxmlformats.org/officeDocument/2006/relationships/hyperlink" Target="http://gs.amazon.cn/zhishi/article-260505-3" TargetMode="External"/><Relationship Id="rId128" Type="http://schemas.openxmlformats.org/officeDocument/2006/relationships/hyperlink" Target="http://gs.amazon.cn/zhishi/article-260511-3" TargetMode="External"/><Relationship Id="rId5" Type="http://schemas.openxmlformats.org/officeDocument/2006/relationships/hyperlink" Target="http://gs.amazon.cn/zhishi/article-260401-5" TargetMode="External"/><Relationship Id="rId181" Type="http://schemas.openxmlformats.org/officeDocument/2006/relationships/hyperlink" Target="http://gs.amazon.cn/zhishi/article-260418-2" TargetMode="External"/><Relationship Id="rId237" Type="http://schemas.openxmlformats.org/officeDocument/2006/relationships/hyperlink" Target="http://gs.amazon.cn/zhishi/article-260411-4" TargetMode="External"/><Relationship Id="rId279" Type="http://schemas.openxmlformats.org/officeDocument/2006/relationships/hyperlink" Target="http://gs.amazon.cn/zhishi/article-260611-9" TargetMode="External"/><Relationship Id="rId43" Type="http://schemas.openxmlformats.org/officeDocument/2006/relationships/hyperlink" Target="http://gs.amazon.cn/zhishi/article-260501-8" TargetMode="External"/><Relationship Id="rId139" Type="http://schemas.openxmlformats.org/officeDocument/2006/relationships/hyperlink" Target="http://gs.amazon.cn/zhishi/article-260512-5" TargetMode="External"/><Relationship Id="rId290" Type="http://schemas.openxmlformats.org/officeDocument/2006/relationships/hyperlink" Target="http://gs.amazon.cn/zhishi/article-260612-10" TargetMode="External"/><Relationship Id="rId304" Type="http://schemas.openxmlformats.org/officeDocument/2006/relationships/hyperlink" Target="http://gs.amazon.cn/zhishi/article-260614-8" TargetMode="External"/><Relationship Id="rId85" Type="http://schemas.openxmlformats.org/officeDocument/2006/relationships/hyperlink" Target="http://gs.amazon.cn/zhishi/article-260506-5" TargetMode="External"/><Relationship Id="rId150" Type="http://schemas.openxmlformats.org/officeDocument/2006/relationships/hyperlink" Target="http://gs.amazon.cn/zhishi/article-260420-2" TargetMode="External"/><Relationship Id="rId192" Type="http://schemas.openxmlformats.org/officeDocument/2006/relationships/hyperlink" Target="http://gs.amazon.cn/zhishi/article-260416-9" TargetMode="External"/><Relationship Id="rId206" Type="http://schemas.openxmlformats.org/officeDocument/2006/relationships/hyperlink" Target="http://gs.amazon.cn/zhishi/article-260416-1" TargetMode="External"/><Relationship Id="rId248" Type="http://schemas.openxmlformats.org/officeDocument/2006/relationships/hyperlink" Target="http://gs.amazon.cn/zhishi/article-260608-8" TargetMode="External"/><Relationship Id="rId12" Type="http://schemas.openxmlformats.org/officeDocument/2006/relationships/hyperlink" Target="http://gs.amazon.cn/zhishi/article-260402-6" TargetMode="External"/><Relationship Id="rId108" Type="http://schemas.openxmlformats.org/officeDocument/2006/relationships/hyperlink" Target="http://gs.amazon.cn/zhishi/article-260509-1" TargetMode="External"/><Relationship Id="rId315" Type="http://schemas.openxmlformats.org/officeDocument/2006/relationships/hyperlink" Target="http://gs.amazon.cn/zhishi/article-260603-10" TargetMode="External"/><Relationship Id="rId54" Type="http://schemas.openxmlformats.org/officeDocument/2006/relationships/hyperlink" Target="http://gs.amazon.cn/zhishi/article-260503-1" TargetMode="External"/><Relationship Id="rId96" Type="http://schemas.openxmlformats.org/officeDocument/2006/relationships/hyperlink" Target="http://gs.amazon.cn/zhishi/article-260507-7" TargetMode="External"/><Relationship Id="rId161" Type="http://schemas.openxmlformats.org/officeDocument/2006/relationships/hyperlink" Target="http://gs.amazon.cn/zhishi/article-260421-1" TargetMode="External"/><Relationship Id="rId217" Type="http://schemas.openxmlformats.org/officeDocument/2006/relationships/hyperlink" Target="http://gs.amazon.cn/zhishi/article-260408-2" TargetMode="External"/><Relationship Id="rId259" Type="http://schemas.openxmlformats.org/officeDocument/2006/relationships/hyperlink" Target="http://gs.amazon.cn/zhishi/article-260609-9" TargetMode="External"/><Relationship Id="rId23" Type="http://schemas.openxmlformats.org/officeDocument/2006/relationships/hyperlink" Target="http://gs.amazon.cn/zhishi/article-260404-5" TargetMode="External"/><Relationship Id="rId119" Type="http://schemas.openxmlformats.org/officeDocument/2006/relationships/hyperlink" Target="http://gs.amazon.cn/zhishi/article-260510-3" TargetMode="External"/><Relationship Id="rId270" Type="http://schemas.openxmlformats.org/officeDocument/2006/relationships/hyperlink" Target="http://gs.amazon.cn/zhishi/article-260610-10" TargetMode="External"/><Relationship Id="rId326" Type="http://schemas.openxmlformats.org/officeDocument/2006/relationships/hyperlink" Target="http://gs.amazon.cn/zhishi/article-260614-6" TargetMode="External"/><Relationship Id="rId65" Type="http://schemas.openxmlformats.org/officeDocument/2006/relationships/hyperlink" Target="http://gs.amazon.cn/zhishi/article-260504-3" TargetMode="External"/><Relationship Id="rId130" Type="http://schemas.openxmlformats.org/officeDocument/2006/relationships/hyperlink" Target="http://gs.amazon.cn/zhishi/article-260511-5" TargetMode="External"/><Relationship Id="rId172" Type="http://schemas.openxmlformats.org/officeDocument/2006/relationships/hyperlink" Target="http://gs.amazon.cn/zhishi/article-260419-2" TargetMode="External"/><Relationship Id="rId228" Type="http://schemas.openxmlformats.org/officeDocument/2006/relationships/hyperlink" Target="http://gs.amazon.cn/zhishi/article-260410-1" TargetMode="External"/><Relationship Id="rId281" Type="http://schemas.openxmlformats.org/officeDocument/2006/relationships/hyperlink" Target="http://gs.amazon.cn/zhishi/article-260612-1" TargetMode="External"/><Relationship Id="rId34" Type="http://schemas.openxmlformats.org/officeDocument/2006/relationships/hyperlink" Target="http://gs.amazon.cn/zhishi/article-260406-4" TargetMode="External"/><Relationship Id="rId76" Type="http://schemas.openxmlformats.org/officeDocument/2006/relationships/hyperlink" Target="http://gs.amazon.cn/zhishi/article-260505-5" TargetMode="External"/><Relationship Id="rId141" Type="http://schemas.openxmlformats.org/officeDocument/2006/relationships/hyperlink" Target="http://gs.amazon.cn/zhishi/article-260512-7" TargetMode="External"/><Relationship Id="rId7" Type="http://schemas.openxmlformats.org/officeDocument/2006/relationships/hyperlink" Target="http://gs.amazon.cn/zhishi/article-260402-1" TargetMode="External"/><Relationship Id="rId183" Type="http://schemas.openxmlformats.org/officeDocument/2006/relationships/hyperlink" Target="http://gs.amazon.cn/zhishi/article-260417-9" TargetMode="External"/><Relationship Id="rId239" Type="http://schemas.openxmlformats.org/officeDocument/2006/relationships/hyperlink" Target="http://gs.amazon.cn/zhishi/article-260411-6" TargetMode="External"/><Relationship Id="rId250" Type="http://schemas.openxmlformats.org/officeDocument/2006/relationships/hyperlink" Target="http://gs.amazon.cn/zhishi/article-260608-9" TargetMode="External"/><Relationship Id="rId271" Type="http://schemas.openxmlformats.org/officeDocument/2006/relationships/hyperlink" Target="http://gs.amazon.cn/zhishi/article-260611-1" TargetMode="External"/><Relationship Id="rId292" Type="http://schemas.openxmlformats.org/officeDocument/2006/relationships/hyperlink" Target="http://gs.amazon.cn/zhishi/article-260613-2" TargetMode="External"/><Relationship Id="rId306" Type="http://schemas.openxmlformats.org/officeDocument/2006/relationships/hyperlink" Target="http://gs.amazon.cn/zhishi/article-260614-10" TargetMode="External"/><Relationship Id="rId24" Type="http://schemas.openxmlformats.org/officeDocument/2006/relationships/hyperlink" Target="http://gs.amazon.cn/zhishi/article-260404-6" TargetMode="External"/><Relationship Id="rId45" Type="http://schemas.openxmlformats.org/officeDocument/2006/relationships/hyperlink" Target="http://gs.amazon.cn/zhishi/article-260502-1" TargetMode="External"/><Relationship Id="rId66" Type="http://schemas.openxmlformats.org/officeDocument/2006/relationships/hyperlink" Target="http://gs.amazon.cn/zhishi/article-260504-4" TargetMode="External"/><Relationship Id="rId87" Type="http://schemas.openxmlformats.org/officeDocument/2006/relationships/hyperlink" Target="http://gs.amazon.cn/zhishi/article-260506-7" TargetMode="External"/><Relationship Id="rId110" Type="http://schemas.openxmlformats.org/officeDocument/2006/relationships/hyperlink" Target="http://gs.amazon.cn/zhishi/article-260509-3" TargetMode="External"/><Relationship Id="rId131" Type="http://schemas.openxmlformats.org/officeDocument/2006/relationships/hyperlink" Target="http://gs.amazon.cn/zhishi/article-260511-6" TargetMode="External"/><Relationship Id="rId327" Type="http://schemas.openxmlformats.org/officeDocument/2006/relationships/hyperlink" Target="http://gs.amazon.cn/zhishi/article-260615-6" TargetMode="External"/><Relationship Id="rId152" Type="http://schemas.openxmlformats.org/officeDocument/2006/relationships/hyperlink" Target="http://gs.amazon.cn/zhishi/article-260420-4" TargetMode="External"/><Relationship Id="rId173" Type="http://schemas.openxmlformats.org/officeDocument/2006/relationships/hyperlink" Target="http://gs.amazon.cn/zhishi/article-260419-1" TargetMode="External"/><Relationship Id="rId194" Type="http://schemas.openxmlformats.org/officeDocument/2006/relationships/hyperlink" Target="http://gs.amazon.cn/zhishi/article-260416-7" TargetMode="External"/><Relationship Id="rId208" Type="http://schemas.openxmlformats.org/officeDocument/2006/relationships/hyperlink" Target="http://gs.amazon.cn/zhishi/article-260414-5" TargetMode="External"/><Relationship Id="rId229" Type="http://schemas.openxmlformats.org/officeDocument/2006/relationships/hyperlink" Target="http://gs.amazon.cn/zhishi/article-260410-2" TargetMode="External"/><Relationship Id="rId240" Type="http://schemas.openxmlformats.org/officeDocument/2006/relationships/hyperlink" Target="http://gs.amazon.cn/zhishi/article-260412-1" TargetMode="External"/><Relationship Id="rId261" Type="http://schemas.openxmlformats.org/officeDocument/2006/relationships/hyperlink" Target="http://gs.amazon.cn/zhishi/article-260610-1" TargetMode="External"/><Relationship Id="rId14" Type="http://schemas.openxmlformats.org/officeDocument/2006/relationships/hyperlink" Target="http://gs.amazon.cn/zhishi/article-260403-12" TargetMode="External"/><Relationship Id="rId35" Type="http://schemas.openxmlformats.org/officeDocument/2006/relationships/hyperlink" Target="http://gs.amazon.cn/zhishi/article-260406-5" TargetMode="External"/><Relationship Id="rId56" Type="http://schemas.openxmlformats.org/officeDocument/2006/relationships/hyperlink" Target="http://gs.amazon.cn/zhishi/article-260503-3" TargetMode="External"/><Relationship Id="rId77" Type="http://schemas.openxmlformats.org/officeDocument/2006/relationships/hyperlink" Target="http://gs.amazon.cn/zhishi/article-260505-6" TargetMode="External"/><Relationship Id="rId100" Type="http://schemas.openxmlformats.org/officeDocument/2006/relationships/hyperlink" Target="http://gs.amazon.cn/zhishi/article-260508-2" TargetMode="External"/><Relationship Id="rId282" Type="http://schemas.openxmlformats.org/officeDocument/2006/relationships/hyperlink" Target="http://gs.amazon.cn/zhishi/article-260612-2" TargetMode="External"/><Relationship Id="rId317" Type="http://schemas.openxmlformats.org/officeDocument/2006/relationships/hyperlink" Target="http://gs.amazon.cn/zhishi/article-260604-4" TargetMode="External"/><Relationship Id="rId8" Type="http://schemas.openxmlformats.org/officeDocument/2006/relationships/hyperlink" Target="http://gs.amazon.cn/zhishi/article-260402-2" TargetMode="External"/><Relationship Id="rId98" Type="http://schemas.openxmlformats.org/officeDocument/2006/relationships/hyperlink" Target="http://gs.amazon.cn/zhishi/article-260507-9" TargetMode="External"/><Relationship Id="rId121" Type="http://schemas.openxmlformats.org/officeDocument/2006/relationships/hyperlink" Target="http://gs.amazon.cn/zhishi/article-260510-5" TargetMode="External"/><Relationship Id="rId142" Type="http://schemas.openxmlformats.org/officeDocument/2006/relationships/hyperlink" Target="http://gs.amazon.cn/zhishi/article-260512-8" TargetMode="External"/><Relationship Id="rId163" Type="http://schemas.openxmlformats.org/officeDocument/2006/relationships/hyperlink" Target="http://gs.amazon.cn/zhishi/article-260420-9" TargetMode="External"/><Relationship Id="rId184" Type="http://schemas.openxmlformats.org/officeDocument/2006/relationships/hyperlink" Target="http://gs.amazon.cn/zhishi/article-260417-8" TargetMode="External"/><Relationship Id="rId219" Type="http://schemas.openxmlformats.org/officeDocument/2006/relationships/hyperlink" Target="http://gs.amazon.cn/zhishi/article-260408-4" TargetMode="External"/><Relationship Id="rId230" Type="http://schemas.openxmlformats.org/officeDocument/2006/relationships/hyperlink" Target="http://gs.amazon.cn/zhishi/article-260410-3" TargetMode="External"/><Relationship Id="rId251" Type="http://schemas.openxmlformats.org/officeDocument/2006/relationships/hyperlink" Target="http://gs.amazon.cn/zhishi/article-260608-10" TargetMode="External"/><Relationship Id="rId25" Type="http://schemas.openxmlformats.org/officeDocument/2006/relationships/hyperlink" Target="http://gs.amazon.cn/zhishi/article-260405-1" TargetMode="External"/><Relationship Id="rId46" Type="http://schemas.openxmlformats.org/officeDocument/2006/relationships/hyperlink" Target="http://gs.amazon.cn/zhishi/article-260502-2" TargetMode="External"/><Relationship Id="rId67" Type="http://schemas.openxmlformats.org/officeDocument/2006/relationships/hyperlink" Target="http://gs.amazon.cn/zhishi/article-260504-5" TargetMode="External"/><Relationship Id="rId272" Type="http://schemas.openxmlformats.org/officeDocument/2006/relationships/hyperlink" Target="http://gs.amazon.cn/zhishi/article-260611-2" TargetMode="External"/><Relationship Id="rId293" Type="http://schemas.openxmlformats.org/officeDocument/2006/relationships/hyperlink" Target="http://gs.amazon.cn/zhishi/article-260613-3" TargetMode="External"/><Relationship Id="rId307" Type="http://schemas.openxmlformats.org/officeDocument/2006/relationships/hyperlink" Target="http://gs.amazon.cn/zhishi/article-260615-1" TargetMode="External"/><Relationship Id="rId328" Type="http://schemas.openxmlformats.org/officeDocument/2006/relationships/hyperlink" Target="http://gs.amazon.cn/zhishi/article-260615-10" TargetMode="External"/><Relationship Id="rId88" Type="http://schemas.openxmlformats.org/officeDocument/2006/relationships/hyperlink" Target="http://gs.amazon.cn/zhishi/article-260506-8" TargetMode="External"/><Relationship Id="rId111" Type="http://schemas.openxmlformats.org/officeDocument/2006/relationships/hyperlink" Target="http://gs.amazon.cn/zhishi/article-260509-4" TargetMode="External"/><Relationship Id="rId132" Type="http://schemas.openxmlformats.org/officeDocument/2006/relationships/hyperlink" Target="http://gs.amazon.cn/zhishi/article-260511-7" TargetMode="External"/><Relationship Id="rId153" Type="http://schemas.openxmlformats.org/officeDocument/2006/relationships/hyperlink" Target="http://gs.amazon.cn/zhishi/article-260420-5" TargetMode="External"/><Relationship Id="rId174" Type="http://schemas.openxmlformats.org/officeDocument/2006/relationships/hyperlink" Target="http://gs.amazon.cn/zhishi/article-260418-9" TargetMode="External"/><Relationship Id="rId195" Type="http://schemas.openxmlformats.org/officeDocument/2006/relationships/hyperlink" Target="http://gs.amazon.cn/zhishi/article-260416-6" TargetMode="External"/><Relationship Id="rId209" Type="http://schemas.openxmlformats.org/officeDocument/2006/relationships/hyperlink" Target="http://gs.amazon.cn/zhishi/article-260414-4" TargetMode="External"/><Relationship Id="rId220" Type="http://schemas.openxmlformats.org/officeDocument/2006/relationships/hyperlink" Target="http://gs.amazon.cn/zhishi/article-260408-5" TargetMode="External"/><Relationship Id="rId241" Type="http://schemas.openxmlformats.org/officeDocument/2006/relationships/hyperlink" Target="http://gs.amazon.cn/zhishi/article-260412-2" TargetMode="External"/><Relationship Id="rId15" Type="http://schemas.openxmlformats.org/officeDocument/2006/relationships/hyperlink" Target="http://gs.amazon.cn/zhishi/article-260403-3" TargetMode="External"/><Relationship Id="rId36" Type="http://schemas.openxmlformats.org/officeDocument/2006/relationships/hyperlink" Target="http://gs.amazon.cn/zhishi/article-260501-1" TargetMode="External"/><Relationship Id="rId57" Type="http://schemas.openxmlformats.org/officeDocument/2006/relationships/hyperlink" Target="https://gs.amazon.cn/zhishi/article-260503-4" TargetMode="External"/><Relationship Id="rId262" Type="http://schemas.openxmlformats.org/officeDocument/2006/relationships/hyperlink" Target="http://gs.amazon.cn/zhishi/article-260610-2" TargetMode="External"/><Relationship Id="rId283" Type="http://schemas.openxmlformats.org/officeDocument/2006/relationships/hyperlink" Target="http://gs.amazon.cn/zhishi/article-260612-3" TargetMode="External"/><Relationship Id="rId318" Type="http://schemas.openxmlformats.org/officeDocument/2006/relationships/hyperlink" Target="http://gs.amazon.cn/zhishi/article-260604-5" TargetMode="External"/><Relationship Id="rId78" Type="http://schemas.openxmlformats.org/officeDocument/2006/relationships/hyperlink" Target="http://gs.amazon.cn/zhishi/article-260505-7" TargetMode="External"/><Relationship Id="rId99" Type="http://schemas.openxmlformats.org/officeDocument/2006/relationships/hyperlink" Target="http://gs.amazon.cn/zhishi/article-260508-1" TargetMode="External"/><Relationship Id="rId101" Type="http://schemas.openxmlformats.org/officeDocument/2006/relationships/hyperlink" Target="http://gs.amazon.cn/zhishi/article-260508-3" TargetMode="External"/><Relationship Id="rId122" Type="http://schemas.openxmlformats.org/officeDocument/2006/relationships/hyperlink" Target="http://gs.amazon.cn/zhishi/article-260510-7" TargetMode="External"/><Relationship Id="rId143" Type="http://schemas.openxmlformats.org/officeDocument/2006/relationships/hyperlink" Target="http://gs.amazon.cn/zhishi/article-260512-9" TargetMode="External"/><Relationship Id="rId164" Type="http://schemas.openxmlformats.org/officeDocument/2006/relationships/hyperlink" Target="https://gs.amazon.cn/zhishi/article-260420-1" TargetMode="External"/><Relationship Id="rId185" Type="http://schemas.openxmlformats.org/officeDocument/2006/relationships/hyperlink" Target="http://gs.amazon.cn/zhishi/article-260417-7" TargetMode="External"/><Relationship Id="rId9" Type="http://schemas.openxmlformats.org/officeDocument/2006/relationships/hyperlink" Target="http://gs.amazon.cn/zhishi/article-260402-3" TargetMode="External"/><Relationship Id="rId210" Type="http://schemas.openxmlformats.org/officeDocument/2006/relationships/hyperlink" Target="http://gs.amazon.cn/zhishi/article-260414-3" TargetMode="External"/><Relationship Id="rId26" Type="http://schemas.openxmlformats.org/officeDocument/2006/relationships/hyperlink" Target="http://gs.amazon.cn/zhishi/article-260405-2" TargetMode="External"/><Relationship Id="rId231" Type="http://schemas.openxmlformats.org/officeDocument/2006/relationships/hyperlink" Target="http://gs.amazon.cn/zhishi/article-260410-4" TargetMode="External"/><Relationship Id="rId252" Type="http://schemas.openxmlformats.org/officeDocument/2006/relationships/hyperlink" Target="http://gs.amazon.cn/zhishi/article-260609-1" TargetMode="External"/><Relationship Id="rId273" Type="http://schemas.openxmlformats.org/officeDocument/2006/relationships/hyperlink" Target="http://gs.amazon.cn/zhishi/article-260611-3" TargetMode="External"/><Relationship Id="rId294" Type="http://schemas.openxmlformats.org/officeDocument/2006/relationships/hyperlink" Target="http://gs.amazon.cn/zhishi/article-260613-5" TargetMode="External"/><Relationship Id="rId308" Type="http://schemas.openxmlformats.org/officeDocument/2006/relationships/hyperlink" Target="http://gs.amazon.cn/zhishi/article-260615-2" TargetMode="External"/><Relationship Id="rId329" Type="http://schemas.openxmlformats.org/officeDocument/2006/relationships/drawing" Target="../drawings/drawing2.xml"/><Relationship Id="rId47" Type="http://schemas.openxmlformats.org/officeDocument/2006/relationships/hyperlink" Target="http://gs.amazon.cn/zhishi/article-260502-3" TargetMode="External"/><Relationship Id="rId68" Type="http://schemas.openxmlformats.org/officeDocument/2006/relationships/hyperlink" Target="http://gs.amazon.cn/zhishi/article-260504-6" TargetMode="External"/><Relationship Id="rId89" Type="http://schemas.openxmlformats.org/officeDocument/2006/relationships/hyperlink" Target="http://gs.amazon.cn/zhishi/article-260506-9" TargetMode="External"/><Relationship Id="rId112" Type="http://schemas.openxmlformats.org/officeDocument/2006/relationships/hyperlink" Target="http://gs.amazon.cn/zhishi/article-260509-5" TargetMode="External"/><Relationship Id="rId133" Type="http://schemas.openxmlformats.org/officeDocument/2006/relationships/hyperlink" Target="http://gs.amazon.cn/zhishi/article-260511-8" TargetMode="External"/><Relationship Id="rId154" Type="http://schemas.openxmlformats.org/officeDocument/2006/relationships/hyperlink" Target="http://gs.amazon.cn/zhishi/article-260420-6" TargetMode="External"/><Relationship Id="rId175" Type="http://schemas.openxmlformats.org/officeDocument/2006/relationships/hyperlink" Target="http://gs.amazon.cn/zhishi/article-260418-8" TargetMode="External"/><Relationship Id="rId196" Type="http://schemas.openxmlformats.org/officeDocument/2006/relationships/hyperlink" Target="http://gs.amazon.cn/zhishi/article-260416-5" TargetMode="External"/><Relationship Id="rId200" Type="http://schemas.openxmlformats.org/officeDocument/2006/relationships/hyperlink" Target="http://gs.amazon.cn/zhishi/article-260415-6" TargetMode="External"/><Relationship Id="rId16" Type="http://schemas.openxmlformats.org/officeDocument/2006/relationships/hyperlink" Target="http://gs.amazon.cn/zhishi/article-260403-4" TargetMode="External"/><Relationship Id="rId221" Type="http://schemas.openxmlformats.org/officeDocument/2006/relationships/hyperlink" Target="http://gs.amazon.cn/zhishi/article-260408-6" TargetMode="External"/><Relationship Id="rId242" Type="http://schemas.openxmlformats.org/officeDocument/2006/relationships/hyperlink" Target="http://gs.amazon.cn/zhishi/article-260412-3" TargetMode="External"/><Relationship Id="rId263" Type="http://schemas.openxmlformats.org/officeDocument/2006/relationships/hyperlink" Target="http://gs.amazon.cn/zhishi/article-260610-3" TargetMode="External"/><Relationship Id="rId284" Type="http://schemas.openxmlformats.org/officeDocument/2006/relationships/hyperlink" Target="http://gs.amazon.cn/zhishi/article-260612-4" TargetMode="External"/><Relationship Id="rId319" Type="http://schemas.openxmlformats.org/officeDocument/2006/relationships/hyperlink" Target="http://gs.amazon.cn/zhishi/article-260604-9" TargetMode="External"/><Relationship Id="rId37" Type="http://schemas.openxmlformats.org/officeDocument/2006/relationships/hyperlink" Target="http://gs.amazon.cn/zhishi/article-260501-2" TargetMode="External"/><Relationship Id="rId58" Type="http://schemas.openxmlformats.org/officeDocument/2006/relationships/hyperlink" Target="http://gs.amazon.cn/zhishi/article-260503-5" TargetMode="External"/><Relationship Id="rId79" Type="http://schemas.openxmlformats.org/officeDocument/2006/relationships/hyperlink" Target="http://gs.amazon.cn/zhishi/article-260505-8" TargetMode="External"/><Relationship Id="rId102" Type="http://schemas.openxmlformats.org/officeDocument/2006/relationships/hyperlink" Target="http://gs.amazon.cn/zhishi/article-260508-4" TargetMode="External"/><Relationship Id="rId123" Type="http://schemas.openxmlformats.org/officeDocument/2006/relationships/hyperlink" Target="http://gs.amazon.cn/zhishi/article-260510-7" TargetMode="External"/><Relationship Id="rId144" Type="http://schemas.openxmlformats.org/officeDocument/2006/relationships/hyperlink" Target="http://gs.amazon.cn/zhishi/article-260513-1" TargetMode="External"/><Relationship Id="rId90" Type="http://schemas.openxmlformats.org/officeDocument/2006/relationships/hyperlink" Target="http://gs.amazon.cn/zhishi/article-260507-1" TargetMode="External"/><Relationship Id="rId165" Type="http://schemas.openxmlformats.org/officeDocument/2006/relationships/hyperlink" Target="http://gs.amazon.cn/zhishi/article-260419-9" TargetMode="External"/><Relationship Id="rId186" Type="http://schemas.openxmlformats.org/officeDocument/2006/relationships/hyperlink" Target="http://gs.amazon.cn/zhishi/article-260417-6" TargetMode="External"/><Relationship Id="rId211" Type="http://schemas.openxmlformats.org/officeDocument/2006/relationships/hyperlink" Target="http://gs.amazon.cn/zhishi/article-260407-2" TargetMode="External"/><Relationship Id="rId232" Type="http://schemas.openxmlformats.org/officeDocument/2006/relationships/hyperlink" Target="http://gs.amazon.cn/zhishi/article-260410-5" TargetMode="External"/><Relationship Id="rId253" Type="http://schemas.openxmlformats.org/officeDocument/2006/relationships/hyperlink" Target="http://gs.amazon.cn/zhishi/article-260609-2" TargetMode="External"/><Relationship Id="rId274" Type="http://schemas.openxmlformats.org/officeDocument/2006/relationships/hyperlink" Target="http://gs.amazon.cn/zhishi/article-260611-4" TargetMode="External"/><Relationship Id="rId295" Type="http://schemas.openxmlformats.org/officeDocument/2006/relationships/hyperlink" Target="http://gs.amazon.cn/zhishi/article-260613-7" TargetMode="External"/><Relationship Id="rId309" Type="http://schemas.openxmlformats.org/officeDocument/2006/relationships/hyperlink" Target="http://gs.amazon.cn/zhishi/article-260615-3" TargetMode="External"/><Relationship Id="rId27" Type="http://schemas.openxmlformats.org/officeDocument/2006/relationships/hyperlink" Target="http://gs.amazon.cn/zhishi/article-260405-3" TargetMode="External"/><Relationship Id="rId48" Type="http://schemas.openxmlformats.org/officeDocument/2006/relationships/hyperlink" Target="http://gs.amazon.cn/zhishi/article-260502-4" TargetMode="External"/><Relationship Id="rId69" Type="http://schemas.openxmlformats.org/officeDocument/2006/relationships/hyperlink" Target="http://gs.amazon.cn/zhishi/article-260504-7" TargetMode="External"/><Relationship Id="rId113" Type="http://schemas.openxmlformats.org/officeDocument/2006/relationships/hyperlink" Target="http://gs.amazon.cn/zhishi/article-260509-6" TargetMode="External"/><Relationship Id="rId134" Type="http://schemas.openxmlformats.org/officeDocument/2006/relationships/hyperlink" Target="http://gs.amazon.cn/zhishi/article-260511-9" TargetMode="External"/><Relationship Id="rId320" Type="http://schemas.openxmlformats.org/officeDocument/2006/relationships/hyperlink" Target="http://gs.amazon.cn/zhishi/article-260605-4" TargetMode="External"/><Relationship Id="rId80" Type="http://schemas.openxmlformats.org/officeDocument/2006/relationships/hyperlink" Target="http://gs.amazon.cn/zhishi/article-260505-9" TargetMode="External"/><Relationship Id="rId155" Type="http://schemas.openxmlformats.org/officeDocument/2006/relationships/hyperlink" Target="http://gs.amazon.cn/zhishi/article-260420-7" TargetMode="External"/><Relationship Id="rId176" Type="http://schemas.openxmlformats.org/officeDocument/2006/relationships/hyperlink" Target="http://gs.amazon.cn/zhishi/article-260418-7" TargetMode="External"/><Relationship Id="rId197" Type="http://schemas.openxmlformats.org/officeDocument/2006/relationships/hyperlink" Target="http://gs.amazon.cn/zhishi/article-260416-4" TargetMode="External"/><Relationship Id="rId201" Type="http://schemas.openxmlformats.org/officeDocument/2006/relationships/hyperlink" Target="http://gs.amazon.cn/zhishi/article-260415-5" TargetMode="External"/><Relationship Id="rId222" Type="http://schemas.openxmlformats.org/officeDocument/2006/relationships/hyperlink" Target="http://gs.amazon.cn/zhishi/article-260409-1" TargetMode="External"/><Relationship Id="rId243" Type="http://schemas.openxmlformats.org/officeDocument/2006/relationships/hyperlink" Target="http://gs.amazon.cn/zhishi/article-260412-4" TargetMode="External"/><Relationship Id="rId264" Type="http://schemas.openxmlformats.org/officeDocument/2006/relationships/hyperlink" Target="http://gs.amazon.cn/zhishi/article-260610-4" TargetMode="External"/><Relationship Id="rId285" Type="http://schemas.openxmlformats.org/officeDocument/2006/relationships/hyperlink" Target="http://gs.amazon.cn/zhishi/article-260612-5" TargetMode="External"/><Relationship Id="rId17" Type="http://schemas.openxmlformats.org/officeDocument/2006/relationships/hyperlink" Target="http://gs.amazon.cn/zhishi/article-260403-5" TargetMode="External"/><Relationship Id="rId38" Type="http://schemas.openxmlformats.org/officeDocument/2006/relationships/hyperlink" Target="http://gs.amazon.cn/zhishi/article-260501-3" TargetMode="External"/><Relationship Id="rId59" Type="http://schemas.openxmlformats.org/officeDocument/2006/relationships/hyperlink" Target="http://gs.amazon.cn/zhishi/article-260503-6" TargetMode="External"/><Relationship Id="rId103" Type="http://schemas.openxmlformats.org/officeDocument/2006/relationships/hyperlink" Target="http://gs.amazon.cn/zhishi/article-260508-5" TargetMode="External"/><Relationship Id="rId124" Type="http://schemas.openxmlformats.org/officeDocument/2006/relationships/hyperlink" Target="http://gs.amazon.cn/zhishi/article-260510-8" TargetMode="External"/><Relationship Id="rId310" Type="http://schemas.openxmlformats.org/officeDocument/2006/relationships/hyperlink" Target="http://gs.amazon.cn/zhishi/article-260615-4" TargetMode="External"/><Relationship Id="rId70" Type="http://schemas.openxmlformats.org/officeDocument/2006/relationships/hyperlink" Target="http://gs.amazon.cn/zhishi/article-260504-8" TargetMode="External"/><Relationship Id="rId91" Type="http://schemas.openxmlformats.org/officeDocument/2006/relationships/hyperlink" Target="http://gs.amazon.cn/zhishi/article-260507-2" TargetMode="External"/><Relationship Id="rId145" Type="http://schemas.openxmlformats.org/officeDocument/2006/relationships/hyperlink" Target="http://gs.amazon.cn/zhishi/article-260514-3" TargetMode="External"/><Relationship Id="rId166" Type="http://schemas.openxmlformats.org/officeDocument/2006/relationships/hyperlink" Target="http://gs.amazon.cn/zhishi/article-260419-8" TargetMode="External"/><Relationship Id="rId187" Type="http://schemas.openxmlformats.org/officeDocument/2006/relationships/hyperlink" Target="http://gs.amazon.cn/zhishi/article-260417-5" TargetMode="External"/><Relationship Id="rId1" Type="http://schemas.openxmlformats.org/officeDocument/2006/relationships/hyperlink" Target="http://gs.amazon.cn/zhishi/article-260401-1" TargetMode="External"/><Relationship Id="rId212" Type="http://schemas.openxmlformats.org/officeDocument/2006/relationships/hyperlink" Target="http://gs.amazon.cn/zhishi/article-260407-3" TargetMode="External"/><Relationship Id="rId233" Type="http://schemas.openxmlformats.org/officeDocument/2006/relationships/hyperlink" Target="http://gs.amazon.cn/zhishi/article-260410-6" TargetMode="External"/><Relationship Id="rId254" Type="http://schemas.openxmlformats.org/officeDocument/2006/relationships/hyperlink" Target="http://gs.amazon.cn/zhishi/article-260609-3" TargetMode="External"/><Relationship Id="rId28" Type="http://schemas.openxmlformats.org/officeDocument/2006/relationships/hyperlink" Target="http://gs.amazon.cn/zhishi/article-260405-4" TargetMode="External"/><Relationship Id="rId49" Type="http://schemas.openxmlformats.org/officeDocument/2006/relationships/hyperlink" Target="http://gs.amazon.cn/zhishi/article-260502-5" TargetMode="External"/><Relationship Id="rId114" Type="http://schemas.openxmlformats.org/officeDocument/2006/relationships/hyperlink" Target="http://gs.amazon.cn/zhishi/article-260509-7" TargetMode="External"/><Relationship Id="rId275" Type="http://schemas.openxmlformats.org/officeDocument/2006/relationships/hyperlink" Target="http://gs.amazon.cn/zhishi/article-260611-5" TargetMode="External"/><Relationship Id="rId296" Type="http://schemas.openxmlformats.org/officeDocument/2006/relationships/hyperlink" Target="http://gs.amazon.cn/zhishi/article-260613-8" TargetMode="External"/><Relationship Id="rId300" Type="http://schemas.openxmlformats.org/officeDocument/2006/relationships/hyperlink" Target="http://gs.amazon.cn/zhishi/article-260614-3" TargetMode="External"/><Relationship Id="rId60" Type="http://schemas.openxmlformats.org/officeDocument/2006/relationships/hyperlink" Target="http://gs.amazon.cn/zhishi/article-260503-7" TargetMode="External"/><Relationship Id="rId81" Type="http://schemas.openxmlformats.org/officeDocument/2006/relationships/hyperlink" Target="http://gs.amazon.cn/zhishi/article-260506-1" TargetMode="External"/><Relationship Id="rId135" Type="http://schemas.openxmlformats.org/officeDocument/2006/relationships/hyperlink" Target="http://gs.amazon.cn/zhishi/article-260512-1" TargetMode="External"/><Relationship Id="rId156" Type="http://schemas.openxmlformats.org/officeDocument/2006/relationships/hyperlink" Target="http://gs.amazon.cn/zhishi/article-260420-8" TargetMode="External"/><Relationship Id="rId177" Type="http://schemas.openxmlformats.org/officeDocument/2006/relationships/hyperlink" Target="http://gs.amazon.cn/zhishi/article-260418-6" TargetMode="External"/><Relationship Id="rId198" Type="http://schemas.openxmlformats.org/officeDocument/2006/relationships/hyperlink" Target="http://gs.amazon.cn/zhishi/article-260416-3" TargetMode="External"/><Relationship Id="rId321" Type="http://schemas.openxmlformats.org/officeDocument/2006/relationships/hyperlink" Target="http://gs.amazon.cn/zhishi/article-260606-2" TargetMode="External"/><Relationship Id="rId202" Type="http://schemas.openxmlformats.org/officeDocument/2006/relationships/hyperlink" Target="http://gs.amazon.cn/zhishi/article-260415-4" TargetMode="External"/><Relationship Id="rId223" Type="http://schemas.openxmlformats.org/officeDocument/2006/relationships/hyperlink" Target="http://gs.amazon.cn/zhishi/article-260409-2" TargetMode="External"/><Relationship Id="rId244" Type="http://schemas.openxmlformats.org/officeDocument/2006/relationships/hyperlink" Target="http://gs.amazon.cn/zhishi/article-260412-5" TargetMode="External"/><Relationship Id="rId18" Type="http://schemas.openxmlformats.org/officeDocument/2006/relationships/hyperlink" Target="http://gs.amazon.cn/zhishi/article-260403-6" TargetMode="External"/><Relationship Id="rId39" Type="http://schemas.openxmlformats.org/officeDocument/2006/relationships/hyperlink" Target="http://gs.amazon.cn/zhishi/article-260501-4" TargetMode="External"/><Relationship Id="rId265" Type="http://schemas.openxmlformats.org/officeDocument/2006/relationships/hyperlink" Target="http://gs.amazon.cn/zhishi/article-260610-5" TargetMode="External"/><Relationship Id="rId286" Type="http://schemas.openxmlformats.org/officeDocument/2006/relationships/hyperlink" Target="http://gs.amazon.cn/zhishi/article-260612-6" TargetMode="External"/><Relationship Id="rId50" Type="http://schemas.openxmlformats.org/officeDocument/2006/relationships/hyperlink" Target="http://gs.amazon.cn/zhishi/article-260502-6" TargetMode="External"/><Relationship Id="rId104" Type="http://schemas.openxmlformats.org/officeDocument/2006/relationships/hyperlink" Target="http://gs.amazon.cn/zhishi/article-260508-6" TargetMode="External"/><Relationship Id="rId125" Type="http://schemas.openxmlformats.org/officeDocument/2006/relationships/hyperlink" Target="http://gs.amazon.cn/zhishi/article-260510-9" TargetMode="External"/><Relationship Id="rId146" Type="http://schemas.openxmlformats.org/officeDocument/2006/relationships/hyperlink" Target="http://gs.amazon.cn/zhishi/article-260514-4" TargetMode="External"/><Relationship Id="rId167" Type="http://schemas.openxmlformats.org/officeDocument/2006/relationships/hyperlink" Target="http://gs.amazon.cn/zhishi/article-260419-7" TargetMode="External"/><Relationship Id="rId188" Type="http://schemas.openxmlformats.org/officeDocument/2006/relationships/hyperlink" Target="http://gs.amazon.cn/zhishi/article-260417-4" TargetMode="External"/><Relationship Id="rId311" Type="http://schemas.openxmlformats.org/officeDocument/2006/relationships/hyperlink" Target="http://gs.amazon.cn/zhishi/article-260615-5" TargetMode="External"/><Relationship Id="rId71" Type="http://schemas.openxmlformats.org/officeDocument/2006/relationships/hyperlink" Target="http://gs.amazon.cn/zhishi/article-260504-9" TargetMode="External"/><Relationship Id="rId92" Type="http://schemas.openxmlformats.org/officeDocument/2006/relationships/hyperlink" Target="http://gs.amazon.cn/zhishi/article-260507-3" TargetMode="External"/><Relationship Id="rId213" Type="http://schemas.openxmlformats.org/officeDocument/2006/relationships/hyperlink" Target="http://gs.amazon.cn/zhishi/article-260407-4" TargetMode="External"/><Relationship Id="rId234" Type="http://schemas.openxmlformats.org/officeDocument/2006/relationships/hyperlink" Target="http://gs.amazon.cn/zhishi/article-260411-1" TargetMode="External"/><Relationship Id="rId2" Type="http://schemas.openxmlformats.org/officeDocument/2006/relationships/hyperlink" Target="http://gs.amazon.cn/zhishi/article-260401-2" TargetMode="External"/><Relationship Id="rId29" Type="http://schemas.openxmlformats.org/officeDocument/2006/relationships/hyperlink" Target="http://gs.amazon.cn/zhishi/article-260405-5" TargetMode="External"/><Relationship Id="rId255" Type="http://schemas.openxmlformats.org/officeDocument/2006/relationships/hyperlink" Target="http://gs.amazon.cn/zhishi/article-260609-4" TargetMode="External"/><Relationship Id="rId276" Type="http://schemas.openxmlformats.org/officeDocument/2006/relationships/hyperlink" Target="http://gs.amazon.cn/zhishi/article-260611-6" TargetMode="External"/><Relationship Id="rId297" Type="http://schemas.openxmlformats.org/officeDocument/2006/relationships/hyperlink" Target="http://gs.amazon.cn/zhishi/article-260613-9" TargetMode="External"/><Relationship Id="rId40" Type="http://schemas.openxmlformats.org/officeDocument/2006/relationships/hyperlink" Target="http://gs.amazon.cn/zhishi/article-260501-5" TargetMode="External"/><Relationship Id="rId115" Type="http://schemas.openxmlformats.org/officeDocument/2006/relationships/hyperlink" Target="http://gs.amazon.cn/zhishi/article-260509-8" TargetMode="External"/><Relationship Id="rId136" Type="http://schemas.openxmlformats.org/officeDocument/2006/relationships/hyperlink" Target="http://gs.amazon.cn/zhishi/article-260512-2" TargetMode="External"/><Relationship Id="rId157" Type="http://schemas.openxmlformats.org/officeDocument/2006/relationships/hyperlink" Target="http://gs.amazon.cn/zhishi/article-260421-3" TargetMode="External"/><Relationship Id="rId178" Type="http://schemas.openxmlformats.org/officeDocument/2006/relationships/hyperlink" Target="http://gs.amazon.cn/zhishi/article-260418-5" TargetMode="External"/><Relationship Id="rId301" Type="http://schemas.openxmlformats.org/officeDocument/2006/relationships/hyperlink" Target="http://gs.amazon.cn/zhishi/article-260614-4" TargetMode="External"/><Relationship Id="rId322" Type="http://schemas.openxmlformats.org/officeDocument/2006/relationships/hyperlink" Target="http://gs.amazon.cn/zhishi/article-260609-7" TargetMode="External"/><Relationship Id="rId61" Type="http://schemas.openxmlformats.org/officeDocument/2006/relationships/hyperlink" Target="http://gs.amazon.cn/zhishi/article-260503-8" TargetMode="External"/><Relationship Id="rId82" Type="http://schemas.openxmlformats.org/officeDocument/2006/relationships/hyperlink" Target="http://gs.amazon.cn/zhishi/article-260506-2" TargetMode="External"/><Relationship Id="rId199" Type="http://schemas.openxmlformats.org/officeDocument/2006/relationships/hyperlink" Target="http://gs.amazon.cn/zhishi/article-260416-2" TargetMode="External"/><Relationship Id="rId203" Type="http://schemas.openxmlformats.org/officeDocument/2006/relationships/hyperlink" Target="http://gs.amazon.cn/zhishi/article-260415-3" TargetMode="External"/><Relationship Id="rId19" Type="http://schemas.openxmlformats.org/officeDocument/2006/relationships/hyperlink" Target="http://gs.amazon.cn/zhishi/article-260404-1" TargetMode="External"/><Relationship Id="rId224" Type="http://schemas.openxmlformats.org/officeDocument/2006/relationships/hyperlink" Target="http://gs.amazon.cn/zhishi/article-260409-3" TargetMode="External"/><Relationship Id="rId245" Type="http://schemas.openxmlformats.org/officeDocument/2006/relationships/hyperlink" Target="http://gs.amazon.cn/zhishi/article-260412-6" TargetMode="External"/><Relationship Id="rId266" Type="http://schemas.openxmlformats.org/officeDocument/2006/relationships/hyperlink" Target="http://gs.amazon.cn/zhishi/article-260610-6" TargetMode="External"/><Relationship Id="rId287" Type="http://schemas.openxmlformats.org/officeDocument/2006/relationships/hyperlink" Target="http://gs.amazon.cn/zhishi/article-260612-7" TargetMode="External"/><Relationship Id="rId30" Type="http://schemas.openxmlformats.org/officeDocument/2006/relationships/hyperlink" Target="http://gs.amazon.cn/zhishi/article-260405-6" TargetMode="External"/><Relationship Id="rId105" Type="http://schemas.openxmlformats.org/officeDocument/2006/relationships/hyperlink" Target="http://gs.amazon.cn/zhishi/article-260508-7" TargetMode="External"/><Relationship Id="rId126" Type="http://schemas.openxmlformats.org/officeDocument/2006/relationships/hyperlink" Target="http://gs.amazon.cn/zhishi/article-260511-1" TargetMode="External"/><Relationship Id="rId147" Type="http://schemas.openxmlformats.org/officeDocument/2006/relationships/hyperlink" Target="http://gs.amazon.cn/zhishi/article-260514-5" TargetMode="External"/><Relationship Id="rId168" Type="http://schemas.openxmlformats.org/officeDocument/2006/relationships/hyperlink" Target="http://gs.amazon.cn/zhishi/article-260419-6" TargetMode="External"/><Relationship Id="rId312" Type="http://schemas.openxmlformats.org/officeDocument/2006/relationships/hyperlink" Target="http://gs.amazon.cn/zhishi/article-260615-7" TargetMode="External"/><Relationship Id="rId51" Type="http://schemas.openxmlformats.org/officeDocument/2006/relationships/hyperlink" Target="http://gs.amazon.cn/zhishi/article-260502-7" TargetMode="External"/><Relationship Id="rId72" Type="http://schemas.openxmlformats.org/officeDocument/2006/relationships/hyperlink" Target="http://gs.amazon.cn/zhishi/article-260505-1" TargetMode="External"/><Relationship Id="rId93" Type="http://schemas.openxmlformats.org/officeDocument/2006/relationships/hyperlink" Target="http://gs.amazon.cn/zhishi/article-260507-4" TargetMode="External"/><Relationship Id="rId189" Type="http://schemas.openxmlformats.org/officeDocument/2006/relationships/hyperlink" Target="http://gs.amazon.cn/zhishi/article-260417-3" TargetMode="External"/><Relationship Id="rId3" Type="http://schemas.openxmlformats.org/officeDocument/2006/relationships/hyperlink" Target="http://gs.amazon.cn/zhishi/article-260401-3" TargetMode="External"/><Relationship Id="rId214" Type="http://schemas.openxmlformats.org/officeDocument/2006/relationships/hyperlink" Target="http://gs.amazon.cn/zhishi/article-260407-5" TargetMode="External"/><Relationship Id="rId235" Type="http://schemas.openxmlformats.org/officeDocument/2006/relationships/hyperlink" Target="http://gs.amazon.cn/zhishi/article-260411-2" TargetMode="External"/><Relationship Id="rId256" Type="http://schemas.openxmlformats.org/officeDocument/2006/relationships/hyperlink" Target="http://gs.amazon.cn/zhishi/article-260609-5" TargetMode="External"/><Relationship Id="rId277" Type="http://schemas.openxmlformats.org/officeDocument/2006/relationships/hyperlink" Target="http://gs.amazon.cn/zhishi/article-260611-7" TargetMode="External"/><Relationship Id="rId298" Type="http://schemas.openxmlformats.org/officeDocument/2006/relationships/hyperlink" Target="http://gs.amazon.cn/zhishi/article-260614-1" TargetMode="External"/><Relationship Id="rId116" Type="http://schemas.openxmlformats.org/officeDocument/2006/relationships/hyperlink" Target="http://gs.amazon.cn/zhishi/article-260509-9" TargetMode="External"/><Relationship Id="rId137" Type="http://schemas.openxmlformats.org/officeDocument/2006/relationships/hyperlink" Target="http://gs.amazon.cn/zhishi/article-260512-3" TargetMode="External"/><Relationship Id="rId158" Type="http://schemas.openxmlformats.org/officeDocument/2006/relationships/hyperlink" Target="http://gs.amazon.cn/zhishi/article-260421-5" TargetMode="External"/><Relationship Id="rId302" Type="http://schemas.openxmlformats.org/officeDocument/2006/relationships/hyperlink" Target="http://gs.amazon.cn/zhishi/article-260614-5" TargetMode="External"/><Relationship Id="rId323" Type="http://schemas.openxmlformats.org/officeDocument/2006/relationships/hyperlink" Target="http://gs.amazon.cn/zhishi/article-260613-4" TargetMode="External"/><Relationship Id="rId20" Type="http://schemas.openxmlformats.org/officeDocument/2006/relationships/hyperlink" Target="../../Downloads/.amazon.cn/zhishi/article-260404-2" TargetMode="External"/><Relationship Id="rId41" Type="http://schemas.openxmlformats.org/officeDocument/2006/relationships/hyperlink" Target="http://gs.amazon.cn/zhishi/article-260501-6" TargetMode="External"/><Relationship Id="rId62" Type="http://schemas.openxmlformats.org/officeDocument/2006/relationships/hyperlink" Target="http://gs.amazon.cn/zhishi/article-260503-9" TargetMode="External"/><Relationship Id="rId83" Type="http://schemas.openxmlformats.org/officeDocument/2006/relationships/hyperlink" Target="http://gs.amazon.cn/zhishi/article-260506-3" TargetMode="External"/><Relationship Id="rId179" Type="http://schemas.openxmlformats.org/officeDocument/2006/relationships/hyperlink" Target="http://gs.amazon.cn/zhishi/article-260418-4" TargetMode="External"/><Relationship Id="rId190" Type="http://schemas.openxmlformats.org/officeDocument/2006/relationships/hyperlink" Target="http://gs.amazon.cn/zhishi/article-260417-2" TargetMode="External"/><Relationship Id="rId204" Type="http://schemas.openxmlformats.org/officeDocument/2006/relationships/hyperlink" Target="http://gs.amazon.cn/zhishi/article-260415-2" TargetMode="External"/><Relationship Id="rId225" Type="http://schemas.openxmlformats.org/officeDocument/2006/relationships/hyperlink" Target="http://gs.amazon.cn/zhishi/article-260409-4" TargetMode="External"/><Relationship Id="rId246" Type="http://schemas.openxmlformats.org/officeDocument/2006/relationships/hyperlink" Target="http://gs.amazon.cn/zhishi/article-260413-1" TargetMode="External"/><Relationship Id="rId267" Type="http://schemas.openxmlformats.org/officeDocument/2006/relationships/hyperlink" Target="http://gs.amazon.cn/zhishi/article-260610-7" TargetMode="External"/><Relationship Id="rId288" Type="http://schemas.openxmlformats.org/officeDocument/2006/relationships/hyperlink" Target="http://gs.amazon.cn/zhishi/article-260612-8" TargetMode="External"/><Relationship Id="rId106" Type="http://schemas.openxmlformats.org/officeDocument/2006/relationships/hyperlink" Target="http://gs.amazon.cn/zhishi/article-260508-8" TargetMode="External"/><Relationship Id="rId127" Type="http://schemas.openxmlformats.org/officeDocument/2006/relationships/hyperlink" Target="http://gs.amazon.cn/zhishi/article-260511-2" TargetMode="External"/><Relationship Id="rId313" Type="http://schemas.openxmlformats.org/officeDocument/2006/relationships/hyperlink" Target="http://gs.amazon.cn/zhishi/article-260615-8" TargetMode="External"/><Relationship Id="rId10" Type="http://schemas.openxmlformats.org/officeDocument/2006/relationships/hyperlink" Target="http://gs.amazon.cn/zhishi/article-260402-4" TargetMode="External"/><Relationship Id="rId31" Type="http://schemas.openxmlformats.org/officeDocument/2006/relationships/hyperlink" Target="http://gs.amazon.cn/zhishi/article-260406-1" TargetMode="External"/><Relationship Id="rId52" Type="http://schemas.openxmlformats.org/officeDocument/2006/relationships/hyperlink" Target="http://gs.amazon.cn/zhishi/article-260502-8" TargetMode="External"/><Relationship Id="rId73" Type="http://schemas.openxmlformats.org/officeDocument/2006/relationships/hyperlink" Target="http://gs.amazon.cn/zhishi/article-260505-2" TargetMode="External"/><Relationship Id="rId94" Type="http://schemas.openxmlformats.org/officeDocument/2006/relationships/hyperlink" Target="http://gs.amazon.cn/zhishi/article-260507-5" TargetMode="External"/><Relationship Id="rId148" Type="http://schemas.openxmlformats.org/officeDocument/2006/relationships/hyperlink" Target="http://gs.amazon.cn/zhishi/article-260406-6" TargetMode="External"/><Relationship Id="rId169" Type="http://schemas.openxmlformats.org/officeDocument/2006/relationships/hyperlink" Target="http://gs.amazon.cn/zhishi/article-260419-5" TargetMode="External"/><Relationship Id="rId4" Type="http://schemas.openxmlformats.org/officeDocument/2006/relationships/hyperlink" Target="http://gs.amazon.cn/zhishi/article-260401-4" TargetMode="External"/><Relationship Id="rId180" Type="http://schemas.openxmlformats.org/officeDocument/2006/relationships/hyperlink" Target="http://gs.amazon.cn/zhishi/article-260418-3" TargetMode="External"/><Relationship Id="rId215" Type="http://schemas.openxmlformats.org/officeDocument/2006/relationships/hyperlink" Target="http://gs.amazon.cn/zhishi/article-260407-6" TargetMode="External"/><Relationship Id="rId236" Type="http://schemas.openxmlformats.org/officeDocument/2006/relationships/hyperlink" Target="http://gs.amazon.cn/zhishi/article-260411-3" TargetMode="External"/><Relationship Id="rId257" Type="http://schemas.openxmlformats.org/officeDocument/2006/relationships/hyperlink" Target="http://gs.amazon.cn/zhishi/article-260609-6" TargetMode="External"/><Relationship Id="rId278" Type="http://schemas.openxmlformats.org/officeDocument/2006/relationships/hyperlink" Target="http://gs.amazon.cn/zhishi/article-260611-8" TargetMode="External"/><Relationship Id="rId303" Type="http://schemas.openxmlformats.org/officeDocument/2006/relationships/hyperlink" Target="http://gs.amazon.cn/zhishi/article-260614-7" TargetMode="External"/><Relationship Id="rId42" Type="http://schemas.openxmlformats.org/officeDocument/2006/relationships/hyperlink" Target="http://gs.amazon.cn/zhishi/article-260501-7" TargetMode="External"/><Relationship Id="rId84" Type="http://schemas.openxmlformats.org/officeDocument/2006/relationships/hyperlink" Target="http://gs.amazon.cn/zhishi/article-260506-4" TargetMode="External"/><Relationship Id="rId138" Type="http://schemas.openxmlformats.org/officeDocument/2006/relationships/hyperlink" Target="http://gs.amazon.cn/zhishi/article-260512-4" TargetMode="External"/><Relationship Id="rId191" Type="http://schemas.openxmlformats.org/officeDocument/2006/relationships/hyperlink" Target="http://gs.amazon.cn/zhishi/article-260417-1" TargetMode="External"/><Relationship Id="rId205" Type="http://schemas.openxmlformats.org/officeDocument/2006/relationships/hyperlink" Target="http://gs.amazon.cn/zhishi/article-260415-1" TargetMode="External"/><Relationship Id="rId247" Type="http://schemas.openxmlformats.org/officeDocument/2006/relationships/hyperlink" Target="http://gs.amazon.cn/zhishi/article-260608-7" TargetMode="External"/><Relationship Id="rId107" Type="http://schemas.openxmlformats.org/officeDocument/2006/relationships/hyperlink" Target="http://gs.amazon.cn/zhishi/article-260508-9" TargetMode="External"/><Relationship Id="rId289" Type="http://schemas.openxmlformats.org/officeDocument/2006/relationships/hyperlink" Target="http://gs.amazon.cn/zhishi/article-260612-9" TargetMode="External"/><Relationship Id="rId11" Type="http://schemas.openxmlformats.org/officeDocument/2006/relationships/hyperlink" Target="http://gs.amazon.cn/zhishi/article-260402-5" TargetMode="External"/><Relationship Id="rId53" Type="http://schemas.openxmlformats.org/officeDocument/2006/relationships/hyperlink" Target="http://gs.amazon.cn/zhishi/article-260502-9" TargetMode="External"/><Relationship Id="rId149" Type="http://schemas.openxmlformats.org/officeDocument/2006/relationships/hyperlink" Target="http://gs.amazon.cn/zhishi/article-260407-1" TargetMode="External"/><Relationship Id="rId314" Type="http://schemas.openxmlformats.org/officeDocument/2006/relationships/hyperlink" Target="http://gs.amazon.cn/zhishi/article-260615-9" TargetMode="External"/><Relationship Id="rId95" Type="http://schemas.openxmlformats.org/officeDocument/2006/relationships/hyperlink" Target="http://gs.amazon.cn/zhishi/article-260507-6" TargetMode="External"/><Relationship Id="rId160" Type="http://schemas.openxmlformats.org/officeDocument/2006/relationships/hyperlink" Target="http://gs.amazon.cn/zhishi/article-260421-4" TargetMode="External"/><Relationship Id="rId216" Type="http://schemas.openxmlformats.org/officeDocument/2006/relationships/hyperlink" Target="http://gs.amazon.cn/zhishi/article-260408-1" TargetMode="External"/><Relationship Id="rId258" Type="http://schemas.openxmlformats.org/officeDocument/2006/relationships/hyperlink" Target="http://gs.amazon.cn/zhishi/article-260609-8" TargetMode="External"/><Relationship Id="rId22" Type="http://schemas.openxmlformats.org/officeDocument/2006/relationships/hyperlink" Target="http://gs.amazon.cn/zhishi/article-260404-4" TargetMode="External"/><Relationship Id="rId64" Type="http://schemas.openxmlformats.org/officeDocument/2006/relationships/hyperlink" Target="http://gs.amazon.cn/zhishi/article-260504-2" TargetMode="External"/><Relationship Id="rId118" Type="http://schemas.openxmlformats.org/officeDocument/2006/relationships/hyperlink" Target="http://gs.amazon.cn/zhishi/article-260510-2" TargetMode="External"/><Relationship Id="rId325" Type="http://schemas.openxmlformats.org/officeDocument/2006/relationships/hyperlink" Target="http://gs.amazon.cn/zhishi/article-260613-10" TargetMode="External"/><Relationship Id="rId171" Type="http://schemas.openxmlformats.org/officeDocument/2006/relationships/hyperlink" Target="http://gs.amazon.cn/zhishi/article-260419-3" TargetMode="External"/><Relationship Id="rId227" Type="http://schemas.openxmlformats.org/officeDocument/2006/relationships/hyperlink" Target="http://gs.amazon.cn/zhishi/article-260409-6" TargetMode="External"/><Relationship Id="rId269" Type="http://schemas.openxmlformats.org/officeDocument/2006/relationships/hyperlink" Target="http://gs.amazon.cn/zhishi/article-260610-9" TargetMode="External"/><Relationship Id="rId33" Type="http://schemas.openxmlformats.org/officeDocument/2006/relationships/hyperlink" Target="http://gs.amazon.cn/zhishi/article-260406-3" TargetMode="External"/><Relationship Id="rId129" Type="http://schemas.openxmlformats.org/officeDocument/2006/relationships/hyperlink" Target="http://gs.amazon.cn/zhishi/article-260511-4" TargetMode="External"/><Relationship Id="rId280" Type="http://schemas.openxmlformats.org/officeDocument/2006/relationships/hyperlink" Target="http://gs.amazon.cn/zhishi/article-260611-10" TargetMode="External"/><Relationship Id="rId75" Type="http://schemas.openxmlformats.org/officeDocument/2006/relationships/hyperlink" Target="http://gs.amazon.cn/zhishi/article-260505-4" TargetMode="External"/><Relationship Id="rId140" Type="http://schemas.openxmlformats.org/officeDocument/2006/relationships/hyperlink" Target="http://gs.amazon.cn/zhishi/article-260512-6" TargetMode="External"/><Relationship Id="rId182" Type="http://schemas.openxmlformats.org/officeDocument/2006/relationships/hyperlink" Target="http://gs.amazon.cn/zhishi/article-260418-1" TargetMode="External"/><Relationship Id="rId6" Type="http://schemas.openxmlformats.org/officeDocument/2006/relationships/hyperlink" Target="http://gs.amazon.cn/zhishi/article-260401-6" TargetMode="External"/><Relationship Id="rId238" Type="http://schemas.openxmlformats.org/officeDocument/2006/relationships/hyperlink" Target="http://gs.amazon.cn/zhishi/article-260411-5" TargetMode="External"/><Relationship Id="rId291" Type="http://schemas.openxmlformats.org/officeDocument/2006/relationships/hyperlink" Target="http://gs.amazon.cn/zhishi/article-260613-1" TargetMode="External"/><Relationship Id="rId305" Type="http://schemas.openxmlformats.org/officeDocument/2006/relationships/hyperlink" Target="http://gs.amazon.cn/zhishi/article-260614-9" TargetMode="External"/><Relationship Id="rId44" Type="http://schemas.openxmlformats.org/officeDocument/2006/relationships/hyperlink" Target="http://gs.amazon.cn/zhishi/article-260501-9" TargetMode="External"/><Relationship Id="rId86" Type="http://schemas.openxmlformats.org/officeDocument/2006/relationships/hyperlink" Target="http://gs.amazon.cn/zhishi/article-260506-6" TargetMode="External"/><Relationship Id="rId151" Type="http://schemas.openxmlformats.org/officeDocument/2006/relationships/hyperlink" Target="http://gs.amazon.cn/zhishi/article-260420-3" TargetMode="External"/><Relationship Id="rId193" Type="http://schemas.openxmlformats.org/officeDocument/2006/relationships/hyperlink" Target="http://gs.amazon.cn/zhishi/article-260416-8" TargetMode="External"/><Relationship Id="rId207" Type="http://schemas.openxmlformats.org/officeDocument/2006/relationships/hyperlink" Target="http://gs.amazon.cn/zhishi/article-260414-6" TargetMode="External"/><Relationship Id="rId249" Type="http://schemas.openxmlformats.org/officeDocument/2006/relationships/hyperlink" Target="http://gs.amazon.cn/zhishi/article-260608-8--9" TargetMode="External"/><Relationship Id="rId13" Type="http://schemas.openxmlformats.org/officeDocument/2006/relationships/hyperlink" Target="http://gs.amazon.cn/zhishi/article-260403-1" TargetMode="External"/><Relationship Id="rId109" Type="http://schemas.openxmlformats.org/officeDocument/2006/relationships/hyperlink" Target="http://gs.amazon.cn/zhishi/article-260509-2" TargetMode="External"/><Relationship Id="rId260" Type="http://schemas.openxmlformats.org/officeDocument/2006/relationships/hyperlink" Target="http://gs.amazon.cn/zhishi/article-260609-10" TargetMode="External"/><Relationship Id="rId316" Type="http://schemas.openxmlformats.org/officeDocument/2006/relationships/hyperlink" Target="http://gs.amazon.cn/zhishi/article-260604-1" TargetMode="External"/><Relationship Id="rId55" Type="http://schemas.openxmlformats.org/officeDocument/2006/relationships/hyperlink" Target="http://gs.amazon.cn/zhishi/article-260503-2" TargetMode="External"/><Relationship Id="rId97" Type="http://schemas.openxmlformats.org/officeDocument/2006/relationships/hyperlink" Target="http://gs.amazon.cn/zhishi/article-260507-8" TargetMode="External"/><Relationship Id="rId120" Type="http://schemas.openxmlformats.org/officeDocument/2006/relationships/hyperlink" Target="http://gs.amazon.cn/zhishi/article-260510-4" TargetMode="External"/><Relationship Id="rId162" Type="http://schemas.openxmlformats.org/officeDocument/2006/relationships/hyperlink" Target="http://gs.amazon.cn/zhishi/article-260421-1" TargetMode="External"/><Relationship Id="rId218" Type="http://schemas.openxmlformats.org/officeDocument/2006/relationships/hyperlink" Target="http://gs.amazon.cn/zhishi/article-260408-3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://gs.amazon.cn/zhishi/article-260510-4" TargetMode="External"/><Relationship Id="rId1" Type="http://schemas.openxmlformats.org/officeDocument/2006/relationships/hyperlink" Target="http://gs.amazon.cn/zhishi/article-260510-3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2"/>
  <sheetViews>
    <sheetView tabSelected="1" zoomScale="55" zoomScaleNormal="55" workbookViewId="0">
      <pane xSplit="17" topLeftCell="R1" activePane="topRight" state="frozen"/>
      <selection pane="topRight"/>
    </sheetView>
  </sheetViews>
  <sheetFormatPr defaultColWidth="73.453125" defaultRowHeight="45" customHeight="1"/>
  <cols>
    <col min="1" max="1" width="14.81640625" style="371" customWidth="1"/>
    <col min="2" max="2" width="28.26953125" style="371" customWidth="1"/>
    <col min="3" max="3" width="36.7265625" style="371" customWidth="1"/>
    <col min="4" max="4" width="36.453125" style="371" customWidth="1"/>
    <col min="5" max="17" width="73.453125" style="371" hidden="1" customWidth="1"/>
    <col min="18" max="18" width="73.453125" style="371" customWidth="1"/>
    <col min="19" max="22" width="73.453125" style="371"/>
    <col min="23" max="23" width="73.453125" style="372"/>
    <col min="24" max="27" width="73.453125" style="371"/>
  </cols>
  <sheetData>
    <row r="1" spans="1:25" ht="45" customHeight="1">
      <c r="A1" s="1"/>
      <c r="B1" s="384" t="s">
        <v>0</v>
      </c>
      <c r="C1" s="385"/>
      <c r="D1" s="385"/>
      <c r="E1" s="385"/>
      <c r="F1" s="385"/>
      <c r="G1" s="385"/>
      <c r="H1" s="385"/>
      <c r="I1" s="385"/>
      <c r="J1" s="385"/>
      <c r="K1" s="385"/>
      <c r="L1" s="385"/>
      <c r="M1" s="385"/>
      <c r="N1" s="385"/>
      <c r="O1" s="385"/>
      <c r="P1" s="385"/>
      <c r="Q1" s="385"/>
      <c r="R1" s="2"/>
      <c r="S1" s="386" t="s">
        <v>1</v>
      </c>
      <c r="T1" s="385"/>
      <c r="U1" s="385"/>
      <c r="V1" s="3"/>
      <c r="W1" s="4"/>
      <c r="X1" s="3"/>
      <c r="Y1" s="5"/>
    </row>
    <row r="2" spans="1:25" ht="45" customHeight="1">
      <c r="A2" s="6">
        <v>1</v>
      </c>
      <c r="B2" s="387" t="s">
        <v>2</v>
      </c>
      <c r="C2" s="388"/>
      <c r="D2" s="389"/>
      <c r="E2" s="7" t="s">
        <v>3</v>
      </c>
      <c r="F2" s="8" t="s">
        <v>4</v>
      </c>
      <c r="G2" s="8" t="s">
        <v>5</v>
      </c>
      <c r="H2" s="8" t="s">
        <v>6</v>
      </c>
      <c r="I2" s="8" t="s">
        <v>7</v>
      </c>
      <c r="J2" s="8" t="s">
        <v>8</v>
      </c>
      <c r="K2" s="8" t="s">
        <v>9</v>
      </c>
      <c r="L2" s="8" t="s">
        <v>10</v>
      </c>
      <c r="M2" s="8" t="s">
        <v>11</v>
      </c>
      <c r="N2" s="8" t="s">
        <v>12</v>
      </c>
      <c r="O2" s="8" t="s">
        <v>13</v>
      </c>
      <c r="P2" s="8" t="s">
        <v>14</v>
      </c>
      <c r="Q2" s="9" t="s">
        <v>15</v>
      </c>
      <c r="R2" s="10" t="s">
        <v>16</v>
      </c>
      <c r="S2" s="8" t="s">
        <v>3</v>
      </c>
      <c r="T2" s="8" t="s">
        <v>4</v>
      </c>
      <c r="U2" s="8" t="s">
        <v>5</v>
      </c>
      <c r="V2" s="8" t="s">
        <v>6</v>
      </c>
      <c r="W2" s="11" t="s">
        <v>7</v>
      </c>
      <c r="X2" s="8" t="s">
        <v>8</v>
      </c>
      <c r="Y2" s="12" t="s">
        <v>17</v>
      </c>
    </row>
    <row r="3" spans="1:25" ht="45" customHeight="1">
      <c r="A3" s="6">
        <v>2</v>
      </c>
      <c r="B3" s="398" t="s">
        <v>18</v>
      </c>
      <c r="C3" s="408" t="s">
        <v>19</v>
      </c>
      <c r="D3" s="13" t="s">
        <v>20</v>
      </c>
      <c r="E3" s="390" t="s">
        <v>21</v>
      </c>
      <c r="F3" s="391"/>
      <c r="G3" s="392"/>
      <c r="H3" s="393" t="s">
        <v>22</v>
      </c>
      <c r="I3" s="390"/>
      <c r="J3" s="392"/>
      <c r="K3" s="394" t="s">
        <v>23</v>
      </c>
      <c r="L3" s="391"/>
      <c r="M3" s="395"/>
      <c r="N3" s="396" t="s">
        <v>24</v>
      </c>
      <c r="O3" s="397"/>
      <c r="P3" s="397"/>
      <c r="Q3" s="14"/>
      <c r="R3" s="14"/>
      <c r="S3" s="398" t="s">
        <v>25</v>
      </c>
      <c r="T3" s="399"/>
      <c r="U3" s="400" t="s">
        <v>26</v>
      </c>
      <c r="V3" s="397"/>
      <c r="W3" s="15" t="s">
        <v>27</v>
      </c>
      <c r="X3" s="16" t="s">
        <v>28</v>
      </c>
      <c r="Y3" s="413" t="s">
        <v>28</v>
      </c>
    </row>
    <row r="4" spans="1:25" ht="45" customHeight="1">
      <c r="A4" s="6">
        <v>3</v>
      </c>
      <c r="B4" s="398"/>
      <c r="C4" s="409"/>
      <c r="D4" s="17" t="s">
        <v>29</v>
      </c>
      <c r="E4" s="18">
        <f t="shared" ref="E4:P4" si="0">SUM(E5:E6)</f>
        <v>29900</v>
      </c>
      <c r="F4" s="19">
        <f t="shared" si="0"/>
        <v>61500</v>
      </c>
      <c r="G4" s="19">
        <f t="shared" si="0"/>
        <v>72261</v>
      </c>
      <c r="H4" s="20">
        <f t="shared" si="0"/>
        <v>49400</v>
      </c>
      <c r="I4" s="20">
        <f t="shared" si="0"/>
        <v>60358</v>
      </c>
      <c r="J4" s="19">
        <f t="shared" si="0"/>
        <v>51795</v>
      </c>
      <c r="K4" s="19">
        <f t="shared" si="0"/>
        <v>35000</v>
      </c>
      <c r="L4" s="21">
        <f t="shared" si="0"/>
        <v>45366</v>
      </c>
      <c r="M4" s="20">
        <f t="shared" si="0"/>
        <v>48755</v>
      </c>
      <c r="N4" s="21">
        <f t="shared" si="0"/>
        <v>36200</v>
      </c>
      <c r="O4" s="21">
        <f t="shared" si="0"/>
        <v>34300</v>
      </c>
      <c r="P4" s="19">
        <f t="shared" si="0"/>
        <v>65624</v>
      </c>
      <c r="Q4" s="22">
        <f>SUM(E4:P4)</f>
        <v>590459</v>
      </c>
      <c r="R4" s="23"/>
      <c r="S4" s="24">
        <f>SUM(S5:S6)</f>
        <v>29800</v>
      </c>
      <c r="T4" s="25">
        <f>SUM(T5:T6)</f>
        <v>40657</v>
      </c>
      <c r="U4" s="25">
        <v>35550</v>
      </c>
      <c r="V4" s="26">
        <f>SUM(V5:V6)</f>
        <v>62548</v>
      </c>
      <c r="W4" s="27"/>
      <c r="X4" s="26">
        <f>SUM(X5:X6)</f>
        <v>62288</v>
      </c>
      <c r="Y4" s="414"/>
    </row>
    <row r="5" spans="1:25" ht="45" customHeight="1">
      <c r="A5" s="6">
        <v>4</v>
      </c>
      <c r="B5" s="398"/>
      <c r="C5" s="409"/>
      <c r="D5" s="28" t="s">
        <v>30</v>
      </c>
      <c r="E5" s="29"/>
      <c r="F5" s="29"/>
      <c r="G5" s="19">
        <v>19361</v>
      </c>
      <c r="H5" s="29"/>
      <c r="I5" s="19">
        <v>16858</v>
      </c>
      <c r="J5" s="19">
        <v>16295</v>
      </c>
      <c r="K5" s="29"/>
      <c r="L5" s="19">
        <v>14366</v>
      </c>
      <c r="M5" s="21">
        <v>14455</v>
      </c>
      <c r="N5" s="29"/>
      <c r="O5" s="29"/>
      <c r="P5" s="19">
        <f>8156*4</f>
        <v>32624</v>
      </c>
      <c r="Q5" s="30">
        <f>SUM(E5:P5)</f>
        <v>113959</v>
      </c>
      <c r="R5" s="23"/>
      <c r="S5" s="31"/>
      <c r="T5" s="19">
        <v>13257</v>
      </c>
      <c r="U5" s="29"/>
      <c r="V5" s="22">
        <v>13898</v>
      </c>
      <c r="W5" s="32"/>
      <c r="X5" s="23">
        <v>13908</v>
      </c>
      <c r="Y5" s="414"/>
    </row>
    <row r="6" spans="1:25" ht="45" customHeight="1">
      <c r="A6" s="6">
        <v>5</v>
      </c>
      <c r="B6" s="398"/>
      <c r="C6" s="409"/>
      <c r="D6" s="28" t="s">
        <v>31</v>
      </c>
      <c r="E6" s="18">
        <v>29900</v>
      </c>
      <c r="F6" s="33">
        <v>61500</v>
      </c>
      <c r="G6" s="19">
        <v>52900</v>
      </c>
      <c r="H6" s="33">
        <v>49400</v>
      </c>
      <c r="I6" s="19">
        <v>43500</v>
      </c>
      <c r="J6" s="19">
        <v>35500</v>
      </c>
      <c r="K6" s="19">
        <v>35000</v>
      </c>
      <c r="L6" s="19">
        <v>31000</v>
      </c>
      <c r="M6" s="21">
        <v>34300</v>
      </c>
      <c r="N6" s="19">
        <v>36200</v>
      </c>
      <c r="O6" s="19">
        <v>34300</v>
      </c>
      <c r="P6" s="22">
        <v>33000</v>
      </c>
      <c r="Q6" s="22">
        <f>SUM(E6:P6)</f>
        <v>476500</v>
      </c>
      <c r="R6" s="23"/>
      <c r="S6" s="34">
        <v>29800</v>
      </c>
      <c r="T6" s="19">
        <v>27400</v>
      </c>
      <c r="U6" s="19">
        <v>35550</v>
      </c>
      <c r="V6" s="19">
        <v>48650</v>
      </c>
      <c r="W6" s="32"/>
      <c r="X6" s="23">
        <v>48380</v>
      </c>
      <c r="Y6" s="35"/>
    </row>
    <row r="7" spans="1:25" ht="45" customHeight="1">
      <c r="A7" s="6">
        <v>6</v>
      </c>
      <c r="B7" s="398"/>
      <c r="C7" s="409"/>
      <c r="D7" s="36" t="s">
        <v>32</v>
      </c>
      <c r="E7" s="37"/>
      <c r="F7" s="38"/>
      <c r="G7" s="38" t="s">
        <v>33</v>
      </c>
      <c r="H7" s="38"/>
      <c r="I7" s="39" t="s">
        <v>34</v>
      </c>
      <c r="J7" s="39" t="s">
        <v>35</v>
      </c>
      <c r="K7" s="39"/>
      <c r="L7" s="39" t="s">
        <v>36</v>
      </c>
      <c r="M7" s="40" t="s">
        <v>37</v>
      </c>
      <c r="N7" s="39"/>
      <c r="O7" s="39"/>
      <c r="P7" s="41" t="s">
        <v>38</v>
      </c>
      <c r="Q7" s="41"/>
      <c r="R7" s="42" t="s">
        <v>39</v>
      </c>
      <c r="S7" s="43"/>
      <c r="T7" s="39" t="s">
        <v>40</v>
      </c>
      <c r="U7" s="39"/>
      <c r="V7" s="39" t="s">
        <v>41</v>
      </c>
      <c r="W7" s="44"/>
      <c r="X7" s="45" t="s">
        <v>42</v>
      </c>
      <c r="Y7" s="46" t="s">
        <v>43</v>
      </c>
    </row>
    <row r="8" spans="1:25" ht="45" customHeight="1">
      <c r="A8" s="6">
        <v>7</v>
      </c>
      <c r="B8" s="398"/>
      <c r="C8" s="409"/>
      <c r="D8" s="47" t="s">
        <v>44</v>
      </c>
      <c r="E8" s="18">
        <f t="shared" ref="E8:P8" si="1">SUM(E9:E10)</f>
        <v>11629</v>
      </c>
      <c r="F8" s="33">
        <f t="shared" si="1"/>
        <v>4400</v>
      </c>
      <c r="G8" s="19">
        <f t="shared" si="1"/>
        <v>16897</v>
      </c>
      <c r="H8" s="21">
        <f t="shared" si="1"/>
        <v>5406</v>
      </c>
      <c r="I8" s="21">
        <f t="shared" si="1"/>
        <v>18755</v>
      </c>
      <c r="J8" s="19">
        <f t="shared" si="1"/>
        <v>19652</v>
      </c>
      <c r="K8" s="33">
        <f t="shared" si="1"/>
        <v>6818</v>
      </c>
      <c r="L8" s="21">
        <f t="shared" si="1"/>
        <v>23004</v>
      </c>
      <c r="M8" s="21">
        <f t="shared" si="1"/>
        <v>25882.690000000002</v>
      </c>
      <c r="N8" s="33">
        <f t="shared" si="1"/>
        <v>8801.33</v>
      </c>
      <c r="O8" s="33">
        <f t="shared" si="1"/>
        <v>9028.16</v>
      </c>
      <c r="P8" s="33">
        <f t="shared" si="1"/>
        <v>72580</v>
      </c>
      <c r="Q8" s="30">
        <f>SUM(E8:P8)</f>
        <v>222853.18</v>
      </c>
      <c r="R8" s="23" t="s">
        <v>45</v>
      </c>
      <c r="S8" s="48">
        <v>11200</v>
      </c>
      <c r="T8" s="25">
        <f>SUM(T9:T10)</f>
        <v>41268</v>
      </c>
      <c r="U8" s="25">
        <v>9890</v>
      </c>
      <c r="V8" s="25">
        <f>SUM(V9:V10)</f>
        <v>49893</v>
      </c>
      <c r="W8" s="49"/>
      <c r="X8" s="25">
        <f>SUM(X9:X10)</f>
        <v>47718</v>
      </c>
      <c r="Y8" s="415" t="s">
        <v>46</v>
      </c>
    </row>
    <row r="9" spans="1:25" ht="45" customHeight="1">
      <c r="A9" s="6">
        <v>8</v>
      </c>
      <c r="B9" s="398"/>
      <c r="C9" s="409"/>
      <c r="D9" s="28" t="s">
        <v>30</v>
      </c>
      <c r="E9" s="19">
        <v>8209</v>
      </c>
      <c r="F9" s="29"/>
      <c r="G9" s="19">
        <v>11597</v>
      </c>
      <c r="H9" s="29"/>
      <c r="I9" s="19">
        <v>13089</v>
      </c>
      <c r="J9" s="19">
        <v>14052</v>
      </c>
      <c r="K9" s="29"/>
      <c r="L9" s="19">
        <v>15742</v>
      </c>
      <c r="M9" s="21">
        <v>17204</v>
      </c>
      <c r="N9" s="29"/>
      <c r="O9" s="29"/>
      <c r="P9" s="19">
        <f>15520*4</f>
        <v>62080</v>
      </c>
      <c r="Q9" s="30">
        <f>SUM(E9:P9)</f>
        <v>141973</v>
      </c>
      <c r="R9" s="23"/>
      <c r="S9" s="31"/>
      <c r="T9" s="19">
        <v>31531</v>
      </c>
      <c r="U9" s="29"/>
      <c r="V9" s="19">
        <v>33604</v>
      </c>
      <c r="W9" s="50"/>
      <c r="X9" s="51">
        <v>32431</v>
      </c>
      <c r="Y9" s="414"/>
    </row>
    <row r="10" spans="1:25" ht="45" customHeight="1">
      <c r="A10" s="6">
        <v>9</v>
      </c>
      <c r="B10" s="398"/>
      <c r="C10" s="409"/>
      <c r="D10" s="28" t="s">
        <v>31</v>
      </c>
      <c r="E10" s="34">
        <v>3420</v>
      </c>
      <c r="F10" s="19">
        <v>4400</v>
      </c>
      <c r="G10" s="19">
        <v>5300</v>
      </c>
      <c r="H10" s="19">
        <v>5406</v>
      </c>
      <c r="I10" s="19">
        <v>5666</v>
      </c>
      <c r="J10" s="19">
        <v>5600</v>
      </c>
      <c r="K10" s="19">
        <v>6818</v>
      </c>
      <c r="L10" s="19">
        <v>7262</v>
      </c>
      <c r="M10" s="21">
        <v>8678.69</v>
      </c>
      <c r="N10" s="19">
        <v>8801.33</v>
      </c>
      <c r="O10" s="19">
        <v>9028.16</v>
      </c>
      <c r="P10" s="22">
        <v>10500</v>
      </c>
      <c r="Q10" s="22">
        <f>SUM(E10:P10)</f>
        <v>80880.180000000008</v>
      </c>
      <c r="R10" s="23"/>
      <c r="S10" s="34">
        <v>11200</v>
      </c>
      <c r="T10" s="19">
        <v>9737</v>
      </c>
      <c r="U10" s="19">
        <v>9890</v>
      </c>
      <c r="V10" s="19">
        <v>16289</v>
      </c>
      <c r="W10" s="52"/>
      <c r="X10" s="53">
        <v>15287</v>
      </c>
      <c r="Y10" s="416"/>
    </row>
    <row r="11" spans="1:25" ht="45" customHeight="1">
      <c r="A11" s="6">
        <v>10</v>
      </c>
      <c r="B11" s="398"/>
      <c r="C11" s="409"/>
      <c r="D11" s="36" t="s">
        <v>32</v>
      </c>
      <c r="E11" s="43" t="s">
        <v>47</v>
      </c>
      <c r="F11" s="39"/>
      <c r="G11" s="39" t="s">
        <v>48</v>
      </c>
      <c r="H11" s="39"/>
      <c r="I11" s="39" t="s">
        <v>49</v>
      </c>
      <c r="J11" s="39" t="s">
        <v>50</v>
      </c>
      <c r="K11" s="39"/>
      <c r="L11" s="39" t="s">
        <v>51</v>
      </c>
      <c r="M11" s="40" t="s">
        <v>52</v>
      </c>
      <c r="N11" s="39"/>
      <c r="O11" s="39"/>
      <c r="P11" s="41" t="s">
        <v>53</v>
      </c>
      <c r="Q11" s="54"/>
      <c r="R11" s="42" t="s">
        <v>54</v>
      </c>
      <c r="S11" s="40"/>
      <c r="T11" s="39" t="s">
        <v>55</v>
      </c>
      <c r="U11" s="39"/>
      <c r="V11" s="39" t="s">
        <v>56</v>
      </c>
      <c r="W11" s="44"/>
      <c r="X11" s="45" t="s">
        <v>57</v>
      </c>
      <c r="Y11" s="46" t="s">
        <v>58</v>
      </c>
    </row>
    <row r="12" spans="1:25" ht="45" customHeight="1">
      <c r="A12" s="6">
        <v>11</v>
      </c>
      <c r="B12" s="398"/>
      <c r="C12" s="409"/>
      <c r="D12" s="47" t="s">
        <v>59</v>
      </c>
      <c r="E12" s="18">
        <f t="shared" ref="E12:P12" si="2">SUM(E13:E14)</f>
        <v>432</v>
      </c>
      <c r="F12" s="19">
        <f t="shared" si="2"/>
        <v>1352</v>
      </c>
      <c r="G12" s="21">
        <f t="shared" si="2"/>
        <v>8019</v>
      </c>
      <c r="H12" s="33">
        <f t="shared" si="2"/>
        <v>2901</v>
      </c>
      <c r="I12" s="21">
        <f t="shared" si="2"/>
        <v>4527</v>
      </c>
      <c r="J12" s="19">
        <f t="shared" si="2"/>
        <v>4680</v>
      </c>
      <c r="K12" s="19">
        <f t="shared" si="2"/>
        <v>2324</v>
      </c>
      <c r="L12" s="21">
        <f t="shared" si="2"/>
        <v>5380</v>
      </c>
      <c r="M12" s="20">
        <f t="shared" si="2"/>
        <v>5511.65</v>
      </c>
      <c r="N12" s="19">
        <f t="shared" si="2"/>
        <v>2137.52</v>
      </c>
      <c r="O12" s="21">
        <f t="shared" si="2"/>
        <v>2081.4</v>
      </c>
      <c r="P12" s="19">
        <f t="shared" si="2"/>
        <v>10438</v>
      </c>
      <c r="Q12" s="22">
        <f>SUM(E12:P12)</f>
        <v>49783.57</v>
      </c>
      <c r="R12" s="23"/>
      <c r="S12" s="24">
        <v>1943</v>
      </c>
      <c r="T12" s="25">
        <f>SUM(T13:T14)</f>
        <v>12457</v>
      </c>
      <c r="U12" s="25">
        <v>1559</v>
      </c>
      <c r="V12" s="25">
        <f>SUM(V13:V14)</f>
        <v>12886</v>
      </c>
      <c r="W12" s="49"/>
      <c r="X12" s="25">
        <f>SUM(X13:X14)</f>
        <v>11602</v>
      </c>
      <c r="Y12" s="415" t="s">
        <v>60</v>
      </c>
    </row>
    <row r="13" spans="1:25" ht="45" customHeight="1">
      <c r="A13" s="6">
        <v>12</v>
      </c>
      <c r="B13" s="398"/>
      <c r="C13" s="409"/>
      <c r="D13" s="28" t="s">
        <v>30</v>
      </c>
      <c r="E13" s="19">
        <v>275</v>
      </c>
      <c r="F13" s="29"/>
      <c r="G13" s="19">
        <v>4164</v>
      </c>
      <c r="H13" s="29"/>
      <c r="I13" s="19">
        <v>2256</v>
      </c>
      <c r="J13" s="19">
        <v>2480</v>
      </c>
      <c r="K13" s="29"/>
      <c r="L13" s="19">
        <v>3297</v>
      </c>
      <c r="M13" s="21">
        <v>3286</v>
      </c>
      <c r="N13" s="29"/>
      <c r="O13" s="29"/>
      <c r="P13" s="19">
        <f>2084*4</f>
        <v>8336</v>
      </c>
      <c r="Q13" s="22">
        <f>SUM(E13:P13)</f>
        <v>24094</v>
      </c>
      <c r="R13" s="23"/>
      <c r="S13" s="55"/>
      <c r="T13" s="19">
        <v>10945</v>
      </c>
      <c r="U13" s="29"/>
      <c r="V13" s="19">
        <v>11113</v>
      </c>
      <c r="W13" s="50"/>
      <c r="X13" s="51">
        <v>10392</v>
      </c>
      <c r="Y13" s="414"/>
    </row>
    <row r="14" spans="1:25" ht="45" customHeight="1">
      <c r="A14" s="6">
        <v>13</v>
      </c>
      <c r="B14" s="398"/>
      <c r="C14" s="409"/>
      <c r="D14" s="28" t="s">
        <v>31</v>
      </c>
      <c r="E14" s="34">
        <v>157</v>
      </c>
      <c r="F14" s="19">
        <v>1352</v>
      </c>
      <c r="G14" s="19">
        <v>3855</v>
      </c>
      <c r="H14" s="19">
        <v>2901</v>
      </c>
      <c r="I14" s="19">
        <v>2271</v>
      </c>
      <c r="J14" s="19">
        <v>2200</v>
      </c>
      <c r="K14" s="19">
        <v>2324</v>
      </c>
      <c r="L14" s="19">
        <v>2083</v>
      </c>
      <c r="M14" s="21">
        <v>2225.65</v>
      </c>
      <c r="N14" s="19">
        <v>2137.52</v>
      </c>
      <c r="O14" s="19">
        <v>2081.4</v>
      </c>
      <c r="P14" s="22">
        <v>2102</v>
      </c>
      <c r="Q14" s="22">
        <f>SUM(E14:P14)</f>
        <v>25689.570000000003</v>
      </c>
      <c r="R14" s="23"/>
      <c r="S14" s="34">
        <v>1943</v>
      </c>
      <c r="T14" s="19">
        <v>1512</v>
      </c>
      <c r="U14" s="19">
        <v>1559</v>
      </c>
      <c r="V14" s="19">
        <v>1773</v>
      </c>
      <c r="W14" s="50"/>
      <c r="X14" s="51">
        <v>1210</v>
      </c>
      <c r="Y14" s="414"/>
    </row>
    <row r="15" spans="1:25" ht="45" customHeight="1">
      <c r="A15" s="6">
        <v>14</v>
      </c>
      <c r="B15" s="398"/>
      <c r="C15" s="409"/>
      <c r="D15" s="36" t="s">
        <v>32</v>
      </c>
      <c r="E15" s="43" t="s">
        <v>61</v>
      </c>
      <c r="F15" s="39"/>
      <c r="G15" s="39" t="s">
        <v>62</v>
      </c>
      <c r="H15" s="39"/>
      <c r="I15" s="39" t="s">
        <v>63</v>
      </c>
      <c r="J15" s="39" t="s">
        <v>64</v>
      </c>
      <c r="K15" s="39"/>
      <c r="L15" s="39" t="s">
        <v>65</v>
      </c>
      <c r="M15" s="40" t="s">
        <v>66</v>
      </c>
      <c r="N15" s="39"/>
      <c r="O15" s="39"/>
      <c r="P15" s="41" t="s">
        <v>67</v>
      </c>
      <c r="Q15" s="41"/>
      <c r="R15" s="42" t="s">
        <v>68</v>
      </c>
      <c r="S15" s="43"/>
      <c r="T15" s="39" t="s">
        <v>69</v>
      </c>
      <c r="U15" s="39"/>
      <c r="V15" s="39" t="s">
        <v>70</v>
      </c>
      <c r="W15" s="44"/>
      <c r="X15" s="45" t="s">
        <v>71</v>
      </c>
      <c r="Y15" s="56" t="s">
        <v>72</v>
      </c>
    </row>
    <row r="16" spans="1:25" ht="45" customHeight="1">
      <c r="A16" s="6">
        <v>15</v>
      </c>
      <c r="B16" s="398"/>
      <c r="C16" s="409"/>
      <c r="D16" s="47" t="s">
        <v>73</v>
      </c>
      <c r="E16" s="18">
        <f t="shared" ref="E16:P16" si="3">SUM(E17:E18)</f>
        <v>3268</v>
      </c>
      <c r="F16" s="19">
        <f t="shared" si="3"/>
        <v>4280</v>
      </c>
      <c r="G16" s="20">
        <f t="shared" si="3"/>
        <v>6030</v>
      </c>
      <c r="H16" s="33">
        <f t="shared" si="3"/>
        <v>3306</v>
      </c>
      <c r="I16" s="20">
        <f t="shared" si="3"/>
        <v>3255</v>
      </c>
      <c r="J16" s="33">
        <f t="shared" si="3"/>
        <v>306</v>
      </c>
      <c r="K16" s="20">
        <f t="shared" si="3"/>
        <v>636</v>
      </c>
      <c r="L16" s="20">
        <f t="shared" si="3"/>
        <v>3861</v>
      </c>
      <c r="M16" s="19">
        <f t="shared" si="3"/>
        <v>4013.11</v>
      </c>
      <c r="N16" s="33">
        <f t="shared" si="3"/>
        <v>2942.23</v>
      </c>
      <c r="O16" s="20">
        <f t="shared" si="3"/>
        <v>4258.99</v>
      </c>
      <c r="P16" s="20">
        <f t="shared" si="3"/>
        <v>5623</v>
      </c>
      <c r="Q16" s="22">
        <f>SUM(E16:P16)</f>
        <v>41779.33</v>
      </c>
      <c r="R16" s="23"/>
      <c r="S16" s="24">
        <v>3346</v>
      </c>
      <c r="T16" s="25">
        <f>SUM(T17:T18)</f>
        <v>6978</v>
      </c>
      <c r="U16" s="25">
        <v>4568</v>
      </c>
      <c r="V16" s="25">
        <f>SUM(V17:V18)</f>
        <v>6902</v>
      </c>
      <c r="W16" s="49"/>
      <c r="X16" s="25">
        <f>SUM(X17:X18)</f>
        <v>6285</v>
      </c>
      <c r="Y16" s="417" t="s">
        <v>74</v>
      </c>
    </row>
    <row r="17" spans="1:25" ht="45" customHeight="1">
      <c r="A17" s="6">
        <v>16</v>
      </c>
      <c r="B17" s="398"/>
      <c r="C17" s="409"/>
      <c r="D17" s="28" t="s">
        <v>30</v>
      </c>
      <c r="E17" s="29"/>
      <c r="F17" s="29"/>
      <c r="G17" s="19">
        <v>1830</v>
      </c>
      <c r="H17" s="29"/>
      <c r="I17" s="19">
        <v>1408</v>
      </c>
      <c r="J17" s="29"/>
      <c r="K17" s="29"/>
      <c r="L17" s="19">
        <v>1010</v>
      </c>
      <c r="M17" s="19">
        <v>967</v>
      </c>
      <c r="N17" s="29"/>
      <c r="O17" s="29"/>
      <c r="P17" s="19">
        <f>450*4</f>
        <v>1800</v>
      </c>
      <c r="Q17" s="22">
        <f>SUM(E17:P17)</f>
        <v>7015</v>
      </c>
      <c r="R17" s="23"/>
      <c r="S17" s="55"/>
      <c r="T17" s="19">
        <v>2473</v>
      </c>
      <c r="U17" s="29"/>
      <c r="V17" s="19">
        <v>2533</v>
      </c>
      <c r="W17" s="57"/>
      <c r="X17" s="58">
        <v>2269</v>
      </c>
      <c r="Y17" s="418"/>
    </row>
    <row r="18" spans="1:25" ht="45" customHeight="1">
      <c r="A18" s="6">
        <v>17</v>
      </c>
      <c r="B18" s="398"/>
      <c r="C18" s="409"/>
      <c r="D18" s="28" t="s">
        <v>31</v>
      </c>
      <c r="E18" s="34">
        <v>3268</v>
      </c>
      <c r="F18" s="19">
        <v>4280</v>
      </c>
      <c r="G18" s="19">
        <v>4200</v>
      </c>
      <c r="H18" s="19">
        <v>3306</v>
      </c>
      <c r="I18" s="19">
        <v>1847</v>
      </c>
      <c r="J18" s="19">
        <v>306</v>
      </c>
      <c r="K18" s="19">
        <v>636</v>
      </c>
      <c r="L18" s="19">
        <v>2851</v>
      </c>
      <c r="M18" s="19">
        <v>3046.11</v>
      </c>
      <c r="N18" s="19">
        <v>2942.23</v>
      </c>
      <c r="O18" s="19">
        <v>4258.99</v>
      </c>
      <c r="P18" s="22">
        <v>3823</v>
      </c>
      <c r="Q18" s="30">
        <f>SUM(E18:P18)</f>
        <v>34764.33</v>
      </c>
      <c r="R18" s="23"/>
      <c r="S18" s="21">
        <v>3346</v>
      </c>
      <c r="T18" s="19">
        <v>4505</v>
      </c>
      <c r="U18" s="19">
        <v>4568</v>
      </c>
      <c r="V18" s="19">
        <v>4369</v>
      </c>
      <c r="W18" s="57"/>
      <c r="X18" s="58">
        <v>4016</v>
      </c>
      <c r="Y18" s="418"/>
    </row>
    <row r="19" spans="1:25" ht="45" customHeight="1">
      <c r="A19" s="6">
        <v>18</v>
      </c>
      <c r="B19" s="398"/>
      <c r="C19" s="409"/>
      <c r="D19" s="36" t="s">
        <v>32</v>
      </c>
      <c r="E19" s="43"/>
      <c r="F19" s="39"/>
      <c r="G19" s="39" t="s">
        <v>75</v>
      </c>
      <c r="H19" s="39"/>
      <c r="I19" s="39" t="s">
        <v>76</v>
      </c>
      <c r="J19" s="39"/>
      <c r="K19" s="39"/>
      <c r="L19" s="39" t="s">
        <v>77</v>
      </c>
      <c r="M19" s="39" t="s">
        <v>78</v>
      </c>
      <c r="N19" s="39"/>
      <c r="O19" s="39"/>
      <c r="P19" s="41" t="s">
        <v>79</v>
      </c>
      <c r="Q19" s="41"/>
      <c r="R19" s="42" t="s">
        <v>80</v>
      </c>
      <c r="S19" s="43"/>
      <c r="T19" s="39" t="s">
        <v>81</v>
      </c>
      <c r="U19" s="39"/>
      <c r="V19" s="39" t="s">
        <v>82</v>
      </c>
      <c r="W19" s="44"/>
      <c r="X19" s="45" t="s">
        <v>83</v>
      </c>
      <c r="Y19" s="59" t="s">
        <v>84</v>
      </c>
    </row>
    <row r="20" spans="1:25" ht="45" customHeight="1">
      <c r="A20" s="6">
        <v>19</v>
      </c>
      <c r="B20" s="398"/>
      <c r="C20" s="409"/>
      <c r="D20" s="47" t="s">
        <v>85</v>
      </c>
      <c r="E20" s="34">
        <f>SUM(E21:E22)</f>
        <v>1413</v>
      </c>
      <c r="F20" s="21">
        <v>1414</v>
      </c>
      <c r="G20" s="19">
        <f t="shared" ref="G20:P20" si="4">SUM(G21:G22)</f>
        <v>2109</v>
      </c>
      <c r="H20" s="19">
        <f t="shared" si="4"/>
        <v>1088</v>
      </c>
      <c r="I20" s="19">
        <f t="shared" si="4"/>
        <v>824</v>
      </c>
      <c r="J20" s="19">
        <f t="shared" si="4"/>
        <v>1218</v>
      </c>
      <c r="K20" s="19">
        <f t="shared" si="4"/>
        <v>1344</v>
      </c>
      <c r="L20" s="19">
        <f t="shared" si="4"/>
        <v>1091</v>
      </c>
      <c r="M20" s="19">
        <f t="shared" si="4"/>
        <v>1131.73</v>
      </c>
      <c r="N20" s="19">
        <f t="shared" si="4"/>
        <v>461.37</v>
      </c>
      <c r="O20" s="19">
        <f t="shared" si="4"/>
        <v>462.97</v>
      </c>
      <c r="P20" s="19">
        <f t="shared" si="4"/>
        <v>2892</v>
      </c>
      <c r="Q20" s="22">
        <f>SUM(E20:P20)</f>
        <v>15449.07</v>
      </c>
      <c r="R20" s="23"/>
      <c r="S20" s="24">
        <v>369</v>
      </c>
      <c r="T20" s="25">
        <f>SUM(T21:T22)</f>
        <v>1173</v>
      </c>
      <c r="U20" s="25">
        <v>255</v>
      </c>
      <c r="V20" s="25">
        <f>SUM(V21:V22)</f>
        <v>1001</v>
      </c>
      <c r="W20" s="49"/>
      <c r="X20" s="25">
        <f>SUM(X21:X22)</f>
        <v>890</v>
      </c>
      <c r="Y20" s="418" t="s">
        <v>86</v>
      </c>
    </row>
    <row r="21" spans="1:25" ht="45" customHeight="1">
      <c r="A21" s="6">
        <v>20</v>
      </c>
      <c r="B21" s="398"/>
      <c r="C21" s="409"/>
      <c r="D21" s="28" t="s">
        <v>30</v>
      </c>
      <c r="E21" s="29"/>
      <c r="F21" s="29"/>
      <c r="G21" s="19">
        <v>887</v>
      </c>
      <c r="H21" s="29"/>
      <c r="I21" s="29"/>
      <c r="J21" s="19">
        <v>594</v>
      </c>
      <c r="K21" s="29"/>
      <c r="L21" s="19">
        <v>506</v>
      </c>
      <c r="M21" s="19">
        <v>531</v>
      </c>
      <c r="N21" s="29"/>
      <c r="O21" s="29"/>
      <c r="P21" s="19">
        <v>2470</v>
      </c>
      <c r="Q21" s="22">
        <f>SUM(E21:P21)</f>
        <v>4988</v>
      </c>
      <c r="R21" s="23"/>
      <c r="S21" s="55"/>
      <c r="T21" s="19">
        <v>925</v>
      </c>
      <c r="U21" s="29"/>
      <c r="V21" s="19">
        <v>770</v>
      </c>
      <c r="W21" s="57"/>
      <c r="X21" s="58">
        <v>657</v>
      </c>
      <c r="Y21" s="418"/>
    </row>
    <row r="22" spans="1:25" ht="45" customHeight="1">
      <c r="A22" s="6">
        <v>21</v>
      </c>
      <c r="B22" s="398"/>
      <c r="C22" s="409"/>
      <c r="D22" s="28" t="s">
        <v>31</v>
      </c>
      <c r="E22" s="34">
        <v>1413</v>
      </c>
      <c r="F22" s="19">
        <v>1185</v>
      </c>
      <c r="G22" s="19">
        <v>1222</v>
      </c>
      <c r="H22" s="19">
        <v>1088</v>
      </c>
      <c r="I22" s="19">
        <v>824</v>
      </c>
      <c r="J22" s="19">
        <v>624</v>
      </c>
      <c r="K22" s="19">
        <v>1344</v>
      </c>
      <c r="L22" s="19">
        <v>585</v>
      </c>
      <c r="M22" s="19">
        <v>600.73</v>
      </c>
      <c r="N22" s="19">
        <v>461.37</v>
      </c>
      <c r="O22" s="19">
        <v>462.97</v>
      </c>
      <c r="P22" s="22">
        <v>422</v>
      </c>
      <c r="Q22" s="22">
        <f>SUM(E22:P22)</f>
        <v>10232.07</v>
      </c>
      <c r="R22" s="23"/>
      <c r="S22" s="34">
        <v>369</v>
      </c>
      <c r="T22" s="19">
        <v>248</v>
      </c>
      <c r="U22" s="19">
        <v>255</v>
      </c>
      <c r="V22" s="19">
        <v>231</v>
      </c>
      <c r="W22" s="60"/>
      <c r="X22" s="61">
        <v>233</v>
      </c>
      <c r="Y22" s="419"/>
    </row>
    <row r="23" spans="1:25" ht="45" customHeight="1">
      <c r="A23" s="6">
        <v>22</v>
      </c>
      <c r="B23" s="398"/>
      <c r="C23" s="409"/>
      <c r="D23" s="36" t="s">
        <v>32</v>
      </c>
      <c r="E23" s="43"/>
      <c r="F23" s="39"/>
      <c r="G23" s="39" t="s">
        <v>87</v>
      </c>
      <c r="H23" s="39"/>
      <c r="I23" s="39"/>
      <c r="J23" s="39" t="s">
        <v>88</v>
      </c>
      <c r="K23" s="39"/>
      <c r="L23" s="62" t="s">
        <v>89</v>
      </c>
      <c r="M23" s="39" t="s">
        <v>90</v>
      </c>
      <c r="N23" s="39"/>
      <c r="O23" s="39"/>
      <c r="P23" s="41" t="s">
        <v>91</v>
      </c>
      <c r="Q23" s="41"/>
      <c r="R23" s="42" t="s">
        <v>92</v>
      </c>
      <c r="S23" s="43"/>
      <c r="T23" s="39" t="s">
        <v>93</v>
      </c>
      <c r="U23" s="39"/>
      <c r="V23" s="39" t="s">
        <v>94</v>
      </c>
      <c r="W23" s="44"/>
      <c r="X23" s="45" t="s">
        <v>95</v>
      </c>
      <c r="Y23" s="63" t="s">
        <v>96</v>
      </c>
    </row>
    <row r="24" spans="1:25" ht="45" customHeight="1">
      <c r="A24" s="6">
        <v>23</v>
      </c>
      <c r="B24" s="398"/>
      <c r="C24" s="409"/>
      <c r="D24" s="47" t="s">
        <v>97</v>
      </c>
      <c r="E24" s="34">
        <f t="shared" ref="E24:P24" si="5">SUM(E25:E26)</f>
        <v>816</v>
      </c>
      <c r="F24" s="19">
        <f t="shared" si="5"/>
        <v>937</v>
      </c>
      <c r="G24" s="19">
        <f t="shared" si="5"/>
        <v>1000</v>
      </c>
      <c r="H24" s="21">
        <f t="shared" si="5"/>
        <v>585</v>
      </c>
      <c r="I24" s="19">
        <f t="shared" si="5"/>
        <v>83</v>
      </c>
      <c r="J24" s="33">
        <f t="shared" si="5"/>
        <v>355</v>
      </c>
      <c r="K24" s="19">
        <f t="shared" si="5"/>
        <v>65</v>
      </c>
      <c r="L24" s="19">
        <f t="shared" si="5"/>
        <v>300</v>
      </c>
      <c r="M24" s="19">
        <f t="shared" si="5"/>
        <v>358.79</v>
      </c>
      <c r="N24" s="33">
        <f t="shared" si="5"/>
        <v>55.78</v>
      </c>
      <c r="O24" s="19">
        <f t="shared" si="5"/>
        <v>2899.11</v>
      </c>
      <c r="P24" s="19">
        <f t="shared" si="5"/>
        <v>6212</v>
      </c>
      <c r="Q24" s="22">
        <f>SUM(E24:P24)</f>
        <v>13666.68</v>
      </c>
      <c r="R24" s="23"/>
      <c r="S24" s="24">
        <v>3381</v>
      </c>
      <c r="T24" s="25">
        <f>SUM(T25:T26)</f>
        <v>23349</v>
      </c>
      <c r="U24" s="25">
        <v>3305</v>
      </c>
      <c r="V24" s="25">
        <f>SUM(V25:V26)</f>
        <v>25607</v>
      </c>
      <c r="W24" s="49"/>
      <c r="X24" s="25">
        <f>SUM(X25:X26)</f>
        <v>47041</v>
      </c>
      <c r="Y24" s="418" t="s">
        <v>98</v>
      </c>
    </row>
    <row r="25" spans="1:25" ht="45" customHeight="1">
      <c r="A25" s="6">
        <v>24</v>
      </c>
      <c r="B25" s="398"/>
      <c r="C25" s="409"/>
      <c r="D25" s="28" t="s">
        <v>30</v>
      </c>
      <c r="E25" s="29"/>
      <c r="F25" s="29"/>
      <c r="G25" s="29"/>
      <c r="H25" s="29"/>
      <c r="I25" s="29"/>
      <c r="J25" s="19">
        <v>284</v>
      </c>
      <c r="K25" s="29"/>
      <c r="L25" s="19">
        <v>300</v>
      </c>
      <c r="M25" s="19">
        <v>306</v>
      </c>
      <c r="N25" s="29"/>
      <c r="O25" s="29"/>
      <c r="P25" s="19">
        <f>872*4</f>
        <v>3488</v>
      </c>
      <c r="Q25" s="22">
        <f>SUM(E25:P25)</f>
        <v>4378</v>
      </c>
      <c r="R25" s="23"/>
      <c r="S25" s="55"/>
      <c r="T25" s="19">
        <v>20269</v>
      </c>
      <c r="U25" s="29"/>
      <c r="V25" s="19">
        <v>3572</v>
      </c>
      <c r="W25" s="57"/>
      <c r="X25" s="58">
        <v>2511</v>
      </c>
      <c r="Y25" s="418"/>
    </row>
    <row r="26" spans="1:25" ht="45" customHeight="1">
      <c r="A26" s="6">
        <v>25</v>
      </c>
      <c r="B26" s="398"/>
      <c r="C26" s="409"/>
      <c r="D26" s="28" t="s">
        <v>31</v>
      </c>
      <c r="E26" s="34">
        <v>816</v>
      </c>
      <c r="F26" s="19">
        <v>937</v>
      </c>
      <c r="G26" s="19">
        <v>1000</v>
      </c>
      <c r="H26" s="19">
        <v>585</v>
      </c>
      <c r="I26" s="19">
        <v>83</v>
      </c>
      <c r="J26" s="19">
        <v>71</v>
      </c>
      <c r="K26" s="19">
        <v>65</v>
      </c>
      <c r="L26" s="64"/>
      <c r="M26" s="19">
        <v>52.79</v>
      </c>
      <c r="N26" s="19">
        <v>55.78</v>
      </c>
      <c r="O26" s="19">
        <v>2899.11</v>
      </c>
      <c r="P26" s="22">
        <v>2724</v>
      </c>
      <c r="Q26" s="30">
        <f>SUM(E26:P26)</f>
        <v>9288.68</v>
      </c>
      <c r="R26" s="23"/>
      <c r="S26" s="21">
        <v>3381</v>
      </c>
      <c r="T26" s="19">
        <v>3080</v>
      </c>
      <c r="U26" s="19">
        <v>3305</v>
      </c>
      <c r="V26" s="19">
        <v>22035</v>
      </c>
      <c r="W26" s="60"/>
      <c r="X26" s="61">
        <v>44530</v>
      </c>
      <c r="Y26" s="419"/>
    </row>
    <row r="27" spans="1:25" ht="45" customHeight="1">
      <c r="A27" s="6">
        <v>26</v>
      </c>
      <c r="B27" s="398"/>
      <c r="C27" s="410"/>
      <c r="D27" s="65" t="s">
        <v>32</v>
      </c>
      <c r="E27" s="66"/>
      <c r="F27" s="67"/>
      <c r="G27" s="67"/>
      <c r="H27" s="67"/>
      <c r="I27" s="67"/>
      <c r="J27" s="67" t="s">
        <v>99</v>
      </c>
      <c r="K27" s="67"/>
      <c r="L27" s="67"/>
      <c r="M27" s="67" t="s">
        <v>100</v>
      </c>
      <c r="N27" s="67"/>
      <c r="O27" s="67"/>
      <c r="P27" s="67" t="s">
        <v>101</v>
      </c>
      <c r="Q27" s="68"/>
      <c r="R27" s="69" t="s">
        <v>102</v>
      </c>
      <c r="S27" s="70"/>
      <c r="T27" s="70" t="s">
        <v>103</v>
      </c>
      <c r="U27" s="70"/>
      <c r="V27" s="70" t="s">
        <v>104</v>
      </c>
      <c r="W27" s="71"/>
      <c r="X27" s="70" t="s">
        <v>105</v>
      </c>
      <c r="Y27" s="72" t="s">
        <v>106</v>
      </c>
    </row>
    <row r="28" spans="1:25" ht="45" customHeight="1">
      <c r="A28" s="6">
        <v>27</v>
      </c>
      <c r="B28" s="398"/>
      <c r="C28" s="411" t="s">
        <v>107</v>
      </c>
      <c r="D28" s="73" t="s">
        <v>108</v>
      </c>
      <c r="E28" s="18"/>
      <c r="F28" s="33"/>
      <c r="G28" s="33"/>
      <c r="H28" s="33"/>
      <c r="I28" s="33"/>
      <c r="J28" s="401" t="s">
        <v>109</v>
      </c>
      <c r="K28" s="402"/>
      <c r="L28" s="403"/>
      <c r="M28" s="33" t="s">
        <v>110</v>
      </c>
      <c r="N28" s="404" t="s">
        <v>111</v>
      </c>
      <c r="O28" s="405"/>
      <c r="P28" s="402"/>
      <c r="Q28" s="74"/>
      <c r="R28" s="61"/>
      <c r="S28" s="406" t="s">
        <v>112</v>
      </c>
      <c r="T28" s="405"/>
      <c r="U28" s="33" t="s">
        <v>113</v>
      </c>
      <c r="V28" s="33"/>
      <c r="W28" s="52"/>
      <c r="X28" s="53"/>
      <c r="Y28" s="76"/>
    </row>
    <row r="29" spans="1:25" ht="45" customHeight="1">
      <c r="A29" s="6">
        <v>28</v>
      </c>
      <c r="B29" s="398"/>
      <c r="C29" s="411"/>
      <c r="D29" s="77" t="s">
        <v>114</v>
      </c>
      <c r="E29" s="78"/>
      <c r="F29" s="79"/>
      <c r="G29" s="79"/>
      <c r="H29" s="79"/>
      <c r="I29" s="33">
        <v>549300</v>
      </c>
      <c r="J29" s="33">
        <v>498800</v>
      </c>
      <c r="K29" s="19">
        <v>572000</v>
      </c>
      <c r="L29" s="19">
        <v>569300</v>
      </c>
      <c r="M29" s="33">
        <v>611500</v>
      </c>
      <c r="N29" s="80">
        <v>627900</v>
      </c>
      <c r="O29" s="80">
        <v>579700</v>
      </c>
      <c r="P29" s="81">
        <v>552800</v>
      </c>
      <c r="Q29" s="74">
        <f>SUM(E29:P29)</f>
        <v>4561300</v>
      </c>
      <c r="R29" s="75" t="s">
        <v>115</v>
      </c>
      <c r="S29" s="82">
        <v>572400</v>
      </c>
      <c r="T29" s="82">
        <v>535200</v>
      </c>
      <c r="U29" s="83">
        <v>535300</v>
      </c>
      <c r="V29" s="83">
        <f>V31+V30</f>
        <v>569000</v>
      </c>
      <c r="W29" s="84"/>
      <c r="X29" s="83">
        <f>X31+X30</f>
        <v>655549</v>
      </c>
      <c r="Y29" s="76" t="s">
        <v>116</v>
      </c>
    </row>
    <row r="30" spans="1:25" ht="45" customHeight="1">
      <c r="A30" s="6"/>
      <c r="B30" s="398"/>
      <c r="C30" s="411"/>
      <c r="D30" s="85" t="s">
        <v>30</v>
      </c>
      <c r="E30" s="78"/>
      <c r="F30" s="79"/>
      <c r="G30" s="79"/>
      <c r="H30" s="79"/>
      <c r="I30" s="33"/>
      <c r="J30" s="33"/>
      <c r="K30" s="19"/>
      <c r="L30" s="19"/>
      <c r="M30" s="33"/>
      <c r="N30" s="80"/>
      <c r="O30" s="80"/>
      <c r="P30" s="81"/>
      <c r="Q30" s="74"/>
      <c r="R30" s="75"/>
      <c r="S30" s="82"/>
      <c r="T30" s="82"/>
      <c r="U30" s="82"/>
      <c r="V30" s="82"/>
      <c r="W30" s="86"/>
      <c r="X30" s="87">
        <v>99549</v>
      </c>
      <c r="Y30" s="76"/>
    </row>
    <row r="31" spans="1:25" ht="45" customHeight="1">
      <c r="A31" s="6"/>
      <c r="B31" s="398"/>
      <c r="C31" s="411"/>
      <c r="D31" s="85" t="s">
        <v>31</v>
      </c>
      <c r="E31" s="78"/>
      <c r="F31" s="79"/>
      <c r="G31" s="79"/>
      <c r="H31" s="79"/>
      <c r="I31" s="33"/>
      <c r="J31" s="33"/>
      <c r="K31" s="19"/>
      <c r="L31" s="19"/>
      <c r="M31" s="33"/>
      <c r="N31" s="80"/>
      <c r="O31" s="80"/>
      <c r="P31" s="81"/>
      <c r="Q31" s="74"/>
      <c r="R31" s="75"/>
      <c r="S31" s="82"/>
      <c r="T31" s="82"/>
      <c r="U31" s="82"/>
      <c r="V31" s="82">
        <v>569000</v>
      </c>
      <c r="W31" s="86"/>
      <c r="X31" s="87">
        <v>556000</v>
      </c>
      <c r="Y31" s="76"/>
    </row>
    <row r="32" spans="1:25" ht="45" customHeight="1">
      <c r="A32" s="6"/>
      <c r="B32" s="398"/>
      <c r="C32" s="411"/>
      <c r="D32" s="88" t="s">
        <v>32</v>
      </c>
      <c r="E32" s="89"/>
      <c r="F32" s="90"/>
      <c r="G32" s="90"/>
      <c r="H32" s="90"/>
      <c r="I32" s="91"/>
      <c r="J32" s="91"/>
      <c r="K32" s="92"/>
      <c r="L32" s="92"/>
      <c r="M32" s="91"/>
      <c r="N32" s="93"/>
      <c r="O32" s="93"/>
      <c r="P32" s="94"/>
      <c r="Q32" s="95"/>
      <c r="R32" s="96"/>
      <c r="S32" s="97"/>
      <c r="T32" s="97"/>
      <c r="U32" s="97"/>
      <c r="V32" s="97"/>
      <c r="W32" s="44"/>
      <c r="X32" s="45" t="s">
        <v>117</v>
      </c>
      <c r="Y32" s="98"/>
    </row>
    <row r="33" spans="1:25" ht="45" customHeight="1">
      <c r="A33" s="6">
        <v>29</v>
      </c>
      <c r="B33" s="398"/>
      <c r="C33" s="411"/>
      <c r="D33" s="99" t="s">
        <v>118</v>
      </c>
      <c r="E33" s="55"/>
      <c r="F33" s="29"/>
      <c r="G33" s="29"/>
      <c r="H33" s="29"/>
      <c r="I33" s="29"/>
      <c r="J33" s="19">
        <v>1319</v>
      </c>
      <c r="K33" s="19">
        <v>70000</v>
      </c>
      <c r="L33" s="100">
        <v>70400</v>
      </c>
      <c r="M33" s="100">
        <v>109700</v>
      </c>
      <c r="N33" s="100">
        <v>120200</v>
      </c>
      <c r="O33" s="100">
        <v>134300</v>
      </c>
      <c r="P33" s="81">
        <v>173700</v>
      </c>
      <c r="Q33" s="30">
        <f>SUM(E33:P33)</f>
        <v>679619</v>
      </c>
      <c r="R33" s="22" t="s">
        <v>119</v>
      </c>
      <c r="S33" s="101">
        <v>206900</v>
      </c>
      <c r="T33" s="101">
        <v>211000</v>
      </c>
      <c r="U33" s="101">
        <v>218000</v>
      </c>
      <c r="V33" s="83">
        <f>V35+V34</f>
        <v>285000</v>
      </c>
      <c r="W33" s="84"/>
      <c r="X33" s="83">
        <f>X35+X34</f>
        <v>311274</v>
      </c>
      <c r="Y33" s="102" t="s">
        <v>120</v>
      </c>
    </row>
    <row r="34" spans="1:25" ht="45" customHeight="1">
      <c r="A34" s="6"/>
      <c r="B34" s="398"/>
      <c r="C34" s="411"/>
      <c r="D34" s="85" t="s">
        <v>30</v>
      </c>
      <c r="E34" s="55"/>
      <c r="F34" s="29"/>
      <c r="G34" s="29"/>
      <c r="H34" s="29"/>
      <c r="I34" s="29"/>
      <c r="J34" s="19"/>
      <c r="K34" s="19"/>
      <c r="L34" s="100"/>
      <c r="M34" s="100"/>
      <c r="N34" s="100"/>
      <c r="O34" s="100"/>
      <c r="P34" s="81"/>
      <c r="Q34" s="30"/>
      <c r="R34" s="22"/>
      <c r="S34" s="101"/>
      <c r="T34" s="101"/>
      <c r="U34" s="101"/>
      <c r="V34" s="101"/>
      <c r="W34" s="103"/>
      <c r="X34" s="82">
        <v>16274</v>
      </c>
      <c r="Y34" s="102"/>
    </row>
    <row r="35" spans="1:25" ht="45" customHeight="1">
      <c r="A35" s="6"/>
      <c r="B35" s="398"/>
      <c r="C35" s="411"/>
      <c r="D35" s="85" t="s">
        <v>31</v>
      </c>
      <c r="E35" s="55"/>
      <c r="F35" s="29"/>
      <c r="G35" s="29"/>
      <c r="H35" s="29"/>
      <c r="I35" s="29"/>
      <c r="J35" s="19"/>
      <c r="K35" s="19"/>
      <c r="L35" s="100"/>
      <c r="M35" s="100"/>
      <c r="N35" s="100"/>
      <c r="O35" s="100"/>
      <c r="P35" s="81"/>
      <c r="Q35" s="30"/>
      <c r="R35" s="22"/>
      <c r="S35" s="101"/>
      <c r="T35" s="101"/>
      <c r="U35" s="101"/>
      <c r="V35" s="101">
        <v>285000</v>
      </c>
      <c r="W35" s="103"/>
      <c r="X35" s="82">
        <v>295000</v>
      </c>
      <c r="Y35" s="102"/>
    </row>
    <row r="36" spans="1:25" ht="45" customHeight="1">
      <c r="A36" s="6"/>
      <c r="B36" s="398"/>
      <c r="C36" s="411"/>
      <c r="D36" s="88" t="s">
        <v>32</v>
      </c>
      <c r="E36" s="89"/>
      <c r="F36" s="90"/>
      <c r="G36" s="90"/>
      <c r="H36" s="90"/>
      <c r="I36" s="91"/>
      <c r="J36" s="91"/>
      <c r="K36" s="92"/>
      <c r="L36" s="92"/>
      <c r="M36" s="91"/>
      <c r="N36" s="93"/>
      <c r="O36" s="93"/>
      <c r="P36" s="94"/>
      <c r="Q36" s="95"/>
      <c r="R36" s="96"/>
      <c r="S36" s="97"/>
      <c r="T36" s="97"/>
      <c r="U36" s="97"/>
      <c r="V36" s="97"/>
      <c r="W36" s="44"/>
      <c r="X36" s="45" t="s">
        <v>105</v>
      </c>
      <c r="Y36" s="98"/>
    </row>
    <row r="37" spans="1:25" ht="45" customHeight="1">
      <c r="A37" s="6">
        <v>30</v>
      </c>
      <c r="B37" s="398"/>
      <c r="C37" s="411"/>
      <c r="D37" s="99" t="s">
        <v>121</v>
      </c>
      <c r="E37" s="55"/>
      <c r="F37" s="29"/>
      <c r="G37" s="29"/>
      <c r="H37" s="29"/>
      <c r="I37" s="29"/>
      <c r="J37" s="29"/>
      <c r="K37" s="29"/>
      <c r="L37" s="29"/>
      <c r="M37" s="100">
        <v>14100</v>
      </c>
      <c r="N37" s="100">
        <v>21000</v>
      </c>
      <c r="O37" s="100">
        <v>23300</v>
      </c>
      <c r="P37" s="81">
        <v>27100</v>
      </c>
      <c r="Q37" s="30">
        <f>SUM(E37:P37)</f>
        <v>85500</v>
      </c>
      <c r="R37" s="22" t="s">
        <v>122</v>
      </c>
      <c r="S37" s="101">
        <v>31400</v>
      </c>
      <c r="T37" s="101">
        <v>29800</v>
      </c>
      <c r="U37" s="101">
        <v>31000</v>
      </c>
      <c r="V37" s="83">
        <f>V39+V38</f>
        <v>29037</v>
      </c>
      <c r="W37" s="84"/>
      <c r="X37" s="83">
        <f>X39+X38</f>
        <v>28866</v>
      </c>
      <c r="Y37" s="102" t="s">
        <v>123</v>
      </c>
    </row>
    <row r="38" spans="1:25" ht="45" customHeight="1">
      <c r="A38" s="6"/>
      <c r="B38" s="398"/>
      <c r="C38" s="411"/>
      <c r="D38" s="85" t="s">
        <v>30</v>
      </c>
      <c r="E38" s="104"/>
      <c r="F38" s="105"/>
      <c r="G38" s="105"/>
      <c r="H38" s="105"/>
      <c r="I38" s="105"/>
      <c r="J38" s="105"/>
      <c r="K38" s="105"/>
      <c r="L38" s="105"/>
      <c r="M38" s="106"/>
      <c r="N38" s="106"/>
      <c r="O38" s="106"/>
      <c r="P38" s="107"/>
      <c r="Q38" s="108"/>
      <c r="R38" s="109"/>
      <c r="S38" s="110"/>
      <c r="T38" s="110"/>
      <c r="U38" s="110"/>
      <c r="V38" s="110"/>
      <c r="W38" s="111"/>
      <c r="X38" s="112">
        <v>6788</v>
      </c>
      <c r="Y38" s="113"/>
    </row>
    <row r="39" spans="1:25" ht="45" customHeight="1">
      <c r="A39" s="6"/>
      <c r="B39" s="398"/>
      <c r="C39" s="411"/>
      <c r="D39" s="85" t="s">
        <v>31</v>
      </c>
      <c r="E39" s="104"/>
      <c r="F39" s="105"/>
      <c r="G39" s="105"/>
      <c r="H39" s="105"/>
      <c r="I39" s="105"/>
      <c r="J39" s="105"/>
      <c r="K39" s="105"/>
      <c r="L39" s="105"/>
      <c r="M39" s="106"/>
      <c r="N39" s="106"/>
      <c r="O39" s="106"/>
      <c r="P39" s="107"/>
      <c r="Q39" s="108"/>
      <c r="R39" s="109"/>
      <c r="S39" s="110"/>
      <c r="T39" s="110"/>
      <c r="U39" s="110"/>
      <c r="V39" s="110">
        <v>29037</v>
      </c>
      <c r="W39" s="111"/>
      <c r="X39" s="112">
        <v>22078</v>
      </c>
      <c r="Y39" s="113"/>
    </row>
    <row r="40" spans="1:25" ht="45" customHeight="1">
      <c r="A40" s="6"/>
      <c r="B40" s="398"/>
      <c r="C40" s="411"/>
      <c r="D40" s="88" t="s">
        <v>32</v>
      </c>
      <c r="E40" s="89"/>
      <c r="F40" s="90"/>
      <c r="G40" s="90"/>
      <c r="H40" s="90"/>
      <c r="I40" s="91"/>
      <c r="J40" s="91"/>
      <c r="K40" s="92"/>
      <c r="L40" s="92"/>
      <c r="M40" s="91"/>
      <c r="N40" s="93"/>
      <c r="O40" s="93"/>
      <c r="P40" s="94"/>
      <c r="Q40" s="95"/>
      <c r="R40" s="96"/>
      <c r="S40" s="97"/>
      <c r="T40" s="97"/>
      <c r="U40" s="97"/>
      <c r="V40" s="97"/>
      <c r="W40" s="44"/>
      <c r="X40" s="45" t="s">
        <v>124</v>
      </c>
      <c r="Y40" s="98"/>
    </row>
    <row r="41" spans="1:25" ht="45" customHeight="1">
      <c r="A41" s="6">
        <v>31</v>
      </c>
      <c r="B41" s="407"/>
      <c r="C41" s="412"/>
      <c r="D41" s="114" t="s">
        <v>125</v>
      </c>
      <c r="E41" s="115"/>
      <c r="F41" s="116"/>
      <c r="G41" s="116"/>
      <c r="H41" s="116"/>
      <c r="I41" s="117">
        <f t="shared" ref="I41:P41" si="6">SUM(I29:I37)</f>
        <v>549300</v>
      </c>
      <c r="J41" s="117">
        <f t="shared" si="6"/>
        <v>500119</v>
      </c>
      <c r="K41" s="117">
        <f t="shared" si="6"/>
        <v>642000</v>
      </c>
      <c r="L41" s="117">
        <f t="shared" si="6"/>
        <v>639700</v>
      </c>
      <c r="M41" s="117">
        <f t="shared" si="6"/>
        <v>735300</v>
      </c>
      <c r="N41" s="117">
        <f t="shared" si="6"/>
        <v>769100</v>
      </c>
      <c r="O41" s="117">
        <f t="shared" si="6"/>
        <v>737300</v>
      </c>
      <c r="P41" s="117">
        <f t="shared" si="6"/>
        <v>753600</v>
      </c>
      <c r="Q41" s="118">
        <f>SUM(E41:P41)</f>
        <v>5326419</v>
      </c>
      <c r="R41" s="119"/>
      <c r="S41" s="120">
        <f>SUM(S29:S37)</f>
        <v>810700</v>
      </c>
      <c r="T41" s="120">
        <f>SUM(T29:T37)</f>
        <v>776000</v>
      </c>
      <c r="U41" s="121">
        <f>SUM(U29:U37)</f>
        <v>784300</v>
      </c>
      <c r="V41" s="121">
        <f>SUM(V29+V33+V37)</f>
        <v>883037</v>
      </c>
      <c r="W41" s="122"/>
      <c r="X41" s="121">
        <f>SUM(X29+X33+X37)</f>
        <v>995689</v>
      </c>
      <c r="Y41" s="123"/>
    </row>
    <row r="42" spans="1:25" ht="75" customHeight="1">
      <c r="A42" s="6">
        <v>32</v>
      </c>
      <c r="B42" s="420" t="s">
        <v>126</v>
      </c>
      <c r="C42" s="421"/>
      <c r="D42" s="422"/>
      <c r="E42" s="422"/>
      <c r="F42" s="422"/>
      <c r="G42" s="422"/>
      <c r="H42" s="422"/>
      <c r="I42" s="422"/>
      <c r="J42" s="422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4"/>
      <c r="X42" s="423"/>
      <c r="Y42" s="425"/>
    </row>
  </sheetData>
  <mergeCells count="22">
    <mergeCell ref="Y24:Y26"/>
    <mergeCell ref="B42:Y42"/>
    <mergeCell ref="Y3:Y5"/>
    <mergeCell ref="Y8:Y10"/>
    <mergeCell ref="Y12:Y14"/>
    <mergeCell ref="Y16:Y18"/>
    <mergeCell ref="Y20:Y22"/>
    <mergeCell ref="J28:L28"/>
    <mergeCell ref="N28:P28"/>
    <mergeCell ref="S28:T28"/>
    <mergeCell ref="B3:B41"/>
    <mergeCell ref="C3:C27"/>
    <mergeCell ref="C28:C41"/>
    <mergeCell ref="B1:Q1"/>
    <mergeCell ref="S1:U1"/>
    <mergeCell ref="B2:D2"/>
    <mergeCell ref="E3:G3"/>
    <mergeCell ref="H3:J3"/>
    <mergeCell ref="K3:M3"/>
    <mergeCell ref="N3:P3"/>
    <mergeCell ref="S3:T3"/>
    <mergeCell ref="U3:V3"/>
  </mergeCells>
  <phoneticPr fontId="9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44"/>
  <sheetViews>
    <sheetView showGridLines="0" zoomScale="70" zoomScaleNormal="70" workbookViewId="0"/>
  </sheetViews>
  <sheetFormatPr defaultColWidth="28" defaultRowHeight="44" customHeight="1"/>
  <cols>
    <col min="1" max="1" width="28" style="128" customWidth="1"/>
    <col min="2" max="2" width="40.54296875" style="128" customWidth="1"/>
    <col min="3" max="3" width="15.81640625" style="128" customWidth="1"/>
    <col min="4" max="4" width="34.26953125" style="128" customWidth="1"/>
    <col min="5" max="5" width="31.90625" style="128" customWidth="1"/>
    <col min="6" max="6" width="14.6328125" style="128" customWidth="1"/>
    <col min="7" max="7" width="29.453125" style="128" customWidth="1"/>
    <col min="8" max="8" width="42.6328125" style="128" customWidth="1"/>
    <col min="9" max="9" width="14" style="128" customWidth="1"/>
    <col min="10" max="11" width="28" style="128" customWidth="1"/>
    <col min="12" max="12" width="15.08984375" style="128" customWidth="1"/>
    <col min="13" max="14" width="28" style="128" customWidth="1"/>
    <col min="15" max="15" width="14.1796875" style="128" customWidth="1"/>
    <col min="16" max="16" width="32" style="128" customWidth="1"/>
    <col min="17" max="17" width="31.26953125" style="128" customWidth="1"/>
    <col min="18" max="18" width="16.453125" style="128" customWidth="1"/>
    <col min="19" max="26" width="28" style="128" customWidth="1"/>
  </cols>
  <sheetData>
    <row r="1" spans="1:18" ht="120" customHeight="1">
      <c r="A1" s="426" t="s">
        <v>2476</v>
      </c>
      <c r="B1" s="427"/>
      <c r="C1" s="427"/>
      <c r="D1" s="427"/>
      <c r="E1" s="427"/>
      <c r="F1" s="427"/>
      <c r="G1" s="427"/>
      <c r="H1" s="427"/>
      <c r="I1" s="427"/>
      <c r="J1" s="427"/>
      <c r="K1" s="427"/>
      <c r="L1" s="427"/>
      <c r="M1" s="427"/>
      <c r="N1" s="427"/>
    </row>
    <row r="2" spans="1:18" ht="25">
      <c r="A2" s="429" t="s">
        <v>127</v>
      </c>
      <c r="B2" s="430"/>
      <c r="C2" s="430"/>
      <c r="D2" s="430"/>
      <c r="E2" s="430"/>
      <c r="F2" s="430"/>
      <c r="G2" s="430"/>
      <c r="H2" s="430"/>
      <c r="I2" s="430"/>
      <c r="J2" s="430"/>
      <c r="K2" s="430"/>
      <c r="L2" s="430"/>
      <c r="M2" s="430"/>
      <c r="N2" s="430"/>
      <c r="O2" s="430"/>
      <c r="P2" s="430"/>
      <c r="Q2" s="430"/>
      <c r="R2" s="430"/>
    </row>
    <row r="3" spans="1:18" ht="44" customHeight="1">
      <c r="A3" s="428" t="s">
        <v>44</v>
      </c>
      <c r="B3" s="428"/>
      <c r="C3" s="428"/>
      <c r="D3" s="428" t="s">
        <v>59</v>
      </c>
      <c r="E3" s="428"/>
      <c r="F3" s="428"/>
      <c r="G3" s="428" t="s">
        <v>128</v>
      </c>
      <c r="H3" s="428"/>
      <c r="I3" s="428"/>
      <c r="J3" s="428" t="s">
        <v>97</v>
      </c>
      <c r="K3" s="428"/>
      <c r="L3" s="428"/>
      <c r="M3" s="428" t="s">
        <v>129</v>
      </c>
      <c r="N3" s="428"/>
      <c r="O3" s="428"/>
      <c r="P3" s="428" t="s">
        <v>130</v>
      </c>
      <c r="Q3" s="428"/>
      <c r="R3" s="428"/>
    </row>
    <row r="4" spans="1:18" ht="44" customHeight="1">
      <c r="A4" s="124" t="s">
        <v>131</v>
      </c>
      <c r="B4" s="124" t="s">
        <v>132</v>
      </c>
      <c r="C4" s="124" t="s">
        <v>133</v>
      </c>
      <c r="D4" s="124" t="s">
        <v>131</v>
      </c>
      <c r="E4" s="124" t="s">
        <v>132</v>
      </c>
      <c r="F4" s="124" t="s">
        <v>133</v>
      </c>
      <c r="G4" s="124" t="s">
        <v>131</v>
      </c>
      <c r="H4" s="124" t="s">
        <v>132</v>
      </c>
      <c r="I4" s="124" t="s">
        <v>133</v>
      </c>
      <c r="J4" s="124" t="s">
        <v>131</v>
      </c>
      <c r="K4" s="124" t="s">
        <v>132</v>
      </c>
      <c r="L4" s="124" t="s">
        <v>133</v>
      </c>
      <c r="M4" s="124" t="s">
        <v>131</v>
      </c>
      <c r="N4" s="124" t="s">
        <v>132</v>
      </c>
      <c r="O4" s="124" t="s">
        <v>133</v>
      </c>
      <c r="P4" s="124" t="s">
        <v>131</v>
      </c>
      <c r="Q4" s="124" t="s">
        <v>132</v>
      </c>
      <c r="R4" s="124" t="s">
        <v>133</v>
      </c>
    </row>
    <row r="5" spans="1:18" ht="44" customHeight="1">
      <c r="A5" s="125" t="s">
        <v>134</v>
      </c>
      <c r="B5" s="125" t="s">
        <v>135</v>
      </c>
      <c r="C5" s="126">
        <v>0.33450000000000002</v>
      </c>
      <c r="D5" s="125" t="s">
        <v>134</v>
      </c>
      <c r="E5" s="125" t="s">
        <v>135</v>
      </c>
      <c r="F5" s="126">
        <v>0.34100000000000003</v>
      </c>
      <c r="G5" s="125" t="s">
        <v>134</v>
      </c>
      <c r="H5" s="125" t="s">
        <v>135</v>
      </c>
      <c r="I5" s="126">
        <v>0.42180000000000001</v>
      </c>
      <c r="J5" s="125" t="s">
        <v>134</v>
      </c>
      <c r="K5" s="125" t="s">
        <v>135</v>
      </c>
      <c r="L5" s="126">
        <v>0.44979999999999998</v>
      </c>
      <c r="M5" s="125" t="s">
        <v>134</v>
      </c>
      <c r="N5" s="125" t="s">
        <v>135</v>
      </c>
      <c r="O5" s="126">
        <v>0.442</v>
      </c>
      <c r="P5" s="125" t="s">
        <v>134</v>
      </c>
      <c r="Q5" s="125" t="s">
        <v>135</v>
      </c>
      <c r="R5" s="126">
        <v>0.39200000000000002</v>
      </c>
    </row>
    <row r="6" spans="1:18" ht="44" customHeight="1">
      <c r="A6" s="125" t="s">
        <v>136</v>
      </c>
      <c r="B6" s="125" t="s">
        <v>137</v>
      </c>
      <c r="C6" s="126">
        <v>0.2213</v>
      </c>
      <c r="D6" s="125" t="s">
        <v>138</v>
      </c>
      <c r="E6" s="127" t="s">
        <v>139</v>
      </c>
      <c r="F6" s="126">
        <v>0.14419999999999999</v>
      </c>
      <c r="G6" s="125" t="s">
        <v>140</v>
      </c>
      <c r="H6" s="125" t="s">
        <v>141</v>
      </c>
      <c r="I6" s="126">
        <v>9.7199999999999995E-2</v>
      </c>
      <c r="J6" s="125" t="s">
        <v>142</v>
      </c>
      <c r="K6" s="125" t="s">
        <v>143</v>
      </c>
      <c r="L6" s="126">
        <v>4.6399999999999997E-2</v>
      </c>
      <c r="M6" s="125" t="s">
        <v>142</v>
      </c>
      <c r="N6" s="125" t="s">
        <v>143</v>
      </c>
      <c r="O6" s="126">
        <v>4.9399999999999999E-2</v>
      </c>
      <c r="P6" s="125" t="s">
        <v>144</v>
      </c>
      <c r="Q6" s="125" t="s">
        <v>145</v>
      </c>
      <c r="R6" s="126">
        <v>9.1999999999999998E-2</v>
      </c>
    </row>
    <row r="7" spans="1:18" ht="44" customHeight="1">
      <c r="A7" s="125" t="s">
        <v>146</v>
      </c>
      <c r="B7" s="125" t="s">
        <v>147</v>
      </c>
      <c r="C7" s="126">
        <v>6.0499999999999998E-2</v>
      </c>
      <c r="D7" s="125" t="s">
        <v>146</v>
      </c>
      <c r="E7" s="125" t="s">
        <v>147</v>
      </c>
      <c r="F7" s="126">
        <v>0.1074</v>
      </c>
      <c r="G7" s="125" t="s">
        <v>148</v>
      </c>
      <c r="H7" s="125" t="s">
        <v>149</v>
      </c>
      <c r="I7" s="126">
        <v>4.3900000000000002E-2</v>
      </c>
      <c r="J7" s="125" t="s">
        <v>150</v>
      </c>
      <c r="K7" s="125" t="s">
        <v>151</v>
      </c>
      <c r="L7" s="126">
        <v>4.0899999999999999E-2</v>
      </c>
      <c r="M7" s="125" t="s">
        <v>152</v>
      </c>
      <c r="N7" s="125" t="s">
        <v>153</v>
      </c>
      <c r="O7" s="126">
        <v>4.5400000000000003E-2</v>
      </c>
      <c r="P7" s="125" t="s">
        <v>154</v>
      </c>
      <c r="Q7" s="125" t="s">
        <v>155</v>
      </c>
      <c r="R7" s="126">
        <v>6.1899999999999997E-2</v>
      </c>
    </row>
    <row r="8" spans="1:18" ht="44" customHeight="1">
      <c r="A8" s="125" t="s">
        <v>142</v>
      </c>
      <c r="B8" s="125" t="s">
        <v>156</v>
      </c>
      <c r="C8" s="126">
        <v>3.3799999999999997E-2</v>
      </c>
      <c r="D8" s="125" t="s">
        <v>157</v>
      </c>
      <c r="E8" s="125" t="s">
        <v>158</v>
      </c>
      <c r="F8" s="126">
        <v>5.3199999999999997E-2</v>
      </c>
      <c r="G8" s="125" t="s">
        <v>159</v>
      </c>
      <c r="H8" s="125" t="s">
        <v>160</v>
      </c>
      <c r="I8" s="126">
        <v>2.9700000000000001E-2</v>
      </c>
      <c r="J8" s="125" t="s">
        <v>161</v>
      </c>
      <c r="K8" s="125" t="s">
        <v>161</v>
      </c>
      <c r="L8" s="126">
        <v>3.1899999999999998E-2</v>
      </c>
      <c r="M8" s="125" t="s">
        <v>162</v>
      </c>
      <c r="N8" s="125" t="s">
        <v>158</v>
      </c>
      <c r="O8" s="126">
        <v>4.0399999999999998E-2</v>
      </c>
      <c r="P8" s="125" t="s">
        <v>163</v>
      </c>
      <c r="Q8" s="125" t="s">
        <v>164</v>
      </c>
      <c r="R8" s="126">
        <v>6.1899999999999997E-2</v>
      </c>
    </row>
    <row r="9" spans="1:18" ht="44" customHeight="1">
      <c r="A9" s="125" t="s">
        <v>165</v>
      </c>
      <c r="B9" s="125" t="s">
        <v>166</v>
      </c>
      <c r="C9" s="126">
        <v>3.0200000000000001E-2</v>
      </c>
      <c r="D9" s="125" t="s">
        <v>167</v>
      </c>
      <c r="E9" s="125" t="s">
        <v>168</v>
      </c>
      <c r="F9" s="126">
        <v>2.5700000000000001E-2</v>
      </c>
      <c r="G9" s="125" t="s">
        <v>169</v>
      </c>
      <c r="H9" s="125" t="s">
        <v>170</v>
      </c>
      <c r="I9" s="126">
        <v>1.9300000000000001E-2</v>
      </c>
      <c r="J9" s="125" t="s">
        <v>171</v>
      </c>
      <c r="K9" s="125" t="s">
        <v>172</v>
      </c>
      <c r="L9" s="126">
        <v>3.0200000000000001E-2</v>
      </c>
      <c r="M9" s="125" t="s">
        <v>173</v>
      </c>
      <c r="N9" s="125" t="s">
        <v>174</v>
      </c>
      <c r="O9" s="126">
        <v>2.8299999999999999E-2</v>
      </c>
      <c r="P9" s="125" t="s">
        <v>175</v>
      </c>
      <c r="Q9" s="125" t="s">
        <v>176</v>
      </c>
      <c r="R9" s="126">
        <v>6.1899999999999997E-2</v>
      </c>
    </row>
    <row r="10" spans="1:18" ht="44" customHeight="1">
      <c r="A10" s="125" t="s">
        <v>177</v>
      </c>
      <c r="B10" s="125" t="s">
        <v>178</v>
      </c>
      <c r="C10" s="126">
        <v>2.0500000000000001E-2</v>
      </c>
      <c r="D10" s="125" t="s">
        <v>179</v>
      </c>
      <c r="E10" s="125" t="s">
        <v>141</v>
      </c>
      <c r="F10" s="126">
        <v>1.5699999999999999E-2</v>
      </c>
      <c r="G10" s="125" t="s">
        <v>180</v>
      </c>
      <c r="H10" s="125" t="s">
        <v>181</v>
      </c>
      <c r="I10" s="126">
        <v>1.3599999999999999E-2</v>
      </c>
      <c r="J10" s="125" t="s">
        <v>182</v>
      </c>
      <c r="K10" s="125" t="s">
        <v>183</v>
      </c>
      <c r="L10" s="126">
        <v>2.87E-2</v>
      </c>
      <c r="M10" s="125" t="s">
        <v>177</v>
      </c>
      <c r="N10" s="125" t="s">
        <v>178</v>
      </c>
      <c r="O10" s="126">
        <v>2.7199999999999998E-2</v>
      </c>
      <c r="P10" s="125" t="s">
        <v>184</v>
      </c>
      <c r="Q10" s="125" t="s">
        <v>185</v>
      </c>
      <c r="R10" s="126">
        <v>5.3100000000000001E-2</v>
      </c>
    </row>
    <row r="11" spans="1:18" ht="44" customHeight="1">
      <c r="A11" s="125" t="s">
        <v>138</v>
      </c>
      <c r="B11" s="127" t="s">
        <v>139</v>
      </c>
      <c r="C11" s="126">
        <v>1.7000000000000001E-2</v>
      </c>
      <c r="D11" s="125" t="s">
        <v>186</v>
      </c>
      <c r="E11" s="125" t="s">
        <v>164</v>
      </c>
      <c r="F11" s="126">
        <v>1.3599999999999999E-2</v>
      </c>
      <c r="G11" s="125" t="s">
        <v>187</v>
      </c>
      <c r="H11" s="125" t="s">
        <v>188</v>
      </c>
      <c r="I11" s="126">
        <v>1.35E-2</v>
      </c>
      <c r="J11" s="125" t="s">
        <v>159</v>
      </c>
      <c r="K11" s="125" t="s">
        <v>189</v>
      </c>
      <c r="L11" s="126">
        <v>2.5499999999999998E-2</v>
      </c>
      <c r="M11" s="125" t="s">
        <v>190</v>
      </c>
      <c r="N11" s="125" t="s">
        <v>168</v>
      </c>
      <c r="O11" s="126">
        <v>2.52E-2</v>
      </c>
      <c r="P11" s="125" t="s">
        <v>191</v>
      </c>
      <c r="Q11" s="125" t="s">
        <v>191</v>
      </c>
      <c r="R11" s="126">
        <v>5.3100000000000001E-2</v>
      </c>
    </row>
    <row r="12" spans="1:18" ht="44" customHeight="1">
      <c r="A12" s="125" t="s">
        <v>192</v>
      </c>
      <c r="B12" s="125" t="s">
        <v>193</v>
      </c>
      <c r="C12" s="126">
        <v>1.52E-2</v>
      </c>
      <c r="D12" s="125" t="s">
        <v>194</v>
      </c>
      <c r="E12" s="125" t="s">
        <v>174</v>
      </c>
      <c r="F12" s="126">
        <v>1.3100000000000001E-2</v>
      </c>
      <c r="G12" s="125" t="s">
        <v>195</v>
      </c>
      <c r="H12" s="125" t="s">
        <v>196</v>
      </c>
      <c r="I12" s="126">
        <v>1.26E-2</v>
      </c>
      <c r="J12" s="125" t="s">
        <v>197</v>
      </c>
      <c r="K12" s="125" t="s">
        <v>198</v>
      </c>
      <c r="L12" s="126">
        <v>2.3699999999999999E-2</v>
      </c>
      <c r="M12" s="125" t="s">
        <v>199</v>
      </c>
      <c r="N12" s="125" t="s">
        <v>200</v>
      </c>
      <c r="O12" s="126">
        <v>1.41E-2</v>
      </c>
      <c r="P12" s="125" t="s">
        <v>201</v>
      </c>
      <c r="Q12" s="125" t="s">
        <v>202</v>
      </c>
      <c r="R12" s="126">
        <v>5.3100000000000001E-2</v>
      </c>
    </row>
    <row r="13" spans="1:18" ht="44" customHeight="1">
      <c r="A13" s="125" t="s">
        <v>203</v>
      </c>
      <c r="B13" s="125" t="s">
        <v>204</v>
      </c>
      <c r="C13" s="126">
        <v>1.3899999999999999E-2</v>
      </c>
      <c r="D13" s="125" t="s">
        <v>205</v>
      </c>
      <c r="E13" s="125" t="s">
        <v>189</v>
      </c>
      <c r="F13" s="126">
        <v>9.7999999999999997E-3</v>
      </c>
      <c r="G13" s="125" t="s">
        <v>206</v>
      </c>
      <c r="H13" s="125" t="s">
        <v>207</v>
      </c>
      <c r="I13" s="126">
        <v>1.24E-2</v>
      </c>
      <c r="J13" s="125" t="s">
        <v>208</v>
      </c>
      <c r="K13" s="125" t="s">
        <v>209</v>
      </c>
      <c r="L13" s="126">
        <v>1.52E-2</v>
      </c>
      <c r="M13" s="125" t="s">
        <v>210</v>
      </c>
      <c r="N13" s="125" t="s">
        <v>193</v>
      </c>
      <c r="O13" s="126">
        <v>1.21E-2</v>
      </c>
      <c r="P13" s="125" t="s">
        <v>211</v>
      </c>
      <c r="Q13" s="125" t="s">
        <v>212</v>
      </c>
      <c r="R13" s="126">
        <v>5.3100000000000001E-2</v>
      </c>
    </row>
    <row r="14" spans="1:18" ht="44" customHeight="1">
      <c r="A14" s="125" t="s">
        <v>163</v>
      </c>
      <c r="B14" s="125" t="s">
        <v>213</v>
      </c>
      <c r="C14" s="126">
        <v>1.06E-2</v>
      </c>
      <c r="D14" s="125" t="s">
        <v>142</v>
      </c>
      <c r="E14" s="125" t="s">
        <v>156</v>
      </c>
      <c r="F14" s="126">
        <v>8.8999999999999999E-3</v>
      </c>
      <c r="G14" s="125" t="s">
        <v>163</v>
      </c>
      <c r="H14" s="125" t="s">
        <v>213</v>
      </c>
      <c r="I14" s="126">
        <v>1.24E-2</v>
      </c>
      <c r="J14" s="125" t="s">
        <v>190</v>
      </c>
      <c r="K14" s="125" t="s">
        <v>168</v>
      </c>
      <c r="L14" s="126">
        <v>1.37E-2</v>
      </c>
      <c r="M14" s="125" t="s">
        <v>179</v>
      </c>
      <c r="N14" s="125" t="s">
        <v>141</v>
      </c>
      <c r="O14" s="126">
        <v>1.21E-2</v>
      </c>
      <c r="P14" s="125" t="s">
        <v>190</v>
      </c>
      <c r="Q14" s="125" t="s">
        <v>214</v>
      </c>
      <c r="R14" s="126">
        <v>6.1899999999999997E-2</v>
      </c>
    </row>
    <row r="16" spans="1:18" ht="44" customHeight="1">
      <c r="A16" s="433" t="s">
        <v>215</v>
      </c>
      <c r="B16" s="434"/>
      <c r="C16" s="434"/>
      <c r="D16" s="434"/>
      <c r="E16" s="434"/>
      <c r="F16" s="434"/>
      <c r="G16" s="434"/>
      <c r="H16" s="434"/>
      <c r="I16" s="434"/>
      <c r="J16" s="434"/>
      <c r="K16" s="434"/>
      <c r="L16" s="434"/>
      <c r="M16" s="434"/>
      <c r="N16" s="434"/>
      <c r="O16" s="434"/>
      <c r="P16" s="434"/>
      <c r="Q16" s="434"/>
      <c r="R16" s="434"/>
    </row>
    <row r="17" spans="1:18" ht="44" customHeight="1">
      <c r="A17" s="435" t="s">
        <v>44</v>
      </c>
      <c r="B17" s="436"/>
      <c r="C17" s="436"/>
      <c r="D17" s="428" t="s">
        <v>59</v>
      </c>
      <c r="E17" s="428"/>
      <c r="F17" s="428"/>
      <c r="G17" s="437" t="s">
        <v>128</v>
      </c>
      <c r="H17" s="437"/>
      <c r="I17" s="437"/>
      <c r="J17" s="437" t="s">
        <v>97</v>
      </c>
      <c r="K17" s="437"/>
      <c r="L17" s="437"/>
      <c r="M17" s="428" t="s">
        <v>129</v>
      </c>
      <c r="N17" s="428"/>
      <c r="O17" s="428"/>
      <c r="P17" s="428" t="s">
        <v>130</v>
      </c>
      <c r="Q17" s="428"/>
      <c r="R17" s="428"/>
    </row>
    <row r="18" spans="1:18" ht="44" customHeight="1">
      <c r="A18" s="124" t="s">
        <v>131</v>
      </c>
      <c r="B18" s="124" t="s">
        <v>132</v>
      </c>
      <c r="C18" s="124" t="s">
        <v>133</v>
      </c>
      <c r="D18" s="124" t="s">
        <v>131</v>
      </c>
      <c r="E18" s="124" t="s">
        <v>132</v>
      </c>
      <c r="F18" s="124" t="s">
        <v>133</v>
      </c>
      <c r="G18" s="124" t="s">
        <v>131</v>
      </c>
      <c r="H18" s="124" t="s">
        <v>132</v>
      </c>
      <c r="I18" s="124" t="s">
        <v>133</v>
      </c>
      <c r="J18" s="124" t="s">
        <v>131</v>
      </c>
      <c r="K18" s="124" t="s">
        <v>132</v>
      </c>
      <c r="L18" s="124" t="s">
        <v>133</v>
      </c>
      <c r="M18" s="124" t="s">
        <v>131</v>
      </c>
      <c r="N18" s="124" t="s">
        <v>132</v>
      </c>
      <c r="O18" s="124" t="s">
        <v>133</v>
      </c>
      <c r="P18" s="124" t="s">
        <v>131</v>
      </c>
      <c r="Q18" s="124" t="s">
        <v>132</v>
      </c>
      <c r="R18" s="124" t="s">
        <v>133</v>
      </c>
    </row>
    <row r="19" spans="1:18" ht="44" customHeight="1">
      <c r="A19" s="125" t="s">
        <v>134</v>
      </c>
      <c r="B19" s="125" t="s">
        <v>135</v>
      </c>
      <c r="C19" s="126">
        <v>0.25434953417891998</v>
      </c>
      <c r="D19" s="129" t="s">
        <v>134</v>
      </c>
      <c r="E19" s="125" t="s">
        <v>135</v>
      </c>
      <c r="F19" s="130">
        <v>0.35121259204215399</v>
      </c>
      <c r="G19" s="129" t="s">
        <v>134</v>
      </c>
      <c r="H19" s="125" t="s">
        <v>135</v>
      </c>
      <c r="I19" s="130">
        <v>0.25575893895912499</v>
      </c>
      <c r="J19" s="130" t="s">
        <v>134</v>
      </c>
      <c r="K19" s="125" t="s">
        <v>135</v>
      </c>
      <c r="L19" s="130" t="s">
        <v>216</v>
      </c>
      <c r="M19" s="130" t="s">
        <v>134</v>
      </c>
      <c r="N19" s="125" t="s">
        <v>135</v>
      </c>
      <c r="O19" s="130" t="s">
        <v>217</v>
      </c>
      <c r="P19" s="130" t="s">
        <v>134</v>
      </c>
      <c r="Q19" s="125" t="s">
        <v>135</v>
      </c>
      <c r="R19" s="130" t="s">
        <v>218</v>
      </c>
    </row>
    <row r="20" spans="1:18" ht="44" customHeight="1">
      <c r="A20" s="125" t="s">
        <v>136</v>
      </c>
      <c r="B20" s="125" t="s">
        <v>219</v>
      </c>
      <c r="C20" s="126">
        <v>0.13110337860590399</v>
      </c>
      <c r="D20" s="129" t="s">
        <v>220</v>
      </c>
      <c r="E20" s="129" t="s">
        <v>221</v>
      </c>
      <c r="F20" s="130">
        <v>0.11686820239140699</v>
      </c>
      <c r="G20" s="129" t="s">
        <v>222</v>
      </c>
      <c r="H20" s="129" t="s">
        <v>141</v>
      </c>
      <c r="I20" s="130">
        <v>9.2104242612270196E-2</v>
      </c>
      <c r="J20" s="130" t="s">
        <v>223</v>
      </c>
      <c r="K20" s="130" t="s">
        <v>221</v>
      </c>
      <c r="L20" s="130" t="s">
        <v>224</v>
      </c>
      <c r="M20" s="130" t="s">
        <v>192</v>
      </c>
      <c r="N20" s="130" t="s">
        <v>193</v>
      </c>
      <c r="O20" s="130" t="s">
        <v>225</v>
      </c>
      <c r="P20" s="130" t="s">
        <v>226</v>
      </c>
      <c r="Q20" s="130" t="s">
        <v>227</v>
      </c>
      <c r="R20" s="130" t="s">
        <v>228</v>
      </c>
    </row>
    <row r="21" spans="1:18" ht="44" customHeight="1">
      <c r="A21" s="125" t="s">
        <v>229</v>
      </c>
      <c r="B21" s="125" t="s">
        <v>221</v>
      </c>
      <c r="C21" s="126">
        <v>8.6990683578403893E-2</v>
      </c>
      <c r="D21" s="129" t="s">
        <v>167</v>
      </c>
      <c r="E21" s="129" t="s">
        <v>168</v>
      </c>
      <c r="F21" s="130">
        <v>6.0663379044788197E-2</v>
      </c>
      <c r="G21" s="129" t="s">
        <v>148</v>
      </c>
      <c r="H21" s="129" t="s">
        <v>230</v>
      </c>
      <c r="I21" s="130">
        <v>4.9600558442565702E-2</v>
      </c>
      <c r="J21" s="130" t="s">
        <v>150</v>
      </c>
      <c r="K21" s="130" t="s">
        <v>151</v>
      </c>
      <c r="L21" s="130" t="s">
        <v>231</v>
      </c>
      <c r="M21" s="130" t="s">
        <v>232</v>
      </c>
      <c r="N21" s="130" t="s">
        <v>158</v>
      </c>
      <c r="O21" s="130" t="s">
        <v>233</v>
      </c>
      <c r="P21" s="130" t="s">
        <v>134</v>
      </c>
      <c r="Q21" s="130" t="s">
        <v>234</v>
      </c>
      <c r="R21" s="130" t="s">
        <v>235</v>
      </c>
    </row>
    <row r="22" spans="1:18" ht="44" customHeight="1">
      <c r="A22" s="125" t="s">
        <v>142</v>
      </c>
      <c r="B22" s="125" t="s">
        <v>143</v>
      </c>
      <c r="C22" s="126">
        <v>4.0633067684364102E-2</v>
      </c>
      <c r="D22" s="129" t="s">
        <v>205</v>
      </c>
      <c r="E22" s="129" t="s">
        <v>189</v>
      </c>
      <c r="F22" s="130">
        <v>1.6415591434168701E-2</v>
      </c>
      <c r="G22" s="129" t="s">
        <v>159</v>
      </c>
      <c r="H22" s="129" t="s">
        <v>189</v>
      </c>
      <c r="I22" s="130">
        <v>3.2537035600713603E-2</v>
      </c>
      <c r="J22" s="130" t="s">
        <v>236</v>
      </c>
      <c r="K22" s="130" t="s">
        <v>237</v>
      </c>
      <c r="L22" s="130" t="s">
        <v>238</v>
      </c>
      <c r="M22" s="130" t="s">
        <v>239</v>
      </c>
      <c r="N22" s="130" t="s">
        <v>240</v>
      </c>
      <c r="O22" s="130" t="s">
        <v>241</v>
      </c>
      <c r="P22" s="130" t="s">
        <v>242</v>
      </c>
      <c r="Q22" s="130" t="s">
        <v>243</v>
      </c>
      <c r="R22" s="130" t="s">
        <v>244</v>
      </c>
    </row>
    <row r="23" spans="1:18" ht="44" customHeight="1">
      <c r="A23" s="125" t="s">
        <v>245</v>
      </c>
      <c r="B23" s="125" t="s">
        <v>168</v>
      </c>
      <c r="C23" s="126">
        <v>3.0081939611628701E-2</v>
      </c>
      <c r="D23" s="129" t="s">
        <v>142</v>
      </c>
      <c r="E23" s="129" t="s">
        <v>143</v>
      </c>
      <c r="F23" s="130">
        <v>1.24974667297169E-2</v>
      </c>
      <c r="G23" s="129" t="s">
        <v>246</v>
      </c>
      <c r="H23" s="129" t="s">
        <v>247</v>
      </c>
      <c r="I23" s="130">
        <v>1.86147521911115E-2</v>
      </c>
      <c r="J23" s="130" t="s">
        <v>248</v>
      </c>
      <c r="K23" s="130" t="s">
        <v>249</v>
      </c>
      <c r="L23" s="130" t="s">
        <v>241</v>
      </c>
      <c r="M23" s="130" t="s">
        <v>190</v>
      </c>
      <c r="N23" s="130" t="s">
        <v>168</v>
      </c>
      <c r="O23" s="130" t="s">
        <v>250</v>
      </c>
      <c r="P23" s="130" t="s">
        <v>251</v>
      </c>
      <c r="Q23" s="130" t="s">
        <v>252</v>
      </c>
      <c r="R23" s="130" t="s">
        <v>253</v>
      </c>
    </row>
    <row r="24" spans="1:18" ht="16.5">
      <c r="A24" s="125" t="s">
        <v>165</v>
      </c>
      <c r="B24" s="125" t="s">
        <v>166</v>
      </c>
      <c r="C24" s="126">
        <v>2.4132899315299099E-2</v>
      </c>
      <c r="D24" s="129" t="s">
        <v>254</v>
      </c>
      <c r="E24" s="129" t="s">
        <v>255</v>
      </c>
      <c r="F24" s="130">
        <v>5.3367560629602098E-3</v>
      </c>
      <c r="G24" s="129" t="s">
        <v>256</v>
      </c>
      <c r="H24" s="129" t="s">
        <v>257</v>
      </c>
      <c r="I24" s="130">
        <v>1.5977662297370701E-2</v>
      </c>
      <c r="J24" s="130" t="s">
        <v>173</v>
      </c>
      <c r="K24" s="130" t="s">
        <v>174</v>
      </c>
      <c r="L24" s="130" t="s">
        <v>258</v>
      </c>
      <c r="M24" s="130" t="s">
        <v>142</v>
      </c>
      <c r="N24" s="130" t="s">
        <v>143</v>
      </c>
      <c r="O24" s="130" t="s">
        <v>259</v>
      </c>
      <c r="P24" s="130" t="s">
        <v>260</v>
      </c>
      <c r="Q24" s="130" t="s">
        <v>261</v>
      </c>
      <c r="R24" s="130" t="s">
        <v>262</v>
      </c>
    </row>
    <row r="25" spans="1:18" ht="16.5">
      <c r="A25" s="125" t="s">
        <v>187</v>
      </c>
      <c r="B25" s="125" t="s">
        <v>247</v>
      </c>
      <c r="C25" s="126">
        <v>1.01021438994275E-2</v>
      </c>
      <c r="D25" s="129" t="s">
        <v>263</v>
      </c>
      <c r="E25" s="129" t="s">
        <v>264</v>
      </c>
      <c r="F25" s="130">
        <v>3.2425859623049398E-3</v>
      </c>
      <c r="G25" s="129" t="s">
        <v>265</v>
      </c>
      <c r="H25" s="129" t="s">
        <v>266</v>
      </c>
      <c r="I25" s="130">
        <v>1.4581555883037301E-2</v>
      </c>
      <c r="J25" s="130" t="s">
        <v>163</v>
      </c>
      <c r="K25" s="130" t="s">
        <v>164</v>
      </c>
      <c r="L25" s="130" t="s">
        <v>267</v>
      </c>
      <c r="M25" s="130" t="s">
        <v>268</v>
      </c>
      <c r="N25" s="130" t="s">
        <v>153</v>
      </c>
      <c r="O25" s="130" t="s">
        <v>269</v>
      </c>
      <c r="P25" s="130" t="s">
        <v>270</v>
      </c>
      <c r="Q25" s="130" t="s">
        <v>255</v>
      </c>
      <c r="R25" s="130" t="s">
        <v>271</v>
      </c>
    </row>
    <row r="26" spans="1:18" ht="16.5">
      <c r="A26" s="125" t="s">
        <v>192</v>
      </c>
      <c r="B26" s="125" t="s">
        <v>193</v>
      </c>
      <c r="C26" s="126">
        <v>1.7734874845661702E-2</v>
      </c>
      <c r="D26" s="129" t="s">
        <v>148</v>
      </c>
      <c r="E26" s="129" t="s">
        <v>230</v>
      </c>
      <c r="F26" s="130">
        <v>1.8239546037965299E-3</v>
      </c>
      <c r="G26" s="129" t="s">
        <v>272</v>
      </c>
      <c r="H26" s="129" t="s">
        <v>273</v>
      </c>
      <c r="I26" s="130">
        <v>1.16342201194447E-2</v>
      </c>
      <c r="J26" s="130" t="s">
        <v>246</v>
      </c>
      <c r="K26" s="130" t="s">
        <v>274</v>
      </c>
      <c r="L26" s="130" t="s">
        <v>275</v>
      </c>
      <c r="M26" s="130" t="s">
        <v>173</v>
      </c>
      <c r="N26" s="130" t="s">
        <v>174</v>
      </c>
      <c r="O26" s="130" t="s">
        <v>276</v>
      </c>
      <c r="P26" s="130" t="s">
        <v>277</v>
      </c>
      <c r="Q26" s="130" t="s">
        <v>191</v>
      </c>
      <c r="R26" s="130" t="s">
        <v>278</v>
      </c>
    </row>
    <row r="27" spans="1:18" ht="16.5">
      <c r="A27" s="125" t="s">
        <v>163</v>
      </c>
      <c r="B27" s="125" t="s">
        <v>164</v>
      </c>
      <c r="C27" s="126">
        <v>1.2459310809293999E-2</v>
      </c>
      <c r="D27" s="129" t="s">
        <v>248</v>
      </c>
      <c r="E27" s="129" t="s">
        <v>249</v>
      </c>
      <c r="F27" s="130">
        <v>1.6888468553671601E-3</v>
      </c>
      <c r="G27" s="129" t="s">
        <v>190</v>
      </c>
      <c r="H27" s="129" t="s">
        <v>168</v>
      </c>
      <c r="I27" s="130">
        <v>1.0587140308694599E-2</v>
      </c>
      <c r="J27" s="130" t="s">
        <v>142</v>
      </c>
      <c r="K27" s="130" t="s">
        <v>143</v>
      </c>
      <c r="L27" s="130" t="s">
        <v>279</v>
      </c>
      <c r="M27" s="130" t="s">
        <v>280</v>
      </c>
      <c r="N27" s="130" t="s">
        <v>281</v>
      </c>
      <c r="O27" s="130" t="s">
        <v>282</v>
      </c>
      <c r="P27" s="130" t="s">
        <v>144</v>
      </c>
      <c r="Q27" s="130" t="s">
        <v>283</v>
      </c>
      <c r="R27" s="130" t="s">
        <v>284</v>
      </c>
    </row>
    <row r="28" spans="1:18" ht="16.5">
      <c r="A28" s="125" t="s">
        <v>285</v>
      </c>
      <c r="B28" s="125" t="s">
        <v>189</v>
      </c>
      <c r="C28" s="126">
        <v>1.3132787069255801E-2</v>
      </c>
      <c r="D28" s="129" t="s">
        <v>286</v>
      </c>
      <c r="E28" s="129" t="s">
        <v>287</v>
      </c>
      <c r="F28" s="130">
        <v>8.1064649057623495E-4</v>
      </c>
      <c r="G28" s="129" t="s">
        <v>288</v>
      </c>
      <c r="H28" s="129" t="s">
        <v>243</v>
      </c>
      <c r="I28" s="130">
        <v>8.6868843558520099E-3</v>
      </c>
      <c r="J28" s="130" t="s">
        <v>289</v>
      </c>
      <c r="K28" s="130" t="s">
        <v>290</v>
      </c>
      <c r="L28" s="130" t="s">
        <v>291</v>
      </c>
      <c r="M28" s="130" t="s">
        <v>292</v>
      </c>
      <c r="N28" s="130" t="s">
        <v>293</v>
      </c>
      <c r="O28" s="130" t="s">
        <v>294</v>
      </c>
      <c r="P28" s="130" t="s">
        <v>295</v>
      </c>
      <c r="Q28" s="130" t="s">
        <v>178</v>
      </c>
      <c r="R28" s="130" t="s">
        <v>284</v>
      </c>
    </row>
    <row r="38" spans="7:11" ht="59" customHeight="1">
      <c r="G38" s="131" t="s">
        <v>296</v>
      </c>
      <c r="H38" s="131" t="s">
        <v>297</v>
      </c>
      <c r="I38" s="431" t="s">
        <v>32</v>
      </c>
      <c r="J38" s="431"/>
      <c r="K38" s="431"/>
    </row>
    <row r="39" spans="7:11" ht="44" customHeight="1">
      <c r="G39" s="132" t="s">
        <v>44</v>
      </c>
      <c r="H39" s="132" t="s">
        <v>298</v>
      </c>
      <c r="I39" s="432" t="s">
        <v>299</v>
      </c>
      <c r="J39" s="432"/>
      <c r="K39" s="432"/>
    </row>
    <row r="40" spans="7:11" ht="44" customHeight="1">
      <c r="G40" s="132" t="s">
        <v>59</v>
      </c>
      <c r="H40" s="132" t="s">
        <v>300</v>
      </c>
      <c r="I40" s="432" t="s">
        <v>301</v>
      </c>
      <c r="J40" s="432"/>
      <c r="K40" s="432"/>
    </row>
    <row r="41" spans="7:11" ht="44" customHeight="1">
      <c r="G41" s="132" t="s">
        <v>128</v>
      </c>
      <c r="H41" s="132" t="s">
        <v>302</v>
      </c>
      <c r="I41" s="432" t="s">
        <v>303</v>
      </c>
      <c r="J41" s="432"/>
      <c r="K41" s="432"/>
    </row>
    <row r="42" spans="7:11" ht="44" customHeight="1">
      <c r="G42" s="132" t="s">
        <v>97</v>
      </c>
      <c r="H42" s="132" t="s">
        <v>304</v>
      </c>
      <c r="I42" s="432" t="s">
        <v>305</v>
      </c>
      <c r="J42" s="432"/>
      <c r="K42" s="432"/>
    </row>
    <row r="43" spans="7:11" ht="44" customHeight="1">
      <c r="G43" s="132" t="s">
        <v>306</v>
      </c>
      <c r="H43" s="132" t="s">
        <v>307</v>
      </c>
      <c r="I43" s="432" t="s">
        <v>308</v>
      </c>
      <c r="J43" s="432"/>
      <c r="K43" s="432"/>
    </row>
    <row r="44" spans="7:11" ht="44" customHeight="1">
      <c r="G44" s="132" t="s">
        <v>309</v>
      </c>
      <c r="H44" s="132" t="s">
        <v>310</v>
      </c>
      <c r="I44" s="432" t="s">
        <v>311</v>
      </c>
      <c r="J44" s="432"/>
      <c r="K44" s="432"/>
    </row>
  </sheetData>
  <mergeCells count="22">
    <mergeCell ref="I41:K41"/>
    <mergeCell ref="I42:K42"/>
    <mergeCell ref="I43:K43"/>
    <mergeCell ref="I44:K44"/>
    <mergeCell ref="A16:R16"/>
    <mergeCell ref="A17:C17"/>
    <mergeCell ref="D17:F17"/>
    <mergeCell ref="G17:I17"/>
    <mergeCell ref="J17:L17"/>
    <mergeCell ref="M17:O17"/>
    <mergeCell ref="P17:R17"/>
    <mergeCell ref="P3:R3"/>
    <mergeCell ref="A2:R2"/>
    <mergeCell ref="I38:K38"/>
    <mergeCell ref="I39:K39"/>
    <mergeCell ref="I40:K40"/>
    <mergeCell ref="A1:N1"/>
    <mergeCell ref="A3:C3"/>
    <mergeCell ref="D3:F3"/>
    <mergeCell ref="G3:I3"/>
    <mergeCell ref="J3:L3"/>
    <mergeCell ref="M3:O3"/>
  </mergeCells>
  <phoneticPr fontId="9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3. GEO input tracking"/>
  <dimension ref="A2:Z81"/>
  <sheetViews>
    <sheetView zoomScale="112" zoomScaleNormal="112" workbookViewId="0"/>
  </sheetViews>
  <sheetFormatPr defaultColWidth="9" defaultRowHeight="14.5"/>
  <cols>
    <col min="1" max="1" width="8.7265625" style="152"/>
    <col min="2" max="2" width="3.54296875" style="152" customWidth="1"/>
    <col min="3" max="3" width="55.54296875" style="152" customWidth="1"/>
    <col min="4" max="4" width="11.26953125" style="152" customWidth="1"/>
    <col min="5" max="5" width="11.54296875" style="152" customWidth="1"/>
    <col min="6" max="6" width="1.26953125" style="152" customWidth="1"/>
    <col min="7" max="7" width="11.54296875" style="152" customWidth="1"/>
    <col min="8" max="8" width="11.26953125" style="152" customWidth="1"/>
    <col min="9" max="9" width="11.1796875" style="152" customWidth="1"/>
    <col min="10" max="13" width="11.26953125" style="152" customWidth="1"/>
    <col min="14" max="14" width="11.1796875" style="152" customWidth="1"/>
    <col min="15" max="15" width="34.36328125" style="152" customWidth="1"/>
    <col min="16" max="16" width="11.1796875" style="152" hidden="1" customWidth="1"/>
    <col min="17" max="18" width="11.1796875" style="152" customWidth="1"/>
    <col min="19" max="19" width="9.54296875" style="152" customWidth="1"/>
    <col min="20" max="20" width="0.6328125" style="152" customWidth="1"/>
    <col min="21" max="21" width="9.54296875" style="152" customWidth="1"/>
    <col min="22" max="23" width="10.36328125" style="152" customWidth="1"/>
    <col min="24" max="24" width="11.1796875" style="152" customWidth="1"/>
    <col min="25" max="25" width="9.6328125" style="152" customWidth="1"/>
    <col min="26" max="26" width="8.7265625" style="152"/>
  </cols>
  <sheetData>
    <row r="2" spans="2:24" ht="49" hidden="1" customHeight="1">
      <c r="C2" s="133" t="s">
        <v>312</v>
      </c>
      <c r="E2" s="134" t="s">
        <v>313</v>
      </c>
      <c r="R2" s="134" t="s">
        <v>314</v>
      </c>
      <c r="V2" s="134" t="s">
        <v>315</v>
      </c>
    </row>
    <row r="3" spans="2:24" hidden="1">
      <c r="B3" s="135"/>
      <c r="C3" s="447" t="s">
        <v>316</v>
      </c>
      <c r="D3" s="438" t="s">
        <v>317</v>
      </c>
      <c r="E3" s="438"/>
      <c r="F3" s="438"/>
      <c r="G3" s="438"/>
      <c r="H3" s="438"/>
      <c r="I3" s="438"/>
      <c r="J3" s="438"/>
      <c r="K3" s="438"/>
      <c r="L3" s="438"/>
      <c r="M3" s="438"/>
      <c r="N3" s="438"/>
      <c r="O3" s="438"/>
      <c r="P3" s="438"/>
      <c r="Q3" s="438"/>
      <c r="R3" s="438"/>
      <c r="S3" s="136"/>
      <c r="T3" s="137"/>
      <c r="U3" s="439" t="s">
        <v>318</v>
      </c>
      <c r="V3" s="440"/>
      <c r="W3" s="440"/>
      <c r="X3" s="441"/>
    </row>
    <row r="4" spans="2:24" hidden="1">
      <c r="B4" s="138"/>
      <c r="C4" s="448"/>
      <c r="D4" s="139" t="s">
        <v>3</v>
      </c>
      <c r="E4" s="139" t="s">
        <v>4</v>
      </c>
      <c r="F4" s="139" t="s">
        <v>5</v>
      </c>
      <c r="G4" s="139" t="s">
        <v>6</v>
      </c>
      <c r="H4" s="139" t="s">
        <v>7</v>
      </c>
      <c r="I4" s="139" t="s">
        <v>8</v>
      </c>
      <c r="J4" s="139"/>
      <c r="K4" s="139"/>
      <c r="L4" s="139"/>
      <c r="M4" s="139" t="s">
        <v>9</v>
      </c>
      <c r="N4" s="139" t="s">
        <v>10</v>
      </c>
      <c r="O4" s="139" t="s">
        <v>11</v>
      </c>
      <c r="P4" s="139" t="s">
        <v>12</v>
      </c>
      <c r="Q4" s="139" t="s">
        <v>13</v>
      </c>
      <c r="R4" s="139" t="s">
        <v>14</v>
      </c>
      <c r="S4" s="140" t="s">
        <v>15</v>
      </c>
      <c r="T4" s="141"/>
      <c r="U4" s="142" t="s">
        <v>3</v>
      </c>
      <c r="V4" s="139" t="s">
        <v>4</v>
      </c>
      <c r="W4" s="139" t="s">
        <v>5</v>
      </c>
      <c r="X4" s="140" t="s">
        <v>15</v>
      </c>
    </row>
    <row r="5" spans="2:24" hidden="1">
      <c r="B5" s="143">
        <v>1</v>
      </c>
      <c r="C5" s="144" t="s">
        <v>319</v>
      </c>
      <c r="D5" s="145">
        <v>32949</v>
      </c>
      <c r="E5" s="145">
        <v>45104</v>
      </c>
      <c r="F5" s="145">
        <v>66511</v>
      </c>
      <c r="G5" s="145">
        <v>62784</v>
      </c>
      <c r="H5" s="145">
        <v>59926</v>
      </c>
      <c r="I5" s="145">
        <v>55786</v>
      </c>
      <c r="J5" s="145"/>
      <c r="K5" s="145"/>
      <c r="L5" s="145"/>
      <c r="M5" s="145">
        <v>59849</v>
      </c>
      <c r="N5" s="145">
        <v>62111</v>
      </c>
      <c r="O5" s="145">
        <v>56351</v>
      </c>
      <c r="P5" s="145">
        <v>41693</v>
      </c>
      <c r="Q5" s="145">
        <v>36386</v>
      </c>
      <c r="R5" s="145">
        <v>36887</v>
      </c>
      <c r="S5" s="146">
        <f>SUM(D5:R5)</f>
        <v>616337</v>
      </c>
      <c r="U5" s="147">
        <v>40268</v>
      </c>
      <c r="V5" s="145">
        <v>19300</v>
      </c>
      <c r="W5" s="145">
        <v>48530</v>
      </c>
      <c r="X5" s="146">
        <f>SUM(U5:W5)</f>
        <v>108098</v>
      </c>
    </row>
    <row r="6" spans="2:24" hidden="1">
      <c r="B6" s="143">
        <v>2</v>
      </c>
      <c r="C6" s="148" t="s">
        <v>320</v>
      </c>
      <c r="D6" s="149">
        <v>-0.21299999999999999</v>
      </c>
      <c r="E6" s="149">
        <v>1.216</v>
      </c>
      <c r="F6" s="149">
        <v>0.26900000000000002</v>
      </c>
      <c r="G6" s="149">
        <v>1.7000000000000001E-2</v>
      </c>
      <c r="H6" s="149">
        <v>-2.3E-2</v>
      </c>
      <c r="I6" s="149">
        <v>-3.5000000000000003E-2</v>
      </c>
      <c r="J6" s="149"/>
      <c r="K6" s="149"/>
      <c r="L6" s="149"/>
      <c r="M6" s="149">
        <v>-0.11600000000000001</v>
      </c>
      <c r="N6" s="149">
        <v>0.08</v>
      </c>
      <c r="O6" s="149">
        <v>0.251</v>
      </c>
      <c r="P6" s="149">
        <v>-0.20300000000000001</v>
      </c>
      <c r="Q6" s="149">
        <v>-0.34899999999999998</v>
      </c>
      <c r="R6" s="149">
        <v>-0.309</v>
      </c>
      <c r="S6" s="150">
        <v>-0.01</v>
      </c>
      <c r="U6" s="151">
        <v>0.222</v>
      </c>
      <c r="V6" s="149">
        <v>-0.57099999999999995</v>
      </c>
      <c r="W6" s="149">
        <v>-0.27</v>
      </c>
      <c r="X6" s="150">
        <v>-0.252</v>
      </c>
    </row>
    <row r="7" spans="2:24" hidden="1">
      <c r="B7" s="143">
        <v>3</v>
      </c>
      <c r="C7" s="152" t="s">
        <v>321</v>
      </c>
      <c r="D7" s="145">
        <f t="shared" ref="D7:I7" si="0">D9+D16</f>
        <v>1838</v>
      </c>
      <c r="E7" s="145">
        <f t="shared" si="0"/>
        <v>3110</v>
      </c>
      <c r="F7" s="145">
        <f t="shared" si="0"/>
        <v>4319</v>
      </c>
      <c r="G7" s="145">
        <f t="shared" si="0"/>
        <v>4304</v>
      </c>
      <c r="H7" s="145">
        <f t="shared" si="0"/>
        <v>4197</v>
      </c>
      <c r="I7" s="145">
        <f t="shared" si="0"/>
        <v>7064</v>
      </c>
      <c r="J7" s="145"/>
      <c r="K7" s="145"/>
      <c r="L7" s="145"/>
      <c r="M7" s="145">
        <f t="shared" ref="M7:S7" si="1">M9+M16</f>
        <v>4103</v>
      </c>
      <c r="N7" s="145">
        <f t="shared" si="1"/>
        <v>4937</v>
      </c>
      <c r="O7" s="145">
        <f t="shared" si="1"/>
        <v>6197</v>
      </c>
      <c r="P7" s="145">
        <f t="shared" si="1"/>
        <v>5178</v>
      </c>
      <c r="Q7" s="145">
        <f t="shared" si="1"/>
        <v>4755</v>
      </c>
      <c r="R7" s="145">
        <f t="shared" si="1"/>
        <v>4913</v>
      </c>
      <c r="S7" s="146">
        <f t="shared" si="1"/>
        <v>55199</v>
      </c>
      <c r="U7" s="147">
        <f>U9+U16</f>
        <v>5139</v>
      </c>
      <c r="V7" s="145">
        <f>V9+V16</f>
        <v>2505</v>
      </c>
      <c r="W7" s="145">
        <f>W9+W16</f>
        <v>7696</v>
      </c>
      <c r="X7" s="146">
        <f>X9+X16</f>
        <v>15340</v>
      </c>
    </row>
    <row r="8" spans="2:24" hidden="1">
      <c r="B8" s="143">
        <v>4</v>
      </c>
      <c r="C8" s="148" t="s">
        <v>320</v>
      </c>
      <c r="D8" s="149">
        <f t="shared" ref="D8:I8" si="2">D7/D28-1</f>
        <v>-0.35644257703081228</v>
      </c>
      <c r="E8" s="149">
        <f t="shared" si="2"/>
        <v>0.77309007981755995</v>
      </c>
      <c r="F8" s="149">
        <f t="shared" si="2"/>
        <v>-7.3970840480274469E-2</v>
      </c>
      <c r="G8" s="149">
        <f t="shared" si="2"/>
        <v>-2.0867145838163736E-3</v>
      </c>
      <c r="H8" s="149">
        <f t="shared" si="2"/>
        <v>0.27143289912147828</v>
      </c>
      <c r="I8" s="149">
        <f t="shared" si="2"/>
        <v>1.2735757965883487</v>
      </c>
      <c r="J8" s="149"/>
      <c r="K8" s="149"/>
      <c r="L8" s="149"/>
      <c r="M8" s="149">
        <f t="shared" ref="M8:S8" si="3">M7/M28-1</f>
        <v>0.1810592976396086</v>
      </c>
      <c r="N8" s="149">
        <f t="shared" si="3"/>
        <v>-0.15664502903997268</v>
      </c>
      <c r="O8" s="149">
        <f t="shared" si="3"/>
        <v>0.30463157894736836</v>
      </c>
      <c r="P8" s="149">
        <f t="shared" si="3"/>
        <v>0.24861345551000724</v>
      </c>
      <c r="Q8" s="149">
        <f t="shared" si="3"/>
        <v>0.30631868131868134</v>
      </c>
      <c r="R8" s="153">
        <f t="shared" si="3"/>
        <v>0.80624999999999991</v>
      </c>
      <c r="S8" s="150">
        <f t="shared" si="3"/>
        <v>0.23764573991031379</v>
      </c>
      <c r="T8" s="154"/>
      <c r="U8" s="155">
        <f>U7/U28-1</f>
        <v>1.795973884657236</v>
      </c>
      <c r="V8" s="156">
        <f>V7/V28-1</f>
        <v>-0.19375603476021885</v>
      </c>
      <c r="W8" s="157">
        <f>W7/W28-1</f>
        <v>0.7802452000925284</v>
      </c>
      <c r="X8" s="158">
        <f>X7/X28-1</f>
        <v>0.64310197086546705</v>
      </c>
    </row>
    <row r="9" spans="2:24" hidden="1">
      <c r="B9" s="143">
        <v>5</v>
      </c>
      <c r="C9" s="152" t="s">
        <v>322</v>
      </c>
      <c r="D9" s="159">
        <f t="shared" ref="D9:I9" si="4">SUM(D12:D14)</f>
        <v>38</v>
      </c>
      <c r="E9" s="159">
        <f t="shared" si="4"/>
        <v>51</v>
      </c>
      <c r="F9" s="159">
        <f t="shared" si="4"/>
        <v>45</v>
      </c>
      <c r="G9" s="159">
        <f t="shared" si="4"/>
        <v>32</v>
      </c>
      <c r="H9" s="159">
        <f t="shared" si="4"/>
        <v>44</v>
      </c>
      <c r="I9" s="159">
        <f t="shared" si="4"/>
        <v>57</v>
      </c>
      <c r="J9" s="159"/>
      <c r="K9" s="159"/>
      <c r="L9" s="159"/>
      <c r="M9" s="159">
        <f t="shared" ref="M9:S9" si="5">SUM(M12:M14)</f>
        <v>49</v>
      </c>
      <c r="N9" s="159">
        <f t="shared" si="5"/>
        <v>57</v>
      </c>
      <c r="O9" s="159">
        <f t="shared" si="5"/>
        <v>57</v>
      </c>
      <c r="P9" s="159">
        <f t="shared" si="5"/>
        <v>67</v>
      </c>
      <c r="Q9" s="159">
        <f t="shared" si="5"/>
        <v>65</v>
      </c>
      <c r="R9" s="159">
        <f t="shared" si="5"/>
        <v>67</v>
      </c>
      <c r="S9" s="159">
        <f t="shared" si="5"/>
        <v>629</v>
      </c>
      <c r="U9" s="147">
        <f>SUM(U11:U14)</f>
        <v>174</v>
      </c>
      <c r="V9" s="145">
        <f>SUM(V11:V14)</f>
        <v>117</v>
      </c>
      <c r="W9" s="145">
        <f>SUM(W11:W14)</f>
        <v>425</v>
      </c>
      <c r="X9" s="146">
        <f>SUM(X11:X14)</f>
        <v>716</v>
      </c>
    </row>
    <row r="10" spans="2:24" hidden="1">
      <c r="B10" s="143"/>
      <c r="D10" s="159"/>
      <c r="E10" s="159"/>
      <c r="F10" s="159"/>
      <c r="G10" s="159"/>
      <c r="H10" s="159"/>
      <c r="I10" s="159"/>
      <c r="J10" s="159"/>
      <c r="K10" s="159"/>
      <c r="L10" s="159"/>
      <c r="M10" s="159"/>
      <c r="N10" s="159"/>
      <c r="O10" s="159"/>
      <c r="P10" s="159"/>
      <c r="Q10" s="159"/>
      <c r="R10" s="159"/>
      <c r="S10" s="146"/>
      <c r="U10" s="147"/>
      <c r="V10" s="145"/>
      <c r="W10" s="145"/>
      <c r="X10" s="146"/>
    </row>
    <row r="11" spans="2:24" hidden="1">
      <c r="B11" s="143">
        <v>6</v>
      </c>
      <c r="C11" s="160" t="s">
        <v>323</v>
      </c>
      <c r="D11" s="159">
        <v>14</v>
      </c>
      <c r="E11" s="159">
        <v>13</v>
      </c>
      <c r="F11" s="159">
        <v>41</v>
      </c>
      <c r="G11" s="159">
        <v>31</v>
      </c>
      <c r="H11" s="159">
        <v>30</v>
      </c>
      <c r="I11" s="159">
        <v>50</v>
      </c>
      <c r="J11" s="159"/>
      <c r="K11" s="159"/>
      <c r="L11" s="159"/>
      <c r="M11" s="159">
        <v>86</v>
      </c>
      <c r="N11" s="159">
        <v>69</v>
      </c>
      <c r="O11" s="159">
        <v>75</v>
      </c>
      <c r="P11" s="159">
        <v>69</v>
      </c>
      <c r="Q11" s="159">
        <v>52</v>
      </c>
      <c r="R11" s="159">
        <v>86</v>
      </c>
      <c r="S11" s="146">
        <f>SUM(D11:R11)</f>
        <v>616</v>
      </c>
      <c r="U11" s="147">
        <v>91</v>
      </c>
      <c r="V11" s="145">
        <v>66</v>
      </c>
      <c r="W11" s="145">
        <v>179</v>
      </c>
      <c r="X11" s="146">
        <f>SUM(U11:W11)</f>
        <v>336</v>
      </c>
    </row>
    <row r="12" spans="2:24" hidden="1">
      <c r="B12" s="143">
        <v>7</v>
      </c>
      <c r="C12" s="160" t="s">
        <v>324</v>
      </c>
      <c r="D12" s="159">
        <v>38</v>
      </c>
      <c r="E12" s="159">
        <v>48</v>
      </c>
      <c r="F12" s="159">
        <v>45</v>
      </c>
      <c r="G12" s="159">
        <v>31</v>
      </c>
      <c r="H12" s="159">
        <v>37</v>
      </c>
      <c r="I12" s="159">
        <v>51</v>
      </c>
      <c r="J12" s="159"/>
      <c r="K12" s="159"/>
      <c r="L12" s="159"/>
      <c r="M12" s="159">
        <v>46</v>
      </c>
      <c r="N12" s="159">
        <v>50</v>
      </c>
      <c r="O12" s="159">
        <v>52</v>
      </c>
      <c r="P12" s="159">
        <v>56</v>
      </c>
      <c r="Q12" s="159">
        <v>61</v>
      </c>
      <c r="R12" s="159">
        <v>60</v>
      </c>
      <c r="S12" s="146">
        <f>SUM(D12:R12)</f>
        <v>575</v>
      </c>
      <c r="U12" s="147">
        <v>76</v>
      </c>
      <c r="V12" s="145">
        <v>43</v>
      </c>
      <c r="W12" s="145">
        <v>81</v>
      </c>
      <c r="X12" s="146">
        <f>SUM(U12:W12)</f>
        <v>200</v>
      </c>
    </row>
    <row r="13" spans="2:24" hidden="1">
      <c r="B13" s="143">
        <v>8</v>
      </c>
      <c r="C13" s="160" t="s">
        <v>325</v>
      </c>
      <c r="D13" s="159">
        <v>0</v>
      </c>
      <c r="E13" s="159">
        <v>3</v>
      </c>
      <c r="F13" s="159">
        <v>0</v>
      </c>
      <c r="G13" s="159">
        <v>1</v>
      </c>
      <c r="H13" s="159">
        <v>5</v>
      </c>
      <c r="I13" s="159">
        <v>4</v>
      </c>
      <c r="J13" s="159"/>
      <c r="K13" s="159"/>
      <c r="L13" s="159"/>
      <c r="M13" s="159">
        <v>1</v>
      </c>
      <c r="N13" s="159">
        <v>2</v>
      </c>
      <c r="O13" s="159">
        <v>3</v>
      </c>
      <c r="P13" s="159">
        <v>6</v>
      </c>
      <c r="Q13" s="159">
        <v>4</v>
      </c>
      <c r="R13" s="159">
        <v>5</v>
      </c>
      <c r="S13" s="146">
        <f>SUM(D13:R13)</f>
        <v>34</v>
      </c>
      <c r="U13" s="147">
        <v>6</v>
      </c>
      <c r="V13" s="145">
        <v>6</v>
      </c>
      <c r="W13" s="145">
        <v>82</v>
      </c>
      <c r="X13" s="146">
        <f>SUM(U13:W13)</f>
        <v>94</v>
      </c>
    </row>
    <row r="14" spans="2:24" hidden="1">
      <c r="B14" s="143">
        <v>9</v>
      </c>
      <c r="C14" s="160" t="s">
        <v>326</v>
      </c>
      <c r="D14" s="159">
        <v>0</v>
      </c>
      <c r="E14" s="159">
        <v>0</v>
      </c>
      <c r="F14" s="159">
        <v>0</v>
      </c>
      <c r="G14" s="159">
        <v>0</v>
      </c>
      <c r="H14" s="159">
        <v>2</v>
      </c>
      <c r="I14" s="159">
        <v>2</v>
      </c>
      <c r="J14" s="159"/>
      <c r="K14" s="159"/>
      <c r="L14" s="159"/>
      <c r="M14" s="159">
        <v>2</v>
      </c>
      <c r="N14" s="159">
        <v>5</v>
      </c>
      <c r="O14" s="159">
        <v>2</v>
      </c>
      <c r="P14" s="159">
        <v>5</v>
      </c>
      <c r="Q14" s="159">
        <v>0</v>
      </c>
      <c r="R14" s="159">
        <v>2</v>
      </c>
      <c r="S14" s="146">
        <f>SUM(D14:R14)</f>
        <v>20</v>
      </c>
      <c r="U14" s="147">
        <v>1</v>
      </c>
      <c r="V14" s="145">
        <v>2</v>
      </c>
      <c r="W14" s="145">
        <v>83</v>
      </c>
      <c r="X14" s="146">
        <f>SUM(U14:W14)</f>
        <v>86</v>
      </c>
    </row>
    <row r="15" spans="2:24" hidden="1">
      <c r="B15" s="143">
        <v>10</v>
      </c>
      <c r="C15" s="148" t="s">
        <v>320</v>
      </c>
      <c r="D15" s="149">
        <f t="shared" ref="D15:I15" si="6">D9/D29-1</f>
        <v>37</v>
      </c>
      <c r="E15" s="149">
        <f t="shared" si="6"/>
        <v>50</v>
      </c>
      <c r="F15" s="149">
        <f t="shared" si="6"/>
        <v>44</v>
      </c>
      <c r="G15" s="149">
        <f t="shared" si="6"/>
        <v>31</v>
      </c>
      <c r="H15" s="149">
        <f t="shared" si="6"/>
        <v>43</v>
      </c>
      <c r="I15" s="149">
        <f t="shared" si="6"/>
        <v>13.25</v>
      </c>
      <c r="J15" s="149"/>
      <c r="K15" s="149"/>
      <c r="L15" s="149"/>
      <c r="M15" s="149">
        <f t="shared" ref="M15:S15" si="7">M9/M29-1</f>
        <v>6</v>
      </c>
      <c r="N15" s="149">
        <f t="shared" si="7"/>
        <v>4.7</v>
      </c>
      <c r="O15" s="149">
        <f t="shared" si="7"/>
        <v>1.2799999999999998</v>
      </c>
      <c r="P15" s="149">
        <f t="shared" si="7"/>
        <v>1.161290322580645</v>
      </c>
      <c r="Q15" s="149">
        <f t="shared" si="7"/>
        <v>0.91176470588235303</v>
      </c>
      <c r="R15" s="153">
        <f t="shared" si="7"/>
        <v>0.63414634146341453</v>
      </c>
      <c r="S15" s="150">
        <f t="shared" si="7"/>
        <v>3.0320512820512819</v>
      </c>
      <c r="U15" s="155">
        <f>U9/U29-1</f>
        <v>3.5789473684210522</v>
      </c>
      <c r="V15" s="157">
        <f>V9/V29-1</f>
        <v>1.2941176470588234</v>
      </c>
      <c r="W15" s="157">
        <f>W9/W29-1</f>
        <v>8.4444444444444446</v>
      </c>
      <c r="X15" s="158">
        <f>X9/X29-1</f>
        <v>2.5445544554455446</v>
      </c>
    </row>
    <row r="16" spans="2:24" hidden="1">
      <c r="B16" s="143">
        <v>11</v>
      </c>
      <c r="C16" s="152" t="s">
        <v>327</v>
      </c>
      <c r="D16" s="145">
        <f t="shared" ref="D16:I16" si="8">SUM(D17:D19)</f>
        <v>1800</v>
      </c>
      <c r="E16" s="145">
        <f t="shared" si="8"/>
        <v>3059</v>
      </c>
      <c r="F16" s="145">
        <f t="shared" si="8"/>
        <v>4274</v>
      </c>
      <c r="G16" s="145">
        <f t="shared" si="8"/>
        <v>4272</v>
      </c>
      <c r="H16" s="145">
        <f t="shared" si="8"/>
        <v>4153</v>
      </c>
      <c r="I16" s="145">
        <f t="shared" si="8"/>
        <v>7007</v>
      </c>
      <c r="J16" s="145"/>
      <c r="K16" s="145"/>
      <c r="L16" s="145"/>
      <c r="M16" s="145">
        <f t="shared" ref="M16:S16" si="9">SUM(M17:M19)</f>
        <v>4054</v>
      </c>
      <c r="N16" s="145">
        <f t="shared" si="9"/>
        <v>4880</v>
      </c>
      <c r="O16" s="145">
        <f t="shared" si="9"/>
        <v>6140</v>
      </c>
      <c r="P16" s="145">
        <f t="shared" si="9"/>
        <v>5111</v>
      </c>
      <c r="Q16" s="145">
        <f t="shared" si="9"/>
        <v>4690</v>
      </c>
      <c r="R16" s="145">
        <f t="shared" si="9"/>
        <v>4846</v>
      </c>
      <c r="S16" s="146">
        <f t="shared" si="9"/>
        <v>54570</v>
      </c>
      <c r="U16" s="147">
        <f>SUM(U17:U19)</f>
        <v>4965</v>
      </c>
      <c r="V16" s="145">
        <f>SUM(V17:V19)</f>
        <v>2388</v>
      </c>
      <c r="W16" s="145">
        <f>SUM(W17:W19)</f>
        <v>7271</v>
      </c>
      <c r="X16" s="146">
        <f>SUM(X17:X19)</f>
        <v>14624</v>
      </c>
    </row>
    <row r="17" spans="2:24" hidden="1">
      <c r="B17" s="143">
        <v>12</v>
      </c>
      <c r="C17" s="160" t="s">
        <v>324</v>
      </c>
      <c r="D17" s="145">
        <v>1445</v>
      </c>
      <c r="E17" s="145">
        <v>2589</v>
      </c>
      <c r="F17" s="145">
        <v>3587</v>
      </c>
      <c r="G17" s="145">
        <v>3268</v>
      </c>
      <c r="H17" s="145">
        <v>3286</v>
      </c>
      <c r="I17" s="145">
        <v>4941</v>
      </c>
      <c r="J17" s="145"/>
      <c r="K17" s="145"/>
      <c r="L17" s="145"/>
      <c r="M17" s="145">
        <v>3142</v>
      </c>
      <c r="N17" s="145">
        <v>3835</v>
      </c>
      <c r="O17" s="145">
        <v>4873</v>
      </c>
      <c r="P17" s="145">
        <v>4054</v>
      </c>
      <c r="Q17" s="145">
        <v>3834</v>
      </c>
      <c r="R17" s="145">
        <v>3699</v>
      </c>
      <c r="S17" s="146">
        <v>42772</v>
      </c>
      <c r="U17" s="147">
        <v>3878</v>
      </c>
      <c r="V17" s="145">
        <v>1809</v>
      </c>
      <c r="W17" s="145">
        <v>5875</v>
      </c>
      <c r="X17" s="146">
        <f>SUM(U17:W17)</f>
        <v>11562</v>
      </c>
    </row>
    <row r="18" spans="2:24" hidden="1">
      <c r="B18" s="143">
        <v>13</v>
      </c>
      <c r="C18" s="160" t="s">
        <v>325</v>
      </c>
      <c r="D18" s="145">
        <v>309</v>
      </c>
      <c r="E18" s="145">
        <v>381</v>
      </c>
      <c r="F18" s="145">
        <v>553</v>
      </c>
      <c r="G18" s="145">
        <v>839</v>
      </c>
      <c r="H18" s="145">
        <v>690</v>
      </c>
      <c r="I18" s="145">
        <v>1339</v>
      </c>
      <c r="J18" s="145"/>
      <c r="K18" s="145"/>
      <c r="L18" s="145"/>
      <c r="M18" s="145">
        <v>830</v>
      </c>
      <c r="N18" s="145">
        <v>986</v>
      </c>
      <c r="O18" s="145">
        <v>1008</v>
      </c>
      <c r="P18" s="145">
        <v>789</v>
      </c>
      <c r="Q18" s="145">
        <v>665</v>
      </c>
      <c r="R18" s="145">
        <v>902</v>
      </c>
      <c r="S18" s="146">
        <v>9350</v>
      </c>
      <c r="U18" s="147">
        <v>765</v>
      </c>
      <c r="V18" s="145">
        <v>448</v>
      </c>
      <c r="W18" s="145">
        <v>1125</v>
      </c>
      <c r="X18" s="146">
        <f>SUM(U18:W18)</f>
        <v>2338</v>
      </c>
    </row>
    <row r="19" spans="2:24" hidden="1">
      <c r="B19" s="143">
        <v>14</v>
      </c>
      <c r="C19" s="160" t="s">
        <v>326</v>
      </c>
      <c r="D19" s="145">
        <v>46</v>
      </c>
      <c r="E19" s="145">
        <v>89</v>
      </c>
      <c r="F19" s="145">
        <v>134</v>
      </c>
      <c r="G19" s="145">
        <v>165</v>
      </c>
      <c r="H19" s="145">
        <v>177</v>
      </c>
      <c r="I19" s="145">
        <v>727</v>
      </c>
      <c r="J19" s="145"/>
      <c r="K19" s="145"/>
      <c r="L19" s="145"/>
      <c r="M19" s="145">
        <v>82</v>
      </c>
      <c r="N19" s="145">
        <v>59</v>
      </c>
      <c r="O19" s="145">
        <v>259</v>
      </c>
      <c r="P19" s="145">
        <v>268</v>
      </c>
      <c r="Q19" s="145">
        <v>191</v>
      </c>
      <c r="R19" s="145">
        <v>245</v>
      </c>
      <c r="S19" s="146">
        <v>2448</v>
      </c>
      <c r="U19" s="147">
        <v>322</v>
      </c>
      <c r="V19" s="145">
        <v>131</v>
      </c>
      <c r="W19" s="145">
        <v>271</v>
      </c>
      <c r="X19" s="146">
        <f>SUM(U19:W19)</f>
        <v>724</v>
      </c>
    </row>
    <row r="20" spans="2:24" hidden="1">
      <c r="B20" s="161">
        <v>15</v>
      </c>
      <c r="C20" s="162" t="s">
        <v>320</v>
      </c>
      <c r="D20" s="163">
        <f t="shared" ref="D20:I20" si="10">D16/D35-1</f>
        <v>-0.11807937285644288</v>
      </c>
      <c r="E20" s="163">
        <f t="shared" si="10"/>
        <v>1.4590032154340835</v>
      </c>
      <c r="F20" s="163">
        <f t="shared" si="10"/>
        <v>0.41102674149884444</v>
      </c>
      <c r="G20" s="163">
        <f t="shared" si="10"/>
        <v>0.60480841472577018</v>
      </c>
      <c r="H20" s="163">
        <f t="shared" si="10"/>
        <v>0.84988864142538967</v>
      </c>
      <c r="I20" s="163">
        <f t="shared" si="10"/>
        <v>2.2896713615023474</v>
      </c>
      <c r="J20" s="163"/>
      <c r="K20" s="163"/>
      <c r="L20" s="163"/>
      <c r="M20" s="163">
        <f t="shared" ref="M20:S20" si="11">M16/M35-1</f>
        <v>0.84272727272727277</v>
      </c>
      <c r="N20" s="163">
        <f t="shared" si="11"/>
        <v>0.28488678251711419</v>
      </c>
      <c r="O20" s="163">
        <f t="shared" si="11"/>
        <v>0.88923076923076927</v>
      </c>
      <c r="P20" s="163">
        <f t="shared" si="11"/>
        <v>0.7557540364136035</v>
      </c>
      <c r="Q20" s="163">
        <f t="shared" si="11"/>
        <v>0.6485061511423551</v>
      </c>
      <c r="R20" s="164">
        <f t="shared" si="11"/>
        <v>1.2077448747152619</v>
      </c>
      <c r="S20" s="165">
        <f t="shared" si="11"/>
        <v>0.78555068385576865</v>
      </c>
      <c r="T20" s="166"/>
      <c r="U20" s="167">
        <f>U16/U34-1</f>
        <v>1.7583333333333333</v>
      </c>
      <c r="V20" s="168">
        <f>V16/V34-1</f>
        <v>-0.21858638743455494</v>
      </c>
      <c r="W20" s="169">
        <f>W16/W34-1</f>
        <v>0.69962599345488541</v>
      </c>
      <c r="X20" s="170">
        <f>X16/X34-1</f>
        <v>0.60105101817385598</v>
      </c>
    </row>
    <row r="21" spans="2:24" hidden="1">
      <c r="B21" s="171">
        <v>16</v>
      </c>
      <c r="C21" s="152" t="s">
        <v>328</v>
      </c>
      <c r="D21" s="145">
        <f t="shared" ref="D21:I21" si="12">SUM(D22:D24)</f>
        <v>8201</v>
      </c>
      <c r="E21" s="145">
        <f t="shared" si="12"/>
        <v>11600</v>
      </c>
      <c r="F21" s="145">
        <f t="shared" si="12"/>
        <v>16490</v>
      </c>
      <c r="G21" s="145">
        <f t="shared" si="12"/>
        <v>15568</v>
      </c>
      <c r="H21" s="145">
        <f t="shared" si="12"/>
        <v>15121</v>
      </c>
      <c r="I21" s="145">
        <f t="shared" si="12"/>
        <v>14728</v>
      </c>
      <c r="J21" s="145"/>
      <c r="K21" s="145"/>
      <c r="L21" s="145"/>
      <c r="M21" s="145">
        <f t="shared" ref="M21:S21" si="13">SUM(M22:M24)</f>
        <v>16711</v>
      </c>
      <c r="N21" s="145">
        <f t="shared" si="13"/>
        <v>15233</v>
      </c>
      <c r="O21" s="145">
        <f t="shared" si="13"/>
        <v>15533</v>
      </c>
      <c r="P21" s="145">
        <f t="shared" si="13"/>
        <v>11542</v>
      </c>
      <c r="Q21" s="145">
        <f t="shared" si="13"/>
        <v>9818</v>
      </c>
      <c r="R21" s="145">
        <f t="shared" si="13"/>
        <v>10168</v>
      </c>
      <c r="S21" s="145">
        <f t="shared" si="13"/>
        <v>160713</v>
      </c>
      <c r="U21" s="145">
        <f>SUM(U22:U24)</f>
        <v>11438</v>
      </c>
      <c r="V21" s="145">
        <f>SUM(V22:V24)</f>
        <v>5318</v>
      </c>
      <c r="W21" s="145">
        <f>SUM(W22:W24)</f>
        <v>13709</v>
      </c>
      <c r="X21" s="145">
        <f>SUM(X22:X24)</f>
        <v>30465</v>
      </c>
    </row>
    <row r="22" spans="2:24" hidden="1">
      <c r="B22" s="171">
        <v>17</v>
      </c>
      <c r="C22" s="160" t="s">
        <v>324</v>
      </c>
      <c r="D22" s="145">
        <v>7247</v>
      </c>
      <c r="E22" s="145">
        <v>10312</v>
      </c>
      <c r="F22" s="145">
        <v>14710</v>
      </c>
      <c r="G22" s="145">
        <v>12881</v>
      </c>
      <c r="H22" s="145">
        <v>12646</v>
      </c>
      <c r="I22" s="145">
        <v>12339</v>
      </c>
      <c r="J22" s="145"/>
      <c r="K22" s="145"/>
      <c r="L22" s="145"/>
      <c r="M22" s="145">
        <v>13670</v>
      </c>
      <c r="N22" s="145">
        <v>12609</v>
      </c>
      <c r="O22" s="145">
        <v>13038</v>
      </c>
      <c r="P22" s="145">
        <v>9830</v>
      </c>
      <c r="Q22" s="145">
        <v>8507</v>
      </c>
      <c r="R22" s="145">
        <v>8491</v>
      </c>
      <c r="S22" s="145">
        <f>SUM(D22:R22)</f>
        <v>136280</v>
      </c>
      <c r="U22" s="145">
        <v>9462</v>
      </c>
      <c r="V22" s="145">
        <v>4306</v>
      </c>
      <c r="W22" s="145">
        <v>11456</v>
      </c>
      <c r="X22" s="145">
        <f>SUM(U22:W22)</f>
        <v>25224</v>
      </c>
    </row>
    <row r="23" spans="2:24" hidden="1">
      <c r="B23" s="171">
        <v>18</v>
      </c>
      <c r="C23" s="160" t="s">
        <v>325</v>
      </c>
      <c r="D23" s="145">
        <v>785</v>
      </c>
      <c r="E23" s="145">
        <v>967</v>
      </c>
      <c r="F23" s="145">
        <v>1379</v>
      </c>
      <c r="G23" s="145">
        <v>1960</v>
      </c>
      <c r="H23" s="145">
        <v>1748</v>
      </c>
      <c r="I23" s="145">
        <v>1811</v>
      </c>
      <c r="J23" s="145"/>
      <c r="K23" s="145"/>
      <c r="L23" s="145"/>
      <c r="M23" s="145">
        <v>2093</v>
      </c>
      <c r="N23" s="145">
        <v>1781</v>
      </c>
      <c r="O23" s="145">
        <v>1736</v>
      </c>
      <c r="P23" s="145">
        <v>1160</v>
      </c>
      <c r="Q23" s="145">
        <v>938</v>
      </c>
      <c r="R23" s="145">
        <v>1146</v>
      </c>
      <c r="S23" s="145">
        <f>SUM(D23:R23)</f>
        <v>17504</v>
      </c>
      <c r="U23" s="145">
        <v>1277</v>
      </c>
      <c r="V23" s="145">
        <v>751</v>
      </c>
      <c r="W23" s="145">
        <v>1677</v>
      </c>
      <c r="X23" s="145">
        <f>SUM(U23:W23)</f>
        <v>3705</v>
      </c>
    </row>
    <row r="24" spans="2:24" hidden="1">
      <c r="B24" s="171">
        <v>19</v>
      </c>
      <c r="C24" s="160" t="s">
        <v>326</v>
      </c>
      <c r="D24" s="145">
        <v>169</v>
      </c>
      <c r="E24" s="145">
        <v>321</v>
      </c>
      <c r="F24" s="145">
        <v>401</v>
      </c>
      <c r="G24" s="145">
        <v>727</v>
      </c>
      <c r="H24" s="145">
        <v>727</v>
      </c>
      <c r="I24" s="145">
        <v>578</v>
      </c>
      <c r="J24" s="145"/>
      <c r="K24" s="145"/>
      <c r="L24" s="145"/>
      <c r="M24" s="145">
        <v>948</v>
      </c>
      <c r="N24" s="145">
        <v>843</v>
      </c>
      <c r="O24" s="145">
        <v>759</v>
      </c>
      <c r="P24" s="145">
        <v>552</v>
      </c>
      <c r="Q24" s="145">
        <v>373</v>
      </c>
      <c r="R24" s="145">
        <v>531</v>
      </c>
      <c r="S24" s="145">
        <f>SUM(D24:R24)</f>
        <v>6929</v>
      </c>
      <c r="U24" s="145">
        <v>699</v>
      </c>
      <c r="V24" s="145">
        <v>261</v>
      </c>
      <c r="W24" s="145">
        <v>576</v>
      </c>
      <c r="X24" s="145">
        <f>SUM(U24:W24)</f>
        <v>1536</v>
      </c>
    </row>
    <row r="25" spans="2:24" hidden="1">
      <c r="B25" s="171">
        <v>20</v>
      </c>
      <c r="C25" s="148" t="s">
        <v>320</v>
      </c>
      <c r="D25" s="149">
        <f t="shared" ref="D25:I25" si="14">D21/D38-1</f>
        <v>-0.15610207861699943</v>
      </c>
      <c r="E25" s="149">
        <f t="shared" si="14"/>
        <v>1.3843782117163412</v>
      </c>
      <c r="F25" s="149">
        <f t="shared" si="14"/>
        <v>0.44903339191564151</v>
      </c>
      <c r="G25" s="149">
        <f t="shared" si="14"/>
        <v>9.4873057177016662E-2</v>
      </c>
      <c r="H25" s="149">
        <f t="shared" si="14"/>
        <v>4.6653284418910479E-2</v>
      </c>
      <c r="I25" s="149">
        <f t="shared" si="14"/>
        <v>5.3354312687741379E-2</v>
      </c>
      <c r="J25" s="149"/>
      <c r="K25" s="149"/>
      <c r="L25" s="149"/>
      <c r="M25" s="149">
        <f t="shared" ref="M25:S25" si="15">M21/M38-1</f>
        <v>-8.4178221077437332E-2</v>
      </c>
      <c r="N25" s="149">
        <f t="shared" si="15"/>
        <v>-4.4173934868544928E-2</v>
      </c>
      <c r="O25" s="149">
        <f t="shared" si="15"/>
        <v>0.34066977386500952</v>
      </c>
      <c r="P25" s="149">
        <f t="shared" si="15"/>
        <v>-0.15101140125045975</v>
      </c>
      <c r="Q25" s="149">
        <f t="shared" si="15"/>
        <v>-0.27590530275094038</v>
      </c>
      <c r="R25" s="149">
        <f t="shared" si="15"/>
        <v>-0.15210140093395597</v>
      </c>
      <c r="S25" s="149">
        <f t="shared" si="15"/>
        <v>4.6806099252900246E-2</v>
      </c>
      <c r="U25" s="154">
        <f>U21/U38-1</f>
        <v>0.39538855678906915</v>
      </c>
      <c r="V25" s="154">
        <f>V21/V38-1</f>
        <v>-0.54143312925756659</v>
      </c>
      <c r="W25" s="154">
        <f>W21/W38-1</f>
        <v>-0.1683955110706703</v>
      </c>
      <c r="X25" s="154">
        <f>X21/X38-1</f>
        <v>-0.1602580004961548</v>
      </c>
    </row>
    <row r="26" spans="2:24" hidden="1">
      <c r="E26" s="172"/>
      <c r="F26" s="172"/>
      <c r="G26" s="172"/>
      <c r="H26" s="172"/>
      <c r="I26" s="172"/>
      <c r="J26" s="172"/>
      <c r="K26" s="172"/>
      <c r="L26" s="172"/>
      <c r="M26" s="172"/>
      <c r="N26" s="172"/>
      <c r="O26" s="172"/>
      <c r="P26" s="172"/>
      <c r="Q26" s="172"/>
      <c r="R26" s="172"/>
      <c r="S26" s="172"/>
    </row>
    <row r="27" spans="2:24" hidden="1">
      <c r="C27" s="133" t="s">
        <v>329</v>
      </c>
    </row>
    <row r="28" spans="2:24" hidden="1">
      <c r="C28" s="152" t="s">
        <v>330</v>
      </c>
      <c r="D28" s="173">
        <f t="shared" ref="D28:I28" si="16">D29+D34</f>
        <v>2856</v>
      </c>
      <c r="E28" s="173">
        <f t="shared" si="16"/>
        <v>1754</v>
      </c>
      <c r="F28" s="173">
        <f t="shared" si="16"/>
        <v>4664</v>
      </c>
      <c r="G28" s="173">
        <f t="shared" si="16"/>
        <v>4313</v>
      </c>
      <c r="H28" s="173">
        <f t="shared" si="16"/>
        <v>3301</v>
      </c>
      <c r="I28" s="173">
        <f t="shared" si="16"/>
        <v>3107</v>
      </c>
      <c r="J28" s="173"/>
      <c r="K28" s="173"/>
      <c r="L28" s="173"/>
      <c r="M28" s="173">
        <f t="shared" ref="M28:X28" si="17">M29+M34</f>
        <v>3474</v>
      </c>
      <c r="N28" s="173">
        <f t="shared" si="17"/>
        <v>5854</v>
      </c>
      <c r="O28" s="173">
        <f t="shared" si="17"/>
        <v>4750</v>
      </c>
      <c r="P28" s="173">
        <f t="shared" si="17"/>
        <v>4147</v>
      </c>
      <c r="Q28" s="173">
        <f t="shared" si="17"/>
        <v>3640</v>
      </c>
      <c r="R28" s="173">
        <f t="shared" si="17"/>
        <v>2720</v>
      </c>
      <c r="S28" s="173">
        <f t="shared" si="17"/>
        <v>44600</v>
      </c>
      <c r="T28" s="173">
        <f t="shared" si="17"/>
        <v>0</v>
      </c>
      <c r="U28" s="173">
        <f t="shared" si="17"/>
        <v>1838</v>
      </c>
      <c r="V28" s="173">
        <f t="shared" si="17"/>
        <v>3107</v>
      </c>
      <c r="W28" s="173">
        <f t="shared" si="17"/>
        <v>4323</v>
      </c>
      <c r="X28" s="173">
        <f t="shared" si="17"/>
        <v>9336</v>
      </c>
    </row>
    <row r="29" spans="2:24" hidden="1">
      <c r="C29" s="152" t="s">
        <v>322</v>
      </c>
      <c r="D29" s="159">
        <f t="shared" ref="D29:I29" si="18">SUM(D30:D32)</f>
        <v>1</v>
      </c>
      <c r="E29" s="159">
        <f t="shared" si="18"/>
        <v>1</v>
      </c>
      <c r="F29" s="159">
        <f t="shared" si="18"/>
        <v>1</v>
      </c>
      <c r="G29" s="159">
        <f t="shared" si="18"/>
        <v>1</v>
      </c>
      <c r="H29" s="159">
        <f t="shared" si="18"/>
        <v>1</v>
      </c>
      <c r="I29" s="159">
        <f t="shared" si="18"/>
        <v>4</v>
      </c>
      <c r="J29" s="159"/>
      <c r="K29" s="159"/>
      <c r="L29" s="159"/>
      <c r="M29" s="159">
        <f t="shared" ref="M29:S29" si="19">SUM(M30:M32)</f>
        <v>7</v>
      </c>
      <c r="N29" s="159">
        <f t="shared" si="19"/>
        <v>10</v>
      </c>
      <c r="O29" s="159">
        <f t="shared" si="19"/>
        <v>25</v>
      </c>
      <c r="P29" s="159">
        <f t="shared" si="19"/>
        <v>31</v>
      </c>
      <c r="Q29" s="159">
        <f t="shared" si="19"/>
        <v>34</v>
      </c>
      <c r="R29" s="159">
        <f t="shared" si="19"/>
        <v>41</v>
      </c>
      <c r="S29" s="159">
        <f t="shared" si="19"/>
        <v>156</v>
      </c>
      <c r="U29" s="159">
        <f>SUM(U31:U32)</f>
        <v>38</v>
      </c>
      <c r="V29" s="159">
        <f>SUM(V31:V32)</f>
        <v>51</v>
      </c>
      <c r="W29" s="159">
        <f>SUM(W31:W32)</f>
        <v>45</v>
      </c>
      <c r="X29" s="159">
        <f>SUM(X30:X33)</f>
        <v>202</v>
      </c>
    </row>
    <row r="30" spans="2:24" hidden="1">
      <c r="C30" s="160" t="s">
        <v>323</v>
      </c>
      <c r="D30" s="159">
        <v>1</v>
      </c>
      <c r="E30" s="159">
        <v>0</v>
      </c>
      <c r="F30" s="159">
        <v>0</v>
      </c>
      <c r="G30" s="159">
        <v>1</v>
      </c>
      <c r="H30" s="159">
        <v>1</v>
      </c>
      <c r="I30" s="159">
        <v>3</v>
      </c>
      <c r="J30" s="159"/>
      <c r="K30" s="159"/>
      <c r="L30" s="159"/>
      <c r="M30" s="159">
        <v>4</v>
      </c>
      <c r="N30" s="159">
        <v>4</v>
      </c>
      <c r="O30" s="159">
        <v>6</v>
      </c>
      <c r="P30" s="159">
        <v>5</v>
      </c>
      <c r="Q30" s="159">
        <v>4</v>
      </c>
      <c r="R30" s="159">
        <v>11</v>
      </c>
      <c r="S30" s="159">
        <v>40</v>
      </c>
      <c r="U30" s="159">
        <v>14</v>
      </c>
      <c r="V30" s="159">
        <v>13</v>
      </c>
      <c r="W30" s="159">
        <v>41</v>
      </c>
      <c r="X30" s="159">
        <f>SUM(U30:W30)</f>
        <v>68</v>
      </c>
    </row>
    <row r="31" spans="2:24" hidden="1">
      <c r="C31" s="160" t="s">
        <v>324</v>
      </c>
      <c r="D31" s="159">
        <v>0</v>
      </c>
      <c r="E31" s="159">
        <v>1</v>
      </c>
      <c r="F31" s="159">
        <v>1</v>
      </c>
      <c r="G31" s="159">
        <v>0</v>
      </c>
      <c r="H31" s="159">
        <v>0</v>
      </c>
      <c r="I31" s="159">
        <v>1</v>
      </c>
      <c r="J31" s="159"/>
      <c r="K31" s="159"/>
      <c r="L31" s="159"/>
      <c r="M31" s="159">
        <v>3</v>
      </c>
      <c r="N31" s="159">
        <v>6</v>
      </c>
      <c r="O31" s="159">
        <v>19</v>
      </c>
      <c r="P31" s="159">
        <v>25</v>
      </c>
      <c r="Q31" s="159">
        <v>28</v>
      </c>
      <c r="R31" s="159">
        <v>29</v>
      </c>
      <c r="S31" s="159">
        <v>112</v>
      </c>
      <c r="U31" s="159">
        <v>38</v>
      </c>
      <c r="V31" s="159">
        <v>48</v>
      </c>
      <c r="W31" s="159">
        <v>45</v>
      </c>
      <c r="X31" s="159">
        <f>SUM(U31:W31)</f>
        <v>131</v>
      </c>
    </row>
    <row r="32" spans="2:24" hidden="1">
      <c r="C32" s="160" t="s">
        <v>325</v>
      </c>
      <c r="D32" s="159">
        <v>0</v>
      </c>
      <c r="E32" s="159">
        <v>0</v>
      </c>
      <c r="F32" s="159">
        <v>0</v>
      </c>
      <c r="G32" s="159">
        <v>0</v>
      </c>
      <c r="H32" s="159">
        <v>0</v>
      </c>
      <c r="I32" s="159">
        <v>0</v>
      </c>
      <c r="J32" s="159"/>
      <c r="K32" s="159"/>
      <c r="L32" s="159"/>
      <c r="M32" s="159">
        <v>0</v>
      </c>
      <c r="N32" s="159">
        <v>0</v>
      </c>
      <c r="O32" s="159">
        <v>0</v>
      </c>
      <c r="P32" s="159">
        <v>1</v>
      </c>
      <c r="Q32" s="159">
        <v>2</v>
      </c>
      <c r="R32" s="159">
        <v>1</v>
      </c>
      <c r="S32" s="159">
        <v>4</v>
      </c>
      <c r="U32" s="159">
        <v>0</v>
      </c>
      <c r="V32" s="159">
        <v>3</v>
      </c>
      <c r="W32" s="159">
        <v>0</v>
      </c>
      <c r="X32" s="159">
        <f>SUM(U32:W32)</f>
        <v>3</v>
      </c>
    </row>
    <row r="33" spans="2:24" hidden="1">
      <c r="C33" s="160" t="s">
        <v>326</v>
      </c>
      <c r="D33" s="159"/>
      <c r="E33" s="159"/>
      <c r="F33" s="159"/>
      <c r="G33" s="159"/>
      <c r="H33" s="159"/>
      <c r="I33" s="159"/>
      <c r="J33" s="159"/>
      <c r="K33" s="159"/>
      <c r="L33" s="159"/>
      <c r="M33" s="159"/>
      <c r="N33" s="159"/>
      <c r="O33" s="159"/>
      <c r="P33" s="159"/>
      <c r="Q33" s="159"/>
      <c r="R33" s="159"/>
      <c r="S33" s="159"/>
      <c r="U33" s="159">
        <v>0</v>
      </c>
      <c r="V33" s="159">
        <v>0</v>
      </c>
      <c r="W33" s="159">
        <v>0</v>
      </c>
      <c r="X33" s="159">
        <f>SUM(U33:W33)</f>
        <v>0</v>
      </c>
    </row>
    <row r="34" spans="2:24" hidden="1">
      <c r="C34" s="152" t="s">
        <v>327</v>
      </c>
      <c r="D34" s="159">
        <f t="shared" ref="D34:I34" si="20">SUM(D35:D37)</f>
        <v>2855</v>
      </c>
      <c r="E34" s="159">
        <f t="shared" si="20"/>
        <v>1753</v>
      </c>
      <c r="F34" s="159">
        <f t="shared" si="20"/>
        <v>4663</v>
      </c>
      <c r="G34" s="159">
        <f t="shared" si="20"/>
        <v>4312</v>
      </c>
      <c r="H34" s="159">
        <f t="shared" si="20"/>
        <v>3300</v>
      </c>
      <c r="I34" s="159">
        <f t="shared" si="20"/>
        <v>3103</v>
      </c>
      <c r="J34" s="159"/>
      <c r="K34" s="159"/>
      <c r="L34" s="159"/>
      <c r="M34" s="159">
        <f t="shared" ref="M34:S34" si="21">SUM(M35:M37)</f>
        <v>3467</v>
      </c>
      <c r="N34" s="159">
        <f t="shared" si="21"/>
        <v>5844</v>
      </c>
      <c r="O34" s="159">
        <f t="shared" si="21"/>
        <v>4725</v>
      </c>
      <c r="P34" s="159">
        <f t="shared" si="21"/>
        <v>4116</v>
      </c>
      <c r="Q34" s="159">
        <f t="shared" si="21"/>
        <v>3606</v>
      </c>
      <c r="R34" s="159">
        <f t="shared" si="21"/>
        <v>2679</v>
      </c>
      <c r="S34" s="159">
        <f t="shared" si="21"/>
        <v>44444</v>
      </c>
      <c r="U34" s="172">
        <f>SUM(U35:U37)</f>
        <v>1800</v>
      </c>
      <c r="V34" s="172">
        <f>SUM(V35:V37)</f>
        <v>3056</v>
      </c>
      <c r="W34" s="172">
        <f>SUM(W35:W37)</f>
        <v>4278</v>
      </c>
      <c r="X34" s="172">
        <f>SUM(X35:X37)</f>
        <v>9134</v>
      </c>
    </row>
    <row r="35" spans="2:24" hidden="1">
      <c r="C35" s="160" t="s">
        <v>324</v>
      </c>
      <c r="D35" s="159">
        <v>2041</v>
      </c>
      <c r="E35" s="159">
        <v>1244</v>
      </c>
      <c r="F35" s="159">
        <v>3029</v>
      </c>
      <c r="G35" s="159">
        <v>2662</v>
      </c>
      <c r="H35" s="159">
        <v>2245</v>
      </c>
      <c r="I35" s="159">
        <v>2130</v>
      </c>
      <c r="J35" s="159"/>
      <c r="K35" s="159"/>
      <c r="L35" s="159"/>
      <c r="M35" s="159">
        <v>2200</v>
      </c>
      <c r="N35" s="159">
        <v>3798</v>
      </c>
      <c r="O35" s="159">
        <v>3250</v>
      </c>
      <c r="P35" s="159">
        <v>2911</v>
      </c>
      <c r="Q35" s="159">
        <v>2845</v>
      </c>
      <c r="R35" s="159">
        <v>2195</v>
      </c>
      <c r="S35" s="159">
        <v>30562</v>
      </c>
      <c r="U35" s="172">
        <v>1445</v>
      </c>
      <c r="V35" s="172">
        <v>2588</v>
      </c>
      <c r="W35" s="172">
        <v>3588</v>
      </c>
      <c r="X35" s="172">
        <f>SUM(U35:W35)</f>
        <v>7621</v>
      </c>
    </row>
    <row r="36" spans="2:24" hidden="1">
      <c r="C36" s="160" t="s">
        <v>325</v>
      </c>
      <c r="D36" s="159">
        <v>473</v>
      </c>
      <c r="E36" s="159">
        <v>306</v>
      </c>
      <c r="F36" s="159">
        <v>828</v>
      </c>
      <c r="G36" s="159">
        <v>886</v>
      </c>
      <c r="H36" s="159">
        <v>556</v>
      </c>
      <c r="I36" s="159">
        <v>519</v>
      </c>
      <c r="J36" s="159"/>
      <c r="K36" s="159"/>
      <c r="L36" s="159"/>
      <c r="M36" s="159">
        <v>691</v>
      </c>
      <c r="N36" s="159">
        <v>1273</v>
      </c>
      <c r="O36" s="159">
        <v>826</v>
      </c>
      <c r="P36" s="159">
        <v>671</v>
      </c>
      <c r="Q36" s="159">
        <v>609</v>
      </c>
      <c r="R36" s="159">
        <v>402</v>
      </c>
      <c r="S36" s="159">
        <v>8046</v>
      </c>
      <c r="U36" s="172">
        <v>309</v>
      </c>
      <c r="V36" s="172">
        <v>379</v>
      </c>
      <c r="W36" s="172">
        <v>556</v>
      </c>
      <c r="X36" s="172">
        <f>SUM(U36:W36)</f>
        <v>1244</v>
      </c>
    </row>
    <row r="37" spans="2:24" hidden="1">
      <c r="C37" s="160" t="s">
        <v>326</v>
      </c>
      <c r="D37" s="145">
        <v>341</v>
      </c>
      <c r="E37" s="145">
        <v>203</v>
      </c>
      <c r="F37" s="145">
        <v>806</v>
      </c>
      <c r="G37" s="145">
        <v>764</v>
      </c>
      <c r="H37" s="145">
        <v>499</v>
      </c>
      <c r="I37" s="145">
        <v>454</v>
      </c>
      <c r="J37" s="145"/>
      <c r="K37" s="145"/>
      <c r="L37" s="145"/>
      <c r="M37" s="145">
        <v>576</v>
      </c>
      <c r="N37" s="145">
        <v>773</v>
      </c>
      <c r="O37" s="145">
        <v>649</v>
      </c>
      <c r="P37" s="145">
        <v>534</v>
      </c>
      <c r="Q37" s="145">
        <v>152</v>
      </c>
      <c r="R37" s="145">
        <v>82</v>
      </c>
      <c r="S37" s="145">
        <v>5836</v>
      </c>
      <c r="U37" s="172">
        <v>46</v>
      </c>
      <c r="V37" s="172">
        <v>89</v>
      </c>
      <c r="W37" s="172">
        <v>134</v>
      </c>
      <c r="X37" s="172">
        <f>SUM(U37:W37)</f>
        <v>269</v>
      </c>
    </row>
    <row r="38" spans="2:24" hidden="1">
      <c r="C38" s="152" t="s">
        <v>328</v>
      </c>
      <c r="D38" s="145">
        <f t="shared" ref="D38:I38" si="22">SUM(D39:D41)</f>
        <v>9718</v>
      </c>
      <c r="E38" s="145">
        <f t="shared" si="22"/>
        <v>4865</v>
      </c>
      <c r="F38" s="145">
        <f t="shared" si="22"/>
        <v>11380</v>
      </c>
      <c r="G38" s="145">
        <f t="shared" si="22"/>
        <v>14219</v>
      </c>
      <c r="H38" s="145">
        <f t="shared" si="22"/>
        <v>14447</v>
      </c>
      <c r="I38" s="145">
        <f t="shared" si="22"/>
        <v>13982</v>
      </c>
      <c r="J38" s="145"/>
      <c r="K38" s="145"/>
      <c r="L38" s="145"/>
      <c r="M38" s="145">
        <f t="shared" ref="M38:S38" si="23">SUM(M39:M41)</f>
        <v>18247</v>
      </c>
      <c r="N38" s="145">
        <f t="shared" si="23"/>
        <v>15937</v>
      </c>
      <c r="O38" s="145">
        <f t="shared" si="23"/>
        <v>11586</v>
      </c>
      <c r="P38" s="145">
        <f t="shared" si="23"/>
        <v>13595</v>
      </c>
      <c r="Q38" s="145">
        <f t="shared" si="23"/>
        <v>13559</v>
      </c>
      <c r="R38" s="145">
        <f t="shared" si="23"/>
        <v>11992</v>
      </c>
      <c r="S38" s="145">
        <f t="shared" si="23"/>
        <v>153527</v>
      </c>
      <c r="U38" s="172">
        <f>SUM(U39:U41)</f>
        <v>8197</v>
      </c>
      <c r="V38" s="172">
        <f>SUM(V39:V41)</f>
        <v>11597</v>
      </c>
      <c r="W38" s="172">
        <f>SUM(W39:W41)</f>
        <v>16485</v>
      </c>
      <c r="X38" s="172">
        <f>SUM(X39:X41)</f>
        <v>36279</v>
      </c>
    </row>
    <row r="39" spans="2:24" hidden="1">
      <c r="C39" s="160" t="s">
        <v>324</v>
      </c>
      <c r="D39" s="145">
        <v>8879</v>
      </c>
      <c r="E39" s="145">
        <v>4370</v>
      </c>
      <c r="F39" s="145">
        <v>10133</v>
      </c>
      <c r="G39" s="145">
        <v>12466</v>
      </c>
      <c r="H39" s="145">
        <v>12992</v>
      </c>
      <c r="I39" s="145">
        <v>12606</v>
      </c>
      <c r="J39" s="145"/>
      <c r="K39" s="145"/>
      <c r="L39" s="145"/>
      <c r="M39" s="145">
        <v>16508</v>
      </c>
      <c r="N39" s="145">
        <v>14017</v>
      </c>
      <c r="O39" s="145">
        <v>10426</v>
      </c>
      <c r="P39" s="145">
        <v>12256</v>
      </c>
      <c r="Q39" s="145">
        <v>12166</v>
      </c>
      <c r="R39" s="145">
        <v>10810</v>
      </c>
      <c r="S39" s="145">
        <f>SUM(D39:R39)</f>
        <v>137629</v>
      </c>
      <c r="U39" s="172">
        <v>7245</v>
      </c>
      <c r="V39" s="172">
        <v>10310</v>
      </c>
      <c r="W39" s="172">
        <v>14705</v>
      </c>
      <c r="X39" s="172">
        <f>SUM(U39:W39)</f>
        <v>32260</v>
      </c>
    </row>
    <row r="40" spans="2:24" hidden="1">
      <c r="C40" s="160" t="s">
        <v>325</v>
      </c>
      <c r="D40" s="145">
        <v>801</v>
      </c>
      <c r="E40" s="145">
        <v>473</v>
      </c>
      <c r="F40" s="145">
        <v>1184</v>
      </c>
      <c r="G40" s="145">
        <v>1692</v>
      </c>
      <c r="H40" s="145">
        <v>1353</v>
      </c>
      <c r="I40" s="145">
        <v>1288</v>
      </c>
      <c r="J40" s="145"/>
      <c r="K40" s="145"/>
      <c r="L40" s="145"/>
      <c r="M40" s="145">
        <v>1638</v>
      </c>
      <c r="N40" s="145">
        <v>1769</v>
      </c>
      <c r="O40" s="145">
        <v>983</v>
      </c>
      <c r="P40" s="145">
        <v>1006</v>
      </c>
      <c r="Q40" s="145">
        <v>995</v>
      </c>
      <c r="R40" s="145">
        <v>887</v>
      </c>
      <c r="S40" s="145">
        <f>SUM(D40:R40)</f>
        <v>14069</v>
      </c>
      <c r="U40" s="172">
        <v>783</v>
      </c>
      <c r="V40" s="172">
        <v>966</v>
      </c>
      <c r="W40" s="172">
        <v>1379</v>
      </c>
      <c r="X40" s="172">
        <f>SUM(U40:W40)</f>
        <v>3128</v>
      </c>
    </row>
    <row r="41" spans="2:24" hidden="1">
      <c r="C41" s="160" t="s">
        <v>326</v>
      </c>
      <c r="D41" s="145">
        <v>38</v>
      </c>
      <c r="E41" s="145">
        <v>22</v>
      </c>
      <c r="F41" s="145">
        <v>63</v>
      </c>
      <c r="G41" s="145">
        <v>61</v>
      </c>
      <c r="H41" s="145">
        <v>102</v>
      </c>
      <c r="I41" s="145">
        <v>88</v>
      </c>
      <c r="J41" s="145"/>
      <c r="K41" s="145"/>
      <c r="L41" s="145"/>
      <c r="M41" s="145">
        <v>101</v>
      </c>
      <c r="N41" s="145">
        <v>151</v>
      </c>
      <c r="O41" s="145">
        <v>177</v>
      </c>
      <c r="P41" s="145">
        <v>333</v>
      </c>
      <c r="Q41" s="145">
        <v>398</v>
      </c>
      <c r="R41" s="145">
        <v>295</v>
      </c>
      <c r="S41" s="145">
        <f>SUM(D41:R41)</f>
        <v>1829</v>
      </c>
      <c r="U41" s="172">
        <v>169</v>
      </c>
      <c r="V41" s="172">
        <v>321</v>
      </c>
      <c r="W41" s="172">
        <v>401</v>
      </c>
      <c r="X41" s="172">
        <f>SUM(U41:W41)</f>
        <v>891</v>
      </c>
    </row>
    <row r="42" spans="2:24">
      <c r="B42" s="174"/>
      <c r="C42" s="174"/>
      <c r="D42" s="442" t="s">
        <v>317</v>
      </c>
      <c r="E42" s="443"/>
      <c r="G42" s="444" t="s">
        <v>318</v>
      </c>
      <c r="H42" s="445"/>
      <c r="I42" s="445"/>
      <c r="J42" s="445"/>
      <c r="K42" s="445"/>
      <c r="L42" s="445"/>
      <c r="M42" s="446"/>
      <c r="N42" s="171"/>
    </row>
    <row r="43" spans="2:24">
      <c r="B43" s="174"/>
      <c r="C43" s="175"/>
      <c r="D43" s="176" t="s">
        <v>14</v>
      </c>
      <c r="E43" s="175" t="s">
        <v>15</v>
      </c>
      <c r="F43" s="141"/>
      <c r="G43" s="177" t="s">
        <v>3</v>
      </c>
      <c r="H43" s="176" t="s">
        <v>4</v>
      </c>
      <c r="I43" s="176" t="s">
        <v>5</v>
      </c>
      <c r="J43" s="176" t="s">
        <v>6</v>
      </c>
      <c r="K43" s="176" t="s">
        <v>7</v>
      </c>
      <c r="L43" s="176" t="s">
        <v>8</v>
      </c>
      <c r="M43" s="176" t="s">
        <v>15</v>
      </c>
      <c r="N43" s="139" t="s">
        <v>331</v>
      </c>
    </row>
    <row r="44" spans="2:24">
      <c r="B44" s="174">
        <v>1</v>
      </c>
      <c r="C44" s="178" t="s">
        <v>332</v>
      </c>
      <c r="D44" s="179">
        <v>152</v>
      </c>
      <c r="E44" s="179">
        <v>152</v>
      </c>
      <c r="G44" s="179">
        <v>210</v>
      </c>
      <c r="H44" s="180">
        <v>297</v>
      </c>
      <c r="I44" s="180">
        <v>297</v>
      </c>
      <c r="J44" s="180">
        <v>397</v>
      </c>
      <c r="K44" s="180">
        <v>646</v>
      </c>
      <c r="L44" s="179">
        <v>646</v>
      </c>
      <c r="M44" s="180">
        <v>646</v>
      </c>
      <c r="N44" s="181">
        <f t="shared" ref="N44:N50" si="24">M44/E44-1</f>
        <v>3.25</v>
      </c>
    </row>
    <row r="45" spans="2:24">
      <c r="B45" s="174">
        <v>2</v>
      </c>
      <c r="C45" s="178" t="s">
        <v>333</v>
      </c>
      <c r="D45" s="179">
        <v>220</v>
      </c>
      <c r="E45" s="179">
        <v>220</v>
      </c>
      <c r="G45" s="179">
        <v>745</v>
      </c>
      <c r="H45" s="179">
        <v>839</v>
      </c>
      <c r="I45" s="179">
        <v>1063</v>
      </c>
      <c r="J45" s="179">
        <f>J46+J54</f>
        <v>1197</v>
      </c>
      <c r="K45" s="179">
        <f>K46+K54</f>
        <v>2498</v>
      </c>
      <c r="L45" s="179">
        <f>L46+L54</f>
        <v>2666</v>
      </c>
      <c r="M45" s="179">
        <f>M46+M54</f>
        <v>1902</v>
      </c>
      <c r="N45" s="181">
        <f t="shared" si="24"/>
        <v>7.6454545454545446</v>
      </c>
      <c r="P45" s="154">
        <f>220/(152*8)</f>
        <v>0.18092105263157895</v>
      </c>
    </row>
    <row r="46" spans="2:24">
      <c r="B46" s="174">
        <v>3</v>
      </c>
      <c r="C46" s="178" t="s">
        <v>334</v>
      </c>
      <c r="D46" s="179">
        <v>135</v>
      </c>
      <c r="E46" s="179">
        <v>135</v>
      </c>
      <c r="G46" s="179">
        <v>436</v>
      </c>
      <c r="H46" s="179">
        <v>496</v>
      </c>
      <c r="I46" s="179">
        <v>631</v>
      </c>
      <c r="J46" s="179">
        <f>SUM(J47:J50)</f>
        <v>738</v>
      </c>
      <c r="K46" s="179">
        <f>SUM(K47:K53)</f>
        <v>1658</v>
      </c>
      <c r="L46" s="179">
        <f>SUM(L47:L53)</f>
        <v>1752</v>
      </c>
      <c r="M46" s="179">
        <f>SUM(M47,M48,M49,M50)</f>
        <v>988</v>
      </c>
      <c r="N46" s="181">
        <f t="shared" si="24"/>
        <v>6.3185185185185189</v>
      </c>
    </row>
    <row r="47" spans="2:24">
      <c r="B47" s="174">
        <v>4</v>
      </c>
      <c r="C47" s="182" t="s">
        <v>335</v>
      </c>
      <c r="D47" s="179">
        <v>34</v>
      </c>
      <c r="E47" s="179">
        <v>34</v>
      </c>
      <c r="G47" s="179">
        <v>122</v>
      </c>
      <c r="H47" s="180">
        <v>141</v>
      </c>
      <c r="I47" s="180">
        <v>173</v>
      </c>
      <c r="J47" s="183">
        <v>181</v>
      </c>
      <c r="K47" s="183">
        <v>284</v>
      </c>
      <c r="L47" s="180">
        <v>293</v>
      </c>
      <c r="M47" s="180">
        <v>293</v>
      </c>
      <c r="N47" s="181">
        <f t="shared" si="24"/>
        <v>7.617647058823529</v>
      </c>
    </row>
    <row r="48" spans="2:24">
      <c r="B48" s="174">
        <v>5</v>
      </c>
      <c r="C48" s="182" t="s">
        <v>336</v>
      </c>
      <c r="D48" s="179">
        <v>29</v>
      </c>
      <c r="E48" s="179">
        <v>29</v>
      </c>
      <c r="G48" s="179">
        <v>105</v>
      </c>
      <c r="H48" s="180">
        <v>122</v>
      </c>
      <c r="I48" s="180">
        <v>198</v>
      </c>
      <c r="J48" s="183">
        <v>230</v>
      </c>
      <c r="K48" s="183">
        <v>320</v>
      </c>
      <c r="L48" s="180">
        <v>344</v>
      </c>
      <c r="M48" s="180">
        <v>344</v>
      </c>
      <c r="N48" s="181">
        <f t="shared" si="24"/>
        <v>10.862068965517242</v>
      </c>
    </row>
    <row r="49" spans="2:15">
      <c r="B49" s="174">
        <v>6</v>
      </c>
      <c r="C49" s="182" t="s">
        <v>337</v>
      </c>
      <c r="D49" s="179">
        <v>62</v>
      </c>
      <c r="E49" s="179">
        <v>62</v>
      </c>
      <c r="G49" s="179">
        <v>168</v>
      </c>
      <c r="H49" s="180">
        <v>175</v>
      </c>
      <c r="I49" s="180">
        <v>197</v>
      </c>
      <c r="J49" s="183">
        <v>242</v>
      </c>
      <c r="K49" s="183">
        <v>217</v>
      </c>
      <c r="L49" s="180">
        <v>273</v>
      </c>
      <c r="M49" s="180">
        <v>273</v>
      </c>
      <c r="N49" s="181">
        <f t="shared" si="24"/>
        <v>3.403225806451613</v>
      </c>
    </row>
    <row r="50" spans="2:15">
      <c r="B50" s="174">
        <v>7</v>
      </c>
      <c r="C50" s="182" t="s">
        <v>338</v>
      </c>
      <c r="D50" s="179">
        <v>10</v>
      </c>
      <c r="E50" s="179">
        <v>10</v>
      </c>
      <c r="G50" s="179">
        <v>41</v>
      </c>
      <c r="H50" s="180">
        <v>58</v>
      </c>
      <c r="I50" s="180">
        <v>63</v>
      </c>
      <c r="J50" s="183">
        <v>85</v>
      </c>
      <c r="K50" s="183">
        <v>81</v>
      </c>
      <c r="L50" s="180">
        <v>78</v>
      </c>
      <c r="M50" s="180">
        <v>78</v>
      </c>
      <c r="N50" s="181">
        <f t="shared" si="24"/>
        <v>6.8</v>
      </c>
    </row>
    <row r="51" spans="2:15">
      <c r="B51" s="174">
        <v>8</v>
      </c>
      <c r="C51" s="182" t="s">
        <v>129</v>
      </c>
      <c r="D51" s="179"/>
      <c r="E51" s="179"/>
      <c r="G51" s="179"/>
      <c r="H51" s="179"/>
      <c r="I51" s="179"/>
      <c r="J51" s="183"/>
      <c r="K51" s="184">
        <v>233</v>
      </c>
      <c r="L51" s="179">
        <v>230</v>
      </c>
      <c r="M51" s="179">
        <v>230</v>
      </c>
      <c r="N51" s="181"/>
    </row>
    <row r="52" spans="2:15">
      <c r="B52" s="174">
        <v>9</v>
      </c>
      <c r="C52" s="182" t="s">
        <v>339</v>
      </c>
      <c r="D52" s="179"/>
      <c r="E52" s="179"/>
      <c r="G52" s="179"/>
      <c r="H52" s="179"/>
      <c r="I52" s="179"/>
      <c r="J52" s="183"/>
      <c r="K52" s="184">
        <v>315</v>
      </c>
      <c r="L52" s="179">
        <v>326</v>
      </c>
      <c r="M52" s="179">
        <v>326</v>
      </c>
      <c r="N52" s="181"/>
    </row>
    <row r="53" spans="2:15">
      <c r="B53" s="174">
        <v>10</v>
      </c>
      <c r="C53" s="182" t="s">
        <v>340</v>
      </c>
      <c r="D53" s="179"/>
      <c r="E53" s="179"/>
      <c r="G53" s="179"/>
      <c r="H53" s="179"/>
      <c r="I53" s="179"/>
      <c r="J53" s="183"/>
      <c r="K53" s="184">
        <v>208</v>
      </c>
      <c r="L53" s="179">
        <v>208</v>
      </c>
      <c r="M53" s="179">
        <v>208</v>
      </c>
      <c r="N53" s="181"/>
    </row>
    <row r="54" spans="2:15">
      <c r="B54" s="174">
        <v>11</v>
      </c>
      <c r="C54" s="178" t="s">
        <v>341</v>
      </c>
      <c r="D54" s="179">
        <v>85</v>
      </c>
      <c r="E54" s="179">
        <v>85</v>
      </c>
      <c r="G54" s="179">
        <v>309</v>
      </c>
      <c r="H54" s="179">
        <v>343</v>
      </c>
      <c r="I54" s="179">
        <v>432</v>
      </c>
      <c r="J54" s="179">
        <f>SUM(J55:J58)</f>
        <v>459</v>
      </c>
      <c r="K54" s="179">
        <f>SUM(K55:K61)</f>
        <v>840</v>
      </c>
      <c r="L54" s="179">
        <f>SUM(L55:L61)</f>
        <v>914</v>
      </c>
      <c r="M54" s="179">
        <f>SUM(M55:M61)</f>
        <v>914</v>
      </c>
      <c r="N54" s="181">
        <f>M54/E54-1</f>
        <v>9.7529411764705891</v>
      </c>
    </row>
    <row r="55" spans="2:15">
      <c r="B55" s="174">
        <v>12</v>
      </c>
      <c r="C55" s="182" t="s">
        <v>335</v>
      </c>
      <c r="D55" s="179">
        <v>16</v>
      </c>
      <c r="E55" s="179">
        <v>16</v>
      </c>
      <c r="G55" s="179">
        <v>70</v>
      </c>
      <c r="H55" s="180">
        <v>76</v>
      </c>
      <c r="I55" s="180">
        <v>94</v>
      </c>
      <c r="J55" s="185">
        <v>92</v>
      </c>
      <c r="K55" s="185">
        <v>119</v>
      </c>
      <c r="L55" s="186">
        <v>139</v>
      </c>
      <c r="M55" s="186">
        <v>139</v>
      </c>
      <c r="N55" s="181">
        <f>M55/E55-1</f>
        <v>7.6875</v>
      </c>
    </row>
    <row r="56" spans="2:15">
      <c r="B56" s="174">
        <v>13</v>
      </c>
      <c r="C56" s="182" t="s">
        <v>336</v>
      </c>
      <c r="D56" s="179">
        <v>11</v>
      </c>
      <c r="E56" s="179">
        <v>11</v>
      </c>
      <c r="G56" s="179">
        <v>75</v>
      </c>
      <c r="H56" s="180">
        <v>81</v>
      </c>
      <c r="I56" s="180">
        <v>110</v>
      </c>
      <c r="J56" s="185">
        <v>111</v>
      </c>
      <c r="K56" s="185">
        <v>162</v>
      </c>
      <c r="L56" s="186">
        <v>177</v>
      </c>
      <c r="M56" s="186">
        <v>177</v>
      </c>
      <c r="N56" s="181">
        <f>M56/E56-1</f>
        <v>15.09090909090909</v>
      </c>
    </row>
    <row r="57" spans="2:15">
      <c r="B57" s="174">
        <v>14</v>
      </c>
      <c r="C57" s="182" t="s">
        <v>337</v>
      </c>
      <c r="D57" s="179">
        <v>33</v>
      </c>
      <c r="E57" s="179">
        <v>33</v>
      </c>
      <c r="G57" s="179">
        <v>85</v>
      </c>
      <c r="H57" s="180">
        <v>88</v>
      </c>
      <c r="I57" s="180">
        <v>120</v>
      </c>
      <c r="J57" s="185">
        <v>142</v>
      </c>
      <c r="K57" s="185">
        <v>145</v>
      </c>
      <c r="L57" s="186">
        <v>175</v>
      </c>
      <c r="M57" s="186">
        <v>175</v>
      </c>
      <c r="N57" s="181">
        <f>M57/E57-1</f>
        <v>4.3030303030303028</v>
      </c>
    </row>
    <row r="58" spans="2:15">
      <c r="B58" s="174">
        <v>15</v>
      </c>
      <c r="C58" s="182" t="s">
        <v>338</v>
      </c>
      <c r="D58" s="179">
        <v>25</v>
      </c>
      <c r="E58" s="179">
        <v>25</v>
      </c>
      <c r="G58" s="179">
        <v>79</v>
      </c>
      <c r="H58" s="180">
        <v>98</v>
      </c>
      <c r="I58" s="180">
        <v>108</v>
      </c>
      <c r="J58" s="185">
        <v>114</v>
      </c>
      <c r="K58" s="185">
        <v>102</v>
      </c>
      <c r="L58" s="186">
        <v>102</v>
      </c>
      <c r="M58" s="186">
        <v>102</v>
      </c>
      <c r="N58" s="181">
        <f>M58/E58-1</f>
        <v>3.08</v>
      </c>
    </row>
    <row r="59" spans="2:15">
      <c r="B59" s="174">
        <v>16</v>
      </c>
      <c r="C59" s="182" t="s">
        <v>129</v>
      </c>
      <c r="D59" s="187"/>
      <c r="E59" s="187"/>
      <c r="G59" s="187"/>
      <c r="H59" s="187"/>
      <c r="I59" s="187"/>
      <c r="J59" s="185"/>
      <c r="K59" s="185">
        <v>133</v>
      </c>
      <c r="L59" s="188">
        <v>124</v>
      </c>
      <c r="M59" s="188">
        <v>124</v>
      </c>
      <c r="N59" s="189"/>
    </row>
    <row r="60" spans="2:15">
      <c r="B60" s="174">
        <v>17</v>
      </c>
      <c r="C60" s="182" t="s">
        <v>339</v>
      </c>
      <c r="D60" s="187"/>
      <c r="E60" s="187"/>
      <c r="G60" s="187"/>
      <c r="H60" s="187"/>
      <c r="I60" s="187"/>
      <c r="J60" s="185"/>
      <c r="K60" s="185">
        <v>123</v>
      </c>
      <c r="L60" s="188">
        <v>141</v>
      </c>
      <c r="M60" s="188">
        <v>141</v>
      </c>
      <c r="N60" s="189"/>
    </row>
    <row r="61" spans="2:15">
      <c r="B61" s="174">
        <v>18</v>
      </c>
      <c r="C61" s="182" t="s">
        <v>340</v>
      </c>
      <c r="D61" s="187"/>
      <c r="E61" s="187"/>
      <c r="G61" s="187"/>
      <c r="H61" s="187"/>
      <c r="I61" s="187"/>
      <c r="J61" s="185"/>
      <c r="K61" s="185">
        <v>56</v>
      </c>
      <c r="L61" s="188">
        <v>56</v>
      </c>
      <c r="M61" s="188">
        <v>56</v>
      </c>
      <c r="N61" s="189"/>
    </row>
    <row r="62" spans="2:15">
      <c r="B62" s="174">
        <v>19</v>
      </c>
      <c r="C62" s="178" t="s">
        <v>342</v>
      </c>
      <c r="D62" s="187">
        <f>D45/(D44*8)</f>
        <v>0.18092105263157895</v>
      </c>
      <c r="E62" s="187">
        <f>E45/(E44*8)</f>
        <v>0.18092105263157895</v>
      </c>
      <c r="G62" s="187">
        <f t="shared" ref="G62:M62" si="25">G45/(G44*8)</f>
        <v>0.44345238095238093</v>
      </c>
      <c r="H62" s="187">
        <f t="shared" si="25"/>
        <v>0.3531144781144781</v>
      </c>
      <c r="I62" s="187">
        <f t="shared" si="25"/>
        <v>0.44739057239057239</v>
      </c>
      <c r="J62" s="187">
        <f t="shared" si="25"/>
        <v>0.37688916876574308</v>
      </c>
      <c r="K62" s="187">
        <f t="shared" si="25"/>
        <v>0.48335913312693496</v>
      </c>
      <c r="L62" s="187">
        <f t="shared" si="25"/>
        <v>0.51586687306501544</v>
      </c>
      <c r="M62" s="187">
        <f t="shared" si="25"/>
        <v>0.36803405572755415</v>
      </c>
      <c r="N62" s="189">
        <f t="shared" ref="N62:N67" si="26">(M62-E62)*10000</f>
        <v>1871.130030959752</v>
      </c>
      <c r="O62" s="449" t="s">
        <v>343</v>
      </c>
    </row>
    <row r="63" spans="2:15">
      <c r="B63" s="174">
        <v>20</v>
      </c>
      <c r="C63" s="178" t="s">
        <v>344</v>
      </c>
      <c r="D63" s="190">
        <f>D46/(D44*4)</f>
        <v>0.22203947368421054</v>
      </c>
      <c r="E63" s="190">
        <f>E46/(E44*4)</f>
        <v>0.22203947368421054</v>
      </c>
      <c r="G63" s="190">
        <f t="shared" ref="G63:M63" si="27">G46/(G44*4)</f>
        <v>0.51904761904761909</v>
      </c>
      <c r="H63" s="190">
        <f t="shared" si="27"/>
        <v>0.4175084175084175</v>
      </c>
      <c r="I63" s="190">
        <f t="shared" si="27"/>
        <v>0.53114478114478114</v>
      </c>
      <c r="J63" s="190">
        <f t="shared" si="27"/>
        <v>0.46473551637279598</v>
      </c>
      <c r="K63" s="190">
        <f t="shared" si="27"/>
        <v>0.64164086687306499</v>
      </c>
      <c r="L63" s="190">
        <f t="shared" si="27"/>
        <v>0.67801857585139313</v>
      </c>
      <c r="M63" s="190">
        <f t="shared" si="27"/>
        <v>0.38235294117647056</v>
      </c>
      <c r="N63" s="189">
        <f t="shared" si="26"/>
        <v>1603.1346749226002</v>
      </c>
      <c r="O63" s="450"/>
    </row>
    <row r="64" spans="2:15">
      <c r="B64" s="174">
        <v>21</v>
      </c>
      <c r="C64" s="182" t="s">
        <v>335</v>
      </c>
      <c r="D64" s="190">
        <f>D47/D44</f>
        <v>0.22368421052631579</v>
      </c>
      <c r="E64" s="190">
        <f>E47/E44</f>
        <v>0.22368421052631579</v>
      </c>
      <c r="G64" s="190">
        <f t="shared" ref="G64:M64" si="28">G47/G44</f>
        <v>0.580952380952381</v>
      </c>
      <c r="H64" s="190">
        <f t="shared" si="28"/>
        <v>0.47474747474747475</v>
      </c>
      <c r="I64" s="190">
        <f t="shared" si="28"/>
        <v>0.5824915824915825</v>
      </c>
      <c r="J64" s="190">
        <f t="shared" si="28"/>
        <v>0.45591939546599497</v>
      </c>
      <c r="K64" s="190">
        <f t="shared" si="28"/>
        <v>0.43962848297213625</v>
      </c>
      <c r="L64" s="190">
        <f t="shared" si="28"/>
        <v>0.45356037151702788</v>
      </c>
      <c r="M64" s="190">
        <f t="shared" si="28"/>
        <v>0.45356037151702788</v>
      </c>
      <c r="N64" s="189">
        <f t="shared" si="26"/>
        <v>2298.7616099071211</v>
      </c>
      <c r="O64" s="450"/>
    </row>
    <row r="65" spans="2:15">
      <c r="B65" s="174">
        <v>22</v>
      </c>
      <c r="C65" s="182" t="s">
        <v>336</v>
      </c>
      <c r="D65" s="190">
        <f>D48/D44</f>
        <v>0.19078947368421054</v>
      </c>
      <c r="E65" s="190">
        <f>E48/E44</f>
        <v>0.19078947368421054</v>
      </c>
      <c r="G65" s="190">
        <f t="shared" ref="G65:M65" si="29">G48/G44</f>
        <v>0.5</v>
      </c>
      <c r="H65" s="190">
        <f t="shared" si="29"/>
        <v>0.41077441077441079</v>
      </c>
      <c r="I65" s="190">
        <f t="shared" si="29"/>
        <v>0.66666666666666663</v>
      </c>
      <c r="J65" s="190">
        <f t="shared" si="29"/>
        <v>0.57934508816120911</v>
      </c>
      <c r="K65" s="190">
        <f t="shared" si="29"/>
        <v>0.49535603715170279</v>
      </c>
      <c r="L65" s="190">
        <f t="shared" si="29"/>
        <v>0.53250773993808054</v>
      </c>
      <c r="M65" s="190">
        <f t="shared" si="29"/>
        <v>0.53250773993808054</v>
      </c>
      <c r="N65" s="189">
        <f t="shared" si="26"/>
        <v>3417.1826625387002</v>
      </c>
      <c r="O65" s="450"/>
    </row>
    <row r="66" spans="2:15">
      <c r="B66" s="174">
        <v>23</v>
      </c>
      <c r="C66" s="182" t="s">
        <v>337</v>
      </c>
      <c r="D66" s="190">
        <f>D49/D44</f>
        <v>0.40789473684210525</v>
      </c>
      <c r="E66" s="190">
        <f>E49/E44</f>
        <v>0.40789473684210525</v>
      </c>
      <c r="G66" s="190">
        <f t="shared" ref="G66:M66" si="30">G49/G44</f>
        <v>0.8</v>
      </c>
      <c r="H66" s="190">
        <f t="shared" si="30"/>
        <v>0.58922558922558921</v>
      </c>
      <c r="I66" s="190">
        <f t="shared" si="30"/>
        <v>0.66329966329966328</v>
      </c>
      <c r="J66" s="190">
        <f t="shared" si="30"/>
        <v>0.60957178841309823</v>
      </c>
      <c r="K66" s="190">
        <f t="shared" si="30"/>
        <v>0.33591331269349844</v>
      </c>
      <c r="L66" s="190">
        <f t="shared" si="30"/>
        <v>0.42260061919504643</v>
      </c>
      <c r="M66" s="190">
        <f t="shared" si="30"/>
        <v>0.42260061919504643</v>
      </c>
      <c r="N66" s="189">
        <f t="shared" si="26"/>
        <v>147.0588235294118</v>
      </c>
      <c r="O66" s="450"/>
    </row>
    <row r="67" spans="2:15">
      <c r="B67" s="174">
        <v>24</v>
      </c>
      <c r="C67" s="182" t="s">
        <v>338</v>
      </c>
      <c r="D67" s="190">
        <f>D50/D44</f>
        <v>6.5789473684210523E-2</v>
      </c>
      <c r="E67" s="190">
        <f>E50/E44</f>
        <v>6.5789473684210523E-2</v>
      </c>
      <c r="G67" s="190">
        <f t="shared" ref="G67:M67" si="31">G50/G44</f>
        <v>0.19523809523809524</v>
      </c>
      <c r="H67" s="190">
        <f t="shared" si="31"/>
        <v>0.19528619528619529</v>
      </c>
      <c r="I67" s="190">
        <f t="shared" si="31"/>
        <v>0.21212121212121213</v>
      </c>
      <c r="J67" s="190">
        <f t="shared" si="31"/>
        <v>0.2141057934508816</v>
      </c>
      <c r="K67" s="190">
        <f t="shared" si="31"/>
        <v>0.12538699690402477</v>
      </c>
      <c r="L67" s="190">
        <f t="shared" si="31"/>
        <v>0.12074303405572756</v>
      </c>
      <c r="M67" s="190">
        <f t="shared" si="31"/>
        <v>0.12074303405572756</v>
      </c>
      <c r="N67" s="189">
        <f t="shared" si="26"/>
        <v>549.5356037151704</v>
      </c>
      <c r="O67" s="450"/>
    </row>
    <row r="68" spans="2:15">
      <c r="B68" s="174">
        <v>25</v>
      </c>
      <c r="C68" s="182" t="s">
        <v>129</v>
      </c>
      <c r="D68" s="190"/>
      <c r="E68" s="190"/>
      <c r="G68" s="190"/>
      <c r="H68" s="190"/>
      <c r="I68" s="190"/>
      <c r="J68" s="190"/>
      <c r="K68" s="190">
        <f>K51/K44</f>
        <v>0.36068111455108359</v>
      </c>
      <c r="L68" s="190">
        <f>L51/L44</f>
        <v>0.35603715170278638</v>
      </c>
      <c r="M68" s="190">
        <f>M51/M45</f>
        <v>0.12092534174553102</v>
      </c>
      <c r="N68" s="189"/>
    </row>
    <row r="69" spans="2:15">
      <c r="B69" s="174">
        <v>26</v>
      </c>
      <c r="C69" s="182" t="s">
        <v>339</v>
      </c>
      <c r="D69" s="190"/>
      <c r="E69" s="190"/>
      <c r="G69" s="190"/>
      <c r="H69" s="190"/>
      <c r="I69" s="190"/>
      <c r="J69" s="190"/>
      <c r="K69" s="190">
        <f>K52/K44</f>
        <v>0.48761609907120745</v>
      </c>
      <c r="L69" s="190">
        <f>L52/L44</f>
        <v>0.50464396284829727</v>
      </c>
      <c r="M69" s="190">
        <f>M52/M46</f>
        <v>0.32995951417004049</v>
      </c>
      <c r="N69" s="189"/>
    </row>
    <row r="70" spans="2:15">
      <c r="B70" s="174">
        <v>27</v>
      </c>
      <c r="C70" s="182" t="s">
        <v>340</v>
      </c>
      <c r="D70" s="190"/>
      <c r="E70" s="190"/>
      <c r="G70" s="190"/>
      <c r="H70" s="190"/>
      <c r="I70" s="190"/>
      <c r="J70" s="190"/>
      <c r="K70" s="190">
        <f>K53/K44</f>
        <v>0.32198142414860681</v>
      </c>
      <c r="L70" s="190">
        <f>L53/L44</f>
        <v>0.32198142414860681</v>
      </c>
      <c r="M70" s="190">
        <f>M53/M47</f>
        <v>0.70989761092150172</v>
      </c>
      <c r="N70" s="189"/>
    </row>
    <row r="71" spans="2:15">
      <c r="B71" s="174">
        <v>28</v>
      </c>
      <c r="C71" s="178" t="s">
        <v>345</v>
      </c>
      <c r="D71" s="190">
        <f>D54/(D44*4)</f>
        <v>0.13980263157894737</v>
      </c>
      <c r="E71" s="190">
        <f>E54/(E44*4)</f>
        <v>0.13980263157894737</v>
      </c>
      <c r="G71" s="190">
        <f t="shared" ref="G71:M71" si="32">G54/(G44*4)</f>
        <v>0.36785714285714288</v>
      </c>
      <c r="H71" s="190">
        <f t="shared" si="32"/>
        <v>0.28872053872053871</v>
      </c>
      <c r="I71" s="190">
        <f t="shared" si="32"/>
        <v>0.36363636363636365</v>
      </c>
      <c r="J71" s="190">
        <f t="shared" si="32"/>
        <v>0.28904282115869018</v>
      </c>
      <c r="K71" s="190">
        <f t="shared" si="32"/>
        <v>0.32507739938080493</v>
      </c>
      <c r="L71" s="190">
        <f t="shared" si="32"/>
        <v>0.35371517027863775</v>
      </c>
      <c r="M71" s="190">
        <f t="shared" si="32"/>
        <v>0.35371517027863775</v>
      </c>
      <c r="N71" s="189">
        <f>(M71-E71)*10000</f>
        <v>2139.1253869969037</v>
      </c>
    </row>
    <row r="72" spans="2:15">
      <c r="B72" s="174">
        <v>29</v>
      </c>
      <c r="C72" s="182" t="s">
        <v>335</v>
      </c>
      <c r="D72" s="190">
        <f>D55/D44</f>
        <v>0.10526315789473684</v>
      </c>
      <c r="E72" s="190">
        <f>E55/E44</f>
        <v>0.10526315789473684</v>
      </c>
      <c r="G72" s="190">
        <f t="shared" ref="G72:M72" si="33">G55/G44</f>
        <v>0.33333333333333331</v>
      </c>
      <c r="H72" s="190">
        <f t="shared" si="33"/>
        <v>0.25589225589225589</v>
      </c>
      <c r="I72" s="190">
        <f t="shared" si="33"/>
        <v>0.3164983164983165</v>
      </c>
      <c r="J72" s="190">
        <f t="shared" si="33"/>
        <v>0.23173803526448364</v>
      </c>
      <c r="K72" s="190">
        <f t="shared" si="33"/>
        <v>0.18421052631578946</v>
      </c>
      <c r="L72" s="190">
        <f t="shared" si="33"/>
        <v>0.21517027863777088</v>
      </c>
      <c r="M72" s="190">
        <f t="shared" si="33"/>
        <v>0.21517027863777088</v>
      </c>
      <c r="N72" s="189">
        <f>(M72-E72)*10000</f>
        <v>1099.0712074303406</v>
      </c>
    </row>
    <row r="73" spans="2:15">
      <c r="B73" s="174">
        <v>30</v>
      </c>
      <c r="C73" s="182" t="s">
        <v>336</v>
      </c>
      <c r="D73" s="190">
        <f>D56/D44</f>
        <v>7.2368421052631582E-2</v>
      </c>
      <c r="E73" s="190">
        <f>E56/E44</f>
        <v>7.2368421052631582E-2</v>
      </c>
      <c r="G73" s="190">
        <f t="shared" ref="G73:M73" si="34">G56/G44</f>
        <v>0.35714285714285715</v>
      </c>
      <c r="H73" s="190">
        <f t="shared" si="34"/>
        <v>0.27272727272727271</v>
      </c>
      <c r="I73" s="190">
        <f t="shared" si="34"/>
        <v>0.37037037037037035</v>
      </c>
      <c r="J73" s="190">
        <f t="shared" si="34"/>
        <v>0.27959697732997479</v>
      </c>
      <c r="K73" s="190">
        <f t="shared" si="34"/>
        <v>0.25077399380804954</v>
      </c>
      <c r="L73" s="190">
        <f t="shared" si="34"/>
        <v>0.2739938080495356</v>
      </c>
      <c r="M73" s="190">
        <f t="shared" si="34"/>
        <v>0.2739938080495356</v>
      </c>
      <c r="N73" s="189">
        <f>(M73-E73)*10000</f>
        <v>2016.2538699690401</v>
      </c>
    </row>
    <row r="74" spans="2:15">
      <c r="B74" s="174">
        <v>31</v>
      </c>
      <c r="C74" s="182" t="s">
        <v>337</v>
      </c>
      <c r="D74" s="190">
        <f>D57/D44</f>
        <v>0.21710526315789475</v>
      </c>
      <c r="E74" s="190">
        <f>E57/E44</f>
        <v>0.21710526315789475</v>
      </c>
      <c r="G74" s="190">
        <f t="shared" ref="G74:M74" si="35">G57/G44</f>
        <v>0.40476190476190477</v>
      </c>
      <c r="H74" s="190">
        <f t="shared" si="35"/>
        <v>0.29629629629629628</v>
      </c>
      <c r="I74" s="190">
        <f t="shared" si="35"/>
        <v>0.40404040404040403</v>
      </c>
      <c r="J74" s="190">
        <f t="shared" si="35"/>
        <v>0.35768261964735515</v>
      </c>
      <c r="K74" s="190">
        <f t="shared" si="35"/>
        <v>0.22445820433436534</v>
      </c>
      <c r="L74" s="190">
        <f t="shared" si="35"/>
        <v>0.27089783281733748</v>
      </c>
      <c r="M74" s="190">
        <f t="shared" si="35"/>
        <v>0.27089783281733748</v>
      </c>
      <c r="N74" s="189">
        <f>(M74-E74)*10000</f>
        <v>537.92569659442734</v>
      </c>
    </row>
    <row r="75" spans="2:15">
      <c r="B75" s="174">
        <v>32</v>
      </c>
      <c r="C75" s="182" t="s">
        <v>338</v>
      </c>
      <c r="D75" s="190">
        <f>D58/D44</f>
        <v>0.16447368421052633</v>
      </c>
      <c r="E75" s="190">
        <f>E58/E44</f>
        <v>0.16447368421052633</v>
      </c>
      <c r="G75" s="190">
        <f t="shared" ref="G75:M75" si="36">G58/G44</f>
        <v>0.37619047619047619</v>
      </c>
      <c r="H75" s="190">
        <f t="shared" si="36"/>
        <v>0.32996632996632996</v>
      </c>
      <c r="I75" s="190">
        <f t="shared" si="36"/>
        <v>0.36363636363636365</v>
      </c>
      <c r="J75" s="190">
        <f t="shared" si="36"/>
        <v>0.2871536523929471</v>
      </c>
      <c r="K75" s="190">
        <f t="shared" si="36"/>
        <v>0.15789473684210525</v>
      </c>
      <c r="L75" s="190">
        <f t="shared" si="36"/>
        <v>0.15789473684210525</v>
      </c>
      <c r="M75" s="190">
        <f t="shared" si="36"/>
        <v>0.15789473684210525</v>
      </c>
      <c r="N75" s="189">
        <f>(M75-E75)*10000</f>
        <v>-65.789473684210733</v>
      </c>
    </row>
    <row r="76" spans="2:15" ht="15" customHeight="1">
      <c r="B76" s="174">
        <v>33</v>
      </c>
      <c r="C76" s="182" t="s">
        <v>129</v>
      </c>
      <c r="D76" s="180"/>
      <c r="E76" s="180"/>
      <c r="G76" s="191"/>
      <c r="H76" s="180"/>
      <c r="I76" s="180"/>
      <c r="J76" s="180"/>
      <c r="K76" s="190">
        <f t="shared" ref="K76:L78" si="37">K59/$K$44</f>
        <v>0.20588235294117646</v>
      </c>
      <c r="L76" s="190">
        <f t="shared" si="37"/>
        <v>0.19195046439628483</v>
      </c>
      <c r="M76" s="190">
        <f>M59/M45</f>
        <v>6.5194532071503677E-2</v>
      </c>
      <c r="N76" s="181"/>
    </row>
    <row r="77" spans="2:15" ht="15" customHeight="1">
      <c r="B77" s="174">
        <v>34</v>
      </c>
      <c r="C77" s="182" t="s">
        <v>339</v>
      </c>
      <c r="D77" s="180"/>
      <c r="E77" s="180"/>
      <c r="G77" s="191"/>
      <c r="H77" s="180"/>
      <c r="I77" s="180"/>
      <c r="J77" s="180"/>
      <c r="K77" s="190">
        <f t="shared" si="37"/>
        <v>0.19040247678018576</v>
      </c>
      <c r="L77" s="190">
        <f t="shared" si="37"/>
        <v>0.21826625386996903</v>
      </c>
      <c r="M77" s="190">
        <f>M60/M46</f>
        <v>0.14271255060728744</v>
      </c>
      <c r="N77" s="181"/>
    </row>
    <row r="78" spans="2:15" ht="15" customHeight="1">
      <c r="B78" s="174">
        <v>35</v>
      </c>
      <c r="C78" s="182" t="s">
        <v>340</v>
      </c>
      <c r="D78" s="180"/>
      <c r="E78" s="180"/>
      <c r="G78" s="191"/>
      <c r="H78" s="180"/>
      <c r="I78" s="180"/>
      <c r="J78" s="180"/>
      <c r="K78" s="190">
        <f t="shared" si="37"/>
        <v>8.6687306501547989E-2</v>
      </c>
      <c r="L78" s="190">
        <f t="shared" si="37"/>
        <v>8.6687306501547989E-2</v>
      </c>
      <c r="M78" s="190">
        <f>M61/M47</f>
        <v>0.19112627986348124</v>
      </c>
      <c r="N78" s="181"/>
    </row>
    <row r="79" spans="2:15" ht="15" customHeight="1">
      <c r="B79" s="174">
        <v>36</v>
      </c>
      <c r="C79" s="192" t="s">
        <v>346</v>
      </c>
      <c r="D79" s="180">
        <f>D80+D81</f>
        <v>106</v>
      </c>
      <c r="E79" s="180">
        <f>E80+E81</f>
        <v>106</v>
      </c>
      <c r="G79" s="191">
        <v>98</v>
      </c>
      <c r="H79" s="180">
        <f>H80+H81</f>
        <v>53</v>
      </c>
      <c r="I79" s="180">
        <f>I80+I81</f>
        <v>126</v>
      </c>
      <c r="J79" s="180">
        <f>J80+J81</f>
        <v>180</v>
      </c>
      <c r="K79" s="180">
        <v>1</v>
      </c>
      <c r="L79" s="180">
        <v>0</v>
      </c>
      <c r="M79" s="180">
        <f>SUM(G79:L79)</f>
        <v>458</v>
      </c>
      <c r="N79" s="181">
        <f>M79/E79-1</f>
        <v>3.3207547169811322</v>
      </c>
    </row>
    <row r="80" spans="2:15">
      <c r="B80" s="174">
        <v>37</v>
      </c>
      <c r="C80" s="178" t="s">
        <v>347</v>
      </c>
      <c r="D80" s="180">
        <v>39</v>
      </c>
      <c r="E80" s="180">
        <v>39</v>
      </c>
      <c r="G80" s="191">
        <v>72</v>
      </c>
      <c r="H80" s="180">
        <v>31</v>
      </c>
      <c r="I80" s="180">
        <v>106</v>
      </c>
      <c r="J80" s="180">
        <v>180</v>
      </c>
      <c r="K80" s="180">
        <v>135</v>
      </c>
      <c r="L80" s="180">
        <v>131</v>
      </c>
      <c r="M80" s="180">
        <f>SUM(G80:L80)</f>
        <v>655</v>
      </c>
      <c r="N80" s="181">
        <f>M80/E80-1</f>
        <v>15.794871794871796</v>
      </c>
    </row>
    <row r="81" spans="2:14">
      <c r="B81" s="174">
        <v>38</v>
      </c>
      <c r="C81" s="178" t="s">
        <v>348</v>
      </c>
      <c r="D81" s="180">
        <v>67</v>
      </c>
      <c r="E81" s="180">
        <v>67</v>
      </c>
      <c r="G81" s="191">
        <v>26</v>
      </c>
      <c r="H81" s="180">
        <v>22</v>
      </c>
      <c r="I81" s="180">
        <v>20</v>
      </c>
      <c r="J81" s="180">
        <v>0</v>
      </c>
      <c r="K81" s="180">
        <v>1</v>
      </c>
      <c r="L81" s="180">
        <v>0</v>
      </c>
      <c r="M81" s="180">
        <f>SUM(G81:L81)</f>
        <v>69</v>
      </c>
      <c r="N81" s="181">
        <f>M81/E81-1</f>
        <v>2.9850746268656803E-2</v>
      </c>
    </row>
  </sheetData>
  <mergeCells count="6">
    <mergeCell ref="O62:O67"/>
    <mergeCell ref="D3:R3"/>
    <mergeCell ref="U3:X3"/>
    <mergeCell ref="D42:E42"/>
    <mergeCell ref="G42:M42"/>
    <mergeCell ref="C3:C4"/>
  </mergeCells>
  <phoneticPr fontId="96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3.1.GEO Input table"/>
  <dimension ref="B1:K63"/>
  <sheetViews>
    <sheetView zoomScale="55" zoomScaleNormal="55" workbookViewId="0"/>
  </sheetViews>
  <sheetFormatPr defaultColWidth="38.26953125" defaultRowHeight="28" customHeight="1"/>
  <cols>
    <col min="1" max="1" width="5.08984375" customWidth="1"/>
    <col min="2" max="2" width="32.81640625" style="373" customWidth="1"/>
    <col min="3" max="6" width="24.81640625" customWidth="1"/>
    <col min="7" max="7" width="25.81640625" customWidth="1"/>
    <col min="8" max="8" width="30.26953125" customWidth="1"/>
    <col min="9" max="9" width="62.90625" customWidth="1"/>
    <col min="10" max="10" width="48.81640625" customWidth="1"/>
    <col min="11" max="11" width="125.36328125" customWidth="1"/>
  </cols>
  <sheetData>
    <row r="1" spans="2:10" ht="13" customHeight="1"/>
    <row r="2" spans="2:10" ht="28" customHeight="1">
      <c r="B2" s="193" t="s">
        <v>329</v>
      </c>
      <c r="C2" s="194" t="s">
        <v>3</v>
      </c>
      <c r="D2" s="194" t="s">
        <v>4</v>
      </c>
      <c r="E2" s="194" t="s">
        <v>5</v>
      </c>
      <c r="F2" s="194" t="s">
        <v>6</v>
      </c>
      <c r="G2" s="194" t="s">
        <v>7</v>
      </c>
      <c r="H2" s="194" t="s">
        <v>8</v>
      </c>
      <c r="I2" s="194" t="s">
        <v>15</v>
      </c>
    </row>
    <row r="3" spans="2:10" ht="28" customHeight="1">
      <c r="B3" s="195" t="s">
        <v>349</v>
      </c>
      <c r="C3" s="196">
        <v>297</v>
      </c>
      <c r="D3" s="196">
        <v>297</v>
      </c>
      <c r="E3" s="197">
        <v>297</v>
      </c>
      <c r="F3" s="197">
        <v>397</v>
      </c>
      <c r="G3" s="197">
        <v>564</v>
      </c>
      <c r="H3" s="197">
        <v>646</v>
      </c>
      <c r="I3" s="197"/>
    </row>
    <row r="4" spans="2:10" ht="28" customHeight="1">
      <c r="B4" s="195" t="s">
        <v>350</v>
      </c>
      <c r="C4" s="196">
        <v>297</v>
      </c>
      <c r="D4" s="196">
        <v>297</v>
      </c>
      <c r="E4" s="196">
        <v>297</v>
      </c>
      <c r="F4" s="197">
        <v>397</v>
      </c>
      <c r="G4" s="197">
        <v>465</v>
      </c>
      <c r="H4" s="197">
        <v>487</v>
      </c>
      <c r="I4" s="197"/>
      <c r="J4" s="198" t="s">
        <v>351</v>
      </c>
    </row>
    <row r="5" spans="2:10" ht="28" customHeight="1">
      <c r="B5" s="199" t="s">
        <v>352</v>
      </c>
      <c r="C5" s="196">
        <f t="shared" ref="C5:H5" si="0">SUM(C6:C9)</f>
        <v>1188</v>
      </c>
      <c r="D5" s="196">
        <f t="shared" si="0"/>
        <v>1188</v>
      </c>
      <c r="E5" s="196">
        <f t="shared" si="0"/>
        <v>1188</v>
      </c>
      <c r="F5" s="196">
        <f t="shared" si="0"/>
        <v>1588</v>
      </c>
      <c r="G5" s="196">
        <f t="shared" si="0"/>
        <v>1860</v>
      </c>
      <c r="H5" s="197">
        <f t="shared" si="0"/>
        <v>1948</v>
      </c>
      <c r="I5" s="197"/>
    </row>
    <row r="6" spans="2:10" ht="28" customHeight="1">
      <c r="B6" s="200" t="s">
        <v>59</v>
      </c>
      <c r="C6" s="196">
        <v>297</v>
      </c>
      <c r="D6" s="197">
        <v>297</v>
      </c>
      <c r="E6" s="197">
        <v>297</v>
      </c>
      <c r="F6" s="197">
        <v>397</v>
      </c>
      <c r="G6" s="197">
        <v>465</v>
      </c>
      <c r="H6" s="197">
        <v>487</v>
      </c>
      <c r="I6" s="197"/>
    </row>
    <row r="7" spans="2:10" ht="28" customHeight="1">
      <c r="B7" s="200" t="s">
        <v>29</v>
      </c>
      <c r="C7" s="196">
        <v>297</v>
      </c>
      <c r="D7" s="197">
        <v>297</v>
      </c>
      <c r="E7" s="197">
        <v>297</v>
      </c>
      <c r="F7" s="197">
        <v>397</v>
      </c>
      <c r="G7" s="197">
        <v>465</v>
      </c>
      <c r="H7" s="197">
        <v>487</v>
      </c>
      <c r="I7" s="197"/>
    </row>
    <row r="8" spans="2:10" ht="28" customHeight="1">
      <c r="B8" s="200" t="s">
        <v>353</v>
      </c>
      <c r="C8" s="196">
        <v>297</v>
      </c>
      <c r="D8" s="197">
        <v>297</v>
      </c>
      <c r="E8" s="197">
        <v>297</v>
      </c>
      <c r="F8" s="197">
        <v>397</v>
      </c>
      <c r="G8" s="197">
        <v>465</v>
      </c>
      <c r="H8" s="197">
        <v>487</v>
      </c>
      <c r="I8" s="197"/>
    </row>
    <row r="9" spans="2:10" ht="28" customHeight="1">
      <c r="B9" s="200" t="s">
        <v>309</v>
      </c>
      <c r="C9" s="196">
        <v>297</v>
      </c>
      <c r="D9" s="196">
        <v>297</v>
      </c>
      <c r="E9" s="197">
        <v>297</v>
      </c>
      <c r="F9" s="197">
        <v>397</v>
      </c>
      <c r="G9" s="197">
        <v>465</v>
      </c>
      <c r="H9" s="197">
        <v>487</v>
      </c>
      <c r="I9" s="197"/>
    </row>
    <row r="10" spans="2:10" ht="28" customHeight="1">
      <c r="B10" s="200" t="s">
        <v>73</v>
      </c>
      <c r="C10" s="201"/>
      <c r="D10" s="201"/>
      <c r="E10" s="201"/>
      <c r="F10" s="201"/>
      <c r="G10" s="197">
        <v>465</v>
      </c>
      <c r="H10" s="197">
        <v>487</v>
      </c>
      <c r="I10" s="197"/>
    </row>
    <row r="11" spans="2:10" ht="28" customHeight="1">
      <c r="B11" s="200" t="s">
        <v>97</v>
      </c>
      <c r="C11" s="201"/>
      <c r="D11" s="201"/>
      <c r="E11" s="201"/>
      <c r="F11" s="201"/>
      <c r="G11" s="197">
        <v>465</v>
      </c>
      <c r="H11" s="197">
        <v>487</v>
      </c>
      <c r="I11" s="197"/>
    </row>
    <row r="12" spans="2:10" ht="28" customHeight="1">
      <c r="B12" s="200" t="s">
        <v>118</v>
      </c>
      <c r="C12" s="201"/>
      <c r="D12" s="201"/>
      <c r="E12" s="201"/>
      <c r="F12" s="201"/>
      <c r="G12" s="197">
        <v>465</v>
      </c>
      <c r="H12" s="197">
        <v>487</v>
      </c>
      <c r="I12" s="197"/>
    </row>
    <row r="13" spans="2:10" ht="28" customHeight="1">
      <c r="B13" s="195" t="s">
        <v>354</v>
      </c>
      <c r="C13" s="196">
        <f t="shared" ref="C13:H13" si="1">SUM(C14:C17)</f>
        <v>582</v>
      </c>
      <c r="D13" s="196">
        <f t="shared" si="1"/>
        <v>635</v>
      </c>
      <c r="E13" s="196">
        <f t="shared" si="1"/>
        <v>719</v>
      </c>
      <c r="F13" s="196">
        <f t="shared" si="1"/>
        <v>852</v>
      </c>
      <c r="G13" s="196">
        <f t="shared" si="1"/>
        <v>1019</v>
      </c>
      <c r="H13" s="196">
        <f t="shared" si="1"/>
        <v>1108</v>
      </c>
      <c r="I13" s="196"/>
    </row>
    <row r="14" spans="2:10" ht="28" customHeight="1">
      <c r="B14" s="202" t="s">
        <v>59</v>
      </c>
      <c r="C14" s="203">
        <v>144</v>
      </c>
      <c r="D14" s="203">
        <v>156</v>
      </c>
      <c r="E14" s="203">
        <v>196</v>
      </c>
      <c r="F14" s="203">
        <v>243</v>
      </c>
      <c r="G14" s="203">
        <v>344</v>
      </c>
      <c r="H14" s="203">
        <v>367</v>
      </c>
      <c r="I14" s="203"/>
    </row>
    <row r="15" spans="2:10" ht="28" customHeight="1">
      <c r="B15" s="202" t="s">
        <v>29</v>
      </c>
      <c r="C15" s="203">
        <v>151</v>
      </c>
      <c r="D15" s="203">
        <v>166</v>
      </c>
      <c r="E15" s="203">
        <v>186</v>
      </c>
      <c r="F15" s="203">
        <v>200</v>
      </c>
      <c r="G15" s="203">
        <v>309</v>
      </c>
      <c r="H15" s="203">
        <v>325</v>
      </c>
      <c r="I15" s="203"/>
    </row>
    <row r="16" spans="2:10" ht="28" customHeight="1">
      <c r="B16" s="202" t="s">
        <v>353</v>
      </c>
      <c r="C16" s="203">
        <v>183</v>
      </c>
      <c r="D16" s="203">
        <v>187</v>
      </c>
      <c r="E16" s="203">
        <v>206</v>
      </c>
      <c r="F16" s="203">
        <v>251</v>
      </c>
      <c r="G16" s="203">
        <v>226</v>
      </c>
      <c r="H16" s="203">
        <v>277</v>
      </c>
      <c r="I16" s="203"/>
    </row>
    <row r="17" spans="2:11" ht="28" customHeight="1">
      <c r="B17" s="202" t="s">
        <v>309</v>
      </c>
      <c r="C17" s="203">
        <v>104</v>
      </c>
      <c r="D17" s="203">
        <v>126</v>
      </c>
      <c r="E17" s="203">
        <v>131</v>
      </c>
      <c r="F17" s="203">
        <v>158</v>
      </c>
      <c r="G17" s="203">
        <v>140</v>
      </c>
      <c r="H17" s="203">
        <v>139</v>
      </c>
      <c r="I17" s="203"/>
    </row>
    <row r="18" spans="2:11" ht="28" customHeight="1">
      <c r="B18" s="202" t="s">
        <v>73</v>
      </c>
      <c r="C18" s="201"/>
      <c r="D18" s="201"/>
      <c r="E18" s="201"/>
      <c r="F18" s="201"/>
      <c r="G18" s="203">
        <v>275</v>
      </c>
      <c r="H18" s="203">
        <v>260</v>
      </c>
      <c r="I18" s="203"/>
    </row>
    <row r="19" spans="2:11" ht="28" customHeight="1">
      <c r="B19" s="202" t="s">
        <v>97</v>
      </c>
      <c r="C19" s="201"/>
      <c r="D19" s="201"/>
      <c r="E19" s="201"/>
      <c r="F19" s="201"/>
      <c r="G19" s="203">
        <v>311</v>
      </c>
      <c r="H19" s="203">
        <v>326</v>
      </c>
      <c r="I19" s="203"/>
    </row>
    <row r="20" spans="2:11" ht="28" customHeight="1">
      <c r="B20" s="202" t="s">
        <v>118</v>
      </c>
      <c r="C20" s="201"/>
      <c r="D20" s="201"/>
      <c r="E20" s="201"/>
      <c r="F20" s="201"/>
      <c r="G20" s="203">
        <v>218</v>
      </c>
      <c r="H20" s="203">
        <v>218</v>
      </c>
      <c r="I20" s="203"/>
    </row>
    <row r="21" spans="2:11" ht="28" customHeight="1">
      <c r="B21" s="195" t="s">
        <v>355</v>
      </c>
      <c r="C21" s="204">
        <f t="shared" ref="C21:H25" si="2">C13/C5</f>
        <v>0.48989898989898989</v>
      </c>
      <c r="D21" s="204">
        <f t="shared" si="2"/>
        <v>0.53451178451178449</v>
      </c>
      <c r="E21" s="204">
        <f t="shared" si="2"/>
        <v>0.60521885521885521</v>
      </c>
      <c r="F21" s="204">
        <f t="shared" si="2"/>
        <v>0.53652392947103278</v>
      </c>
      <c r="G21" s="204">
        <f t="shared" si="2"/>
        <v>0.5478494623655914</v>
      </c>
      <c r="H21" s="204">
        <f t="shared" si="2"/>
        <v>0.56878850102669409</v>
      </c>
      <c r="I21" s="204"/>
    </row>
    <row r="22" spans="2:11" ht="28" customHeight="1">
      <c r="B22" s="202" t="s">
        <v>59</v>
      </c>
      <c r="C22" s="204">
        <f t="shared" si="2"/>
        <v>0.48484848484848486</v>
      </c>
      <c r="D22" s="204">
        <f t="shared" si="2"/>
        <v>0.5252525252525253</v>
      </c>
      <c r="E22" s="204">
        <f t="shared" si="2"/>
        <v>0.65993265993265993</v>
      </c>
      <c r="F22" s="204">
        <f t="shared" si="2"/>
        <v>0.61209068010075562</v>
      </c>
      <c r="G22" s="204">
        <f t="shared" si="2"/>
        <v>0.7397849462365591</v>
      </c>
      <c r="H22" s="204">
        <f t="shared" si="2"/>
        <v>0.75359342915811089</v>
      </c>
      <c r="I22" s="204"/>
    </row>
    <row r="23" spans="2:11" ht="28" customHeight="1">
      <c r="B23" s="202" t="s">
        <v>29</v>
      </c>
      <c r="C23" s="204">
        <f t="shared" si="2"/>
        <v>0.50841750841750843</v>
      </c>
      <c r="D23" s="204">
        <f t="shared" si="2"/>
        <v>0.55892255892255893</v>
      </c>
      <c r="E23" s="204">
        <f t="shared" si="2"/>
        <v>0.6262626262626263</v>
      </c>
      <c r="F23" s="204">
        <f t="shared" si="2"/>
        <v>0.50377833753148615</v>
      </c>
      <c r="G23" s="204">
        <f t="shared" si="2"/>
        <v>0.6645161290322581</v>
      </c>
      <c r="H23" s="204">
        <f t="shared" si="2"/>
        <v>0.66735112936344965</v>
      </c>
      <c r="I23" s="204"/>
      <c r="J23" s="205" t="s">
        <v>356</v>
      </c>
      <c r="K23" s="205" t="s">
        <v>357</v>
      </c>
    </row>
    <row r="24" spans="2:11" ht="28" customHeight="1">
      <c r="B24" s="202" t="s">
        <v>353</v>
      </c>
      <c r="C24" s="204">
        <f t="shared" si="2"/>
        <v>0.61616161616161613</v>
      </c>
      <c r="D24" s="204">
        <f t="shared" si="2"/>
        <v>0.62962962962962965</v>
      </c>
      <c r="E24" s="204">
        <f t="shared" si="2"/>
        <v>0.69360269360269355</v>
      </c>
      <c r="F24" s="204">
        <f t="shared" si="2"/>
        <v>0.63224181360201515</v>
      </c>
      <c r="G24" s="204">
        <f t="shared" si="2"/>
        <v>0.48602150537634409</v>
      </c>
      <c r="H24" s="204">
        <f t="shared" si="2"/>
        <v>0.56878850102669409</v>
      </c>
      <c r="I24" s="204"/>
    </row>
    <row r="25" spans="2:11" ht="28" customHeight="1">
      <c r="B25" s="202" t="s">
        <v>309</v>
      </c>
      <c r="C25" s="204">
        <f t="shared" si="2"/>
        <v>0.35016835016835018</v>
      </c>
      <c r="D25" s="204">
        <f t="shared" si="2"/>
        <v>0.42424242424242425</v>
      </c>
      <c r="E25" s="204">
        <f t="shared" si="2"/>
        <v>0.44107744107744107</v>
      </c>
      <c r="F25" s="204">
        <f t="shared" si="2"/>
        <v>0.39798488664987408</v>
      </c>
      <c r="G25" s="204">
        <f t="shared" si="2"/>
        <v>0.30107526881720431</v>
      </c>
      <c r="H25" s="204">
        <f t="shared" si="2"/>
        <v>0.28542094455852157</v>
      </c>
      <c r="I25" s="206" t="s">
        <v>358</v>
      </c>
    </row>
    <row r="26" spans="2:11" ht="28" customHeight="1">
      <c r="B26" s="202" t="s">
        <v>73</v>
      </c>
      <c r="C26" s="201"/>
      <c r="D26" s="201"/>
      <c r="E26" s="201"/>
      <c r="F26" s="201"/>
      <c r="G26" s="204">
        <f t="shared" ref="G26:H28" si="3">G18/G10</f>
        <v>0.59139784946236562</v>
      </c>
      <c r="H26" s="204">
        <f t="shared" si="3"/>
        <v>0.53388090349075978</v>
      </c>
      <c r="I26" s="204"/>
    </row>
    <row r="27" spans="2:11" ht="28" customHeight="1">
      <c r="B27" s="202" t="s">
        <v>97</v>
      </c>
      <c r="C27" s="201"/>
      <c r="D27" s="201"/>
      <c r="E27" s="201"/>
      <c r="F27" s="201"/>
      <c r="G27" s="204">
        <f t="shared" si="3"/>
        <v>0.66881720430107527</v>
      </c>
      <c r="H27" s="204">
        <f t="shared" si="3"/>
        <v>0.66940451745379881</v>
      </c>
      <c r="I27" s="204"/>
    </row>
    <row r="28" spans="2:11" ht="28" customHeight="1">
      <c r="B28" s="202" t="s">
        <v>118</v>
      </c>
      <c r="C28" s="201"/>
      <c r="D28" s="201"/>
      <c r="E28" s="201"/>
      <c r="F28" s="201"/>
      <c r="G28" s="204">
        <f t="shared" si="3"/>
        <v>0.46881720430107526</v>
      </c>
      <c r="H28" s="204">
        <f t="shared" si="3"/>
        <v>0.44763860369609854</v>
      </c>
      <c r="I28" s="204"/>
    </row>
    <row r="29" spans="2:11" ht="28" customHeight="1">
      <c r="B29" s="195" t="s">
        <v>359</v>
      </c>
      <c r="C29" s="201"/>
      <c r="D29" s="201"/>
      <c r="E29" s="201"/>
      <c r="F29" s="201"/>
      <c r="G29" s="197">
        <v>98</v>
      </c>
      <c r="H29" s="197">
        <v>159</v>
      </c>
      <c r="I29" s="197"/>
      <c r="J29" s="198" t="s">
        <v>360</v>
      </c>
    </row>
    <row r="30" spans="2:11" ht="28" customHeight="1">
      <c r="B30" s="195" t="s">
        <v>361</v>
      </c>
      <c r="C30" s="201"/>
      <c r="D30" s="201"/>
      <c r="E30" s="201"/>
      <c r="F30" s="201"/>
      <c r="G30" s="197">
        <f>SUM(G31:G37)</f>
        <v>686</v>
      </c>
      <c r="H30" s="197">
        <f>SUM(H31:H37)</f>
        <v>1113</v>
      </c>
      <c r="I30" s="197"/>
    </row>
    <row r="31" spans="2:11" ht="28" customHeight="1">
      <c r="B31" s="202" t="s">
        <v>59</v>
      </c>
      <c r="C31" s="201"/>
      <c r="D31" s="201"/>
      <c r="E31" s="201"/>
      <c r="F31" s="201"/>
      <c r="G31" s="197">
        <v>98</v>
      </c>
      <c r="H31" s="197">
        <v>159</v>
      </c>
      <c r="I31" s="197"/>
    </row>
    <row r="32" spans="2:11" ht="28" customHeight="1">
      <c r="B32" s="202" t="s">
        <v>29</v>
      </c>
      <c r="C32" s="201"/>
      <c r="D32" s="201"/>
      <c r="E32" s="201"/>
      <c r="F32" s="201"/>
      <c r="G32" s="197">
        <v>98</v>
      </c>
      <c r="H32" s="197">
        <v>159</v>
      </c>
      <c r="I32" s="197"/>
    </row>
    <row r="33" spans="2:9" ht="28" customHeight="1">
      <c r="B33" s="202" t="s">
        <v>353</v>
      </c>
      <c r="C33" s="201"/>
      <c r="D33" s="201"/>
      <c r="E33" s="201"/>
      <c r="F33" s="201"/>
      <c r="G33" s="197">
        <v>98</v>
      </c>
      <c r="H33" s="197">
        <v>159</v>
      </c>
      <c r="I33" s="197"/>
    </row>
    <row r="34" spans="2:9" ht="28" customHeight="1">
      <c r="B34" s="202" t="s">
        <v>309</v>
      </c>
      <c r="C34" s="201"/>
      <c r="D34" s="201"/>
      <c r="E34" s="201"/>
      <c r="F34" s="201"/>
      <c r="G34" s="197">
        <v>98</v>
      </c>
      <c r="H34" s="197">
        <v>159</v>
      </c>
      <c r="I34" s="197"/>
    </row>
    <row r="35" spans="2:9" ht="28" customHeight="1">
      <c r="B35" s="202" t="s">
        <v>73</v>
      </c>
      <c r="C35" s="201"/>
      <c r="D35" s="201"/>
      <c r="E35" s="201"/>
      <c r="F35" s="201"/>
      <c r="G35" s="197">
        <v>98</v>
      </c>
      <c r="H35" s="197">
        <v>159</v>
      </c>
      <c r="I35" s="197"/>
    </row>
    <row r="36" spans="2:9" ht="28" customHeight="1">
      <c r="B36" s="202" t="s">
        <v>97</v>
      </c>
      <c r="C36" s="201"/>
      <c r="D36" s="201"/>
      <c r="E36" s="201"/>
      <c r="F36" s="201"/>
      <c r="G36" s="197">
        <v>98</v>
      </c>
      <c r="H36" s="197">
        <v>159</v>
      </c>
      <c r="I36" s="197"/>
    </row>
    <row r="37" spans="2:9" ht="28" customHeight="1">
      <c r="B37" s="202" t="s">
        <v>118</v>
      </c>
      <c r="C37" s="201"/>
      <c r="D37" s="201"/>
      <c r="E37" s="201"/>
      <c r="F37" s="201"/>
      <c r="G37" s="197">
        <v>98</v>
      </c>
      <c r="H37" s="197">
        <v>159</v>
      </c>
      <c r="I37" s="197"/>
    </row>
    <row r="38" spans="2:9" ht="28" customHeight="1">
      <c r="B38" s="195" t="s">
        <v>362</v>
      </c>
      <c r="C38" s="201"/>
      <c r="D38" s="201"/>
      <c r="E38" s="201"/>
      <c r="F38" s="201"/>
      <c r="G38" s="197">
        <f>SUM(G39:G45)</f>
        <v>51</v>
      </c>
      <c r="H38" s="197">
        <f>SUM(H39:H45)</f>
        <v>414</v>
      </c>
      <c r="I38" s="197"/>
    </row>
    <row r="39" spans="2:9" ht="28" customHeight="1">
      <c r="B39" s="202" t="s">
        <v>59</v>
      </c>
      <c r="C39" s="201"/>
      <c r="D39" s="201"/>
      <c r="E39" s="201"/>
      <c r="F39" s="201"/>
      <c r="G39" s="197">
        <v>9</v>
      </c>
      <c r="H39" s="197">
        <v>66</v>
      </c>
      <c r="I39" s="197"/>
    </row>
    <row r="40" spans="2:9" ht="28" customHeight="1">
      <c r="B40" s="202" t="s">
        <v>29</v>
      </c>
      <c r="C40" s="201"/>
      <c r="D40" s="201"/>
      <c r="E40" s="201"/>
      <c r="F40" s="201"/>
      <c r="G40" s="197">
        <v>7</v>
      </c>
      <c r="H40" s="197">
        <v>72</v>
      </c>
      <c r="I40" s="197"/>
    </row>
    <row r="41" spans="2:9" ht="28" customHeight="1">
      <c r="B41" s="202" t="s">
        <v>353</v>
      </c>
      <c r="C41" s="201"/>
      <c r="D41" s="201"/>
      <c r="E41" s="201"/>
      <c r="F41" s="201"/>
      <c r="G41" s="197">
        <v>6</v>
      </c>
      <c r="H41" s="197">
        <v>75</v>
      </c>
      <c r="I41" s="197"/>
    </row>
    <row r="42" spans="2:9" ht="28" customHeight="1">
      <c r="B42" s="202" t="s">
        <v>309</v>
      </c>
      <c r="C42" s="201"/>
      <c r="D42" s="201"/>
      <c r="E42" s="201"/>
      <c r="F42" s="201"/>
      <c r="G42" s="197">
        <v>5</v>
      </c>
      <c r="H42" s="197">
        <v>70</v>
      </c>
      <c r="I42" s="197"/>
    </row>
    <row r="43" spans="2:9" ht="28" customHeight="1">
      <c r="B43" s="202" t="s">
        <v>73</v>
      </c>
      <c r="C43" s="201"/>
      <c r="D43" s="201"/>
      <c r="E43" s="201"/>
      <c r="F43" s="201"/>
      <c r="G43" s="197">
        <v>9</v>
      </c>
      <c r="H43" s="197">
        <v>67</v>
      </c>
      <c r="I43" s="197"/>
    </row>
    <row r="44" spans="2:9" ht="28" customHeight="1">
      <c r="B44" s="202" t="s">
        <v>97</v>
      </c>
      <c r="C44" s="201"/>
      <c r="D44" s="201"/>
      <c r="E44" s="201"/>
      <c r="F44" s="201"/>
      <c r="G44" s="197">
        <v>8</v>
      </c>
      <c r="H44" s="197">
        <v>64</v>
      </c>
      <c r="I44" s="197"/>
    </row>
    <row r="45" spans="2:9" ht="28" customHeight="1">
      <c r="B45" s="202" t="s">
        <v>118</v>
      </c>
      <c r="C45" s="201"/>
      <c r="D45" s="201"/>
      <c r="E45" s="201"/>
      <c r="F45" s="201"/>
      <c r="G45" s="197">
        <v>7</v>
      </c>
      <c r="H45" s="197"/>
      <c r="I45" s="197"/>
    </row>
    <row r="46" spans="2:9" ht="28" customHeight="1">
      <c r="B46" s="195" t="s">
        <v>363</v>
      </c>
      <c r="C46" s="201"/>
      <c r="D46" s="201"/>
      <c r="E46" s="201"/>
      <c r="F46" s="201"/>
      <c r="G46" s="207">
        <f t="shared" ref="G46:H53" si="4">G38/G30</f>
        <v>7.4344023323615158E-2</v>
      </c>
      <c r="H46" s="207">
        <f t="shared" si="4"/>
        <v>0.3719676549865229</v>
      </c>
      <c r="I46" s="207"/>
    </row>
    <row r="47" spans="2:9" ht="28" customHeight="1">
      <c r="B47" s="202" t="s">
        <v>59</v>
      </c>
      <c r="C47" s="201"/>
      <c r="D47" s="201"/>
      <c r="E47" s="201"/>
      <c r="F47" s="201"/>
      <c r="G47" s="207">
        <f t="shared" si="4"/>
        <v>9.1836734693877556E-2</v>
      </c>
      <c r="H47" s="207">
        <f t="shared" si="4"/>
        <v>0.41509433962264153</v>
      </c>
      <c r="I47" s="207"/>
    </row>
    <row r="48" spans="2:9" ht="28" customHeight="1">
      <c r="B48" s="202" t="s">
        <v>29</v>
      </c>
      <c r="C48" s="201"/>
      <c r="D48" s="201"/>
      <c r="E48" s="201"/>
      <c r="F48" s="201"/>
      <c r="G48" s="207">
        <f t="shared" si="4"/>
        <v>7.1428571428571425E-2</v>
      </c>
      <c r="H48" s="207">
        <f t="shared" si="4"/>
        <v>0.45283018867924529</v>
      </c>
      <c r="I48" s="207"/>
    </row>
    <row r="49" spans="2:10" ht="28" customHeight="1">
      <c r="B49" s="202" t="s">
        <v>353</v>
      </c>
      <c r="C49" s="201"/>
      <c r="D49" s="201"/>
      <c r="E49" s="201"/>
      <c r="F49" s="201"/>
      <c r="G49" s="207">
        <f t="shared" si="4"/>
        <v>6.1224489795918366E-2</v>
      </c>
      <c r="H49" s="207">
        <f t="shared" si="4"/>
        <v>0.47169811320754718</v>
      </c>
      <c r="I49" s="207"/>
    </row>
    <row r="50" spans="2:10" ht="28" customHeight="1">
      <c r="B50" s="202" t="s">
        <v>309</v>
      </c>
      <c r="C50" s="201"/>
      <c r="D50" s="201"/>
      <c r="E50" s="201"/>
      <c r="F50" s="201"/>
      <c r="G50" s="207">
        <f t="shared" si="4"/>
        <v>5.1020408163265307E-2</v>
      </c>
      <c r="H50" s="207">
        <f t="shared" si="4"/>
        <v>0.44025157232704404</v>
      </c>
      <c r="I50" s="207"/>
    </row>
    <row r="51" spans="2:10" ht="28" customHeight="1">
      <c r="B51" s="202" t="s">
        <v>73</v>
      </c>
      <c r="C51" s="201"/>
      <c r="D51" s="201"/>
      <c r="E51" s="201"/>
      <c r="F51" s="201"/>
      <c r="G51" s="207">
        <f t="shared" si="4"/>
        <v>9.1836734693877556E-2</v>
      </c>
      <c r="H51" s="207">
        <f t="shared" si="4"/>
        <v>0.42138364779874216</v>
      </c>
      <c r="I51" s="207"/>
    </row>
    <row r="52" spans="2:10" ht="28" customHeight="1">
      <c r="B52" s="202" t="s">
        <v>97</v>
      </c>
      <c r="C52" s="201"/>
      <c r="D52" s="201"/>
      <c r="E52" s="201"/>
      <c r="F52" s="201"/>
      <c r="G52" s="207">
        <f t="shared" si="4"/>
        <v>8.1632653061224483E-2</v>
      </c>
      <c r="H52" s="207">
        <f t="shared" si="4"/>
        <v>0.40251572327044027</v>
      </c>
      <c r="I52" s="207"/>
    </row>
    <row r="53" spans="2:10" ht="28" customHeight="1">
      <c r="B53" s="202" t="s">
        <v>118</v>
      </c>
      <c r="C53" s="201"/>
      <c r="D53" s="201"/>
      <c r="E53" s="201"/>
      <c r="F53" s="201"/>
      <c r="G53" s="207">
        <f t="shared" si="4"/>
        <v>7.1428571428571425E-2</v>
      </c>
      <c r="H53" s="207">
        <f t="shared" si="4"/>
        <v>0</v>
      </c>
      <c r="I53" s="207"/>
    </row>
    <row r="54" spans="2:10" ht="28" customHeight="1">
      <c r="B54" s="195" t="s">
        <v>364</v>
      </c>
      <c r="C54" s="208">
        <f t="shared" ref="C54:H54" si="5">C55+C58</f>
        <v>98</v>
      </c>
      <c r="D54" s="208">
        <f t="shared" si="5"/>
        <v>43</v>
      </c>
      <c r="E54" s="208">
        <f t="shared" si="5"/>
        <v>118</v>
      </c>
      <c r="F54" s="208">
        <f t="shared" si="5"/>
        <v>123</v>
      </c>
      <c r="G54" s="208">
        <f t="shared" si="5"/>
        <v>135</v>
      </c>
      <c r="H54" s="208">
        <f t="shared" si="5"/>
        <v>131</v>
      </c>
      <c r="I54" s="209">
        <f>SUM(C54:H54)</f>
        <v>648</v>
      </c>
      <c r="J54" s="210" t="s">
        <v>365</v>
      </c>
    </row>
    <row r="55" spans="2:10" ht="28" customHeight="1">
      <c r="B55" s="202" t="s">
        <v>366</v>
      </c>
      <c r="C55" s="196">
        <v>98</v>
      </c>
      <c r="D55" s="196">
        <v>43</v>
      </c>
      <c r="E55" s="196">
        <v>118</v>
      </c>
      <c r="F55" s="196">
        <v>123</v>
      </c>
      <c r="G55" s="197">
        <v>81</v>
      </c>
      <c r="H55" s="197">
        <v>131</v>
      </c>
      <c r="I55" s="209">
        <f>SUM(C55:G55)</f>
        <v>463</v>
      </c>
    </row>
    <row r="56" spans="2:10" ht="28" customHeight="1">
      <c r="B56" s="202" t="s">
        <v>367</v>
      </c>
      <c r="C56" s="196">
        <v>98</v>
      </c>
      <c r="D56" s="196">
        <v>43</v>
      </c>
      <c r="E56" s="196">
        <v>106</v>
      </c>
      <c r="F56" s="196">
        <v>111</v>
      </c>
      <c r="G56" s="197">
        <v>69</v>
      </c>
      <c r="H56" s="201"/>
      <c r="I56" s="209">
        <f>SUM(C56:G56)</f>
        <v>427</v>
      </c>
    </row>
    <row r="57" spans="2:10" ht="28" customHeight="1">
      <c r="B57" s="202" t="s">
        <v>368</v>
      </c>
      <c r="C57" s="196">
        <v>44</v>
      </c>
      <c r="D57" s="196">
        <v>31</v>
      </c>
      <c r="E57" s="196">
        <v>109</v>
      </c>
      <c r="F57" s="196">
        <v>180</v>
      </c>
      <c r="G57" s="197">
        <v>23</v>
      </c>
      <c r="H57" s="201"/>
      <c r="I57" s="209">
        <f>SUM(C57:G57)</f>
        <v>387</v>
      </c>
    </row>
    <row r="58" spans="2:10" ht="28" customHeight="1">
      <c r="B58" s="202" t="s">
        <v>369</v>
      </c>
      <c r="C58" s="201"/>
      <c r="D58" s="201"/>
      <c r="E58" s="201"/>
      <c r="F58" s="201"/>
      <c r="G58" s="197">
        <v>54</v>
      </c>
      <c r="H58" s="201"/>
      <c r="I58" s="197">
        <v>54</v>
      </c>
    </row>
    <row r="59" spans="2:10" ht="28" customHeight="1">
      <c r="B59" s="202" t="s">
        <v>370</v>
      </c>
      <c r="C59" s="201"/>
      <c r="D59" s="201"/>
      <c r="E59" s="201"/>
      <c r="F59" s="201"/>
      <c r="G59" s="197">
        <v>87</v>
      </c>
      <c r="H59" s="201"/>
      <c r="I59" s="197">
        <v>87</v>
      </c>
    </row>
    <row r="60" spans="2:10" ht="28" customHeight="1">
      <c r="B60" s="195" t="s">
        <v>371</v>
      </c>
      <c r="C60" s="211">
        <v>26</v>
      </c>
      <c r="D60" s="211">
        <v>12</v>
      </c>
      <c r="E60" s="211">
        <v>0</v>
      </c>
      <c r="F60" s="211">
        <v>1</v>
      </c>
      <c r="G60" s="211">
        <v>0</v>
      </c>
      <c r="H60" s="201"/>
      <c r="I60" s="209">
        <f>SUM(I61:I63)</f>
        <v>94</v>
      </c>
    </row>
    <row r="61" spans="2:10" ht="28" customHeight="1">
      <c r="B61" s="202" t="s">
        <v>366</v>
      </c>
      <c r="C61" s="211">
        <v>26</v>
      </c>
      <c r="D61" s="211">
        <v>12</v>
      </c>
      <c r="E61" s="211">
        <v>0</v>
      </c>
      <c r="F61" s="211">
        <v>1</v>
      </c>
      <c r="G61" s="211">
        <v>0</v>
      </c>
      <c r="H61" s="201"/>
      <c r="I61" s="209">
        <f>SUM(C61:G61)</f>
        <v>39</v>
      </c>
    </row>
    <row r="62" spans="2:10" ht="28" customHeight="1">
      <c r="B62" s="202" t="s">
        <v>367</v>
      </c>
      <c r="C62" s="211">
        <v>19</v>
      </c>
      <c r="D62" s="211">
        <v>8</v>
      </c>
      <c r="E62" s="211">
        <v>0</v>
      </c>
      <c r="F62" s="211">
        <v>1</v>
      </c>
      <c r="G62" s="211">
        <v>0</v>
      </c>
      <c r="H62" s="201"/>
      <c r="I62" s="209">
        <f>SUM(C62:G62)</f>
        <v>28</v>
      </c>
    </row>
    <row r="63" spans="2:10" ht="28" customHeight="1">
      <c r="B63" s="202" t="s">
        <v>368</v>
      </c>
      <c r="C63" s="211">
        <v>19</v>
      </c>
      <c r="D63" s="211">
        <v>8</v>
      </c>
      <c r="E63" s="211">
        <v>0</v>
      </c>
      <c r="F63" s="211">
        <v>0</v>
      </c>
      <c r="G63" s="211">
        <v>0</v>
      </c>
      <c r="H63" s="201"/>
      <c r="I63" s="209">
        <f>SUM(C63:G63)</f>
        <v>27</v>
      </c>
    </row>
  </sheetData>
  <phoneticPr fontId="96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3.2. GEO Input detail（" filterMode="1"/>
  <dimension ref="A1:BC807"/>
  <sheetViews>
    <sheetView showGridLines="0" topLeftCell="A19" zoomScale="70" zoomScaleNormal="70" workbookViewId="0">
      <pane xSplit="3" topLeftCell="D1" activePane="topRight" state="frozen"/>
      <selection pane="topRight" activeCell="A19" sqref="A19"/>
    </sheetView>
  </sheetViews>
  <sheetFormatPr defaultColWidth="14" defaultRowHeight="14"/>
  <cols>
    <col min="1" max="1" width="4" customWidth="1"/>
    <col min="2" max="2" width="14" customWidth="1"/>
    <col min="3" max="3" width="19.453125" customWidth="1"/>
    <col min="4" max="4" width="71.453125" customWidth="1"/>
    <col min="5" max="5" width="48" customWidth="1"/>
    <col min="6" max="10" width="10" customWidth="1"/>
    <col min="11" max="11" width="10" hidden="1" customWidth="1"/>
    <col min="12" max="12" width="17" hidden="1" customWidth="1"/>
    <col min="13" max="13" width="12.54296875" customWidth="1"/>
    <col min="14" max="14" width="12.54296875" hidden="1" customWidth="1"/>
    <col min="15" max="16" width="12.54296875" customWidth="1"/>
    <col min="17" max="21" width="10" customWidth="1"/>
    <col min="22" max="22" width="10" hidden="1" customWidth="1"/>
    <col min="23" max="23" width="18" hidden="1" customWidth="1"/>
    <col min="24" max="24" width="13.26953125" customWidth="1"/>
    <col min="25" max="25" width="18" hidden="1" customWidth="1"/>
    <col min="26" max="26" width="12.08984375" style="376" customWidth="1"/>
    <col min="27" max="27" width="12.54296875" style="376" customWidth="1"/>
    <col min="28" max="32" width="10" customWidth="1"/>
    <col min="33" max="33" width="10" hidden="1" customWidth="1"/>
    <col min="34" max="34" width="19" hidden="1" customWidth="1"/>
    <col min="35" max="35" width="13.7265625" customWidth="1"/>
    <col min="36" max="36" width="17" hidden="1" customWidth="1"/>
    <col min="37" max="37" width="13.7265625" customWidth="1"/>
    <col min="38" max="38" width="15.54296875" customWidth="1"/>
    <col min="39" max="43" width="10" customWidth="1"/>
    <col min="44" max="44" width="10" hidden="1" customWidth="1"/>
    <col min="45" max="45" width="18" hidden="1" customWidth="1"/>
    <col min="46" max="46" width="17" customWidth="1"/>
    <col min="47" max="47" width="16" hidden="1" customWidth="1"/>
    <col min="48" max="48" width="17" customWidth="1"/>
    <col min="49" max="52" width="22" customWidth="1"/>
    <col min="53" max="55" width="19" customWidth="1"/>
  </cols>
  <sheetData>
    <row r="1" spans="1:55" ht="16.5">
      <c r="A1" s="212"/>
      <c r="B1" s="212"/>
      <c r="C1" s="212"/>
      <c r="D1" s="212"/>
      <c r="E1" s="213"/>
      <c r="F1" s="212"/>
      <c r="G1" s="213"/>
      <c r="H1" s="212"/>
      <c r="I1" s="212"/>
      <c r="J1" s="212"/>
      <c r="K1" s="212"/>
      <c r="L1" s="212"/>
      <c r="M1" s="212"/>
      <c r="N1" s="212"/>
      <c r="O1" s="212"/>
      <c r="P1" s="212"/>
      <c r="Q1" s="212"/>
      <c r="R1" s="212"/>
      <c r="S1" s="212"/>
      <c r="T1" s="212"/>
      <c r="U1" s="212"/>
      <c r="V1" s="212"/>
      <c r="W1" s="212"/>
      <c r="X1" s="212"/>
      <c r="Y1" s="212"/>
      <c r="Z1" s="213"/>
      <c r="AA1" s="213"/>
      <c r="AB1" s="212"/>
      <c r="AC1" s="212"/>
      <c r="AD1" s="212"/>
      <c r="AE1" s="212"/>
      <c r="AF1" s="212"/>
      <c r="AH1" s="212"/>
      <c r="AI1" s="212"/>
      <c r="AJ1" s="212"/>
      <c r="AK1" s="212"/>
      <c r="AL1" s="212"/>
      <c r="AM1" s="212"/>
      <c r="AN1" s="212"/>
      <c r="AO1" s="212"/>
      <c r="AP1" s="212"/>
      <c r="AQ1" s="212"/>
      <c r="AR1" s="212"/>
      <c r="AS1" s="212"/>
      <c r="AT1" s="212"/>
      <c r="AU1" s="212"/>
      <c r="AV1" s="212"/>
      <c r="AW1" s="212"/>
      <c r="AX1" s="212"/>
      <c r="AY1" s="212"/>
      <c r="AZ1" s="212"/>
      <c r="BA1" s="212"/>
      <c r="BB1" s="212"/>
      <c r="BC1" s="214"/>
    </row>
    <row r="2" spans="1:55" ht="42" customHeight="1">
      <c r="A2" s="212"/>
      <c r="B2" s="482" t="s">
        <v>2477</v>
      </c>
      <c r="C2" s="483"/>
      <c r="D2" s="483"/>
      <c r="E2" s="483"/>
      <c r="F2" s="483"/>
      <c r="G2" s="483"/>
      <c r="H2" s="483"/>
      <c r="I2" s="483"/>
      <c r="J2" s="483"/>
      <c r="K2" s="483"/>
      <c r="L2" s="483"/>
      <c r="M2" s="483"/>
      <c r="N2" s="483"/>
      <c r="O2" s="483"/>
      <c r="P2" s="483"/>
      <c r="Q2" s="483"/>
      <c r="R2" s="483"/>
      <c r="S2" s="483"/>
      <c r="T2" s="483"/>
      <c r="U2" s="483"/>
      <c r="V2" s="483"/>
      <c r="W2" s="483"/>
      <c r="X2" s="483"/>
      <c r="Y2" s="483"/>
      <c r="Z2" s="484"/>
      <c r="AA2" s="484"/>
      <c r="AB2" s="483"/>
      <c r="AC2" s="483"/>
      <c r="AD2" s="483"/>
      <c r="AE2" s="483"/>
      <c r="AF2" s="483"/>
      <c r="AG2" s="483"/>
      <c r="AH2" s="483"/>
      <c r="AI2" s="483"/>
      <c r="AJ2" s="483"/>
      <c r="AK2" s="483"/>
      <c r="AL2" s="483"/>
      <c r="AM2" s="483"/>
      <c r="AN2" s="483"/>
      <c r="AO2" s="483"/>
      <c r="AP2" s="483"/>
      <c r="AQ2" s="483"/>
      <c r="AR2" s="212"/>
      <c r="AS2" s="212"/>
      <c r="AT2" s="212"/>
      <c r="AU2" s="212"/>
      <c r="AV2" s="212"/>
      <c r="AW2" s="212"/>
      <c r="AX2" s="212"/>
      <c r="AY2" s="212"/>
      <c r="AZ2" s="212"/>
      <c r="BA2" s="212"/>
      <c r="BB2" s="212"/>
      <c r="BC2" s="214"/>
    </row>
    <row r="3" spans="1:55" ht="21" customHeight="1">
      <c r="A3" s="212"/>
      <c r="B3" s="483"/>
      <c r="C3" s="483"/>
      <c r="D3" s="483"/>
      <c r="E3" s="483"/>
      <c r="F3" s="483"/>
      <c r="G3" s="483"/>
      <c r="H3" s="483"/>
      <c r="I3" s="483"/>
      <c r="J3" s="483"/>
      <c r="K3" s="483"/>
      <c r="L3" s="483"/>
      <c r="M3" s="483"/>
      <c r="N3" s="483"/>
      <c r="O3" s="483"/>
      <c r="P3" s="483"/>
      <c r="Q3" s="483"/>
      <c r="R3" s="483"/>
      <c r="S3" s="483"/>
      <c r="T3" s="483"/>
      <c r="U3" s="483"/>
      <c r="V3" s="483"/>
      <c r="W3" s="483"/>
      <c r="X3" s="483"/>
      <c r="Y3" s="483"/>
      <c r="Z3" s="484"/>
      <c r="AA3" s="484"/>
      <c r="AB3" s="483"/>
      <c r="AC3" s="483"/>
      <c r="AD3" s="483"/>
      <c r="AE3" s="483"/>
      <c r="AF3" s="483"/>
      <c r="AG3" s="483"/>
      <c r="AH3" s="483"/>
      <c r="AI3" s="483"/>
      <c r="AJ3" s="483"/>
      <c r="AK3" s="483"/>
      <c r="AL3" s="483"/>
      <c r="AM3" s="483"/>
      <c r="AN3" s="483"/>
      <c r="AO3" s="483"/>
      <c r="AP3" s="483"/>
      <c r="AQ3" s="483"/>
      <c r="AR3" s="212"/>
      <c r="AS3" s="212"/>
      <c r="AT3" s="212"/>
      <c r="AU3" s="212"/>
      <c r="AV3" s="212"/>
      <c r="AW3" s="212"/>
      <c r="AX3" s="212"/>
      <c r="AY3" s="212"/>
      <c r="AZ3" s="212"/>
      <c r="BA3" s="212"/>
      <c r="BB3" s="212"/>
      <c r="BC3" s="214"/>
    </row>
    <row r="4" spans="1:55" ht="48" customHeight="1">
      <c r="A4" s="212"/>
      <c r="B4" s="483"/>
      <c r="C4" s="483"/>
      <c r="D4" s="483"/>
      <c r="E4" s="483"/>
      <c r="F4" s="483"/>
      <c r="G4" s="483"/>
      <c r="H4" s="483"/>
      <c r="I4" s="483"/>
      <c r="J4" s="483"/>
      <c r="K4" s="483"/>
      <c r="L4" s="483"/>
      <c r="M4" s="483"/>
      <c r="N4" s="483"/>
      <c r="O4" s="483"/>
      <c r="P4" s="483"/>
      <c r="Q4" s="483"/>
      <c r="R4" s="483"/>
      <c r="S4" s="483"/>
      <c r="T4" s="483"/>
      <c r="U4" s="483"/>
      <c r="V4" s="483"/>
      <c r="W4" s="483"/>
      <c r="X4" s="483"/>
      <c r="Y4" s="483"/>
      <c r="Z4" s="484"/>
      <c r="AA4" s="484"/>
      <c r="AB4" s="483"/>
      <c r="AC4" s="483"/>
      <c r="AD4" s="483"/>
      <c r="AE4" s="483"/>
      <c r="AF4" s="483"/>
      <c r="AG4" s="483"/>
      <c r="AH4" s="483"/>
      <c r="AI4" s="483"/>
      <c r="AJ4" s="483"/>
      <c r="AK4" s="483"/>
      <c r="AL4" s="483"/>
      <c r="AM4" s="483"/>
      <c r="AN4" s="483"/>
      <c r="AO4" s="483"/>
      <c r="AP4" s="483"/>
      <c r="AQ4" s="483"/>
      <c r="AR4" s="212"/>
      <c r="AS4" s="212"/>
      <c r="AT4" s="212"/>
      <c r="AU4" s="212"/>
      <c r="AV4" s="212"/>
      <c r="AW4" s="212"/>
      <c r="AX4" s="212"/>
      <c r="AY4" s="212"/>
      <c r="AZ4" s="212"/>
      <c r="BA4" s="212"/>
      <c r="BB4" s="212"/>
      <c r="BC4" s="214"/>
    </row>
    <row r="5" spans="1:55" ht="16.5">
      <c r="A5" s="212"/>
      <c r="B5" s="212"/>
      <c r="C5" s="212"/>
      <c r="D5" s="212"/>
      <c r="E5" s="213"/>
      <c r="F5" s="212"/>
      <c r="G5" s="213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2"/>
      <c r="U5" s="212"/>
      <c r="V5" s="212"/>
      <c r="W5" s="212"/>
      <c r="X5" s="212"/>
      <c r="Y5" s="212"/>
      <c r="Z5" s="213"/>
      <c r="AA5" s="213"/>
      <c r="AB5" s="212"/>
      <c r="AC5" s="212"/>
      <c r="AD5" s="212"/>
      <c r="AE5" s="212"/>
      <c r="AF5" s="212"/>
      <c r="AG5" s="212"/>
      <c r="AH5" s="212"/>
      <c r="AI5" s="212"/>
      <c r="AJ5" s="212"/>
      <c r="AK5" s="212"/>
      <c r="AL5" s="212"/>
      <c r="AM5" s="212"/>
      <c r="AN5" s="212"/>
      <c r="AO5" s="212"/>
      <c r="AP5" s="212"/>
      <c r="AQ5" s="212"/>
      <c r="AR5" s="212"/>
      <c r="AS5" s="212"/>
      <c r="AT5" s="212"/>
      <c r="AU5" s="212"/>
      <c r="AV5" s="212"/>
      <c r="AW5" s="212"/>
      <c r="AX5" s="212"/>
      <c r="AY5" s="212"/>
      <c r="AZ5" s="212"/>
      <c r="BA5" s="212"/>
      <c r="BB5" s="212"/>
      <c r="BC5" s="214"/>
    </row>
    <row r="6" spans="1:55" ht="21" customHeight="1">
      <c r="A6" s="212"/>
      <c r="B6" s="470" t="s">
        <v>372</v>
      </c>
      <c r="C6" s="470" t="s">
        <v>373</v>
      </c>
      <c r="D6" s="470" t="s">
        <v>374</v>
      </c>
      <c r="E6" s="474"/>
      <c r="F6" s="451" t="s">
        <v>59</v>
      </c>
      <c r="G6" s="452"/>
      <c r="H6" s="452"/>
      <c r="I6" s="452"/>
      <c r="J6" s="452"/>
      <c r="K6" s="452"/>
      <c r="L6" s="452"/>
      <c r="M6" s="452"/>
      <c r="N6" s="452"/>
      <c r="O6" s="452"/>
      <c r="P6" s="452"/>
      <c r="Q6" s="453" t="s">
        <v>128</v>
      </c>
      <c r="R6" s="452"/>
      <c r="S6" s="452"/>
      <c r="T6" s="452"/>
      <c r="U6" s="452"/>
      <c r="V6" s="452"/>
      <c r="W6" s="452"/>
      <c r="X6" s="452"/>
      <c r="Y6" s="452"/>
      <c r="Z6" s="454"/>
      <c r="AA6" s="454"/>
      <c r="AB6" s="455" t="s">
        <v>44</v>
      </c>
      <c r="AC6" s="452"/>
      <c r="AD6" s="452"/>
      <c r="AE6" s="452"/>
      <c r="AF6" s="452"/>
      <c r="AG6" s="452"/>
      <c r="AH6" s="452"/>
      <c r="AI6" s="452"/>
      <c r="AJ6" s="452"/>
      <c r="AK6" s="452"/>
      <c r="AL6" s="456"/>
      <c r="AM6" s="457" t="s">
        <v>114</v>
      </c>
      <c r="AN6" s="452"/>
      <c r="AO6" s="452"/>
      <c r="AP6" s="452"/>
      <c r="AQ6" s="452"/>
      <c r="AR6" s="452"/>
      <c r="AS6" s="452"/>
      <c r="AT6" s="452"/>
      <c r="AU6" s="452"/>
      <c r="AV6" s="452"/>
      <c r="AW6" s="456"/>
      <c r="AX6" s="458" t="s">
        <v>306</v>
      </c>
      <c r="AY6" s="456"/>
      <c r="AZ6" s="459" t="s">
        <v>97</v>
      </c>
      <c r="BA6" s="456"/>
      <c r="BB6" s="215" t="s">
        <v>118</v>
      </c>
      <c r="BC6" s="216" t="s">
        <v>118</v>
      </c>
    </row>
    <row r="7" spans="1:55" ht="21" customHeight="1">
      <c r="A7" s="212"/>
      <c r="B7" s="471"/>
      <c r="C7" s="471"/>
      <c r="D7" s="475"/>
      <c r="E7" s="476"/>
      <c r="F7" s="217" t="s">
        <v>375</v>
      </c>
      <c r="G7" s="217" t="s">
        <v>376</v>
      </c>
      <c r="H7" s="217" t="s">
        <v>377</v>
      </c>
      <c r="I7" s="217" t="s">
        <v>378</v>
      </c>
      <c r="J7" s="217" t="s">
        <v>379</v>
      </c>
      <c r="K7" s="217" t="s">
        <v>380</v>
      </c>
      <c r="L7" s="217" t="s">
        <v>381</v>
      </c>
      <c r="M7" s="217" t="s">
        <v>380</v>
      </c>
      <c r="N7" s="217" t="s">
        <v>382</v>
      </c>
      <c r="O7" s="217" t="s">
        <v>383</v>
      </c>
      <c r="P7" s="217" t="s">
        <v>127</v>
      </c>
      <c r="Q7" s="218" t="s">
        <v>375</v>
      </c>
      <c r="R7" s="218" t="s">
        <v>376</v>
      </c>
      <c r="S7" s="218" t="s">
        <v>377</v>
      </c>
      <c r="T7" s="218" t="s">
        <v>378</v>
      </c>
      <c r="U7" s="218" t="s">
        <v>379</v>
      </c>
      <c r="V7" s="218" t="s">
        <v>380</v>
      </c>
      <c r="W7" s="218" t="s">
        <v>381</v>
      </c>
      <c r="X7" s="218" t="s">
        <v>380</v>
      </c>
      <c r="Y7" s="218" t="s">
        <v>382</v>
      </c>
      <c r="Z7" s="218" t="s">
        <v>383</v>
      </c>
      <c r="AA7" s="218" t="s">
        <v>127</v>
      </c>
      <c r="AB7" s="219" t="s">
        <v>375</v>
      </c>
      <c r="AC7" s="219" t="s">
        <v>376</v>
      </c>
      <c r="AD7" s="219" t="s">
        <v>377</v>
      </c>
      <c r="AE7" s="219" t="s">
        <v>378</v>
      </c>
      <c r="AF7" s="219" t="s">
        <v>379</v>
      </c>
      <c r="AG7" s="219" t="s">
        <v>380</v>
      </c>
      <c r="AH7" s="219" t="s">
        <v>381</v>
      </c>
      <c r="AI7" s="219" t="s">
        <v>380</v>
      </c>
      <c r="AJ7" s="219" t="s">
        <v>382</v>
      </c>
      <c r="AK7" s="219" t="s">
        <v>383</v>
      </c>
      <c r="AL7" s="219" t="s">
        <v>127</v>
      </c>
      <c r="AM7" s="220" t="s">
        <v>375</v>
      </c>
      <c r="AN7" s="220" t="s">
        <v>376</v>
      </c>
      <c r="AO7" s="220" t="s">
        <v>377</v>
      </c>
      <c r="AP7" s="220" t="s">
        <v>378</v>
      </c>
      <c r="AQ7" s="220" t="s">
        <v>379</v>
      </c>
      <c r="AR7" s="220" t="s">
        <v>380</v>
      </c>
      <c r="AS7" s="220" t="s">
        <v>381</v>
      </c>
      <c r="AT7" s="220" t="s">
        <v>380</v>
      </c>
      <c r="AU7" s="220" t="s">
        <v>382</v>
      </c>
      <c r="AV7" s="220" t="s">
        <v>383</v>
      </c>
      <c r="AW7" s="220" t="s">
        <v>127</v>
      </c>
      <c r="AX7" s="221" t="s">
        <v>383</v>
      </c>
      <c r="AY7" s="221" t="s">
        <v>127</v>
      </c>
      <c r="AZ7" s="222" t="s">
        <v>383</v>
      </c>
      <c r="BA7" s="223" t="s">
        <v>127</v>
      </c>
      <c r="BB7" s="224" t="s">
        <v>383</v>
      </c>
      <c r="BC7" s="224" t="s">
        <v>127</v>
      </c>
    </row>
    <row r="8" spans="1:55" ht="21" customHeight="1">
      <c r="A8" s="212"/>
      <c r="B8" s="225">
        <v>1</v>
      </c>
      <c r="C8" s="225" t="s">
        <v>384</v>
      </c>
      <c r="D8" s="477" t="s">
        <v>385</v>
      </c>
      <c r="E8" s="474"/>
      <c r="F8" s="225">
        <f t="shared" ref="F8:AK8" si="0">COUNTIFS($C$23:$C$676,$C$8,F$23:F$676,"1")</f>
        <v>14</v>
      </c>
      <c r="G8" s="225">
        <f t="shared" si="0"/>
        <v>20</v>
      </c>
      <c r="H8" s="225">
        <f t="shared" si="0"/>
        <v>32</v>
      </c>
      <c r="I8" s="225">
        <f t="shared" si="0"/>
        <v>35</v>
      </c>
      <c r="J8" s="225">
        <f t="shared" si="0"/>
        <v>45</v>
      </c>
      <c r="K8" s="225">
        <f t="shared" si="0"/>
        <v>46</v>
      </c>
      <c r="L8" s="225">
        <f t="shared" si="0"/>
        <v>48</v>
      </c>
      <c r="M8" s="225">
        <f t="shared" si="0"/>
        <v>41</v>
      </c>
      <c r="N8" s="225">
        <f t="shared" si="0"/>
        <v>57</v>
      </c>
      <c r="O8" s="225">
        <f t="shared" si="0"/>
        <v>101</v>
      </c>
      <c r="P8" s="225">
        <f t="shared" si="0"/>
        <v>100</v>
      </c>
      <c r="Q8" s="225">
        <f t="shared" si="0"/>
        <v>16</v>
      </c>
      <c r="R8" s="225">
        <f t="shared" si="0"/>
        <v>30</v>
      </c>
      <c r="S8" s="225">
        <f t="shared" si="0"/>
        <v>42</v>
      </c>
      <c r="T8" s="225">
        <f t="shared" si="0"/>
        <v>45</v>
      </c>
      <c r="U8" s="225">
        <f t="shared" si="0"/>
        <v>49</v>
      </c>
      <c r="V8" s="225">
        <f t="shared" si="0"/>
        <v>48</v>
      </c>
      <c r="W8" s="225">
        <f t="shared" si="0"/>
        <v>48</v>
      </c>
      <c r="X8" s="225">
        <f t="shared" si="0"/>
        <v>32</v>
      </c>
      <c r="Y8" s="225">
        <f t="shared" si="0"/>
        <v>43</v>
      </c>
      <c r="Z8" s="225">
        <f t="shared" si="0"/>
        <v>94</v>
      </c>
      <c r="AA8" s="225">
        <f t="shared" si="0"/>
        <v>94</v>
      </c>
      <c r="AB8" s="225">
        <f t="shared" si="0"/>
        <v>25</v>
      </c>
      <c r="AC8" s="225">
        <f t="shared" si="0"/>
        <v>33</v>
      </c>
      <c r="AD8" s="225">
        <f t="shared" si="0"/>
        <v>46</v>
      </c>
      <c r="AE8" s="225">
        <f t="shared" si="0"/>
        <v>47</v>
      </c>
      <c r="AF8" s="225">
        <f t="shared" si="0"/>
        <v>50</v>
      </c>
      <c r="AG8" s="225">
        <f t="shared" si="0"/>
        <v>50</v>
      </c>
      <c r="AH8" s="225">
        <f t="shared" si="0"/>
        <v>50</v>
      </c>
      <c r="AI8" s="225">
        <f t="shared" si="0"/>
        <v>41</v>
      </c>
      <c r="AJ8" s="225">
        <f t="shared" si="0"/>
        <v>59</v>
      </c>
      <c r="AK8" s="225">
        <f t="shared" si="0"/>
        <v>51</v>
      </c>
      <c r="AL8" s="225">
        <f t="shared" ref="AL8:BB8" si="1">COUNTIFS($C$23:$C$676,$C$8,AL$23:AL$676,"1")</f>
        <v>70</v>
      </c>
      <c r="AM8" s="225">
        <f t="shared" si="1"/>
        <v>6</v>
      </c>
      <c r="AN8" s="225">
        <f t="shared" si="1"/>
        <v>9</v>
      </c>
      <c r="AO8" s="225">
        <f t="shared" si="1"/>
        <v>26</v>
      </c>
      <c r="AP8" s="225">
        <f t="shared" si="1"/>
        <v>28</v>
      </c>
      <c r="AQ8" s="225">
        <f t="shared" si="1"/>
        <v>30</v>
      </c>
      <c r="AR8" s="225">
        <f t="shared" si="1"/>
        <v>41</v>
      </c>
      <c r="AS8" s="225">
        <f t="shared" si="1"/>
        <v>39</v>
      </c>
      <c r="AT8" s="225">
        <f t="shared" si="1"/>
        <v>39</v>
      </c>
      <c r="AU8" s="225">
        <f t="shared" si="1"/>
        <v>39</v>
      </c>
      <c r="AV8" s="225">
        <f t="shared" si="1"/>
        <v>33</v>
      </c>
      <c r="AW8" s="225">
        <f t="shared" si="1"/>
        <v>32</v>
      </c>
      <c r="AX8" s="225">
        <f t="shared" si="1"/>
        <v>64</v>
      </c>
      <c r="AY8" s="225">
        <f t="shared" si="1"/>
        <v>60</v>
      </c>
      <c r="AZ8" s="225">
        <f t="shared" si="1"/>
        <v>94</v>
      </c>
      <c r="BA8" s="225">
        <f t="shared" si="1"/>
        <v>100</v>
      </c>
      <c r="BB8" s="225">
        <f t="shared" si="1"/>
        <v>69</v>
      </c>
      <c r="BC8" s="226">
        <v>68</v>
      </c>
    </row>
    <row r="9" spans="1:55" ht="21" customHeight="1">
      <c r="A9" s="212"/>
      <c r="B9" s="225">
        <v>2</v>
      </c>
      <c r="C9" s="225" t="s">
        <v>386</v>
      </c>
      <c r="D9" s="478"/>
      <c r="E9" s="479"/>
      <c r="F9" s="225">
        <f t="shared" ref="F9:AK9" si="2">COUNTIFS($C$23:$C$676,$C$9,F$23:F$676,"1")</f>
        <v>18</v>
      </c>
      <c r="G9" s="225">
        <f t="shared" si="2"/>
        <v>48</v>
      </c>
      <c r="H9" s="225">
        <f t="shared" si="2"/>
        <v>63</v>
      </c>
      <c r="I9" s="225">
        <f t="shared" si="2"/>
        <v>70</v>
      </c>
      <c r="J9" s="225">
        <f t="shared" si="2"/>
        <v>85</v>
      </c>
      <c r="K9" s="225">
        <f t="shared" si="2"/>
        <v>85</v>
      </c>
      <c r="L9" s="225">
        <f t="shared" si="2"/>
        <v>86</v>
      </c>
      <c r="M9" s="225">
        <f t="shared" si="2"/>
        <v>86</v>
      </c>
      <c r="N9" s="225">
        <f t="shared" si="2"/>
        <v>110</v>
      </c>
      <c r="O9" s="225">
        <f t="shared" si="2"/>
        <v>135</v>
      </c>
      <c r="P9" s="225">
        <f t="shared" si="2"/>
        <v>141</v>
      </c>
      <c r="Q9" s="225">
        <f t="shared" si="2"/>
        <v>12</v>
      </c>
      <c r="R9" s="225">
        <f t="shared" si="2"/>
        <v>38</v>
      </c>
      <c r="S9" s="225">
        <f t="shared" si="2"/>
        <v>63</v>
      </c>
      <c r="T9" s="225">
        <f t="shared" si="2"/>
        <v>68</v>
      </c>
      <c r="U9" s="225">
        <f t="shared" si="2"/>
        <v>74</v>
      </c>
      <c r="V9" s="225">
        <f t="shared" si="2"/>
        <v>82</v>
      </c>
      <c r="W9" s="225">
        <f t="shared" si="2"/>
        <v>84</v>
      </c>
      <c r="X9" s="225">
        <f t="shared" si="2"/>
        <v>73</v>
      </c>
      <c r="Y9" s="225">
        <f t="shared" si="2"/>
        <v>83</v>
      </c>
      <c r="Z9" s="225">
        <f t="shared" si="2"/>
        <v>126</v>
      </c>
      <c r="AA9" s="225">
        <f t="shared" si="2"/>
        <v>128</v>
      </c>
      <c r="AB9" s="225">
        <f t="shared" si="2"/>
        <v>32</v>
      </c>
      <c r="AC9" s="225">
        <f t="shared" si="2"/>
        <v>63</v>
      </c>
      <c r="AD9" s="225">
        <f t="shared" si="2"/>
        <v>84</v>
      </c>
      <c r="AE9" s="225">
        <f t="shared" si="2"/>
        <v>84</v>
      </c>
      <c r="AF9" s="225">
        <f t="shared" si="2"/>
        <v>85</v>
      </c>
      <c r="AG9" s="225">
        <f t="shared" si="2"/>
        <v>86</v>
      </c>
      <c r="AH9" s="225">
        <f t="shared" si="2"/>
        <v>88</v>
      </c>
      <c r="AI9" s="225">
        <f t="shared" si="2"/>
        <v>85</v>
      </c>
      <c r="AJ9" s="225">
        <f t="shared" si="2"/>
        <v>109</v>
      </c>
      <c r="AK9" s="225">
        <f t="shared" si="2"/>
        <v>92</v>
      </c>
      <c r="AL9" s="225">
        <f t="shared" ref="AL9:BB9" si="3">COUNTIFS($C$23:$C$676,$C$9,AL$23:AL$676,"1")</f>
        <v>110</v>
      </c>
      <c r="AM9" s="225">
        <f t="shared" si="3"/>
        <v>16</v>
      </c>
      <c r="AN9" s="225">
        <f t="shared" si="3"/>
        <v>34</v>
      </c>
      <c r="AO9" s="225">
        <f t="shared" si="3"/>
        <v>42</v>
      </c>
      <c r="AP9" s="225">
        <f t="shared" si="3"/>
        <v>59</v>
      </c>
      <c r="AQ9" s="225">
        <f t="shared" si="3"/>
        <v>59</v>
      </c>
      <c r="AR9" s="225">
        <f t="shared" si="3"/>
        <v>45</v>
      </c>
      <c r="AS9" s="225">
        <f t="shared" si="3"/>
        <v>46</v>
      </c>
      <c r="AT9" s="225">
        <f t="shared" si="3"/>
        <v>50</v>
      </c>
      <c r="AU9" s="225">
        <f t="shared" si="3"/>
        <v>50</v>
      </c>
      <c r="AV9" s="225">
        <f t="shared" si="3"/>
        <v>43</v>
      </c>
      <c r="AW9" s="225">
        <f t="shared" si="3"/>
        <v>43</v>
      </c>
      <c r="AX9" s="225">
        <f t="shared" si="3"/>
        <v>122</v>
      </c>
      <c r="AY9" s="225">
        <f t="shared" si="3"/>
        <v>121</v>
      </c>
      <c r="AZ9" s="225">
        <f t="shared" si="3"/>
        <v>126</v>
      </c>
      <c r="BA9" s="225">
        <f t="shared" si="3"/>
        <v>133</v>
      </c>
      <c r="BB9" s="225">
        <f t="shared" si="3"/>
        <v>97</v>
      </c>
      <c r="BC9" s="226">
        <v>94</v>
      </c>
    </row>
    <row r="10" spans="1:55" ht="21" customHeight="1">
      <c r="A10" s="212"/>
      <c r="B10" s="225">
        <v>3</v>
      </c>
      <c r="C10" s="225" t="s">
        <v>387</v>
      </c>
      <c r="D10" s="478"/>
      <c r="E10" s="479"/>
      <c r="F10" s="225">
        <f t="shared" ref="F10:AK10" si="4">COUNTIFS($C$23:$C$676,$C$10,F$23:F$676,"1")</f>
        <v>1</v>
      </c>
      <c r="G10" s="225">
        <f t="shared" si="4"/>
        <v>0</v>
      </c>
      <c r="H10" s="225">
        <f t="shared" si="4"/>
        <v>2</v>
      </c>
      <c r="I10" s="225">
        <f t="shared" si="4"/>
        <v>2</v>
      </c>
      <c r="J10" s="225">
        <f t="shared" si="4"/>
        <v>3</v>
      </c>
      <c r="K10" s="225">
        <f t="shared" si="4"/>
        <v>4</v>
      </c>
      <c r="L10" s="225">
        <f t="shared" si="4"/>
        <v>4</v>
      </c>
      <c r="M10" s="225">
        <f t="shared" si="4"/>
        <v>7</v>
      </c>
      <c r="N10" s="225">
        <f t="shared" si="4"/>
        <v>4</v>
      </c>
      <c r="O10" s="225">
        <f t="shared" si="4"/>
        <v>5</v>
      </c>
      <c r="P10" s="225">
        <f t="shared" si="4"/>
        <v>8</v>
      </c>
      <c r="Q10" s="225">
        <f t="shared" si="4"/>
        <v>1</v>
      </c>
      <c r="R10" s="225">
        <f t="shared" si="4"/>
        <v>0</v>
      </c>
      <c r="S10" s="225">
        <f t="shared" si="4"/>
        <v>2</v>
      </c>
      <c r="T10" s="225">
        <f t="shared" si="4"/>
        <v>2</v>
      </c>
      <c r="U10" s="225">
        <f t="shared" si="4"/>
        <v>2</v>
      </c>
      <c r="V10" s="225">
        <f t="shared" si="4"/>
        <v>3</v>
      </c>
      <c r="W10" s="225">
        <f t="shared" si="4"/>
        <v>4</v>
      </c>
      <c r="X10" s="225">
        <f t="shared" si="4"/>
        <v>3</v>
      </c>
      <c r="Y10" s="225">
        <f t="shared" si="4"/>
        <v>4</v>
      </c>
      <c r="Z10" s="225">
        <f t="shared" si="4"/>
        <v>2</v>
      </c>
      <c r="AA10" s="225">
        <f t="shared" si="4"/>
        <v>3</v>
      </c>
      <c r="AB10" s="225">
        <f t="shared" si="4"/>
        <v>2</v>
      </c>
      <c r="AC10" s="225">
        <f t="shared" si="4"/>
        <v>0</v>
      </c>
      <c r="AD10" s="225">
        <f t="shared" si="4"/>
        <v>3</v>
      </c>
      <c r="AE10" s="225">
        <f t="shared" si="4"/>
        <v>3</v>
      </c>
      <c r="AF10" s="225">
        <f t="shared" si="4"/>
        <v>5</v>
      </c>
      <c r="AG10" s="225">
        <f t="shared" si="4"/>
        <v>4</v>
      </c>
      <c r="AH10" s="225">
        <f t="shared" si="4"/>
        <v>6</v>
      </c>
      <c r="AI10" s="225">
        <f t="shared" si="4"/>
        <v>6</v>
      </c>
      <c r="AJ10" s="225">
        <f t="shared" si="4"/>
        <v>4</v>
      </c>
      <c r="AK10" s="225">
        <f t="shared" si="4"/>
        <v>5</v>
      </c>
      <c r="AL10" s="225">
        <f t="shared" ref="AL10:BB10" si="5">COUNTIFS($C$23:$C$676,$C$10,AL$23:AL$676,"1")</f>
        <v>5</v>
      </c>
      <c r="AM10" s="225">
        <f t="shared" si="5"/>
        <v>2</v>
      </c>
      <c r="AN10" s="225">
        <f t="shared" si="5"/>
        <v>1</v>
      </c>
      <c r="AO10" s="225">
        <f t="shared" si="5"/>
        <v>0</v>
      </c>
      <c r="AP10" s="225">
        <f t="shared" si="5"/>
        <v>1</v>
      </c>
      <c r="AQ10" s="225">
        <f t="shared" si="5"/>
        <v>1</v>
      </c>
      <c r="AR10" s="225">
        <f t="shared" si="5"/>
        <v>0</v>
      </c>
      <c r="AS10" s="225">
        <f t="shared" si="5"/>
        <v>2</v>
      </c>
      <c r="AT10" s="225">
        <f t="shared" si="5"/>
        <v>4</v>
      </c>
      <c r="AU10" s="225">
        <f t="shared" si="5"/>
        <v>4</v>
      </c>
      <c r="AV10" s="225">
        <f t="shared" si="5"/>
        <v>0</v>
      </c>
      <c r="AW10" s="225">
        <f t="shared" si="5"/>
        <v>0</v>
      </c>
      <c r="AX10" s="225">
        <f t="shared" si="5"/>
        <v>4</v>
      </c>
      <c r="AY10" s="225">
        <f t="shared" si="5"/>
        <v>6</v>
      </c>
      <c r="AZ10" s="225">
        <f t="shared" si="5"/>
        <v>3</v>
      </c>
      <c r="BA10" s="225">
        <f t="shared" si="5"/>
        <v>4</v>
      </c>
      <c r="BB10" s="225">
        <f t="shared" si="5"/>
        <v>0</v>
      </c>
      <c r="BC10" s="226">
        <v>0</v>
      </c>
    </row>
    <row r="11" spans="1:55" ht="21" customHeight="1">
      <c r="A11" s="212"/>
      <c r="B11" s="225">
        <v>4</v>
      </c>
      <c r="C11" s="225" t="s">
        <v>388</v>
      </c>
      <c r="D11" s="478"/>
      <c r="E11" s="479"/>
      <c r="F11" s="225">
        <f t="shared" ref="F11:AK11" si="6">COUNTIFS($C$23:$C$676,$C$11,F$23:F$676,"1")</f>
        <v>0</v>
      </c>
      <c r="G11" s="225">
        <f t="shared" si="6"/>
        <v>0</v>
      </c>
      <c r="H11" s="225">
        <f t="shared" si="6"/>
        <v>0</v>
      </c>
      <c r="I11" s="225">
        <f t="shared" si="6"/>
        <v>0</v>
      </c>
      <c r="J11" s="225">
        <f t="shared" si="6"/>
        <v>0</v>
      </c>
      <c r="K11" s="225">
        <f t="shared" si="6"/>
        <v>0</v>
      </c>
      <c r="L11" s="225">
        <f t="shared" si="6"/>
        <v>1</v>
      </c>
      <c r="M11" s="225">
        <f t="shared" si="6"/>
        <v>2</v>
      </c>
      <c r="N11" s="225">
        <f t="shared" si="6"/>
        <v>2</v>
      </c>
      <c r="O11" s="225">
        <f t="shared" si="6"/>
        <v>3</v>
      </c>
      <c r="P11" s="225">
        <f t="shared" si="6"/>
        <v>4</v>
      </c>
      <c r="Q11" s="225">
        <f t="shared" si="6"/>
        <v>1</v>
      </c>
      <c r="R11" s="225">
        <f t="shared" si="6"/>
        <v>0</v>
      </c>
      <c r="S11" s="225">
        <f t="shared" si="6"/>
        <v>0</v>
      </c>
      <c r="T11" s="225">
        <f t="shared" si="6"/>
        <v>1</v>
      </c>
      <c r="U11" s="225">
        <f t="shared" si="6"/>
        <v>1</v>
      </c>
      <c r="V11" s="225">
        <f t="shared" si="6"/>
        <v>1</v>
      </c>
      <c r="W11" s="225">
        <f t="shared" si="6"/>
        <v>1</v>
      </c>
      <c r="X11" s="225">
        <f t="shared" si="6"/>
        <v>4</v>
      </c>
      <c r="Y11" s="225">
        <f t="shared" si="6"/>
        <v>2</v>
      </c>
      <c r="Z11" s="225">
        <f t="shared" si="6"/>
        <v>4</v>
      </c>
      <c r="AA11" s="225">
        <f t="shared" si="6"/>
        <v>2</v>
      </c>
      <c r="AB11" s="225">
        <f t="shared" si="6"/>
        <v>1</v>
      </c>
      <c r="AC11" s="225">
        <f t="shared" si="6"/>
        <v>1</v>
      </c>
      <c r="AD11" s="225">
        <f t="shared" si="6"/>
        <v>1</v>
      </c>
      <c r="AE11" s="225">
        <f t="shared" si="6"/>
        <v>1</v>
      </c>
      <c r="AF11" s="225">
        <f t="shared" si="6"/>
        <v>1</v>
      </c>
      <c r="AG11" s="225">
        <f t="shared" si="6"/>
        <v>1</v>
      </c>
      <c r="AH11" s="225">
        <f t="shared" si="6"/>
        <v>1</v>
      </c>
      <c r="AI11" s="225">
        <f t="shared" si="6"/>
        <v>2</v>
      </c>
      <c r="AJ11" s="225">
        <f t="shared" si="6"/>
        <v>2</v>
      </c>
      <c r="AK11" s="225">
        <f t="shared" si="6"/>
        <v>4</v>
      </c>
      <c r="AL11" s="225">
        <f t="shared" ref="AL11:BB11" si="7">COUNTIFS($C$23:$C$676,$C$11,AL$23:AL$676,"1")</f>
        <v>4</v>
      </c>
      <c r="AM11" s="225">
        <f t="shared" si="7"/>
        <v>1</v>
      </c>
      <c r="AN11" s="225">
        <f t="shared" si="7"/>
        <v>1</v>
      </c>
      <c r="AO11" s="225">
        <f t="shared" si="7"/>
        <v>0</v>
      </c>
      <c r="AP11" s="225">
        <f t="shared" si="7"/>
        <v>1</v>
      </c>
      <c r="AQ11" s="225">
        <f t="shared" si="7"/>
        <v>0</v>
      </c>
      <c r="AR11" s="225">
        <f t="shared" si="7"/>
        <v>0</v>
      </c>
      <c r="AS11" s="225">
        <f t="shared" si="7"/>
        <v>0</v>
      </c>
      <c r="AT11" s="225">
        <f t="shared" si="7"/>
        <v>0</v>
      </c>
      <c r="AU11" s="225">
        <f t="shared" si="7"/>
        <v>0</v>
      </c>
      <c r="AV11" s="225">
        <f t="shared" si="7"/>
        <v>1</v>
      </c>
      <c r="AW11" s="225">
        <f t="shared" si="7"/>
        <v>1</v>
      </c>
      <c r="AX11" s="225">
        <f t="shared" si="7"/>
        <v>8</v>
      </c>
      <c r="AY11" s="225">
        <f t="shared" si="7"/>
        <v>8</v>
      </c>
      <c r="AZ11" s="225">
        <f t="shared" si="7"/>
        <v>2</v>
      </c>
      <c r="BA11" s="225">
        <f t="shared" si="7"/>
        <v>3</v>
      </c>
      <c r="BB11" s="225">
        <f t="shared" si="7"/>
        <v>2</v>
      </c>
      <c r="BC11" s="226">
        <v>2</v>
      </c>
    </row>
    <row r="12" spans="1:55" s="374" customFormat="1" ht="21" customHeight="1">
      <c r="A12" s="227"/>
      <c r="B12" s="228">
        <v>5</v>
      </c>
      <c r="C12" s="228" t="s">
        <v>389</v>
      </c>
      <c r="D12" s="480"/>
      <c r="E12" s="481"/>
      <c r="F12" s="228">
        <f t="shared" ref="F12:AK12" si="8">COUNTIFS($C$23:$C$676,$C$12,F$23:F$676,"1")</f>
        <v>0</v>
      </c>
      <c r="G12" s="228">
        <f t="shared" si="8"/>
        <v>0</v>
      </c>
      <c r="H12" s="228">
        <f t="shared" si="8"/>
        <v>1</v>
      </c>
      <c r="I12" s="228">
        <f t="shared" si="8"/>
        <v>1</v>
      </c>
      <c r="J12" s="228">
        <f t="shared" si="8"/>
        <v>2</v>
      </c>
      <c r="K12" s="228">
        <f t="shared" si="8"/>
        <v>2</v>
      </c>
      <c r="L12" s="228">
        <f t="shared" si="8"/>
        <v>2</v>
      </c>
      <c r="M12" s="228">
        <f t="shared" si="8"/>
        <v>3</v>
      </c>
      <c r="N12" s="228">
        <f t="shared" si="8"/>
        <v>1</v>
      </c>
      <c r="O12" s="228">
        <f t="shared" si="8"/>
        <v>9</v>
      </c>
      <c r="P12" s="228">
        <f t="shared" si="8"/>
        <v>39</v>
      </c>
      <c r="Q12" s="228">
        <f t="shared" si="8"/>
        <v>0</v>
      </c>
      <c r="R12" s="228">
        <f t="shared" si="8"/>
        <v>0</v>
      </c>
      <c r="S12" s="228">
        <f t="shared" si="8"/>
        <v>1</v>
      </c>
      <c r="T12" s="228">
        <f t="shared" si="8"/>
        <v>1</v>
      </c>
      <c r="U12" s="228">
        <f t="shared" si="8"/>
        <v>1</v>
      </c>
      <c r="V12" s="228">
        <f t="shared" si="8"/>
        <v>1</v>
      </c>
      <c r="W12" s="228">
        <f t="shared" si="8"/>
        <v>1</v>
      </c>
      <c r="X12" s="228">
        <f t="shared" si="8"/>
        <v>1</v>
      </c>
      <c r="Y12" s="228">
        <f t="shared" si="8"/>
        <v>1</v>
      </c>
      <c r="Z12" s="228">
        <f t="shared" si="8"/>
        <v>7</v>
      </c>
      <c r="AA12" s="228">
        <f t="shared" si="8"/>
        <v>41</v>
      </c>
      <c r="AB12" s="228">
        <f t="shared" si="8"/>
        <v>0</v>
      </c>
      <c r="AC12" s="228">
        <f t="shared" si="8"/>
        <v>1</v>
      </c>
      <c r="AD12" s="228">
        <f t="shared" si="8"/>
        <v>2</v>
      </c>
      <c r="AE12" s="228">
        <f t="shared" si="8"/>
        <v>2</v>
      </c>
      <c r="AF12" s="228">
        <f t="shared" si="8"/>
        <v>2</v>
      </c>
      <c r="AG12" s="228">
        <f t="shared" si="8"/>
        <v>2</v>
      </c>
      <c r="AH12" s="228">
        <f t="shared" si="8"/>
        <v>2</v>
      </c>
      <c r="AI12" s="228">
        <f t="shared" si="8"/>
        <v>3</v>
      </c>
      <c r="AJ12" s="228">
        <f t="shared" si="8"/>
        <v>1</v>
      </c>
      <c r="AK12" s="228">
        <f t="shared" si="8"/>
        <v>6</v>
      </c>
      <c r="AL12" s="228">
        <f t="shared" ref="AL12:BB12" si="9">COUNTIFS($C$23:$C$676,$C$12,AL$23:AL$676,"1")</f>
        <v>43</v>
      </c>
      <c r="AM12" s="228">
        <f t="shared" si="9"/>
        <v>0</v>
      </c>
      <c r="AN12" s="228">
        <f t="shared" si="9"/>
        <v>0</v>
      </c>
      <c r="AO12" s="228">
        <f t="shared" si="9"/>
        <v>1</v>
      </c>
      <c r="AP12" s="228">
        <f t="shared" si="9"/>
        <v>1</v>
      </c>
      <c r="AQ12" s="228">
        <f t="shared" si="9"/>
        <v>0</v>
      </c>
      <c r="AR12" s="228">
        <f t="shared" si="9"/>
        <v>1</v>
      </c>
      <c r="AS12" s="228">
        <f t="shared" si="9"/>
        <v>1</v>
      </c>
      <c r="AT12" s="228">
        <f t="shared" si="9"/>
        <v>1</v>
      </c>
      <c r="AU12" s="228">
        <f t="shared" si="9"/>
        <v>1</v>
      </c>
      <c r="AV12" s="228">
        <f t="shared" si="9"/>
        <v>5</v>
      </c>
      <c r="AW12" s="228">
        <f t="shared" si="9"/>
        <v>39</v>
      </c>
      <c r="AX12" s="228">
        <f t="shared" si="9"/>
        <v>9</v>
      </c>
      <c r="AY12" s="228">
        <f t="shared" si="9"/>
        <v>36</v>
      </c>
      <c r="AZ12" s="228">
        <f t="shared" si="9"/>
        <v>8</v>
      </c>
      <c r="BA12" s="228">
        <f t="shared" si="9"/>
        <v>37</v>
      </c>
      <c r="BB12" s="228">
        <f t="shared" si="9"/>
        <v>7</v>
      </c>
      <c r="BC12" s="229">
        <v>3</v>
      </c>
    </row>
    <row r="13" spans="1:55" ht="21" customHeight="1">
      <c r="A13" s="212"/>
      <c r="B13" s="225">
        <v>6</v>
      </c>
      <c r="C13" s="225" t="s">
        <v>390</v>
      </c>
      <c r="D13" s="478"/>
      <c r="E13" s="479"/>
      <c r="F13" s="225">
        <f t="shared" ref="F13:AK13" si="10">COUNTIFS($C$23:$C$676,$C$13,F$23:F$676,"1")</f>
        <v>0</v>
      </c>
      <c r="G13" s="225">
        <f t="shared" si="10"/>
        <v>0</v>
      </c>
      <c r="H13" s="225">
        <f t="shared" si="10"/>
        <v>0</v>
      </c>
      <c r="I13" s="225">
        <f t="shared" si="10"/>
        <v>0</v>
      </c>
      <c r="J13" s="225">
        <f t="shared" si="10"/>
        <v>0</v>
      </c>
      <c r="K13" s="225">
        <f t="shared" si="10"/>
        <v>0</v>
      </c>
      <c r="L13" s="225">
        <f t="shared" si="10"/>
        <v>0</v>
      </c>
      <c r="M13" s="225">
        <f t="shared" si="10"/>
        <v>0</v>
      </c>
      <c r="N13" s="225">
        <f t="shared" si="10"/>
        <v>0</v>
      </c>
      <c r="O13" s="225">
        <f t="shared" si="10"/>
        <v>16</v>
      </c>
      <c r="P13" s="225">
        <f t="shared" si="10"/>
        <v>20</v>
      </c>
      <c r="Q13" s="225">
        <f t="shared" si="10"/>
        <v>0</v>
      </c>
      <c r="R13" s="225">
        <f t="shared" si="10"/>
        <v>0</v>
      </c>
      <c r="S13" s="225">
        <f t="shared" si="10"/>
        <v>0</v>
      </c>
      <c r="T13" s="225">
        <f t="shared" si="10"/>
        <v>0</v>
      </c>
      <c r="U13" s="225">
        <f t="shared" si="10"/>
        <v>0</v>
      </c>
      <c r="V13" s="225">
        <f t="shared" si="10"/>
        <v>0</v>
      </c>
      <c r="W13" s="225">
        <f t="shared" si="10"/>
        <v>0</v>
      </c>
      <c r="X13" s="225">
        <f t="shared" si="10"/>
        <v>0</v>
      </c>
      <c r="Y13" s="225">
        <f t="shared" si="10"/>
        <v>0</v>
      </c>
      <c r="Z13" s="225">
        <f t="shared" si="10"/>
        <v>15</v>
      </c>
      <c r="AA13" s="225">
        <f t="shared" si="10"/>
        <v>20</v>
      </c>
      <c r="AB13" s="225">
        <f t="shared" si="10"/>
        <v>0</v>
      </c>
      <c r="AC13" s="225">
        <f t="shared" si="10"/>
        <v>0</v>
      </c>
      <c r="AD13" s="225">
        <f t="shared" si="10"/>
        <v>0</v>
      </c>
      <c r="AE13" s="225">
        <f t="shared" si="10"/>
        <v>0</v>
      </c>
      <c r="AF13" s="225">
        <f t="shared" si="10"/>
        <v>0</v>
      </c>
      <c r="AG13" s="225">
        <f t="shared" si="10"/>
        <v>0</v>
      </c>
      <c r="AH13" s="225">
        <f t="shared" si="10"/>
        <v>0</v>
      </c>
      <c r="AI13" s="225">
        <f t="shared" si="10"/>
        <v>0</v>
      </c>
      <c r="AJ13" s="225">
        <f t="shared" si="10"/>
        <v>0</v>
      </c>
      <c r="AK13" s="225">
        <f t="shared" si="10"/>
        <v>0</v>
      </c>
      <c r="AL13" s="225">
        <f t="shared" ref="AL13:BB13" si="11">COUNTIFS($C$23:$C$676,$C$13,AL$23:AL$676,"1")</f>
        <v>0</v>
      </c>
      <c r="AM13" s="225">
        <f t="shared" si="11"/>
        <v>0</v>
      </c>
      <c r="AN13" s="225">
        <f t="shared" si="11"/>
        <v>0</v>
      </c>
      <c r="AO13" s="225">
        <f t="shared" si="11"/>
        <v>0</v>
      </c>
      <c r="AP13" s="225">
        <f t="shared" si="11"/>
        <v>0</v>
      </c>
      <c r="AQ13" s="225">
        <f t="shared" si="11"/>
        <v>0</v>
      </c>
      <c r="AR13" s="225">
        <f t="shared" si="11"/>
        <v>0</v>
      </c>
      <c r="AS13" s="225">
        <f t="shared" si="11"/>
        <v>0</v>
      </c>
      <c r="AT13" s="225">
        <f t="shared" si="11"/>
        <v>0</v>
      </c>
      <c r="AU13" s="225">
        <f t="shared" si="11"/>
        <v>0</v>
      </c>
      <c r="AV13" s="225">
        <f t="shared" si="11"/>
        <v>0</v>
      </c>
      <c r="AW13" s="225">
        <f t="shared" si="11"/>
        <v>0</v>
      </c>
      <c r="AX13" s="225">
        <f t="shared" si="11"/>
        <v>0</v>
      </c>
      <c r="AY13" s="225">
        <f t="shared" si="11"/>
        <v>4</v>
      </c>
      <c r="AZ13" s="225">
        <f t="shared" si="11"/>
        <v>0</v>
      </c>
      <c r="BA13" s="225">
        <f t="shared" si="11"/>
        <v>0</v>
      </c>
      <c r="BB13" s="225">
        <f t="shared" si="11"/>
        <v>0</v>
      </c>
      <c r="BC13" s="226">
        <v>0</v>
      </c>
    </row>
    <row r="14" spans="1:55" s="374" customFormat="1" ht="21" customHeight="1">
      <c r="A14" s="227"/>
      <c r="B14" s="228">
        <v>7</v>
      </c>
      <c r="C14" s="228" t="s">
        <v>391</v>
      </c>
      <c r="D14" s="480"/>
      <c r="E14" s="481"/>
      <c r="F14" s="228">
        <f t="shared" ref="F14:AK14" si="12">COUNTIFS($C$23:$C$676,$C$14,F$23:F$676,"1")</f>
        <v>0</v>
      </c>
      <c r="G14" s="228">
        <f t="shared" si="12"/>
        <v>0</v>
      </c>
      <c r="H14" s="228">
        <f t="shared" si="12"/>
        <v>0</v>
      </c>
      <c r="I14" s="228">
        <f t="shared" si="12"/>
        <v>0</v>
      </c>
      <c r="J14" s="228">
        <f t="shared" si="12"/>
        <v>0</v>
      </c>
      <c r="K14" s="228">
        <f t="shared" si="12"/>
        <v>0</v>
      </c>
      <c r="L14" s="228">
        <f t="shared" si="12"/>
        <v>0</v>
      </c>
      <c r="M14" s="228">
        <f t="shared" si="12"/>
        <v>0</v>
      </c>
      <c r="N14" s="228">
        <f t="shared" si="12"/>
        <v>0</v>
      </c>
      <c r="O14" s="228">
        <f t="shared" si="12"/>
        <v>0</v>
      </c>
      <c r="P14" s="228">
        <f t="shared" si="12"/>
        <v>0</v>
      </c>
      <c r="Q14" s="228">
        <f t="shared" si="12"/>
        <v>0</v>
      </c>
      <c r="R14" s="228">
        <f t="shared" si="12"/>
        <v>0</v>
      </c>
      <c r="S14" s="228">
        <f t="shared" si="12"/>
        <v>0</v>
      </c>
      <c r="T14" s="228">
        <f t="shared" si="12"/>
        <v>0</v>
      </c>
      <c r="U14" s="228">
        <f t="shared" si="12"/>
        <v>0</v>
      </c>
      <c r="V14" s="228">
        <f t="shared" si="12"/>
        <v>0</v>
      </c>
      <c r="W14" s="228">
        <f t="shared" si="12"/>
        <v>0</v>
      </c>
      <c r="X14" s="228">
        <f t="shared" si="12"/>
        <v>0</v>
      </c>
      <c r="Y14" s="228">
        <f t="shared" si="12"/>
        <v>0</v>
      </c>
      <c r="Z14" s="228">
        <f t="shared" si="12"/>
        <v>0</v>
      </c>
      <c r="AA14" s="228">
        <f t="shared" si="12"/>
        <v>0</v>
      </c>
      <c r="AB14" s="228">
        <f t="shared" si="12"/>
        <v>0</v>
      </c>
      <c r="AC14" s="228">
        <f t="shared" si="12"/>
        <v>0</v>
      </c>
      <c r="AD14" s="228">
        <f t="shared" si="12"/>
        <v>0</v>
      </c>
      <c r="AE14" s="228">
        <f t="shared" si="12"/>
        <v>0</v>
      </c>
      <c r="AF14" s="228">
        <f t="shared" si="12"/>
        <v>0</v>
      </c>
      <c r="AG14" s="228">
        <f t="shared" si="12"/>
        <v>0</v>
      </c>
      <c r="AH14" s="228">
        <f t="shared" si="12"/>
        <v>0</v>
      </c>
      <c r="AI14" s="228">
        <f t="shared" si="12"/>
        <v>0</v>
      </c>
      <c r="AJ14" s="228">
        <f t="shared" si="12"/>
        <v>0</v>
      </c>
      <c r="AK14" s="228">
        <f t="shared" si="12"/>
        <v>0</v>
      </c>
      <c r="AL14" s="228">
        <f t="shared" ref="AL14:BB14" si="13">COUNTIFS($C$23:$C$676,$C$14,AL$23:AL$676,"1")</f>
        <v>0</v>
      </c>
      <c r="AM14" s="228">
        <f t="shared" si="13"/>
        <v>0</v>
      </c>
      <c r="AN14" s="228">
        <f t="shared" si="13"/>
        <v>0</v>
      </c>
      <c r="AO14" s="228">
        <f t="shared" si="13"/>
        <v>0</v>
      </c>
      <c r="AP14" s="228">
        <f t="shared" si="13"/>
        <v>0</v>
      </c>
      <c r="AQ14" s="228">
        <f t="shared" si="13"/>
        <v>0</v>
      </c>
      <c r="AR14" s="228">
        <f t="shared" si="13"/>
        <v>0</v>
      </c>
      <c r="AS14" s="228">
        <f t="shared" si="13"/>
        <v>0</v>
      </c>
      <c r="AT14" s="228">
        <f t="shared" si="13"/>
        <v>0</v>
      </c>
      <c r="AU14" s="228">
        <f t="shared" si="13"/>
        <v>0</v>
      </c>
      <c r="AV14" s="228">
        <f t="shared" si="13"/>
        <v>0</v>
      </c>
      <c r="AW14" s="228">
        <f t="shared" si="13"/>
        <v>0</v>
      </c>
      <c r="AX14" s="228">
        <f t="shared" si="13"/>
        <v>0</v>
      </c>
      <c r="AY14" s="228">
        <f t="shared" si="13"/>
        <v>0</v>
      </c>
      <c r="AZ14" s="228">
        <f t="shared" si="13"/>
        <v>0</v>
      </c>
      <c r="BA14" s="228">
        <f t="shared" si="13"/>
        <v>0</v>
      </c>
      <c r="BB14" s="228">
        <f t="shared" si="13"/>
        <v>0</v>
      </c>
      <c r="BC14" s="229">
        <v>0</v>
      </c>
    </row>
    <row r="15" spans="1:55" ht="21" customHeight="1">
      <c r="A15" s="212"/>
      <c r="B15" s="225">
        <v>8</v>
      </c>
      <c r="C15" s="225" t="s">
        <v>392</v>
      </c>
      <c r="D15" s="478"/>
      <c r="E15" s="479"/>
      <c r="F15" s="225">
        <f t="shared" ref="F15:AK15" si="14">COUNTIFS($C$23:$C$676,$C$15,F$23:F$676,"1")</f>
        <v>0</v>
      </c>
      <c r="G15" s="225">
        <f t="shared" si="14"/>
        <v>0</v>
      </c>
      <c r="H15" s="225">
        <f t="shared" si="14"/>
        <v>0</v>
      </c>
      <c r="I15" s="225">
        <f t="shared" si="14"/>
        <v>0</v>
      </c>
      <c r="J15" s="225">
        <f t="shared" si="14"/>
        <v>0</v>
      </c>
      <c r="K15" s="225">
        <f t="shared" si="14"/>
        <v>0</v>
      </c>
      <c r="L15" s="225">
        <f t="shared" si="14"/>
        <v>0</v>
      </c>
      <c r="M15" s="225">
        <f t="shared" si="14"/>
        <v>0</v>
      </c>
      <c r="N15" s="225">
        <f t="shared" si="14"/>
        <v>0</v>
      </c>
      <c r="O15" s="225">
        <f t="shared" si="14"/>
        <v>0</v>
      </c>
      <c r="P15" s="225">
        <f t="shared" si="14"/>
        <v>0</v>
      </c>
      <c r="Q15" s="225">
        <f t="shared" si="14"/>
        <v>0</v>
      </c>
      <c r="R15" s="225">
        <f t="shared" si="14"/>
        <v>0</v>
      </c>
      <c r="S15" s="225">
        <f t="shared" si="14"/>
        <v>0</v>
      </c>
      <c r="T15" s="225">
        <f t="shared" si="14"/>
        <v>0</v>
      </c>
      <c r="U15" s="225">
        <f t="shared" si="14"/>
        <v>0</v>
      </c>
      <c r="V15" s="225">
        <f t="shared" si="14"/>
        <v>0</v>
      </c>
      <c r="W15" s="225">
        <f t="shared" si="14"/>
        <v>0</v>
      </c>
      <c r="X15" s="225">
        <f t="shared" si="14"/>
        <v>0</v>
      </c>
      <c r="Y15" s="225">
        <f t="shared" si="14"/>
        <v>0</v>
      </c>
      <c r="Z15" s="225">
        <f t="shared" si="14"/>
        <v>0</v>
      </c>
      <c r="AA15" s="225">
        <f t="shared" si="14"/>
        <v>1</v>
      </c>
      <c r="AB15" s="225">
        <f t="shared" si="14"/>
        <v>0</v>
      </c>
      <c r="AC15" s="225">
        <f t="shared" si="14"/>
        <v>0</v>
      </c>
      <c r="AD15" s="225">
        <f t="shared" si="14"/>
        <v>0</v>
      </c>
      <c r="AE15" s="225">
        <f t="shared" si="14"/>
        <v>0</v>
      </c>
      <c r="AF15" s="225">
        <f t="shared" si="14"/>
        <v>0</v>
      </c>
      <c r="AG15" s="225">
        <f t="shared" si="14"/>
        <v>0</v>
      </c>
      <c r="AH15" s="225">
        <f t="shared" si="14"/>
        <v>0</v>
      </c>
      <c r="AI15" s="225">
        <f t="shared" si="14"/>
        <v>0</v>
      </c>
      <c r="AJ15" s="225">
        <f t="shared" si="14"/>
        <v>0</v>
      </c>
      <c r="AK15" s="225">
        <f t="shared" si="14"/>
        <v>0</v>
      </c>
      <c r="AL15" s="225">
        <f t="shared" ref="AL15:BB15" si="15">COUNTIFS($C$23:$C$676,$C$15,AL$23:AL$676,"1")</f>
        <v>0</v>
      </c>
      <c r="AM15" s="225">
        <f t="shared" si="15"/>
        <v>0</v>
      </c>
      <c r="AN15" s="225">
        <f t="shared" si="15"/>
        <v>0</v>
      </c>
      <c r="AO15" s="225">
        <f t="shared" si="15"/>
        <v>0</v>
      </c>
      <c r="AP15" s="225">
        <f t="shared" si="15"/>
        <v>0</v>
      </c>
      <c r="AQ15" s="225">
        <f t="shared" si="15"/>
        <v>0</v>
      </c>
      <c r="AR15" s="225">
        <f t="shared" si="15"/>
        <v>0</v>
      </c>
      <c r="AS15" s="225">
        <f t="shared" si="15"/>
        <v>0</v>
      </c>
      <c r="AT15" s="225">
        <f t="shared" si="15"/>
        <v>0</v>
      </c>
      <c r="AU15" s="225">
        <f t="shared" si="15"/>
        <v>0</v>
      </c>
      <c r="AV15" s="225">
        <f t="shared" si="15"/>
        <v>0</v>
      </c>
      <c r="AW15" s="225">
        <f t="shared" si="15"/>
        <v>0</v>
      </c>
      <c r="AX15" s="225">
        <f t="shared" si="15"/>
        <v>0</v>
      </c>
      <c r="AY15" s="225">
        <f t="shared" si="15"/>
        <v>0</v>
      </c>
      <c r="AZ15" s="225">
        <f t="shared" si="15"/>
        <v>2</v>
      </c>
      <c r="BA15" s="225">
        <f t="shared" si="15"/>
        <v>0</v>
      </c>
      <c r="BB15" s="225">
        <f t="shared" si="15"/>
        <v>0</v>
      </c>
      <c r="BC15" s="226">
        <v>0</v>
      </c>
    </row>
    <row r="16" spans="1:55" ht="21" customHeight="1">
      <c r="A16" s="212"/>
      <c r="B16" s="225">
        <v>9</v>
      </c>
      <c r="C16" s="225" t="s">
        <v>393</v>
      </c>
      <c r="D16" s="478"/>
      <c r="E16" s="479"/>
      <c r="F16" s="225">
        <f t="shared" ref="F16:AK16" si="16">COUNTIFS($C$23:$C$676,$C$16,F$23:F$676,"1")</f>
        <v>0</v>
      </c>
      <c r="G16" s="225">
        <f t="shared" si="16"/>
        <v>0</v>
      </c>
      <c r="H16" s="225">
        <f t="shared" si="16"/>
        <v>0</v>
      </c>
      <c r="I16" s="225">
        <f t="shared" si="16"/>
        <v>0</v>
      </c>
      <c r="J16" s="225">
        <f t="shared" si="16"/>
        <v>0</v>
      </c>
      <c r="K16" s="225">
        <f t="shared" si="16"/>
        <v>0</v>
      </c>
      <c r="L16" s="225">
        <f t="shared" si="16"/>
        <v>0</v>
      </c>
      <c r="M16" s="225">
        <f t="shared" si="16"/>
        <v>1</v>
      </c>
      <c r="N16" s="225">
        <f t="shared" si="16"/>
        <v>0</v>
      </c>
      <c r="O16" s="225">
        <f t="shared" si="16"/>
        <v>1</v>
      </c>
      <c r="P16" s="225">
        <f t="shared" si="16"/>
        <v>2</v>
      </c>
      <c r="Q16" s="225">
        <f t="shared" si="16"/>
        <v>0</v>
      </c>
      <c r="R16" s="225">
        <f t="shared" si="16"/>
        <v>0</v>
      </c>
      <c r="S16" s="225">
        <f t="shared" si="16"/>
        <v>0</v>
      </c>
      <c r="T16" s="225">
        <f t="shared" si="16"/>
        <v>0</v>
      </c>
      <c r="U16" s="225">
        <f t="shared" si="16"/>
        <v>0</v>
      </c>
      <c r="V16" s="225">
        <f t="shared" si="16"/>
        <v>0</v>
      </c>
      <c r="W16" s="225">
        <f t="shared" si="16"/>
        <v>0</v>
      </c>
      <c r="X16" s="225">
        <f t="shared" si="16"/>
        <v>1</v>
      </c>
      <c r="Y16" s="225">
        <f t="shared" si="16"/>
        <v>1</v>
      </c>
      <c r="Z16" s="225">
        <f t="shared" si="16"/>
        <v>1</v>
      </c>
      <c r="AA16" s="225">
        <f t="shared" si="16"/>
        <v>1</v>
      </c>
      <c r="AB16" s="225">
        <f t="shared" si="16"/>
        <v>0</v>
      </c>
      <c r="AC16" s="225">
        <f t="shared" si="16"/>
        <v>0</v>
      </c>
      <c r="AD16" s="225">
        <f t="shared" si="16"/>
        <v>0</v>
      </c>
      <c r="AE16" s="225">
        <f t="shared" si="16"/>
        <v>0</v>
      </c>
      <c r="AF16" s="225">
        <f t="shared" si="16"/>
        <v>0</v>
      </c>
      <c r="AG16" s="225">
        <f t="shared" si="16"/>
        <v>0</v>
      </c>
      <c r="AH16" s="225">
        <f t="shared" si="16"/>
        <v>0</v>
      </c>
      <c r="AI16" s="225">
        <f t="shared" si="16"/>
        <v>1</v>
      </c>
      <c r="AJ16" s="225">
        <f t="shared" si="16"/>
        <v>0</v>
      </c>
      <c r="AK16" s="225">
        <f t="shared" si="16"/>
        <v>1</v>
      </c>
      <c r="AL16" s="225">
        <f t="shared" ref="AL16:BB16" si="17">COUNTIFS($C$23:$C$676,$C$16,AL$23:AL$676,"1")</f>
        <v>2</v>
      </c>
      <c r="AM16" s="225">
        <f t="shared" si="17"/>
        <v>0</v>
      </c>
      <c r="AN16" s="225">
        <f t="shared" si="17"/>
        <v>0</v>
      </c>
      <c r="AO16" s="225">
        <f t="shared" si="17"/>
        <v>0</v>
      </c>
      <c r="AP16" s="225">
        <f t="shared" si="17"/>
        <v>0</v>
      </c>
      <c r="AQ16" s="225">
        <f t="shared" si="17"/>
        <v>0</v>
      </c>
      <c r="AR16" s="225">
        <f t="shared" si="17"/>
        <v>0</v>
      </c>
      <c r="AS16" s="225">
        <f t="shared" si="17"/>
        <v>0</v>
      </c>
      <c r="AT16" s="225">
        <f t="shared" si="17"/>
        <v>0</v>
      </c>
      <c r="AU16" s="225">
        <f t="shared" si="17"/>
        <v>0</v>
      </c>
      <c r="AV16" s="225">
        <f t="shared" si="17"/>
        <v>2</v>
      </c>
      <c r="AW16" s="225">
        <f t="shared" si="17"/>
        <v>2</v>
      </c>
      <c r="AX16" s="225">
        <f t="shared" si="17"/>
        <v>1</v>
      </c>
      <c r="AY16" s="225">
        <f t="shared" si="17"/>
        <v>2</v>
      </c>
      <c r="AZ16" s="225">
        <f t="shared" si="17"/>
        <v>0</v>
      </c>
      <c r="BA16" s="225">
        <f t="shared" si="17"/>
        <v>1</v>
      </c>
      <c r="BB16" s="225">
        <f t="shared" si="17"/>
        <v>1</v>
      </c>
      <c r="BC16" s="226">
        <v>1</v>
      </c>
    </row>
    <row r="17" spans="1:55" s="374" customFormat="1" ht="21" customHeight="1">
      <c r="A17" s="227"/>
      <c r="B17" s="228">
        <v>10</v>
      </c>
      <c r="C17" s="228" t="s">
        <v>394</v>
      </c>
      <c r="D17" s="480"/>
      <c r="E17" s="481"/>
      <c r="F17" s="228"/>
      <c r="G17" s="228"/>
      <c r="H17" s="228"/>
      <c r="I17" s="228"/>
      <c r="J17" s="228"/>
      <c r="K17" s="228"/>
      <c r="L17" s="228"/>
      <c r="M17" s="228"/>
      <c r="N17" s="228"/>
      <c r="O17" s="228"/>
      <c r="P17" s="228">
        <f>COUNTIFS($C$23:$C$676,$C$17,P$23:P$676,"1")</f>
        <v>27</v>
      </c>
      <c r="Q17" s="228"/>
      <c r="R17" s="228"/>
      <c r="S17" s="228"/>
      <c r="T17" s="228"/>
      <c r="U17" s="228"/>
      <c r="V17" s="228"/>
      <c r="W17" s="228"/>
      <c r="X17" s="228"/>
      <c r="Y17" s="228"/>
      <c r="Z17" s="228"/>
      <c r="AA17" s="228">
        <f>COUNTIFS($C$23:$C$676,$C$17,AA$23:AA$676,"1")</f>
        <v>31</v>
      </c>
      <c r="AB17" s="228"/>
      <c r="AC17" s="228"/>
      <c r="AD17" s="228"/>
      <c r="AE17" s="228"/>
      <c r="AF17" s="228"/>
      <c r="AG17" s="228"/>
      <c r="AH17" s="228"/>
      <c r="AI17" s="228"/>
      <c r="AJ17" s="228"/>
      <c r="AK17" s="228"/>
      <c r="AL17" s="228">
        <f>COUNTIFS($C$23:$C$676,$C$17,AL$23:AL$676,"1")</f>
        <v>32</v>
      </c>
      <c r="AM17" s="228"/>
      <c r="AN17" s="228"/>
      <c r="AO17" s="228"/>
      <c r="AP17" s="228"/>
      <c r="AQ17" s="228"/>
      <c r="AR17" s="228"/>
      <c r="AS17" s="228"/>
      <c r="AT17" s="228"/>
      <c r="AU17" s="228"/>
      <c r="AV17" s="228"/>
      <c r="AW17" s="228">
        <f>COUNTIFS($C$23:$C$676,$C$17,AW$23:AW$676,"1")</f>
        <v>31</v>
      </c>
      <c r="AX17" s="228"/>
      <c r="AY17" s="228">
        <f>COUNTIFS($C$23:$C$676,$C$17,AY$23:AY$676,"1")</f>
        <v>31</v>
      </c>
      <c r="AZ17" s="228"/>
      <c r="BA17" s="228">
        <f>COUNTIFS($C$23:$C$676,$C$17,BA$23:BA$676,"1")</f>
        <v>27</v>
      </c>
      <c r="BB17" s="228"/>
      <c r="BC17" s="229"/>
    </row>
    <row r="18" spans="1:55" ht="21" customHeight="1">
      <c r="A18" s="212"/>
      <c r="B18" s="225">
        <v>11</v>
      </c>
      <c r="C18" s="225" t="s">
        <v>395</v>
      </c>
      <c r="D18" s="478"/>
      <c r="E18" s="479"/>
      <c r="F18" s="225">
        <f t="shared" ref="F18:AK18" si="18">COUNTIFS($C$23:$C$676,$C$18,F$23:F$676,"1")</f>
        <v>3</v>
      </c>
      <c r="G18" s="225">
        <f t="shared" si="18"/>
        <v>24</v>
      </c>
      <c r="H18" s="225">
        <f t="shared" si="18"/>
        <v>47</v>
      </c>
      <c r="I18" s="225">
        <f t="shared" si="18"/>
        <v>49</v>
      </c>
      <c r="J18" s="225">
        <f t="shared" si="18"/>
        <v>63</v>
      </c>
      <c r="K18" s="225">
        <f t="shared" si="18"/>
        <v>71</v>
      </c>
      <c r="L18" s="225">
        <f t="shared" si="18"/>
        <v>75</v>
      </c>
      <c r="M18" s="225">
        <f t="shared" si="18"/>
        <v>106</v>
      </c>
      <c r="N18" s="225">
        <f t="shared" si="18"/>
        <v>76</v>
      </c>
      <c r="O18" s="225">
        <f t="shared" si="18"/>
        <v>82</v>
      </c>
      <c r="P18" s="225">
        <f t="shared" si="18"/>
        <v>91</v>
      </c>
      <c r="Q18" s="225">
        <f t="shared" si="18"/>
        <v>4</v>
      </c>
      <c r="R18" s="225">
        <f t="shared" si="18"/>
        <v>28</v>
      </c>
      <c r="S18" s="225">
        <f t="shared" si="18"/>
        <v>44</v>
      </c>
      <c r="T18" s="225">
        <f t="shared" si="18"/>
        <v>50</v>
      </c>
      <c r="U18" s="225">
        <f t="shared" si="18"/>
        <v>60</v>
      </c>
      <c r="V18" s="225">
        <f t="shared" si="18"/>
        <v>58</v>
      </c>
      <c r="W18" s="225">
        <f t="shared" si="18"/>
        <v>57</v>
      </c>
      <c r="X18" s="225">
        <f t="shared" si="18"/>
        <v>87</v>
      </c>
      <c r="Y18" s="225">
        <f t="shared" si="18"/>
        <v>85</v>
      </c>
      <c r="Z18" s="225">
        <f t="shared" si="18"/>
        <v>66</v>
      </c>
      <c r="AA18" s="225">
        <f t="shared" si="18"/>
        <v>75</v>
      </c>
      <c r="AB18" s="225">
        <f t="shared" si="18"/>
        <v>11</v>
      </c>
      <c r="AC18" s="225">
        <f t="shared" si="18"/>
        <v>35</v>
      </c>
      <c r="AD18" s="225">
        <f t="shared" si="18"/>
        <v>49</v>
      </c>
      <c r="AE18" s="225">
        <f t="shared" si="18"/>
        <v>52</v>
      </c>
      <c r="AF18" s="225">
        <f t="shared" si="18"/>
        <v>65</v>
      </c>
      <c r="AG18" s="225">
        <f t="shared" si="18"/>
        <v>69</v>
      </c>
      <c r="AH18" s="225">
        <f t="shared" si="18"/>
        <v>65</v>
      </c>
      <c r="AI18" s="225">
        <f t="shared" si="18"/>
        <v>116</v>
      </c>
      <c r="AJ18" s="225">
        <f t="shared" si="18"/>
        <v>80</v>
      </c>
      <c r="AK18" s="225">
        <f t="shared" si="18"/>
        <v>73</v>
      </c>
      <c r="AL18" s="225">
        <f t="shared" ref="AL18:BB18" si="19">COUNTIFS($C$23:$C$676,$C$18,AL$23:AL$676,"1")</f>
        <v>86</v>
      </c>
      <c r="AM18" s="225">
        <f t="shared" si="19"/>
        <v>5</v>
      </c>
      <c r="AN18" s="225">
        <f t="shared" si="19"/>
        <v>15</v>
      </c>
      <c r="AO18" s="225">
        <f t="shared" si="19"/>
        <v>36</v>
      </c>
      <c r="AP18" s="225">
        <f t="shared" si="19"/>
        <v>37</v>
      </c>
      <c r="AQ18" s="225">
        <f t="shared" si="19"/>
        <v>41</v>
      </c>
      <c r="AR18" s="225">
        <f t="shared" si="19"/>
        <v>51</v>
      </c>
      <c r="AS18" s="225">
        <f t="shared" si="19"/>
        <v>49</v>
      </c>
      <c r="AT18" s="225">
        <f t="shared" si="19"/>
        <v>65</v>
      </c>
      <c r="AU18" s="225">
        <f t="shared" si="19"/>
        <v>65</v>
      </c>
      <c r="AV18" s="225">
        <f t="shared" si="19"/>
        <v>61</v>
      </c>
      <c r="AW18" s="225">
        <f t="shared" si="19"/>
        <v>61</v>
      </c>
      <c r="AX18" s="225">
        <f t="shared" si="19"/>
        <v>76</v>
      </c>
      <c r="AY18" s="225">
        <f t="shared" si="19"/>
        <v>59</v>
      </c>
      <c r="AZ18" s="225">
        <f t="shared" si="19"/>
        <v>83</v>
      </c>
      <c r="BA18" s="225">
        <f t="shared" si="19"/>
        <v>84</v>
      </c>
      <c r="BB18" s="225">
        <f t="shared" si="19"/>
        <v>49</v>
      </c>
      <c r="BC18" s="226">
        <v>45</v>
      </c>
    </row>
    <row r="19" spans="1:55" ht="21" customHeight="1">
      <c r="A19" s="212"/>
      <c r="B19" s="225">
        <v>12</v>
      </c>
      <c r="C19" s="225" t="s">
        <v>396</v>
      </c>
      <c r="D19" s="475"/>
      <c r="E19" s="476"/>
      <c r="F19" s="225">
        <f t="shared" ref="F19:AK19" si="20">F8+F9+F10+F11+F13+F12+F15+F16+F18+F14</f>
        <v>36</v>
      </c>
      <c r="G19" s="225">
        <f t="shared" si="20"/>
        <v>92</v>
      </c>
      <c r="H19" s="225">
        <f t="shared" si="20"/>
        <v>145</v>
      </c>
      <c r="I19" s="225">
        <f t="shared" si="20"/>
        <v>157</v>
      </c>
      <c r="J19" s="225">
        <f t="shared" si="20"/>
        <v>198</v>
      </c>
      <c r="K19" s="225">
        <f t="shared" si="20"/>
        <v>208</v>
      </c>
      <c r="L19" s="225">
        <f t="shared" si="20"/>
        <v>216</v>
      </c>
      <c r="M19" s="225">
        <f t="shared" si="20"/>
        <v>246</v>
      </c>
      <c r="N19" s="225">
        <f t="shared" si="20"/>
        <v>250</v>
      </c>
      <c r="O19" s="225">
        <f t="shared" si="20"/>
        <v>352</v>
      </c>
      <c r="P19" s="225">
        <f t="shared" si="20"/>
        <v>405</v>
      </c>
      <c r="Q19" s="225">
        <f t="shared" si="20"/>
        <v>34</v>
      </c>
      <c r="R19" s="225">
        <f t="shared" si="20"/>
        <v>96</v>
      </c>
      <c r="S19" s="225">
        <f t="shared" si="20"/>
        <v>152</v>
      </c>
      <c r="T19" s="225">
        <f t="shared" si="20"/>
        <v>167</v>
      </c>
      <c r="U19" s="225">
        <f t="shared" si="20"/>
        <v>187</v>
      </c>
      <c r="V19" s="225">
        <f t="shared" si="20"/>
        <v>193</v>
      </c>
      <c r="W19" s="225">
        <f t="shared" si="20"/>
        <v>195</v>
      </c>
      <c r="X19" s="225">
        <f t="shared" si="20"/>
        <v>201</v>
      </c>
      <c r="Y19" s="225">
        <f t="shared" si="20"/>
        <v>219</v>
      </c>
      <c r="Z19" s="225">
        <f t="shared" si="20"/>
        <v>315</v>
      </c>
      <c r="AA19" s="225">
        <f t="shared" si="20"/>
        <v>365</v>
      </c>
      <c r="AB19" s="225">
        <f t="shared" si="20"/>
        <v>71</v>
      </c>
      <c r="AC19" s="225">
        <f t="shared" si="20"/>
        <v>133</v>
      </c>
      <c r="AD19" s="225">
        <f t="shared" si="20"/>
        <v>185</v>
      </c>
      <c r="AE19" s="225">
        <f t="shared" si="20"/>
        <v>189</v>
      </c>
      <c r="AF19" s="225">
        <f t="shared" si="20"/>
        <v>208</v>
      </c>
      <c r="AG19" s="225">
        <f t="shared" si="20"/>
        <v>212</v>
      </c>
      <c r="AH19" s="225">
        <f t="shared" si="20"/>
        <v>212</v>
      </c>
      <c r="AI19" s="225">
        <f t="shared" si="20"/>
        <v>254</v>
      </c>
      <c r="AJ19" s="225">
        <f t="shared" si="20"/>
        <v>255</v>
      </c>
      <c r="AK19" s="225">
        <f t="shared" si="20"/>
        <v>232</v>
      </c>
      <c r="AL19" s="225">
        <f t="shared" ref="AL19:BQ19" si="21">AL8+AL9+AL10+AL11+AL13+AL12+AL15+AL16+AL18+AL14</f>
        <v>320</v>
      </c>
      <c r="AM19" s="225">
        <f t="shared" si="21"/>
        <v>30</v>
      </c>
      <c r="AN19" s="225">
        <f t="shared" si="21"/>
        <v>60</v>
      </c>
      <c r="AO19" s="225">
        <f t="shared" si="21"/>
        <v>105</v>
      </c>
      <c r="AP19" s="225">
        <f t="shared" si="21"/>
        <v>127</v>
      </c>
      <c r="AQ19" s="225">
        <f t="shared" si="21"/>
        <v>131</v>
      </c>
      <c r="AR19" s="225">
        <f t="shared" si="21"/>
        <v>138</v>
      </c>
      <c r="AS19" s="225">
        <f t="shared" si="21"/>
        <v>137</v>
      </c>
      <c r="AT19" s="225">
        <f t="shared" si="21"/>
        <v>159</v>
      </c>
      <c r="AU19" s="225">
        <f t="shared" si="21"/>
        <v>159</v>
      </c>
      <c r="AV19" s="225">
        <f t="shared" si="21"/>
        <v>145</v>
      </c>
      <c r="AW19" s="225">
        <f t="shared" si="21"/>
        <v>178</v>
      </c>
      <c r="AX19" s="225">
        <f t="shared" si="21"/>
        <v>284</v>
      </c>
      <c r="AY19" s="225">
        <f t="shared" si="21"/>
        <v>296</v>
      </c>
      <c r="AZ19" s="225">
        <f t="shared" si="21"/>
        <v>318</v>
      </c>
      <c r="BA19" s="225">
        <f t="shared" si="21"/>
        <v>362</v>
      </c>
      <c r="BB19" s="225">
        <f t="shared" si="21"/>
        <v>225</v>
      </c>
      <c r="BC19" s="226">
        <v>213</v>
      </c>
    </row>
    <row r="20" spans="1:55" ht="16.5">
      <c r="A20" s="212"/>
      <c r="B20" s="212"/>
      <c r="C20" s="212"/>
      <c r="D20" s="212"/>
      <c r="E20" s="213"/>
      <c r="F20" s="212"/>
      <c r="G20" s="213"/>
      <c r="H20" s="212"/>
      <c r="I20" s="212"/>
      <c r="J20" s="212"/>
      <c r="K20" s="212"/>
      <c r="L20" s="212"/>
      <c r="M20" s="212"/>
      <c r="N20" s="212"/>
      <c r="O20" s="212"/>
      <c r="P20" s="212"/>
      <c r="Q20" s="212"/>
      <c r="R20" s="212"/>
      <c r="S20" s="212"/>
      <c r="T20" s="212"/>
      <c r="U20" s="212"/>
      <c r="V20" s="212"/>
      <c r="W20" s="212"/>
      <c r="X20" s="212"/>
      <c r="Y20" s="212"/>
      <c r="Z20" s="213"/>
      <c r="AA20" s="213"/>
      <c r="AB20" s="212"/>
      <c r="AC20" s="212"/>
      <c r="AD20" s="212"/>
      <c r="AE20" s="212"/>
      <c r="AF20" s="212"/>
      <c r="AG20" s="212"/>
      <c r="AH20" s="212"/>
      <c r="AI20" s="212"/>
      <c r="AJ20" s="212"/>
      <c r="AK20" s="212"/>
      <c r="AL20" s="212"/>
      <c r="AM20" s="212"/>
      <c r="AN20" s="212"/>
      <c r="AO20" s="212"/>
      <c r="AP20" s="212"/>
      <c r="AQ20" s="212"/>
      <c r="AR20" s="212"/>
      <c r="AS20" s="212"/>
      <c r="AT20" s="212"/>
      <c r="AU20" s="212"/>
      <c r="AV20" s="212"/>
      <c r="AW20" s="212"/>
      <c r="AX20" s="212"/>
      <c r="AY20" s="212"/>
      <c r="AZ20" s="212"/>
      <c r="BA20" s="212"/>
      <c r="BB20" s="212"/>
      <c r="BC20" s="214"/>
    </row>
    <row r="21" spans="1:55" s="375" customFormat="1" ht="21" customHeight="1">
      <c r="A21" s="212"/>
      <c r="B21" s="472" t="s">
        <v>373</v>
      </c>
      <c r="C21" s="472" t="s">
        <v>373</v>
      </c>
      <c r="D21" s="472" t="s">
        <v>397</v>
      </c>
      <c r="E21" s="472" t="s">
        <v>398</v>
      </c>
      <c r="F21" s="460" t="s">
        <v>59</v>
      </c>
      <c r="G21" s="461"/>
      <c r="H21" s="461"/>
      <c r="I21" s="461"/>
      <c r="J21" s="461"/>
      <c r="K21" s="461"/>
      <c r="L21" s="461"/>
      <c r="M21" s="461"/>
      <c r="N21" s="461"/>
      <c r="O21" s="461"/>
      <c r="P21" s="461"/>
      <c r="Q21" s="462" t="s">
        <v>128</v>
      </c>
      <c r="R21" s="461"/>
      <c r="S21" s="461"/>
      <c r="T21" s="461"/>
      <c r="U21" s="461"/>
      <c r="V21" s="461"/>
      <c r="W21" s="461"/>
      <c r="X21" s="461"/>
      <c r="Y21" s="461"/>
      <c r="Z21" s="463"/>
      <c r="AA21" s="463"/>
      <c r="AB21" s="460" t="s">
        <v>44</v>
      </c>
      <c r="AC21" s="461"/>
      <c r="AD21" s="461"/>
      <c r="AE21" s="461"/>
      <c r="AF21" s="461"/>
      <c r="AG21" s="461"/>
      <c r="AH21" s="461"/>
      <c r="AI21" s="461"/>
      <c r="AJ21" s="461"/>
      <c r="AK21" s="461"/>
      <c r="AL21" s="461"/>
      <c r="AM21" s="464" t="s">
        <v>114</v>
      </c>
      <c r="AN21" s="461"/>
      <c r="AO21" s="461"/>
      <c r="AP21" s="461"/>
      <c r="AQ21" s="461"/>
      <c r="AR21" s="461"/>
      <c r="AS21" s="461"/>
      <c r="AT21" s="461"/>
      <c r="AU21" s="461"/>
      <c r="AV21" s="461"/>
      <c r="AW21" s="461"/>
      <c r="AX21" s="465" t="s">
        <v>306</v>
      </c>
      <c r="AY21" s="461"/>
      <c r="AZ21" s="466" t="s">
        <v>97</v>
      </c>
      <c r="BA21" s="461"/>
      <c r="BB21" s="231" t="s">
        <v>118</v>
      </c>
      <c r="BC21" s="231" t="s">
        <v>118</v>
      </c>
    </row>
    <row r="22" spans="1:55" s="375" customFormat="1" ht="21" hidden="1" customHeight="1">
      <c r="A22" s="212"/>
      <c r="B22" s="461"/>
      <c r="C22" s="461"/>
      <c r="D22" s="461"/>
      <c r="E22" s="461"/>
      <c r="F22" s="232" t="s">
        <v>375</v>
      </c>
      <c r="G22" s="232" t="s">
        <v>376</v>
      </c>
      <c r="H22" s="232" t="s">
        <v>377</v>
      </c>
      <c r="I22" s="232" t="s">
        <v>378</v>
      </c>
      <c r="J22" s="232" t="s">
        <v>379</v>
      </c>
      <c r="K22" s="232" t="s">
        <v>380</v>
      </c>
      <c r="L22" s="232" t="s">
        <v>381</v>
      </c>
      <c r="M22" s="232" t="s">
        <v>380</v>
      </c>
      <c r="N22" s="232" t="s">
        <v>382</v>
      </c>
      <c r="O22" s="232" t="s">
        <v>383</v>
      </c>
      <c r="P22" s="232" t="s">
        <v>127</v>
      </c>
      <c r="Q22" s="233" t="s">
        <v>375</v>
      </c>
      <c r="R22" s="233" t="s">
        <v>376</v>
      </c>
      <c r="S22" s="233" t="s">
        <v>377</v>
      </c>
      <c r="T22" s="233" t="s">
        <v>378</v>
      </c>
      <c r="U22" s="233" t="s">
        <v>379</v>
      </c>
      <c r="V22" s="233" t="s">
        <v>380</v>
      </c>
      <c r="W22" s="233" t="s">
        <v>381</v>
      </c>
      <c r="X22" s="233" t="s">
        <v>380</v>
      </c>
      <c r="Y22" s="233" t="s">
        <v>382</v>
      </c>
      <c r="Z22" s="233" t="s">
        <v>383</v>
      </c>
      <c r="AA22" s="233" t="s">
        <v>127</v>
      </c>
      <c r="AB22" s="232" t="s">
        <v>375</v>
      </c>
      <c r="AC22" s="232" t="s">
        <v>376</v>
      </c>
      <c r="AD22" s="232" t="s">
        <v>377</v>
      </c>
      <c r="AE22" s="232" t="s">
        <v>378</v>
      </c>
      <c r="AF22" s="232" t="s">
        <v>379</v>
      </c>
      <c r="AG22" s="232" t="s">
        <v>380</v>
      </c>
      <c r="AH22" s="232" t="s">
        <v>381</v>
      </c>
      <c r="AI22" s="232" t="s">
        <v>380</v>
      </c>
      <c r="AJ22" s="232" t="s">
        <v>382</v>
      </c>
      <c r="AK22" s="232" t="s">
        <v>383</v>
      </c>
      <c r="AL22" s="232" t="s">
        <v>127</v>
      </c>
      <c r="AM22" s="234" t="s">
        <v>375</v>
      </c>
      <c r="AN22" s="234" t="s">
        <v>376</v>
      </c>
      <c r="AO22" s="234" t="s">
        <v>377</v>
      </c>
      <c r="AP22" s="234" t="s">
        <v>378</v>
      </c>
      <c r="AQ22" s="234" t="s">
        <v>379</v>
      </c>
      <c r="AR22" s="234" t="s">
        <v>380</v>
      </c>
      <c r="AS22" s="234" t="s">
        <v>381</v>
      </c>
      <c r="AT22" s="234" t="s">
        <v>380</v>
      </c>
      <c r="AU22" s="234" t="s">
        <v>382</v>
      </c>
      <c r="AV22" s="234" t="s">
        <v>383</v>
      </c>
      <c r="AW22" s="234" t="s">
        <v>127</v>
      </c>
      <c r="AX22" s="235" t="s">
        <v>383</v>
      </c>
      <c r="AY22" s="235" t="s">
        <v>127</v>
      </c>
      <c r="AZ22" s="236" t="s">
        <v>383</v>
      </c>
      <c r="BA22" s="236" t="s">
        <v>127</v>
      </c>
      <c r="BB22" s="231" t="s">
        <v>383</v>
      </c>
      <c r="BC22" s="231" t="s">
        <v>127</v>
      </c>
    </row>
    <row r="23" spans="1:55" ht="21" hidden="1" customHeight="1">
      <c r="A23" s="212"/>
      <c r="B23" s="237">
        <v>46023</v>
      </c>
      <c r="C23" s="211" t="s">
        <v>384</v>
      </c>
      <c r="D23" s="238" t="s">
        <v>399</v>
      </c>
      <c r="E23" s="211" t="s">
        <v>400</v>
      </c>
      <c r="F23" s="211"/>
      <c r="G23" s="239"/>
      <c r="H23" s="239"/>
      <c r="I23" s="239"/>
      <c r="J23" s="240"/>
      <c r="K23" s="211"/>
      <c r="L23" s="211"/>
      <c r="M23" s="211">
        <v>1</v>
      </c>
      <c r="N23" s="211"/>
      <c r="O23" s="211"/>
      <c r="P23" s="211"/>
      <c r="Q23" s="211"/>
      <c r="R23" s="239">
        <v>1</v>
      </c>
      <c r="S23" s="239"/>
      <c r="T23" s="239">
        <v>1</v>
      </c>
      <c r="U23" s="239">
        <v>1</v>
      </c>
      <c r="V23" s="211"/>
      <c r="W23" s="211"/>
      <c r="X23" s="211">
        <v>1</v>
      </c>
      <c r="Y23" s="211"/>
      <c r="Z23" s="211"/>
      <c r="AA23" s="211"/>
      <c r="AB23" s="211"/>
      <c r="AC23" s="239"/>
      <c r="AD23" s="239">
        <v>1</v>
      </c>
      <c r="AE23" s="239">
        <v>1</v>
      </c>
      <c r="AF23" s="240"/>
      <c r="AG23" s="211">
        <v>1</v>
      </c>
      <c r="AH23" s="203"/>
      <c r="AI23" s="211">
        <v>1</v>
      </c>
      <c r="AJ23" s="211"/>
      <c r="AK23" s="211"/>
      <c r="AL23" s="211">
        <v>1</v>
      </c>
      <c r="AM23" s="211"/>
      <c r="AN23" s="239"/>
      <c r="AO23" s="239"/>
      <c r="AP23" s="239"/>
      <c r="AQ23" s="240"/>
      <c r="AR23" s="240"/>
      <c r="AS23" s="240"/>
      <c r="AT23" s="240"/>
      <c r="AU23" s="240"/>
      <c r="AV23" s="203"/>
      <c r="AW23" s="203"/>
      <c r="AX23" s="203"/>
      <c r="AY23" s="240">
        <v>1</v>
      </c>
      <c r="AZ23" s="203"/>
      <c r="BA23" s="203"/>
      <c r="BB23" s="203"/>
      <c r="BC23" s="203"/>
    </row>
    <row r="24" spans="1:55" ht="21" hidden="1" customHeight="1">
      <c r="A24" s="212"/>
      <c r="B24" s="237">
        <v>46023</v>
      </c>
      <c r="C24" s="211" t="s">
        <v>384</v>
      </c>
      <c r="D24" s="238" t="s">
        <v>401</v>
      </c>
      <c r="E24" s="203" t="s">
        <v>402</v>
      </c>
      <c r="F24" s="211"/>
      <c r="G24" s="239"/>
      <c r="H24" s="239"/>
      <c r="I24" s="211">
        <v>1</v>
      </c>
      <c r="J24" s="240">
        <v>1</v>
      </c>
      <c r="K24" s="211"/>
      <c r="L24" s="211">
        <v>1</v>
      </c>
      <c r="M24" s="211"/>
      <c r="N24" s="211"/>
      <c r="O24" s="211">
        <v>1</v>
      </c>
      <c r="P24" s="211">
        <v>1</v>
      </c>
      <c r="Q24" s="211"/>
      <c r="R24" s="239"/>
      <c r="S24" s="239"/>
      <c r="T24" s="239"/>
      <c r="U24" s="240">
        <v>1</v>
      </c>
      <c r="V24" s="211">
        <v>1</v>
      </c>
      <c r="W24" s="211">
        <v>1</v>
      </c>
      <c r="X24" s="211"/>
      <c r="Y24" s="211"/>
      <c r="Z24" s="211">
        <v>1</v>
      </c>
      <c r="AA24" s="211">
        <v>1</v>
      </c>
      <c r="AB24" s="211"/>
      <c r="AC24" s="239"/>
      <c r="AD24" s="239"/>
      <c r="AE24" s="239"/>
      <c r="AF24" s="240">
        <v>1</v>
      </c>
      <c r="AG24" s="211">
        <v>1</v>
      </c>
      <c r="AH24" s="211">
        <v>1</v>
      </c>
      <c r="AI24" s="211"/>
      <c r="AJ24" s="211">
        <v>1</v>
      </c>
      <c r="AK24" s="211">
        <v>1</v>
      </c>
      <c r="AL24" s="211">
        <v>1</v>
      </c>
      <c r="AM24" s="211"/>
      <c r="AN24" s="239"/>
      <c r="AO24" s="239">
        <v>1</v>
      </c>
      <c r="AP24" s="239">
        <v>1</v>
      </c>
      <c r="AQ24" s="240">
        <v>1</v>
      </c>
      <c r="AR24" s="240">
        <v>1</v>
      </c>
      <c r="AS24" s="240"/>
      <c r="AT24" s="240"/>
      <c r="AU24" s="240"/>
      <c r="AV24" s="203"/>
      <c r="AW24" s="203"/>
      <c r="AX24" s="203"/>
      <c r="AY24" s="240"/>
      <c r="AZ24" s="203"/>
      <c r="BA24" s="203"/>
      <c r="BB24" s="203"/>
      <c r="BC24" s="203"/>
    </row>
    <row r="25" spans="1:55" ht="21" hidden="1" customHeight="1">
      <c r="A25" s="212"/>
      <c r="B25" s="237">
        <v>46023</v>
      </c>
      <c r="C25" s="211" t="s">
        <v>384</v>
      </c>
      <c r="D25" s="238" t="s">
        <v>403</v>
      </c>
      <c r="E25" s="211" t="s">
        <v>404</v>
      </c>
      <c r="F25" s="211"/>
      <c r="G25" s="239"/>
      <c r="H25" s="239"/>
      <c r="I25" s="239"/>
      <c r="J25" s="240"/>
      <c r="K25" s="211">
        <v>1</v>
      </c>
      <c r="L25" s="211">
        <v>1</v>
      </c>
      <c r="M25" s="211"/>
      <c r="N25" s="211">
        <v>1</v>
      </c>
      <c r="O25" s="211">
        <v>1</v>
      </c>
      <c r="P25" s="211">
        <v>1</v>
      </c>
      <c r="Q25" s="211"/>
      <c r="R25" s="239"/>
      <c r="S25" s="239">
        <v>1</v>
      </c>
      <c r="T25" s="239">
        <v>1</v>
      </c>
      <c r="U25" s="240">
        <v>1</v>
      </c>
      <c r="V25" s="211">
        <v>1</v>
      </c>
      <c r="W25" s="211">
        <v>1</v>
      </c>
      <c r="X25" s="211"/>
      <c r="Y25" s="211"/>
      <c r="Z25" s="211">
        <v>1</v>
      </c>
      <c r="AA25" s="211">
        <v>1</v>
      </c>
      <c r="AB25" s="211"/>
      <c r="AC25" s="239">
        <v>1</v>
      </c>
      <c r="AD25" s="239">
        <v>1</v>
      </c>
      <c r="AE25" s="239">
        <v>1</v>
      </c>
      <c r="AF25" s="240">
        <v>1</v>
      </c>
      <c r="AG25" s="211">
        <v>1</v>
      </c>
      <c r="AH25" s="211">
        <v>1</v>
      </c>
      <c r="AI25" s="211"/>
      <c r="AJ25" s="211">
        <v>1</v>
      </c>
      <c r="AK25" s="211">
        <v>1</v>
      </c>
      <c r="AL25" s="211">
        <v>1</v>
      </c>
      <c r="AM25" s="211"/>
      <c r="AN25" s="239"/>
      <c r="AO25" s="239"/>
      <c r="AP25" s="239"/>
      <c r="AQ25" s="240">
        <v>1</v>
      </c>
      <c r="AR25" s="240">
        <v>1</v>
      </c>
      <c r="AS25" s="240">
        <v>1</v>
      </c>
      <c r="AT25" s="240"/>
      <c r="AU25" s="240"/>
      <c r="AV25" s="240">
        <v>1</v>
      </c>
      <c r="AW25" s="240">
        <v>1</v>
      </c>
      <c r="AX25" s="240">
        <v>1</v>
      </c>
      <c r="AY25" s="240"/>
      <c r="AZ25" s="203">
        <v>1</v>
      </c>
      <c r="BA25" s="203">
        <v>1</v>
      </c>
      <c r="BB25" s="203"/>
      <c r="BC25" s="203"/>
    </row>
    <row r="26" spans="1:55" ht="21" hidden="1" customHeight="1">
      <c r="A26" s="212"/>
      <c r="B26" s="237">
        <v>46023</v>
      </c>
      <c r="C26" s="211" t="s">
        <v>384</v>
      </c>
      <c r="D26" s="238" t="s">
        <v>405</v>
      </c>
      <c r="E26" s="211" t="s">
        <v>406</v>
      </c>
      <c r="F26" s="211"/>
      <c r="G26" s="239"/>
      <c r="H26" s="239"/>
      <c r="I26" s="239">
        <v>1</v>
      </c>
      <c r="J26" s="240">
        <v>1</v>
      </c>
      <c r="K26" s="211">
        <v>1</v>
      </c>
      <c r="L26" s="211">
        <v>1</v>
      </c>
      <c r="M26" s="211">
        <v>1</v>
      </c>
      <c r="N26" s="211">
        <v>1</v>
      </c>
      <c r="O26" s="211"/>
      <c r="P26" s="211">
        <v>1</v>
      </c>
      <c r="Q26" s="211"/>
      <c r="R26" s="239"/>
      <c r="S26" s="239">
        <v>1</v>
      </c>
      <c r="T26" s="239">
        <v>1</v>
      </c>
      <c r="U26" s="240">
        <v>1</v>
      </c>
      <c r="V26" s="211"/>
      <c r="W26" s="211">
        <v>1</v>
      </c>
      <c r="X26" s="211">
        <v>1</v>
      </c>
      <c r="Y26" s="211">
        <v>1</v>
      </c>
      <c r="Z26" s="211"/>
      <c r="AA26" s="211">
        <v>1</v>
      </c>
      <c r="AB26" s="211"/>
      <c r="AC26" s="239"/>
      <c r="AD26" s="239">
        <v>1</v>
      </c>
      <c r="AE26" s="239">
        <v>1</v>
      </c>
      <c r="AF26" s="240">
        <v>1</v>
      </c>
      <c r="AG26" s="211">
        <v>1</v>
      </c>
      <c r="AH26" s="211">
        <v>1</v>
      </c>
      <c r="AI26" s="211">
        <v>1</v>
      </c>
      <c r="AJ26" s="211">
        <v>1</v>
      </c>
      <c r="AK26" s="211">
        <v>1</v>
      </c>
      <c r="AL26" s="211">
        <v>1</v>
      </c>
      <c r="AM26" s="211"/>
      <c r="AN26" s="239"/>
      <c r="AO26" s="239"/>
      <c r="AP26" s="239"/>
      <c r="AQ26" s="240"/>
      <c r="AR26" s="240"/>
      <c r="AS26" s="240"/>
      <c r="AT26" s="240"/>
      <c r="AU26" s="240"/>
      <c r="AV26" s="203"/>
      <c r="AW26" s="240"/>
      <c r="AX26" s="240"/>
      <c r="AY26" s="240"/>
      <c r="AZ26" s="203">
        <v>1</v>
      </c>
      <c r="BA26" s="203">
        <v>1</v>
      </c>
      <c r="BB26" s="203"/>
      <c r="BC26" s="203"/>
    </row>
    <row r="27" spans="1:55" ht="21" hidden="1" customHeight="1">
      <c r="A27" s="212"/>
      <c r="B27" s="237">
        <v>46023</v>
      </c>
      <c r="C27" s="211" t="s">
        <v>384</v>
      </c>
      <c r="D27" s="238" t="s">
        <v>407</v>
      </c>
      <c r="E27" s="211" t="s">
        <v>408</v>
      </c>
      <c r="F27" s="211"/>
      <c r="G27" s="239">
        <v>1</v>
      </c>
      <c r="H27" s="239">
        <v>1</v>
      </c>
      <c r="I27" s="239">
        <v>1</v>
      </c>
      <c r="J27" s="240">
        <v>1</v>
      </c>
      <c r="K27" s="211">
        <v>1</v>
      </c>
      <c r="L27" s="211">
        <v>1</v>
      </c>
      <c r="M27" s="211"/>
      <c r="N27" s="211">
        <v>1</v>
      </c>
      <c r="O27" s="211">
        <v>1</v>
      </c>
      <c r="P27" s="211">
        <v>1</v>
      </c>
      <c r="Q27" s="211"/>
      <c r="R27" s="239">
        <v>1</v>
      </c>
      <c r="S27" s="239">
        <v>1</v>
      </c>
      <c r="T27" s="239">
        <v>1</v>
      </c>
      <c r="U27" s="240">
        <v>1</v>
      </c>
      <c r="V27" s="211">
        <v>1</v>
      </c>
      <c r="W27" s="211">
        <v>1</v>
      </c>
      <c r="X27" s="211"/>
      <c r="Y27" s="211">
        <v>1</v>
      </c>
      <c r="Z27" s="211">
        <v>1</v>
      </c>
      <c r="AA27" s="211">
        <v>1</v>
      </c>
      <c r="AB27" s="211">
        <v>1</v>
      </c>
      <c r="AC27" s="239"/>
      <c r="AD27" s="239">
        <v>1</v>
      </c>
      <c r="AE27" s="239">
        <v>1</v>
      </c>
      <c r="AF27" s="239">
        <v>1</v>
      </c>
      <c r="AG27" s="211">
        <v>1</v>
      </c>
      <c r="AH27" s="211">
        <v>1</v>
      </c>
      <c r="AI27" s="211"/>
      <c r="AJ27" s="211">
        <v>1</v>
      </c>
      <c r="AK27" s="211">
        <v>1</v>
      </c>
      <c r="AL27" s="211">
        <v>1</v>
      </c>
      <c r="AM27" s="211"/>
      <c r="AN27" s="239"/>
      <c r="AO27" s="239"/>
      <c r="AP27" s="239"/>
      <c r="AQ27" s="240"/>
      <c r="AR27" s="240">
        <v>1</v>
      </c>
      <c r="AS27" s="240"/>
      <c r="AT27" s="240"/>
      <c r="AU27" s="240"/>
      <c r="AV27" s="203"/>
      <c r="AW27" s="240"/>
      <c r="AX27" s="240"/>
      <c r="AY27" s="240"/>
      <c r="AZ27" s="203"/>
      <c r="BA27" s="203">
        <v>1</v>
      </c>
      <c r="BB27" s="203">
        <v>1</v>
      </c>
      <c r="BC27" s="203">
        <v>1</v>
      </c>
    </row>
    <row r="28" spans="1:55" ht="21" hidden="1" customHeight="1">
      <c r="A28" s="212"/>
      <c r="B28" s="237">
        <v>46023</v>
      </c>
      <c r="C28" s="211" t="s">
        <v>384</v>
      </c>
      <c r="D28" s="238" t="s">
        <v>409</v>
      </c>
      <c r="E28" s="211" t="s">
        <v>408</v>
      </c>
      <c r="F28" s="211"/>
      <c r="G28" s="239"/>
      <c r="H28" s="239">
        <v>1</v>
      </c>
      <c r="I28" s="239">
        <v>1</v>
      </c>
      <c r="J28" s="240">
        <v>1</v>
      </c>
      <c r="K28" s="211">
        <v>1</v>
      </c>
      <c r="L28" s="211">
        <v>1</v>
      </c>
      <c r="M28" s="211">
        <v>1</v>
      </c>
      <c r="N28" s="211">
        <v>1</v>
      </c>
      <c r="O28" s="211">
        <v>1</v>
      </c>
      <c r="P28" s="211">
        <v>1</v>
      </c>
      <c r="Q28" s="211"/>
      <c r="R28" s="239">
        <v>1</v>
      </c>
      <c r="S28" s="239">
        <v>1</v>
      </c>
      <c r="T28" s="239">
        <v>1</v>
      </c>
      <c r="U28" s="240">
        <v>1</v>
      </c>
      <c r="V28" s="211">
        <v>1</v>
      </c>
      <c r="W28" s="211">
        <v>1</v>
      </c>
      <c r="X28" s="211"/>
      <c r="Y28" s="211">
        <v>1</v>
      </c>
      <c r="Z28" s="211">
        <v>1</v>
      </c>
      <c r="AA28" s="211">
        <v>1</v>
      </c>
      <c r="AB28" s="211"/>
      <c r="AC28" s="239">
        <v>1</v>
      </c>
      <c r="AD28" s="239">
        <v>1</v>
      </c>
      <c r="AE28" s="239">
        <v>1</v>
      </c>
      <c r="AF28" s="240">
        <v>1</v>
      </c>
      <c r="AG28" s="211">
        <v>1</v>
      </c>
      <c r="AH28" s="211">
        <v>1</v>
      </c>
      <c r="AI28" s="211"/>
      <c r="AJ28" s="211">
        <v>1</v>
      </c>
      <c r="AK28" s="211">
        <v>1</v>
      </c>
      <c r="AL28" s="211">
        <v>1</v>
      </c>
      <c r="AM28" s="211"/>
      <c r="AN28" s="239"/>
      <c r="AO28" s="239"/>
      <c r="AP28" s="239"/>
      <c r="AQ28" s="240"/>
      <c r="AR28" s="240">
        <v>1</v>
      </c>
      <c r="AS28" s="240"/>
      <c r="AT28" s="240"/>
      <c r="AU28" s="240"/>
      <c r="AV28" s="203">
        <v>1</v>
      </c>
      <c r="AW28" s="240">
        <v>1</v>
      </c>
      <c r="AX28" s="240"/>
      <c r="AY28" s="240"/>
      <c r="AZ28" s="203">
        <v>1</v>
      </c>
      <c r="BA28" s="203">
        <v>1</v>
      </c>
      <c r="BB28" s="203">
        <v>1</v>
      </c>
      <c r="BC28" s="203">
        <v>1</v>
      </c>
    </row>
    <row r="29" spans="1:55" ht="21" customHeight="1">
      <c r="A29" s="212"/>
      <c r="B29" s="237">
        <v>46023</v>
      </c>
      <c r="C29" s="211" t="s">
        <v>395</v>
      </c>
      <c r="D29" s="238" t="s">
        <v>410</v>
      </c>
      <c r="E29" s="211" t="s">
        <v>411</v>
      </c>
      <c r="F29" s="211"/>
      <c r="G29" s="239"/>
      <c r="H29" s="239"/>
      <c r="I29" s="239"/>
      <c r="J29" s="240"/>
      <c r="K29" s="211"/>
      <c r="L29" s="211">
        <v>1</v>
      </c>
      <c r="M29" s="211">
        <v>1</v>
      </c>
      <c r="N29" s="211">
        <v>1</v>
      </c>
      <c r="O29" s="211">
        <v>1</v>
      </c>
      <c r="P29" s="211">
        <v>1</v>
      </c>
      <c r="Q29" s="211"/>
      <c r="R29" s="239"/>
      <c r="S29" s="239"/>
      <c r="T29" s="239"/>
      <c r="U29" s="240"/>
      <c r="V29" s="211"/>
      <c r="W29" s="211"/>
      <c r="X29" s="211"/>
      <c r="Y29" s="211">
        <v>1</v>
      </c>
      <c r="Z29" s="211"/>
      <c r="AA29" s="211">
        <v>1</v>
      </c>
      <c r="AB29" s="211"/>
      <c r="AC29" s="239"/>
      <c r="AD29" s="239"/>
      <c r="AE29" s="239"/>
      <c r="AF29" s="240"/>
      <c r="AG29" s="211"/>
      <c r="AH29" s="211"/>
      <c r="AI29" s="211">
        <v>1</v>
      </c>
      <c r="AJ29" s="211"/>
      <c r="AK29" s="211"/>
      <c r="AL29" s="211"/>
      <c r="AM29" s="211"/>
      <c r="AN29" s="239"/>
      <c r="AO29" s="239"/>
      <c r="AP29" s="239"/>
      <c r="AQ29" s="240"/>
      <c r="AR29" s="240"/>
      <c r="AS29" s="240"/>
      <c r="AT29" s="240"/>
      <c r="AU29" s="240"/>
      <c r="AV29" s="203">
        <v>1</v>
      </c>
      <c r="AW29" s="240">
        <v>1</v>
      </c>
      <c r="AX29" s="240"/>
      <c r="AY29" s="240"/>
      <c r="AZ29" s="203"/>
      <c r="BA29" s="203">
        <v>1</v>
      </c>
      <c r="BB29" s="203"/>
      <c r="BC29" s="203"/>
    </row>
    <row r="30" spans="1:55" ht="21" hidden="1" customHeight="1">
      <c r="A30" s="212"/>
      <c r="B30" s="237">
        <v>46023</v>
      </c>
      <c r="C30" s="211" t="s">
        <v>386</v>
      </c>
      <c r="D30" s="238" t="s">
        <v>412</v>
      </c>
      <c r="E30" s="211" t="s">
        <v>413</v>
      </c>
      <c r="F30" s="211"/>
      <c r="G30" s="239">
        <v>1</v>
      </c>
      <c r="H30" s="239">
        <v>1</v>
      </c>
      <c r="I30" s="239">
        <v>1</v>
      </c>
      <c r="J30" s="240">
        <v>1</v>
      </c>
      <c r="K30" s="211">
        <v>1</v>
      </c>
      <c r="L30" s="211">
        <v>1</v>
      </c>
      <c r="M30" s="211"/>
      <c r="N30" s="211">
        <v>1</v>
      </c>
      <c r="O30" s="211">
        <v>1</v>
      </c>
      <c r="P30" s="211">
        <v>1</v>
      </c>
      <c r="Q30" s="211"/>
      <c r="R30" s="239"/>
      <c r="S30" s="239">
        <v>1</v>
      </c>
      <c r="T30" s="239">
        <v>1</v>
      </c>
      <c r="U30" s="240">
        <v>1</v>
      </c>
      <c r="V30" s="211">
        <v>1</v>
      </c>
      <c r="W30" s="211">
        <v>1</v>
      </c>
      <c r="X30" s="211"/>
      <c r="Y30" s="211">
        <v>1</v>
      </c>
      <c r="Z30" s="211">
        <v>1</v>
      </c>
      <c r="AA30" s="211">
        <v>1</v>
      </c>
      <c r="AB30" s="211"/>
      <c r="AC30" s="239">
        <v>1</v>
      </c>
      <c r="AD30" s="239">
        <v>1</v>
      </c>
      <c r="AE30" s="239">
        <v>1</v>
      </c>
      <c r="AF30" s="240">
        <v>1</v>
      </c>
      <c r="AG30" s="211">
        <v>1</v>
      </c>
      <c r="AH30" s="211">
        <v>1</v>
      </c>
      <c r="AI30" s="211">
        <v>1</v>
      </c>
      <c r="AJ30" s="211">
        <v>1</v>
      </c>
      <c r="AK30" s="211">
        <v>1</v>
      </c>
      <c r="AL30" s="211">
        <v>1</v>
      </c>
      <c r="AM30" s="211"/>
      <c r="AN30" s="239"/>
      <c r="AO30" s="239">
        <v>1</v>
      </c>
      <c r="AP30" s="239">
        <v>1</v>
      </c>
      <c r="AQ30" s="240">
        <v>1</v>
      </c>
      <c r="AR30" s="240">
        <v>1</v>
      </c>
      <c r="AS30" s="240"/>
      <c r="AT30" s="240"/>
      <c r="AU30" s="240"/>
      <c r="AV30" s="203"/>
      <c r="AW30" s="240"/>
      <c r="AX30" s="240">
        <v>1</v>
      </c>
      <c r="AY30" s="240"/>
      <c r="AZ30" s="203">
        <v>1</v>
      </c>
      <c r="BA30" s="203">
        <v>1</v>
      </c>
      <c r="BB30" s="203">
        <v>1</v>
      </c>
      <c r="BC30" s="203">
        <v>1</v>
      </c>
    </row>
    <row r="31" spans="1:55" ht="21" hidden="1" customHeight="1">
      <c r="A31" s="212"/>
      <c r="B31" s="237">
        <v>46023</v>
      </c>
      <c r="C31" s="211" t="s">
        <v>387</v>
      </c>
      <c r="D31" s="238" t="s">
        <v>414</v>
      </c>
      <c r="E31" s="211" t="s">
        <v>415</v>
      </c>
      <c r="F31" s="211"/>
      <c r="G31" s="239"/>
      <c r="H31" s="239"/>
      <c r="I31" s="239"/>
      <c r="J31" s="240"/>
      <c r="K31" s="211"/>
      <c r="L31" s="211"/>
      <c r="M31" s="211">
        <v>1</v>
      </c>
      <c r="N31" s="211"/>
      <c r="O31" s="211">
        <v>1</v>
      </c>
      <c r="P31" s="211"/>
      <c r="Q31" s="211"/>
      <c r="R31" s="239"/>
      <c r="S31" s="239"/>
      <c r="T31" s="239"/>
      <c r="U31" s="240"/>
      <c r="V31" s="211"/>
      <c r="W31" s="211"/>
      <c r="X31" s="211"/>
      <c r="Y31" s="211"/>
      <c r="Z31" s="211"/>
      <c r="AA31" s="211"/>
      <c r="AB31" s="211"/>
      <c r="AC31" s="239"/>
      <c r="AD31" s="239"/>
      <c r="AE31" s="239"/>
      <c r="AF31" s="240"/>
      <c r="AG31" s="211"/>
      <c r="AH31" s="211"/>
      <c r="AI31" s="211"/>
      <c r="AJ31" s="211"/>
      <c r="AK31" s="211"/>
      <c r="AL31" s="211"/>
      <c r="AM31" s="211"/>
      <c r="AN31" s="239"/>
      <c r="AO31" s="239"/>
      <c r="AP31" s="239"/>
      <c r="AQ31" s="240"/>
      <c r="AR31" s="240"/>
      <c r="AS31" s="240">
        <v>1</v>
      </c>
      <c r="AT31" s="240">
        <v>1</v>
      </c>
      <c r="AU31" s="240">
        <v>1</v>
      </c>
      <c r="AV31" s="203"/>
      <c r="AW31" s="240"/>
      <c r="AX31" s="240"/>
      <c r="AY31" s="240">
        <v>1</v>
      </c>
      <c r="AZ31" s="203"/>
      <c r="BA31" s="203">
        <v>1</v>
      </c>
      <c r="BB31" s="203"/>
      <c r="BC31" s="203"/>
    </row>
    <row r="32" spans="1:55" ht="21" hidden="1" customHeight="1">
      <c r="A32" s="212"/>
      <c r="B32" s="237">
        <v>46023</v>
      </c>
      <c r="C32" s="211" t="s">
        <v>387</v>
      </c>
      <c r="D32" s="238" t="s">
        <v>416</v>
      </c>
      <c r="E32" s="211" t="s">
        <v>417</v>
      </c>
      <c r="F32" s="211"/>
      <c r="G32" s="239"/>
      <c r="H32" s="239"/>
      <c r="I32" s="239"/>
      <c r="J32" s="240"/>
      <c r="K32" s="211"/>
      <c r="L32" s="211"/>
      <c r="M32" s="211"/>
      <c r="N32" s="211"/>
      <c r="O32" s="211"/>
      <c r="P32" s="211">
        <v>1</v>
      </c>
      <c r="Q32" s="211"/>
      <c r="R32" s="239"/>
      <c r="S32" s="239"/>
      <c r="T32" s="239"/>
      <c r="U32" s="240"/>
      <c r="V32" s="211"/>
      <c r="W32" s="211"/>
      <c r="X32" s="211"/>
      <c r="Y32" s="211"/>
      <c r="Z32" s="211"/>
      <c r="AA32" s="211"/>
      <c r="AB32" s="211"/>
      <c r="AC32" s="239"/>
      <c r="AD32" s="239"/>
      <c r="AE32" s="239"/>
      <c r="AF32" s="240"/>
      <c r="AG32" s="211"/>
      <c r="AH32" s="211"/>
      <c r="AI32" s="211"/>
      <c r="AJ32" s="211"/>
      <c r="AK32" s="211">
        <v>1</v>
      </c>
      <c r="AL32" s="211">
        <v>1</v>
      </c>
      <c r="AM32" s="211"/>
      <c r="AN32" s="239"/>
      <c r="AO32" s="239"/>
      <c r="AP32" s="239"/>
      <c r="AQ32" s="240"/>
      <c r="AR32" s="240"/>
      <c r="AS32" s="240">
        <v>1</v>
      </c>
      <c r="AT32" s="240">
        <v>1</v>
      </c>
      <c r="AU32" s="240">
        <v>1</v>
      </c>
      <c r="AV32" s="203"/>
      <c r="AW32" s="240"/>
      <c r="AX32" s="240">
        <v>1</v>
      </c>
      <c r="AY32" s="240"/>
      <c r="AZ32" s="203"/>
      <c r="BA32" s="203"/>
      <c r="BB32" s="203"/>
      <c r="BC32" s="203"/>
    </row>
    <row r="33" spans="1:55" ht="21" hidden="1" customHeight="1">
      <c r="A33" s="212"/>
      <c r="B33" s="237">
        <v>46023</v>
      </c>
      <c r="C33" s="211" t="s">
        <v>386</v>
      </c>
      <c r="D33" s="238" t="s">
        <v>418</v>
      </c>
      <c r="E33" s="211" t="s">
        <v>419</v>
      </c>
      <c r="F33" s="211"/>
      <c r="G33" s="239"/>
      <c r="H33" s="239"/>
      <c r="I33" s="239"/>
      <c r="J33" s="240"/>
      <c r="K33" s="211"/>
      <c r="L33" s="211"/>
      <c r="M33" s="211">
        <v>1</v>
      </c>
      <c r="N33" s="211">
        <v>1</v>
      </c>
      <c r="O33" s="211"/>
      <c r="P33" s="211"/>
      <c r="Q33" s="211"/>
      <c r="R33" s="239"/>
      <c r="S33" s="239">
        <v>1</v>
      </c>
      <c r="T33" s="239">
        <v>1</v>
      </c>
      <c r="U33" s="240"/>
      <c r="V33" s="211">
        <v>1</v>
      </c>
      <c r="W33" s="211"/>
      <c r="X33" s="211">
        <v>1</v>
      </c>
      <c r="Y33" s="211"/>
      <c r="Z33" s="211"/>
      <c r="AA33" s="211"/>
      <c r="AB33" s="211"/>
      <c r="AC33" s="239"/>
      <c r="AD33" s="239"/>
      <c r="AE33" s="239"/>
      <c r="AF33" s="240"/>
      <c r="AG33" s="211"/>
      <c r="AH33" s="211">
        <v>1</v>
      </c>
      <c r="AI33" s="211">
        <v>1</v>
      </c>
      <c r="AJ33" s="211"/>
      <c r="AK33" s="211"/>
      <c r="AL33" s="211"/>
      <c r="AM33" s="211"/>
      <c r="AN33" s="239"/>
      <c r="AO33" s="239">
        <v>1</v>
      </c>
      <c r="AP33" s="239">
        <v>1</v>
      </c>
      <c r="AQ33" s="240">
        <v>1</v>
      </c>
      <c r="AR33" s="240">
        <v>1</v>
      </c>
      <c r="AS33" s="240"/>
      <c r="AT33" s="240"/>
      <c r="AU33" s="240"/>
      <c r="AV33" s="203"/>
      <c r="AW33" s="240"/>
      <c r="AX33" s="240">
        <v>1</v>
      </c>
      <c r="AY33" s="240">
        <v>1</v>
      </c>
      <c r="AZ33" s="203"/>
      <c r="BA33" s="203">
        <v>1</v>
      </c>
      <c r="BB33" s="203">
        <v>1</v>
      </c>
      <c r="BC33" s="203">
        <v>1</v>
      </c>
    </row>
    <row r="34" spans="1:55" ht="21" hidden="1" customHeight="1">
      <c r="A34" s="212"/>
      <c r="B34" s="237">
        <v>46023</v>
      </c>
      <c r="C34" s="211" t="s">
        <v>386</v>
      </c>
      <c r="D34" s="238" t="s">
        <v>420</v>
      </c>
      <c r="E34" s="211" t="s">
        <v>421</v>
      </c>
      <c r="F34" s="211"/>
      <c r="G34" s="239"/>
      <c r="H34" s="239"/>
      <c r="I34" s="239"/>
      <c r="J34" s="240"/>
      <c r="K34" s="211"/>
      <c r="L34" s="211"/>
      <c r="M34" s="211"/>
      <c r="N34" s="211"/>
      <c r="O34" s="211"/>
      <c r="P34" s="211"/>
      <c r="Q34" s="211"/>
      <c r="R34" s="239"/>
      <c r="S34" s="239"/>
      <c r="T34" s="239"/>
      <c r="U34" s="241"/>
      <c r="V34" s="211"/>
      <c r="W34" s="211"/>
      <c r="X34" s="211"/>
      <c r="Y34" s="211"/>
      <c r="Z34" s="211"/>
      <c r="AA34" s="211"/>
      <c r="AB34" s="211"/>
      <c r="AC34" s="239"/>
      <c r="AD34" s="239"/>
      <c r="AE34" s="239"/>
      <c r="AF34" s="240"/>
      <c r="AG34" s="211"/>
      <c r="AH34" s="211"/>
      <c r="AI34" s="211"/>
      <c r="AJ34" s="211"/>
      <c r="AK34" s="211"/>
      <c r="AL34" s="211"/>
      <c r="AM34" s="211"/>
      <c r="AN34" s="239"/>
      <c r="AO34" s="239"/>
      <c r="AP34" s="239"/>
      <c r="AQ34" s="240"/>
      <c r="AR34" s="240"/>
      <c r="AS34" s="240"/>
      <c r="AT34" s="240"/>
      <c r="AU34" s="240"/>
      <c r="AV34" s="203">
        <v>1</v>
      </c>
      <c r="AW34" s="240">
        <v>1</v>
      </c>
      <c r="AX34" s="240"/>
      <c r="AY34" s="240"/>
      <c r="AZ34" s="203"/>
      <c r="BA34" s="203"/>
      <c r="BB34" s="203"/>
      <c r="BC34" s="203"/>
    </row>
    <row r="35" spans="1:55" ht="21" customHeight="1">
      <c r="A35" s="212"/>
      <c r="B35" s="237">
        <v>46023</v>
      </c>
      <c r="C35" s="211" t="s">
        <v>395</v>
      </c>
      <c r="D35" s="238" t="s">
        <v>422</v>
      </c>
      <c r="E35" s="211"/>
      <c r="F35" s="211"/>
      <c r="G35" s="239"/>
      <c r="H35" s="239"/>
      <c r="I35" s="239"/>
      <c r="J35" s="240"/>
      <c r="K35" s="211"/>
      <c r="L35" s="211"/>
      <c r="M35" s="211">
        <v>1</v>
      </c>
      <c r="N35" s="211"/>
      <c r="O35" s="211"/>
      <c r="P35" s="211"/>
      <c r="Q35" s="211"/>
      <c r="R35" s="239"/>
      <c r="S35" s="239"/>
      <c r="T35" s="239"/>
      <c r="U35" s="240"/>
      <c r="V35" s="211"/>
      <c r="W35" s="211"/>
      <c r="X35" s="211"/>
      <c r="Y35" s="211"/>
      <c r="Z35" s="211">
        <v>1</v>
      </c>
      <c r="AA35" s="211"/>
      <c r="AB35" s="211"/>
      <c r="AC35" s="239"/>
      <c r="AD35" s="239"/>
      <c r="AE35" s="239"/>
      <c r="AF35" s="240"/>
      <c r="AG35" s="211"/>
      <c r="AH35" s="211"/>
      <c r="AI35" s="211">
        <v>1</v>
      </c>
      <c r="AJ35" s="211"/>
      <c r="AK35" s="211"/>
      <c r="AL35" s="211"/>
      <c r="AM35" s="211"/>
      <c r="AN35" s="239"/>
      <c r="AO35" s="239"/>
      <c r="AP35" s="239"/>
      <c r="AQ35" s="240"/>
      <c r="AR35" s="240"/>
      <c r="AS35" s="240"/>
      <c r="AT35" s="240"/>
      <c r="AU35" s="240"/>
      <c r="AV35" s="203"/>
      <c r="AW35" s="240"/>
      <c r="AX35" s="240"/>
      <c r="AY35" s="240"/>
      <c r="AZ35" s="203"/>
      <c r="BA35" s="203"/>
      <c r="BB35" s="203"/>
      <c r="BC35" s="203"/>
    </row>
    <row r="36" spans="1:55" ht="21" customHeight="1">
      <c r="A36" s="212"/>
      <c r="B36" s="237">
        <v>46023</v>
      </c>
      <c r="C36" s="211" t="s">
        <v>395</v>
      </c>
      <c r="D36" s="238" t="s">
        <v>423</v>
      </c>
      <c r="E36" s="211" t="s">
        <v>424</v>
      </c>
      <c r="F36" s="211"/>
      <c r="G36" s="239"/>
      <c r="H36" s="239"/>
      <c r="I36" s="239"/>
      <c r="J36" s="240"/>
      <c r="K36" s="211">
        <v>1</v>
      </c>
      <c r="L36" s="211">
        <v>1</v>
      </c>
      <c r="M36" s="211"/>
      <c r="N36" s="211">
        <v>1</v>
      </c>
      <c r="O36" s="211">
        <v>1</v>
      </c>
      <c r="P36" s="211">
        <v>1</v>
      </c>
      <c r="Q36" s="211"/>
      <c r="R36" s="239">
        <v>1</v>
      </c>
      <c r="S36" s="239">
        <v>1</v>
      </c>
      <c r="T36" s="239">
        <v>1</v>
      </c>
      <c r="U36" s="240">
        <v>1</v>
      </c>
      <c r="V36" s="211"/>
      <c r="W36" s="211">
        <v>1</v>
      </c>
      <c r="X36" s="211"/>
      <c r="Y36" s="211"/>
      <c r="Z36" s="211"/>
      <c r="AA36" s="211"/>
      <c r="AB36" s="211"/>
      <c r="AC36" s="239"/>
      <c r="AD36" s="239"/>
      <c r="AE36" s="239"/>
      <c r="AF36" s="240"/>
      <c r="AG36" s="211"/>
      <c r="AH36" s="211"/>
      <c r="AI36" s="211"/>
      <c r="AJ36" s="211"/>
      <c r="AK36" s="211"/>
      <c r="AL36" s="211"/>
      <c r="AM36" s="211"/>
      <c r="AN36" s="239"/>
      <c r="AO36" s="239">
        <v>1</v>
      </c>
      <c r="AP36" s="239">
        <v>1</v>
      </c>
      <c r="AQ36" s="240"/>
      <c r="AR36" s="240"/>
      <c r="AS36" s="240"/>
      <c r="AT36" s="240"/>
      <c r="AU36" s="240"/>
      <c r="AV36" s="203">
        <v>1</v>
      </c>
      <c r="AW36" s="240">
        <v>1</v>
      </c>
      <c r="AX36" s="240"/>
      <c r="AY36" s="240"/>
      <c r="AZ36" s="203">
        <v>1</v>
      </c>
      <c r="BA36" s="203">
        <v>1</v>
      </c>
      <c r="BB36" s="203"/>
      <c r="BC36" s="203"/>
    </row>
    <row r="37" spans="1:55" ht="21" customHeight="1">
      <c r="A37" s="212"/>
      <c r="B37" s="237">
        <v>46023</v>
      </c>
      <c r="C37" s="211" t="s">
        <v>395</v>
      </c>
      <c r="D37" s="238" t="s">
        <v>425</v>
      </c>
      <c r="E37" s="211" t="s">
        <v>426</v>
      </c>
      <c r="F37" s="211"/>
      <c r="G37" s="239"/>
      <c r="H37" s="239"/>
      <c r="I37" s="239"/>
      <c r="J37" s="240"/>
      <c r="K37" s="211"/>
      <c r="L37" s="211"/>
      <c r="M37" s="211"/>
      <c r="N37" s="211"/>
      <c r="O37" s="211"/>
      <c r="P37" s="211"/>
      <c r="Q37" s="211"/>
      <c r="R37" s="239"/>
      <c r="S37" s="239"/>
      <c r="T37" s="239"/>
      <c r="U37" s="240"/>
      <c r="V37" s="211"/>
      <c r="W37" s="211"/>
      <c r="X37" s="211"/>
      <c r="Y37" s="211"/>
      <c r="Z37" s="211">
        <v>1</v>
      </c>
      <c r="AA37" s="211"/>
      <c r="AB37" s="211"/>
      <c r="AC37" s="239"/>
      <c r="AD37" s="239"/>
      <c r="AE37" s="239"/>
      <c r="AF37" s="240"/>
      <c r="AG37" s="211"/>
      <c r="AH37" s="211"/>
      <c r="AI37" s="211">
        <v>1</v>
      </c>
      <c r="AJ37" s="211"/>
      <c r="AK37" s="211"/>
      <c r="AL37" s="211"/>
      <c r="AM37" s="211"/>
      <c r="AN37" s="239"/>
      <c r="AO37" s="239"/>
      <c r="AP37" s="239"/>
      <c r="AQ37" s="240"/>
      <c r="AR37" s="240"/>
      <c r="AS37" s="240"/>
      <c r="AT37" s="240"/>
      <c r="AU37" s="240"/>
      <c r="AV37" s="203">
        <v>1</v>
      </c>
      <c r="AW37" s="240">
        <v>1</v>
      </c>
      <c r="AX37" s="240"/>
      <c r="AY37" s="240"/>
      <c r="AZ37" s="203"/>
      <c r="BA37" s="203"/>
      <c r="BB37" s="203"/>
      <c r="BC37" s="203"/>
    </row>
    <row r="38" spans="1:55" ht="21" customHeight="1">
      <c r="A38" s="212"/>
      <c r="B38" s="237">
        <v>46023</v>
      </c>
      <c r="C38" s="211" t="s">
        <v>395</v>
      </c>
      <c r="D38" s="238" t="s">
        <v>427</v>
      </c>
      <c r="E38" s="211"/>
      <c r="F38" s="211"/>
      <c r="G38" s="239"/>
      <c r="H38" s="239"/>
      <c r="I38" s="239"/>
      <c r="J38" s="240"/>
      <c r="K38" s="211"/>
      <c r="L38" s="211">
        <v>1</v>
      </c>
      <c r="M38" s="211">
        <v>1</v>
      </c>
      <c r="N38" s="211">
        <v>1</v>
      </c>
      <c r="O38" s="211"/>
      <c r="P38" s="211">
        <v>1</v>
      </c>
      <c r="Q38" s="211"/>
      <c r="R38" s="239"/>
      <c r="S38" s="239"/>
      <c r="T38" s="239"/>
      <c r="U38" s="240"/>
      <c r="V38" s="211">
        <v>1</v>
      </c>
      <c r="W38" s="211"/>
      <c r="X38" s="211"/>
      <c r="Y38" s="211">
        <v>1</v>
      </c>
      <c r="Z38" s="211"/>
      <c r="AA38" s="211"/>
      <c r="AB38" s="211"/>
      <c r="AC38" s="239"/>
      <c r="AD38" s="239"/>
      <c r="AE38" s="239"/>
      <c r="AF38" s="240"/>
      <c r="AG38" s="211"/>
      <c r="AH38" s="211"/>
      <c r="AI38" s="211">
        <v>1</v>
      </c>
      <c r="AJ38" s="211"/>
      <c r="AK38" s="211"/>
      <c r="AL38" s="211"/>
      <c r="AM38" s="211"/>
      <c r="AN38" s="239"/>
      <c r="AO38" s="239"/>
      <c r="AP38" s="239"/>
      <c r="AQ38" s="240"/>
      <c r="AR38" s="240"/>
      <c r="AS38" s="240"/>
      <c r="AT38" s="240"/>
      <c r="AU38" s="240"/>
      <c r="AV38" s="203"/>
      <c r="AW38" s="240"/>
      <c r="AX38" s="240"/>
      <c r="AY38" s="240"/>
      <c r="AZ38" s="203"/>
      <c r="BA38" s="203"/>
      <c r="BB38" s="203"/>
      <c r="BC38" s="203"/>
    </row>
    <row r="39" spans="1:55" ht="21" customHeight="1">
      <c r="A39" s="212"/>
      <c r="B39" s="237">
        <v>46023</v>
      </c>
      <c r="C39" s="211" t="s">
        <v>395</v>
      </c>
      <c r="D39" s="238" t="s">
        <v>428</v>
      </c>
      <c r="E39" s="211" t="s">
        <v>429</v>
      </c>
      <c r="F39" s="211"/>
      <c r="G39" s="239"/>
      <c r="H39" s="239"/>
      <c r="I39" s="239"/>
      <c r="J39" s="240"/>
      <c r="K39" s="211"/>
      <c r="L39" s="211"/>
      <c r="M39" s="211"/>
      <c r="N39" s="211"/>
      <c r="O39" s="211"/>
      <c r="P39" s="211"/>
      <c r="Q39" s="211"/>
      <c r="R39" s="239"/>
      <c r="S39" s="239"/>
      <c r="T39" s="239"/>
      <c r="U39" s="240"/>
      <c r="V39" s="211">
        <v>1</v>
      </c>
      <c r="W39" s="211"/>
      <c r="X39" s="211">
        <v>1</v>
      </c>
      <c r="Y39" s="211"/>
      <c r="Z39" s="211"/>
      <c r="AA39" s="211"/>
      <c r="AB39" s="211"/>
      <c r="AC39" s="239"/>
      <c r="AD39" s="239"/>
      <c r="AE39" s="239"/>
      <c r="AF39" s="240"/>
      <c r="AG39" s="211"/>
      <c r="AH39" s="211"/>
      <c r="AI39" s="211">
        <v>1</v>
      </c>
      <c r="AJ39" s="211"/>
      <c r="AK39" s="211"/>
      <c r="AL39" s="211"/>
      <c r="AM39" s="211"/>
      <c r="AN39" s="239"/>
      <c r="AO39" s="239"/>
      <c r="AP39" s="239"/>
      <c r="AQ39" s="240"/>
      <c r="AR39" s="240"/>
      <c r="AS39" s="240"/>
      <c r="AT39" s="240"/>
      <c r="AU39" s="240"/>
      <c r="AV39" s="203">
        <v>1</v>
      </c>
      <c r="AW39" s="240">
        <v>1</v>
      </c>
      <c r="AX39" s="240"/>
      <c r="AY39" s="240"/>
      <c r="AZ39" s="203"/>
      <c r="BA39" s="203"/>
      <c r="BB39" s="203"/>
      <c r="BC39" s="203"/>
    </row>
    <row r="40" spans="1:55" ht="21" customHeight="1">
      <c r="A40" s="212"/>
      <c r="B40" s="237">
        <v>46023</v>
      </c>
      <c r="C40" s="211" t="s">
        <v>395</v>
      </c>
      <c r="D40" s="238" t="s">
        <v>430</v>
      </c>
      <c r="E40" s="211" t="s">
        <v>431</v>
      </c>
      <c r="F40" s="211"/>
      <c r="G40" s="239"/>
      <c r="H40" s="239"/>
      <c r="I40" s="239"/>
      <c r="J40" s="240"/>
      <c r="K40" s="211"/>
      <c r="L40" s="211"/>
      <c r="M40" s="211">
        <v>1</v>
      </c>
      <c r="N40" s="211"/>
      <c r="O40" s="211"/>
      <c r="P40" s="211"/>
      <c r="Q40" s="211"/>
      <c r="R40" s="239"/>
      <c r="S40" s="239"/>
      <c r="T40" s="239"/>
      <c r="U40" s="240"/>
      <c r="V40" s="211"/>
      <c r="W40" s="211"/>
      <c r="X40" s="211"/>
      <c r="Y40" s="211"/>
      <c r="Z40" s="211"/>
      <c r="AA40" s="211"/>
      <c r="AB40" s="211"/>
      <c r="AC40" s="239"/>
      <c r="AD40" s="239"/>
      <c r="AE40" s="239"/>
      <c r="AF40" s="240"/>
      <c r="AG40" s="211"/>
      <c r="AH40" s="211"/>
      <c r="AI40" s="211"/>
      <c r="AJ40" s="211"/>
      <c r="AK40" s="211"/>
      <c r="AL40" s="211"/>
      <c r="AM40" s="211"/>
      <c r="AN40" s="239"/>
      <c r="AO40" s="239"/>
      <c r="AP40" s="239"/>
      <c r="AQ40" s="240"/>
      <c r="AR40" s="240"/>
      <c r="AS40" s="240"/>
      <c r="AT40" s="240"/>
      <c r="AU40" s="240"/>
      <c r="AV40" s="203"/>
      <c r="AW40" s="240"/>
      <c r="AX40" s="240"/>
      <c r="AY40" s="240"/>
      <c r="AZ40" s="203"/>
      <c r="BA40" s="203"/>
      <c r="BB40" s="203"/>
      <c r="BC40" s="203"/>
    </row>
    <row r="41" spans="1:55" ht="21" customHeight="1">
      <c r="A41" s="212"/>
      <c r="B41" s="237">
        <v>46023</v>
      </c>
      <c r="C41" s="211" t="s">
        <v>395</v>
      </c>
      <c r="D41" s="238" t="s">
        <v>432</v>
      </c>
      <c r="E41" s="211" t="s">
        <v>433</v>
      </c>
      <c r="F41" s="211"/>
      <c r="G41" s="239"/>
      <c r="H41" s="239"/>
      <c r="I41" s="239"/>
      <c r="J41" s="240"/>
      <c r="K41" s="211"/>
      <c r="L41" s="211">
        <v>1</v>
      </c>
      <c r="M41" s="211"/>
      <c r="N41" s="211"/>
      <c r="O41" s="211"/>
      <c r="P41" s="211"/>
      <c r="Q41" s="211"/>
      <c r="R41" s="239"/>
      <c r="S41" s="239"/>
      <c r="T41" s="239"/>
      <c r="U41" s="240"/>
      <c r="V41" s="211"/>
      <c r="W41" s="211"/>
      <c r="X41" s="211"/>
      <c r="Y41" s="211"/>
      <c r="Z41" s="211"/>
      <c r="AA41" s="211"/>
      <c r="AB41" s="211"/>
      <c r="AC41" s="239"/>
      <c r="AD41" s="239"/>
      <c r="AE41" s="239"/>
      <c r="AF41" s="240"/>
      <c r="AG41" s="211"/>
      <c r="AH41" s="211"/>
      <c r="AI41" s="211"/>
      <c r="AJ41" s="211"/>
      <c r="AK41" s="211"/>
      <c r="AL41" s="211">
        <v>1</v>
      </c>
      <c r="AM41" s="211"/>
      <c r="AN41" s="239"/>
      <c r="AO41" s="239"/>
      <c r="AP41" s="239"/>
      <c r="AQ41" s="240"/>
      <c r="AR41" s="240"/>
      <c r="AS41" s="240"/>
      <c r="AT41" s="240"/>
      <c r="AU41" s="240"/>
      <c r="AV41" s="203"/>
      <c r="AW41" s="240"/>
      <c r="AX41" s="240"/>
      <c r="AY41" s="240"/>
      <c r="AZ41" s="203"/>
      <c r="BA41" s="203"/>
      <c r="BB41" s="203"/>
      <c r="BC41" s="203"/>
    </row>
    <row r="42" spans="1:55" ht="21" customHeight="1">
      <c r="A42" s="212"/>
      <c r="B42" s="237">
        <v>46023</v>
      </c>
      <c r="C42" s="211" t="s">
        <v>395</v>
      </c>
      <c r="D42" s="238" t="s">
        <v>434</v>
      </c>
      <c r="E42" s="211" t="s">
        <v>435</v>
      </c>
      <c r="F42" s="211"/>
      <c r="G42" s="239"/>
      <c r="H42" s="239">
        <v>1</v>
      </c>
      <c r="I42" s="239">
        <v>1</v>
      </c>
      <c r="J42" s="240">
        <v>1</v>
      </c>
      <c r="K42" s="211"/>
      <c r="L42" s="211"/>
      <c r="M42" s="211">
        <v>1</v>
      </c>
      <c r="N42" s="211"/>
      <c r="O42" s="211"/>
      <c r="P42" s="211">
        <v>1</v>
      </c>
      <c r="Q42" s="211"/>
      <c r="R42" s="239"/>
      <c r="S42" s="239"/>
      <c r="T42" s="239"/>
      <c r="U42" s="240"/>
      <c r="V42" s="211"/>
      <c r="W42" s="211"/>
      <c r="X42" s="211">
        <v>1</v>
      </c>
      <c r="Y42" s="211"/>
      <c r="Z42" s="211"/>
      <c r="AA42" s="211"/>
      <c r="AB42" s="211"/>
      <c r="AC42" s="239"/>
      <c r="AD42" s="239"/>
      <c r="AE42" s="239"/>
      <c r="AF42" s="240"/>
      <c r="AG42" s="211"/>
      <c r="AH42" s="211"/>
      <c r="AI42" s="211">
        <v>1</v>
      </c>
      <c r="AJ42" s="211"/>
      <c r="AK42" s="211"/>
      <c r="AL42" s="211"/>
      <c r="AM42" s="211"/>
      <c r="AN42" s="239"/>
      <c r="AO42" s="239"/>
      <c r="AP42" s="239"/>
      <c r="AQ42" s="240"/>
      <c r="AR42" s="240"/>
      <c r="AS42" s="240">
        <v>1</v>
      </c>
      <c r="AT42" s="240">
        <v>1</v>
      </c>
      <c r="AU42" s="240">
        <v>1</v>
      </c>
      <c r="AV42" s="203">
        <v>1</v>
      </c>
      <c r="AW42" s="240">
        <v>1</v>
      </c>
      <c r="AX42" s="240"/>
      <c r="AY42" s="240"/>
      <c r="AZ42" s="203">
        <v>1</v>
      </c>
      <c r="BA42" s="203"/>
      <c r="BB42" s="203"/>
      <c r="BC42" s="203"/>
    </row>
    <row r="43" spans="1:55" ht="21" customHeight="1">
      <c r="A43" s="212"/>
      <c r="B43" s="237">
        <v>46023</v>
      </c>
      <c r="C43" s="211" t="s">
        <v>395</v>
      </c>
      <c r="D43" s="238" t="s">
        <v>436</v>
      </c>
      <c r="E43" s="211" t="s">
        <v>437</v>
      </c>
      <c r="F43" s="211"/>
      <c r="G43" s="239"/>
      <c r="H43" s="239"/>
      <c r="I43" s="239"/>
      <c r="J43" s="240"/>
      <c r="K43" s="211"/>
      <c r="L43" s="211"/>
      <c r="M43" s="211"/>
      <c r="N43" s="211"/>
      <c r="O43" s="211"/>
      <c r="P43" s="211"/>
      <c r="Q43" s="211"/>
      <c r="R43" s="239"/>
      <c r="S43" s="239"/>
      <c r="T43" s="239"/>
      <c r="U43" s="240"/>
      <c r="V43" s="211"/>
      <c r="W43" s="211"/>
      <c r="X43" s="211"/>
      <c r="Y43" s="211"/>
      <c r="Z43" s="211"/>
      <c r="AA43" s="211"/>
      <c r="AB43" s="211"/>
      <c r="AC43" s="239"/>
      <c r="AD43" s="239"/>
      <c r="AE43" s="239"/>
      <c r="AF43" s="240"/>
      <c r="AG43" s="211"/>
      <c r="AH43" s="211"/>
      <c r="AI43" s="211"/>
      <c r="AJ43" s="211"/>
      <c r="AK43" s="211"/>
      <c r="AL43" s="211"/>
      <c r="AM43" s="211"/>
      <c r="AN43" s="239"/>
      <c r="AO43" s="239"/>
      <c r="AP43" s="239"/>
      <c r="AQ43" s="240"/>
      <c r="AR43" s="240"/>
      <c r="AS43" s="240"/>
      <c r="AT43" s="240"/>
      <c r="AU43" s="240"/>
      <c r="AV43" s="203"/>
      <c r="AW43" s="240"/>
      <c r="AX43" s="240"/>
      <c r="AY43" s="240"/>
      <c r="AZ43" s="203"/>
      <c r="BA43" s="203"/>
      <c r="BB43" s="203"/>
      <c r="BC43" s="203"/>
    </row>
    <row r="44" spans="1:55" ht="21" customHeight="1">
      <c r="A44" s="212"/>
      <c r="B44" s="237">
        <v>46023</v>
      </c>
      <c r="C44" s="211" t="s">
        <v>395</v>
      </c>
      <c r="D44" s="238" t="s">
        <v>438</v>
      </c>
      <c r="E44" s="211" t="s">
        <v>439</v>
      </c>
      <c r="F44" s="211"/>
      <c r="G44" s="239"/>
      <c r="H44" s="239"/>
      <c r="I44" s="239"/>
      <c r="J44" s="240"/>
      <c r="K44" s="211"/>
      <c r="L44" s="211"/>
      <c r="M44" s="211"/>
      <c r="N44" s="211"/>
      <c r="O44" s="211"/>
      <c r="P44" s="211"/>
      <c r="Q44" s="211"/>
      <c r="R44" s="239"/>
      <c r="S44" s="239"/>
      <c r="T44" s="239"/>
      <c r="U44" s="240"/>
      <c r="V44" s="211"/>
      <c r="W44" s="211"/>
      <c r="X44" s="211"/>
      <c r="Y44" s="211"/>
      <c r="Z44" s="211"/>
      <c r="AA44" s="211"/>
      <c r="AB44" s="211"/>
      <c r="AC44" s="239"/>
      <c r="AD44" s="239"/>
      <c r="AE44" s="239"/>
      <c r="AF44" s="240"/>
      <c r="AG44" s="211"/>
      <c r="AH44" s="211"/>
      <c r="AI44" s="211"/>
      <c r="AJ44" s="211"/>
      <c r="AK44" s="211"/>
      <c r="AL44" s="211"/>
      <c r="AM44" s="211"/>
      <c r="AN44" s="239"/>
      <c r="AO44" s="239"/>
      <c r="AP44" s="239"/>
      <c r="AQ44" s="240"/>
      <c r="AR44" s="240"/>
      <c r="AS44" s="240"/>
      <c r="AT44" s="240"/>
      <c r="AU44" s="240"/>
      <c r="AV44" s="203"/>
      <c r="AW44" s="240"/>
      <c r="AX44" s="240">
        <v>1</v>
      </c>
      <c r="AY44" s="240"/>
      <c r="AZ44" s="203">
        <v>1</v>
      </c>
      <c r="BA44" s="203"/>
      <c r="BB44" s="203"/>
      <c r="BC44" s="203"/>
    </row>
    <row r="45" spans="1:55" ht="21" customHeight="1">
      <c r="A45" s="212"/>
      <c r="B45" s="237">
        <v>46023</v>
      </c>
      <c r="C45" s="211" t="s">
        <v>395</v>
      </c>
      <c r="D45" s="238" t="s">
        <v>440</v>
      </c>
      <c r="E45" s="211" t="s">
        <v>441</v>
      </c>
      <c r="F45" s="211"/>
      <c r="G45" s="239"/>
      <c r="H45" s="239"/>
      <c r="I45" s="239"/>
      <c r="J45" s="240"/>
      <c r="K45" s="211"/>
      <c r="L45" s="211"/>
      <c r="M45" s="211"/>
      <c r="N45" s="211"/>
      <c r="O45" s="211"/>
      <c r="P45" s="211"/>
      <c r="Q45" s="211"/>
      <c r="R45" s="239"/>
      <c r="S45" s="239"/>
      <c r="T45" s="239"/>
      <c r="U45" s="240"/>
      <c r="V45" s="211"/>
      <c r="W45" s="211"/>
      <c r="X45" s="211"/>
      <c r="Y45" s="211">
        <v>1</v>
      </c>
      <c r="Z45" s="211"/>
      <c r="AA45" s="211"/>
      <c r="AB45" s="211"/>
      <c r="AC45" s="239"/>
      <c r="AD45" s="239"/>
      <c r="AE45" s="239"/>
      <c r="AF45" s="240"/>
      <c r="AG45" s="211"/>
      <c r="AH45" s="211"/>
      <c r="AI45" s="211"/>
      <c r="AJ45" s="211"/>
      <c r="AK45" s="211"/>
      <c r="AL45" s="211"/>
      <c r="AM45" s="211"/>
      <c r="AN45" s="239"/>
      <c r="AO45" s="239"/>
      <c r="AP45" s="239"/>
      <c r="AQ45" s="240"/>
      <c r="AR45" s="240"/>
      <c r="AS45" s="240"/>
      <c r="AT45" s="240"/>
      <c r="AU45" s="240"/>
      <c r="AV45" s="203"/>
      <c r="AW45" s="240"/>
      <c r="AX45" s="240"/>
      <c r="AY45" s="240"/>
      <c r="AZ45" s="203"/>
      <c r="BA45" s="203">
        <v>1</v>
      </c>
      <c r="BB45" s="203"/>
      <c r="BC45" s="203"/>
    </row>
    <row r="46" spans="1:55" ht="21" customHeight="1">
      <c r="A46" s="212"/>
      <c r="B46" s="237">
        <v>46023</v>
      </c>
      <c r="C46" s="211" t="s">
        <v>395</v>
      </c>
      <c r="D46" s="238" t="s">
        <v>442</v>
      </c>
      <c r="E46" s="211" t="s">
        <v>443</v>
      </c>
      <c r="F46" s="211"/>
      <c r="G46" s="239"/>
      <c r="H46" s="239"/>
      <c r="I46" s="239"/>
      <c r="J46" s="240"/>
      <c r="K46" s="211"/>
      <c r="L46" s="211"/>
      <c r="M46" s="211">
        <v>1</v>
      </c>
      <c r="N46" s="211"/>
      <c r="O46" s="211"/>
      <c r="P46" s="211"/>
      <c r="Q46" s="211"/>
      <c r="R46" s="239"/>
      <c r="S46" s="239"/>
      <c r="T46" s="239"/>
      <c r="U46" s="240"/>
      <c r="V46" s="211"/>
      <c r="W46" s="211"/>
      <c r="X46" s="211"/>
      <c r="Y46" s="211"/>
      <c r="Z46" s="211"/>
      <c r="AA46" s="211"/>
      <c r="AB46" s="211"/>
      <c r="AC46" s="239"/>
      <c r="AD46" s="239"/>
      <c r="AE46" s="239"/>
      <c r="AF46" s="240"/>
      <c r="AG46" s="211"/>
      <c r="AH46" s="211"/>
      <c r="AI46" s="211"/>
      <c r="AJ46" s="211"/>
      <c r="AK46" s="211"/>
      <c r="AL46" s="211"/>
      <c r="AM46" s="211"/>
      <c r="AN46" s="239"/>
      <c r="AO46" s="239"/>
      <c r="AP46" s="239"/>
      <c r="AQ46" s="240"/>
      <c r="AR46" s="240"/>
      <c r="AS46" s="240"/>
      <c r="AT46" s="240">
        <v>1</v>
      </c>
      <c r="AU46" s="240">
        <v>1</v>
      </c>
      <c r="AV46" s="203"/>
      <c r="AW46" s="240"/>
      <c r="AX46" s="240"/>
      <c r="AY46" s="240"/>
      <c r="AZ46" s="203"/>
      <c r="BA46" s="203"/>
      <c r="BB46" s="203"/>
      <c r="BC46" s="203"/>
    </row>
    <row r="47" spans="1:55" ht="21" customHeight="1">
      <c r="A47" s="212"/>
      <c r="B47" s="237">
        <v>46023</v>
      </c>
      <c r="C47" s="211" t="s">
        <v>395</v>
      </c>
      <c r="D47" s="238" t="s">
        <v>444</v>
      </c>
      <c r="E47" s="211" t="s">
        <v>445</v>
      </c>
      <c r="F47" s="211"/>
      <c r="G47" s="239"/>
      <c r="H47" s="239"/>
      <c r="I47" s="239"/>
      <c r="J47" s="240"/>
      <c r="K47" s="211"/>
      <c r="L47" s="211"/>
      <c r="M47" s="211"/>
      <c r="N47" s="211"/>
      <c r="O47" s="211"/>
      <c r="P47" s="211"/>
      <c r="Q47" s="211"/>
      <c r="R47" s="239"/>
      <c r="S47" s="239"/>
      <c r="T47" s="239"/>
      <c r="U47" s="240"/>
      <c r="V47" s="211"/>
      <c r="W47" s="211"/>
      <c r="X47" s="211"/>
      <c r="Y47" s="211">
        <v>1</v>
      </c>
      <c r="Z47" s="211"/>
      <c r="AA47" s="211"/>
      <c r="AB47" s="211"/>
      <c r="AC47" s="239"/>
      <c r="AD47" s="239"/>
      <c r="AE47" s="239"/>
      <c r="AF47" s="240"/>
      <c r="AG47" s="211"/>
      <c r="AH47" s="211"/>
      <c r="AI47" s="211">
        <v>1</v>
      </c>
      <c r="AJ47" s="211"/>
      <c r="AK47" s="211"/>
      <c r="AL47" s="211"/>
      <c r="AM47" s="211"/>
      <c r="AN47" s="239"/>
      <c r="AO47" s="239"/>
      <c r="AP47" s="239"/>
      <c r="AQ47" s="240"/>
      <c r="AR47" s="240"/>
      <c r="AS47" s="240"/>
      <c r="AT47" s="240"/>
      <c r="AU47" s="240"/>
      <c r="AV47" s="203"/>
      <c r="AW47" s="240"/>
      <c r="AX47" s="240">
        <v>1</v>
      </c>
      <c r="AY47" s="240"/>
      <c r="AZ47" s="203"/>
      <c r="BA47" s="203"/>
      <c r="BB47" s="203"/>
      <c r="BC47" s="203"/>
    </row>
    <row r="48" spans="1:55" ht="21" customHeight="1">
      <c r="A48" s="212"/>
      <c r="B48" s="237">
        <v>46023</v>
      </c>
      <c r="C48" s="211" t="s">
        <v>395</v>
      </c>
      <c r="D48" s="238" t="s">
        <v>446</v>
      </c>
      <c r="E48" s="211" t="s">
        <v>447</v>
      </c>
      <c r="F48" s="211"/>
      <c r="G48" s="239"/>
      <c r="H48" s="239"/>
      <c r="I48" s="239"/>
      <c r="J48" s="240"/>
      <c r="K48" s="211">
        <v>1</v>
      </c>
      <c r="L48" s="211"/>
      <c r="M48" s="211">
        <v>1</v>
      </c>
      <c r="N48" s="211"/>
      <c r="O48" s="211"/>
      <c r="P48" s="211"/>
      <c r="Q48" s="211"/>
      <c r="R48" s="239"/>
      <c r="S48" s="239">
        <v>1</v>
      </c>
      <c r="T48" s="239">
        <v>1</v>
      </c>
      <c r="U48" s="240">
        <v>1</v>
      </c>
      <c r="V48" s="211">
        <v>1</v>
      </c>
      <c r="W48" s="211">
        <v>1</v>
      </c>
      <c r="X48" s="211"/>
      <c r="Y48" s="211"/>
      <c r="Z48" s="211">
        <v>1</v>
      </c>
      <c r="AA48" s="211">
        <v>1</v>
      </c>
      <c r="AB48" s="211"/>
      <c r="AC48" s="239"/>
      <c r="AD48" s="239">
        <v>1</v>
      </c>
      <c r="AE48" s="239">
        <v>1</v>
      </c>
      <c r="AF48" s="240"/>
      <c r="AG48" s="211">
        <v>1</v>
      </c>
      <c r="AH48" s="211">
        <v>1</v>
      </c>
      <c r="AI48" s="211">
        <v>1</v>
      </c>
      <c r="AJ48" s="211">
        <v>1</v>
      </c>
      <c r="AK48" s="211"/>
      <c r="AL48" s="211"/>
      <c r="AM48" s="211"/>
      <c r="AN48" s="239"/>
      <c r="AO48" s="239"/>
      <c r="AP48" s="239"/>
      <c r="AQ48" s="240"/>
      <c r="AR48" s="240"/>
      <c r="AS48" s="240"/>
      <c r="AT48" s="240"/>
      <c r="AU48" s="240"/>
      <c r="AV48" s="203"/>
      <c r="AW48" s="240"/>
      <c r="AX48" s="240">
        <v>1</v>
      </c>
      <c r="AY48" s="240"/>
      <c r="AZ48" s="203"/>
      <c r="BA48" s="203"/>
      <c r="BB48" s="203"/>
      <c r="BC48" s="203"/>
    </row>
    <row r="49" spans="1:55" ht="21" customHeight="1">
      <c r="A49" s="212"/>
      <c r="B49" s="237">
        <v>46023</v>
      </c>
      <c r="C49" s="211" t="s">
        <v>395</v>
      </c>
      <c r="D49" s="238" t="s">
        <v>448</v>
      </c>
      <c r="E49" s="211" t="s">
        <v>449</v>
      </c>
      <c r="F49" s="211"/>
      <c r="G49" s="239"/>
      <c r="H49" s="239"/>
      <c r="I49" s="239"/>
      <c r="J49" s="240"/>
      <c r="K49" s="211"/>
      <c r="L49" s="211"/>
      <c r="M49" s="211"/>
      <c r="N49" s="211"/>
      <c r="O49" s="211"/>
      <c r="P49" s="211"/>
      <c r="Q49" s="211"/>
      <c r="R49" s="239">
        <v>1</v>
      </c>
      <c r="S49" s="239"/>
      <c r="T49" s="239">
        <v>1</v>
      </c>
      <c r="U49" s="240"/>
      <c r="V49" s="211"/>
      <c r="W49" s="211"/>
      <c r="X49" s="211">
        <v>1</v>
      </c>
      <c r="Y49" s="211">
        <v>1</v>
      </c>
      <c r="Z49" s="211"/>
      <c r="AA49" s="211">
        <v>1</v>
      </c>
      <c r="AB49" s="211"/>
      <c r="AC49" s="239"/>
      <c r="AD49" s="239"/>
      <c r="AE49" s="239"/>
      <c r="AF49" s="240"/>
      <c r="AG49" s="211"/>
      <c r="AH49" s="211"/>
      <c r="AI49" s="211"/>
      <c r="AJ49" s="211"/>
      <c r="AK49" s="211"/>
      <c r="AL49" s="211"/>
      <c r="AM49" s="211"/>
      <c r="AN49" s="239"/>
      <c r="AO49" s="239"/>
      <c r="AP49" s="239"/>
      <c r="AQ49" s="240"/>
      <c r="AR49" s="240"/>
      <c r="AS49" s="240"/>
      <c r="AT49" s="240"/>
      <c r="AU49" s="240"/>
      <c r="AV49" s="203"/>
      <c r="AW49" s="240"/>
      <c r="AX49" s="240"/>
      <c r="AY49" s="240"/>
      <c r="AZ49" s="203"/>
      <c r="BA49" s="203"/>
      <c r="BB49" s="203"/>
      <c r="BC49" s="203"/>
    </row>
    <row r="50" spans="1:55" ht="21" customHeight="1">
      <c r="A50" s="212"/>
      <c r="B50" s="237">
        <v>46023</v>
      </c>
      <c r="C50" s="211" t="s">
        <v>395</v>
      </c>
      <c r="D50" s="238" t="s">
        <v>450</v>
      </c>
      <c r="E50" s="211" t="s">
        <v>429</v>
      </c>
      <c r="F50" s="211"/>
      <c r="G50" s="239"/>
      <c r="H50" s="239"/>
      <c r="I50" s="239"/>
      <c r="J50" s="240"/>
      <c r="K50" s="211"/>
      <c r="L50" s="211"/>
      <c r="M50" s="211">
        <v>1</v>
      </c>
      <c r="N50" s="211"/>
      <c r="O50" s="211"/>
      <c r="P50" s="211">
        <v>1</v>
      </c>
      <c r="Q50" s="211"/>
      <c r="R50" s="239"/>
      <c r="S50" s="239"/>
      <c r="T50" s="239"/>
      <c r="U50" s="240"/>
      <c r="V50" s="211"/>
      <c r="W50" s="211"/>
      <c r="X50" s="211"/>
      <c r="Y50" s="211">
        <v>1</v>
      </c>
      <c r="Z50" s="211"/>
      <c r="AA50" s="211"/>
      <c r="AB50" s="211"/>
      <c r="AC50" s="239"/>
      <c r="AD50" s="239"/>
      <c r="AE50" s="239"/>
      <c r="AF50" s="240"/>
      <c r="AG50" s="211"/>
      <c r="AH50" s="211"/>
      <c r="AI50" s="211">
        <v>1</v>
      </c>
      <c r="AJ50" s="211"/>
      <c r="AK50" s="211"/>
      <c r="AL50" s="211"/>
      <c r="AM50" s="211"/>
      <c r="AN50" s="239"/>
      <c r="AO50" s="239"/>
      <c r="AP50" s="239"/>
      <c r="AQ50" s="240"/>
      <c r="AR50" s="240"/>
      <c r="AS50" s="240"/>
      <c r="AT50" s="240"/>
      <c r="AU50" s="240"/>
      <c r="AV50" s="203"/>
      <c r="AW50" s="240"/>
      <c r="AX50" s="240">
        <v>1</v>
      </c>
      <c r="AY50" s="240"/>
      <c r="AZ50" s="203"/>
      <c r="BA50" s="203"/>
      <c r="BB50" s="203"/>
      <c r="BC50" s="203"/>
    </row>
    <row r="51" spans="1:55" ht="21" customHeight="1">
      <c r="A51" s="212"/>
      <c r="B51" s="237">
        <v>46023</v>
      </c>
      <c r="C51" s="211" t="s">
        <v>395</v>
      </c>
      <c r="D51" s="238" t="s">
        <v>451</v>
      </c>
      <c r="E51" s="211" t="s">
        <v>431</v>
      </c>
      <c r="F51" s="211"/>
      <c r="G51" s="239"/>
      <c r="H51" s="239"/>
      <c r="I51" s="239"/>
      <c r="J51" s="240"/>
      <c r="K51" s="211"/>
      <c r="L51" s="211"/>
      <c r="M51" s="211"/>
      <c r="N51" s="211"/>
      <c r="O51" s="211"/>
      <c r="P51" s="211">
        <v>1</v>
      </c>
      <c r="Q51" s="211"/>
      <c r="R51" s="239"/>
      <c r="S51" s="239"/>
      <c r="T51" s="239"/>
      <c r="U51" s="240"/>
      <c r="V51" s="211"/>
      <c r="W51" s="211"/>
      <c r="X51" s="211">
        <v>1</v>
      </c>
      <c r="Y51" s="211">
        <v>1</v>
      </c>
      <c r="Z51" s="211"/>
      <c r="AA51" s="211"/>
      <c r="AB51" s="211"/>
      <c r="AC51" s="239"/>
      <c r="AD51" s="239"/>
      <c r="AE51" s="239"/>
      <c r="AF51" s="240"/>
      <c r="AG51" s="211"/>
      <c r="AH51" s="211"/>
      <c r="AI51" s="211"/>
      <c r="AJ51" s="211"/>
      <c r="AK51" s="211">
        <v>1</v>
      </c>
      <c r="AL51" s="211">
        <v>1</v>
      </c>
      <c r="AM51" s="211"/>
      <c r="AN51" s="239"/>
      <c r="AO51" s="239"/>
      <c r="AP51" s="239"/>
      <c r="AQ51" s="240"/>
      <c r="AR51" s="240"/>
      <c r="AS51" s="240"/>
      <c r="AT51" s="240"/>
      <c r="AU51" s="240"/>
      <c r="AV51" s="203"/>
      <c r="AW51" s="240"/>
      <c r="AX51" s="240"/>
      <c r="AY51" s="240"/>
      <c r="AZ51" s="203"/>
      <c r="BA51" s="203"/>
      <c r="BB51" s="203"/>
      <c r="BC51" s="203"/>
    </row>
    <row r="52" spans="1:55" ht="21" customHeight="1">
      <c r="A52" s="212"/>
      <c r="B52" s="237">
        <v>46023</v>
      </c>
      <c r="C52" s="211" t="s">
        <v>395</v>
      </c>
      <c r="D52" s="238" t="s">
        <v>452</v>
      </c>
      <c r="E52" s="211" t="s">
        <v>453</v>
      </c>
      <c r="F52" s="211"/>
      <c r="G52" s="239"/>
      <c r="H52" s="239"/>
      <c r="I52" s="239"/>
      <c r="J52" s="240"/>
      <c r="K52" s="211"/>
      <c r="L52" s="211"/>
      <c r="M52" s="211"/>
      <c r="N52" s="211">
        <v>1</v>
      </c>
      <c r="O52" s="211">
        <v>1</v>
      </c>
      <c r="P52" s="211"/>
      <c r="Q52" s="211"/>
      <c r="R52" s="239"/>
      <c r="S52" s="239"/>
      <c r="T52" s="239"/>
      <c r="U52" s="240"/>
      <c r="V52" s="211"/>
      <c r="W52" s="211"/>
      <c r="X52" s="211">
        <v>1</v>
      </c>
      <c r="Y52" s="211"/>
      <c r="Z52" s="211"/>
      <c r="AA52" s="211"/>
      <c r="AB52" s="211"/>
      <c r="AC52" s="239"/>
      <c r="AD52" s="239"/>
      <c r="AE52" s="239"/>
      <c r="AF52" s="240"/>
      <c r="AG52" s="211"/>
      <c r="AH52" s="211"/>
      <c r="AI52" s="211">
        <v>1</v>
      </c>
      <c r="AJ52" s="211"/>
      <c r="AK52" s="211"/>
      <c r="AL52" s="211"/>
      <c r="AM52" s="211"/>
      <c r="AN52" s="239"/>
      <c r="AO52" s="239"/>
      <c r="AP52" s="239"/>
      <c r="AQ52" s="240"/>
      <c r="AR52" s="240"/>
      <c r="AS52" s="240"/>
      <c r="AT52" s="240"/>
      <c r="AU52" s="240"/>
      <c r="AV52" s="203"/>
      <c r="AW52" s="240"/>
      <c r="AX52" s="240">
        <v>1</v>
      </c>
      <c r="AY52" s="240"/>
      <c r="AZ52" s="203">
        <v>1</v>
      </c>
      <c r="BA52" s="203"/>
      <c r="BB52" s="203"/>
      <c r="BC52" s="203"/>
    </row>
    <row r="53" spans="1:55" ht="21" customHeight="1">
      <c r="A53" s="212"/>
      <c r="B53" s="237">
        <v>46023</v>
      </c>
      <c r="C53" s="211" t="s">
        <v>395</v>
      </c>
      <c r="D53" s="238" t="s">
        <v>454</v>
      </c>
      <c r="E53" s="211" t="s">
        <v>455</v>
      </c>
      <c r="F53" s="211"/>
      <c r="G53" s="239"/>
      <c r="H53" s="239"/>
      <c r="I53" s="239"/>
      <c r="J53" s="240"/>
      <c r="K53" s="211"/>
      <c r="L53" s="211"/>
      <c r="M53" s="211">
        <v>1</v>
      </c>
      <c r="N53" s="211"/>
      <c r="O53" s="211"/>
      <c r="P53" s="211"/>
      <c r="Q53" s="211"/>
      <c r="R53" s="239"/>
      <c r="S53" s="239"/>
      <c r="T53" s="239"/>
      <c r="U53" s="240"/>
      <c r="V53" s="211"/>
      <c r="W53" s="211"/>
      <c r="X53" s="211"/>
      <c r="Y53" s="211"/>
      <c r="Z53" s="211"/>
      <c r="AA53" s="211"/>
      <c r="AB53" s="211"/>
      <c r="AC53" s="239"/>
      <c r="AD53" s="239"/>
      <c r="AE53" s="239"/>
      <c r="AF53" s="240"/>
      <c r="AG53" s="211"/>
      <c r="AH53" s="211"/>
      <c r="AI53" s="211">
        <v>1</v>
      </c>
      <c r="AJ53" s="211"/>
      <c r="AK53" s="211"/>
      <c r="AL53" s="211"/>
      <c r="AM53" s="211"/>
      <c r="AN53" s="239"/>
      <c r="AO53" s="239"/>
      <c r="AP53" s="239"/>
      <c r="AQ53" s="240"/>
      <c r="AR53" s="240"/>
      <c r="AS53" s="240"/>
      <c r="AT53" s="240"/>
      <c r="AU53" s="240"/>
      <c r="AV53" s="203"/>
      <c r="AW53" s="240"/>
      <c r="AX53" s="240"/>
      <c r="AY53" s="240"/>
      <c r="AZ53" s="203"/>
      <c r="BA53" s="203"/>
      <c r="BB53" s="203"/>
      <c r="BC53" s="203"/>
    </row>
    <row r="54" spans="1:55" ht="21" customHeight="1">
      <c r="A54" s="212"/>
      <c r="B54" s="237">
        <v>46023</v>
      </c>
      <c r="C54" s="211" t="s">
        <v>395</v>
      </c>
      <c r="D54" s="238" t="s">
        <v>456</v>
      </c>
      <c r="E54" s="211" t="s">
        <v>457</v>
      </c>
      <c r="F54" s="211"/>
      <c r="G54" s="239"/>
      <c r="H54" s="239"/>
      <c r="I54" s="239"/>
      <c r="J54" s="240"/>
      <c r="K54" s="211"/>
      <c r="L54" s="211"/>
      <c r="M54" s="211"/>
      <c r="N54" s="211"/>
      <c r="O54" s="211"/>
      <c r="P54" s="211"/>
      <c r="Q54" s="211"/>
      <c r="R54" s="239"/>
      <c r="S54" s="239"/>
      <c r="T54" s="239"/>
      <c r="U54" s="240"/>
      <c r="V54" s="211"/>
      <c r="W54" s="211"/>
      <c r="X54" s="211">
        <v>1</v>
      </c>
      <c r="Y54" s="211">
        <v>1</v>
      </c>
      <c r="Z54" s="211"/>
      <c r="AA54" s="211"/>
      <c r="AB54" s="211"/>
      <c r="AC54" s="239"/>
      <c r="AD54" s="239"/>
      <c r="AE54" s="239"/>
      <c r="AF54" s="240"/>
      <c r="AG54" s="211"/>
      <c r="AH54" s="211"/>
      <c r="AI54" s="211">
        <v>1</v>
      </c>
      <c r="AJ54" s="211"/>
      <c r="AK54" s="211"/>
      <c r="AL54" s="211"/>
      <c r="AM54" s="211"/>
      <c r="AN54" s="239"/>
      <c r="AO54" s="239"/>
      <c r="AP54" s="239"/>
      <c r="AQ54" s="240"/>
      <c r="AR54" s="240"/>
      <c r="AS54" s="240"/>
      <c r="AT54" s="240"/>
      <c r="AU54" s="240"/>
      <c r="AV54" s="203"/>
      <c r="AW54" s="240"/>
      <c r="AX54" s="240">
        <v>1</v>
      </c>
      <c r="AY54" s="240"/>
      <c r="AZ54" s="203"/>
      <c r="BA54" s="203"/>
      <c r="BB54" s="203"/>
      <c r="BC54" s="203"/>
    </row>
    <row r="55" spans="1:55" ht="21" customHeight="1">
      <c r="A55" s="212"/>
      <c r="B55" s="237">
        <v>46023</v>
      </c>
      <c r="C55" s="211" t="s">
        <v>395</v>
      </c>
      <c r="D55" s="238" t="s">
        <v>458</v>
      </c>
      <c r="E55" s="211" t="s">
        <v>459</v>
      </c>
      <c r="F55" s="211"/>
      <c r="G55" s="239"/>
      <c r="H55" s="239"/>
      <c r="I55" s="239"/>
      <c r="J55" s="240"/>
      <c r="K55" s="211"/>
      <c r="L55" s="211"/>
      <c r="M55" s="211"/>
      <c r="N55" s="211"/>
      <c r="O55" s="211"/>
      <c r="P55" s="211">
        <v>1</v>
      </c>
      <c r="Q55" s="211"/>
      <c r="R55" s="239"/>
      <c r="S55" s="239"/>
      <c r="T55" s="239"/>
      <c r="U55" s="240"/>
      <c r="V55" s="211"/>
      <c r="W55" s="211"/>
      <c r="X55" s="211"/>
      <c r="Y55" s="211">
        <v>1</v>
      </c>
      <c r="Z55" s="211"/>
      <c r="AA55" s="211"/>
      <c r="AB55" s="211"/>
      <c r="AC55" s="239"/>
      <c r="AD55" s="239"/>
      <c r="AE55" s="239"/>
      <c r="AF55" s="240"/>
      <c r="AG55" s="211"/>
      <c r="AH55" s="211"/>
      <c r="AI55" s="211">
        <v>1</v>
      </c>
      <c r="AJ55" s="211"/>
      <c r="AK55" s="211">
        <v>1</v>
      </c>
      <c r="AL55" s="211">
        <v>1</v>
      </c>
      <c r="AM55" s="211"/>
      <c r="AN55" s="239"/>
      <c r="AO55" s="239"/>
      <c r="AP55" s="239"/>
      <c r="AQ55" s="240"/>
      <c r="AR55" s="240"/>
      <c r="AS55" s="240"/>
      <c r="AT55" s="240"/>
      <c r="AU55" s="240"/>
      <c r="AV55" s="203"/>
      <c r="AW55" s="240"/>
      <c r="AX55" s="240"/>
      <c r="AY55" s="240"/>
      <c r="AZ55" s="203"/>
      <c r="BA55" s="203"/>
      <c r="BB55" s="203"/>
      <c r="BC55" s="203"/>
    </row>
    <row r="56" spans="1:55" ht="21" customHeight="1">
      <c r="A56" s="212"/>
      <c r="B56" s="237">
        <v>46023</v>
      </c>
      <c r="C56" s="211" t="s">
        <v>395</v>
      </c>
      <c r="D56" s="238" t="s">
        <v>460</v>
      </c>
      <c r="E56" s="211" t="s">
        <v>461</v>
      </c>
      <c r="F56" s="211"/>
      <c r="G56" s="239"/>
      <c r="H56" s="239"/>
      <c r="I56" s="239"/>
      <c r="J56" s="240"/>
      <c r="K56" s="211"/>
      <c r="L56" s="211"/>
      <c r="M56" s="211">
        <v>1</v>
      </c>
      <c r="N56" s="211"/>
      <c r="O56" s="211"/>
      <c r="P56" s="211"/>
      <c r="Q56" s="211"/>
      <c r="R56" s="239"/>
      <c r="S56" s="239"/>
      <c r="T56" s="239"/>
      <c r="U56" s="240"/>
      <c r="V56" s="211"/>
      <c r="W56" s="211"/>
      <c r="X56" s="211">
        <v>1</v>
      </c>
      <c r="Y56" s="211">
        <v>1</v>
      </c>
      <c r="Z56" s="211"/>
      <c r="AA56" s="211"/>
      <c r="AB56" s="211"/>
      <c r="AC56" s="239"/>
      <c r="AD56" s="239"/>
      <c r="AE56" s="239"/>
      <c r="AF56" s="240"/>
      <c r="AG56" s="211"/>
      <c r="AH56" s="211"/>
      <c r="AI56" s="211">
        <v>1</v>
      </c>
      <c r="AJ56" s="211"/>
      <c r="AK56" s="211"/>
      <c r="AL56" s="211"/>
      <c r="AM56" s="211"/>
      <c r="AN56" s="239"/>
      <c r="AO56" s="239"/>
      <c r="AP56" s="239"/>
      <c r="AQ56" s="240"/>
      <c r="AR56" s="240"/>
      <c r="AS56" s="240"/>
      <c r="AT56" s="240"/>
      <c r="AU56" s="240"/>
      <c r="AV56" s="203"/>
      <c r="AW56" s="240"/>
      <c r="AX56" s="240"/>
      <c r="AY56" s="240"/>
      <c r="AZ56" s="203"/>
      <c r="BA56" s="203"/>
      <c r="BB56" s="203"/>
      <c r="BC56" s="203"/>
    </row>
    <row r="57" spans="1:55" ht="21" customHeight="1">
      <c r="A57" s="212"/>
      <c r="B57" s="237">
        <v>46023</v>
      </c>
      <c r="C57" s="211" t="s">
        <v>395</v>
      </c>
      <c r="D57" s="238" t="s">
        <v>462</v>
      </c>
      <c r="E57" s="211" t="s">
        <v>443</v>
      </c>
      <c r="F57" s="211"/>
      <c r="G57" s="239"/>
      <c r="H57" s="239"/>
      <c r="I57" s="239"/>
      <c r="J57" s="240"/>
      <c r="K57" s="211"/>
      <c r="L57" s="211"/>
      <c r="M57" s="211">
        <v>1</v>
      </c>
      <c r="N57" s="211"/>
      <c r="O57" s="211"/>
      <c r="P57" s="211"/>
      <c r="Q57" s="211"/>
      <c r="R57" s="239"/>
      <c r="S57" s="239"/>
      <c r="T57" s="239"/>
      <c r="U57" s="240"/>
      <c r="V57" s="211"/>
      <c r="W57" s="211"/>
      <c r="X57" s="211">
        <v>1</v>
      </c>
      <c r="Y57" s="211"/>
      <c r="Z57" s="211"/>
      <c r="AA57" s="211"/>
      <c r="AB57" s="211"/>
      <c r="AC57" s="239"/>
      <c r="AD57" s="239"/>
      <c r="AE57" s="239"/>
      <c r="AF57" s="240"/>
      <c r="AG57" s="211"/>
      <c r="AH57" s="211"/>
      <c r="AI57" s="211">
        <v>1</v>
      </c>
      <c r="AJ57" s="211"/>
      <c r="AK57" s="211"/>
      <c r="AL57" s="211"/>
      <c r="AM57" s="211"/>
      <c r="AN57" s="239"/>
      <c r="AO57" s="239"/>
      <c r="AP57" s="239"/>
      <c r="AQ57" s="240"/>
      <c r="AR57" s="240"/>
      <c r="AS57" s="240"/>
      <c r="AT57" s="240">
        <v>1</v>
      </c>
      <c r="AU57" s="240">
        <v>1</v>
      </c>
      <c r="AV57" s="203"/>
      <c r="AW57" s="240"/>
      <c r="AX57" s="240"/>
      <c r="AY57" s="240"/>
      <c r="AZ57" s="203"/>
      <c r="BA57" s="203"/>
      <c r="BB57" s="203"/>
      <c r="BC57" s="203"/>
    </row>
    <row r="58" spans="1:55" ht="21" customHeight="1">
      <c r="A58" s="212"/>
      <c r="B58" s="237">
        <v>46023</v>
      </c>
      <c r="C58" s="211" t="s">
        <v>395</v>
      </c>
      <c r="D58" s="238" t="s">
        <v>463</v>
      </c>
      <c r="E58" s="211" t="s">
        <v>464</v>
      </c>
      <c r="F58" s="211"/>
      <c r="G58" s="239"/>
      <c r="H58" s="239"/>
      <c r="I58" s="239"/>
      <c r="J58" s="240"/>
      <c r="K58" s="211">
        <v>1</v>
      </c>
      <c r="L58" s="211"/>
      <c r="M58" s="211">
        <v>1</v>
      </c>
      <c r="N58" s="211"/>
      <c r="O58" s="211"/>
      <c r="P58" s="211"/>
      <c r="Q58" s="211"/>
      <c r="R58" s="239"/>
      <c r="S58" s="239">
        <v>1</v>
      </c>
      <c r="T58" s="239">
        <v>1</v>
      </c>
      <c r="U58" s="240">
        <v>1</v>
      </c>
      <c r="V58" s="211">
        <v>1</v>
      </c>
      <c r="W58" s="211">
        <v>1</v>
      </c>
      <c r="X58" s="211">
        <v>1</v>
      </c>
      <c r="Y58" s="211"/>
      <c r="Z58" s="211">
        <v>1</v>
      </c>
      <c r="AA58" s="211">
        <v>1</v>
      </c>
      <c r="AB58" s="211"/>
      <c r="AC58" s="239"/>
      <c r="AD58" s="239"/>
      <c r="AE58" s="239"/>
      <c r="AF58" s="240"/>
      <c r="AG58" s="211">
        <v>1</v>
      </c>
      <c r="AH58" s="211">
        <v>1</v>
      </c>
      <c r="AI58" s="211">
        <v>1</v>
      </c>
      <c r="AJ58" s="211"/>
      <c r="AK58" s="211"/>
      <c r="AL58" s="211"/>
      <c r="AM58" s="211"/>
      <c r="AN58" s="239"/>
      <c r="AO58" s="239"/>
      <c r="AP58" s="239"/>
      <c r="AQ58" s="240"/>
      <c r="AR58" s="240"/>
      <c r="AS58" s="240"/>
      <c r="AT58" s="240"/>
      <c r="AU58" s="240"/>
      <c r="AV58" s="203"/>
      <c r="AW58" s="240"/>
      <c r="AX58" s="240"/>
      <c r="AY58" s="240"/>
      <c r="AZ58" s="203">
        <v>1</v>
      </c>
      <c r="BA58" s="203">
        <v>1</v>
      </c>
      <c r="BB58" s="203"/>
      <c r="BC58" s="203"/>
    </row>
    <row r="59" spans="1:55" ht="21" customHeight="1">
      <c r="A59" s="212"/>
      <c r="B59" s="237">
        <v>46023</v>
      </c>
      <c r="C59" s="211" t="s">
        <v>395</v>
      </c>
      <c r="D59" s="238" t="s">
        <v>465</v>
      </c>
      <c r="E59" s="211"/>
      <c r="F59" s="211"/>
      <c r="G59" s="239"/>
      <c r="H59" s="239"/>
      <c r="I59" s="239"/>
      <c r="J59" s="240"/>
      <c r="K59" s="211"/>
      <c r="L59" s="211"/>
      <c r="M59" s="211">
        <v>1</v>
      </c>
      <c r="N59" s="211"/>
      <c r="O59" s="211"/>
      <c r="P59" s="211"/>
      <c r="Q59" s="211"/>
      <c r="R59" s="239"/>
      <c r="S59" s="239"/>
      <c r="T59" s="239"/>
      <c r="U59" s="240"/>
      <c r="V59" s="211"/>
      <c r="W59" s="211"/>
      <c r="X59" s="211">
        <v>1</v>
      </c>
      <c r="Y59" s="211">
        <v>1</v>
      </c>
      <c r="Z59" s="211"/>
      <c r="AA59" s="211"/>
      <c r="AB59" s="211"/>
      <c r="AC59" s="239"/>
      <c r="AD59" s="239"/>
      <c r="AE59" s="239"/>
      <c r="AF59" s="240"/>
      <c r="AG59" s="211"/>
      <c r="AH59" s="211"/>
      <c r="AI59" s="211">
        <v>1</v>
      </c>
      <c r="AJ59" s="211"/>
      <c r="AK59" s="211"/>
      <c r="AL59" s="211"/>
      <c r="AM59" s="211"/>
      <c r="AN59" s="239"/>
      <c r="AO59" s="239"/>
      <c r="AP59" s="239"/>
      <c r="AQ59" s="240"/>
      <c r="AR59" s="240"/>
      <c r="AS59" s="240"/>
      <c r="AT59" s="211">
        <v>1</v>
      </c>
      <c r="AU59" s="211">
        <v>1</v>
      </c>
      <c r="AV59" s="203"/>
      <c r="AW59" s="240"/>
      <c r="AX59" s="240"/>
      <c r="AY59" s="240"/>
      <c r="AZ59" s="203"/>
      <c r="BA59" s="203"/>
      <c r="BB59" s="203"/>
      <c r="BC59" s="203"/>
    </row>
    <row r="60" spans="1:55" ht="21" customHeight="1">
      <c r="A60" s="212"/>
      <c r="B60" s="237">
        <v>46023</v>
      </c>
      <c r="C60" s="211" t="s">
        <v>395</v>
      </c>
      <c r="D60" s="238" t="s">
        <v>466</v>
      </c>
      <c r="E60" s="211" t="s">
        <v>467</v>
      </c>
      <c r="F60" s="211"/>
      <c r="G60" s="239"/>
      <c r="H60" s="239"/>
      <c r="I60" s="239"/>
      <c r="J60" s="240"/>
      <c r="K60" s="211"/>
      <c r="L60" s="211"/>
      <c r="M60" s="211">
        <v>1</v>
      </c>
      <c r="N60" s="211"/>
      <c r="O60" s="211"/>
      <c r="P60" s="211"/>
      <c r="Q60" s="211"/>
      <c r="R60" s="239"/>
      <c r="S60" s="239"/>
      <c r="T60" s="239"/>
      <c r="U60" s="240"/>
      <c r="V60" s="211"/>
      <c r="W60" s="211"/>
      <c r="X60" s="211">
        <v>1</v>
      </c>
      <c r="Y60" s="211"/>
      <c r="Z60" s="211"/>
      <c r="AA60" s="211"/>
      <c r="AB60" s="211"/>
      <c r="AC60" s="239"/>
      <c r="AD60" s="239"/>
      <c r="AE60" s="239"/>
      <c r="AF60" s="240"/>
      <c r="AG60" s="211"/>
      <c r="AH60" s="211"/>
      <c r="AI60" s="211">
        <v>1</v>
      </c>
      <c r="AJ60" s="211"/>
      <c r="AK60" s="211"/>
      <c r="AL60" s="211"/>
      <c r="AM60" s="211"/>
      <c r="AN60" s="239"/>
      <c r="AO60" s="239"/>
      <c r="AP60" s="239"/>
      <c r="AQ60" s="240"/>
      <c r="AR60" s="240"/>
      <c r="AS60" s="240"/>
      <c r="AT60" s="211"/>
      <c r="AU60" s="211"/>
      <c r="AV60" s="203"/>
      <c r="AW60" s="240"/>
      <c r="AX60" s="240"/>
      <c r="AY60" s="240"/>
      <c r="AZ60" s="203">
        <v>1</v>
      </c>
      <c r="BA60" s="203"/>
      <c r="BB60" s="203"/>
      <c r="BC60" s="203"/>
    </row>
    <row r="61" spans="1:55" ht="21" customHeight="1">
      <c r="A61" s="212"/>
      <c r="B61" s="237">
        <v>46023</v>
      </c>
      <c r="C61" s="211" t="s">
        <v>395</v>
      </c>
      <c r="D61" s="238" t="s">
        <v>468</v>
      </c>
      <c r="E61" s="211" t="s">
        <v>469</v>
      </c>
      <c r="F61" s="211"/>
      <c r="G61" s="239"/>
      <c r="H61" s="239"/>
      <c r="I61" s="239"/>
      <c r="J61" s="240"/>
      <c r="K61" s="211"/>
      <c r="L61" s="211"/>
      <c r="M61" s="211">
        <v>1</v>
      </c>
      <c r="N61" s="211">
        <v>1</v>
      </c>
      <c r="O61" s="211">
        <v>1</v>
      </c>
      <c r="P61" s="211">
        <v>1</v>
      </c>
      <c r="Q61" s="211"/>
      <c r="R61" s="239"/>
      <c r="S61" s="239"/>
      <c r="T61" s="239"/>
      <c r="U61" s="240">
        <v>1</v>
      </c>
      <c r="V61" s="211"/>
      <c r="W61" s="211"/>
      <c r="X61" s="211">
        <v>1</v>
      </c>
      <c r="Y61" s="211">
        <v>1</v>
      </c>
      <c r="Z61" s="211"/>
      <c r="AA61" s="211">
        <v>1</v>
      </c>
      <c r="AB61" s="211"/>
      <c r="AC61" s="239"/>
      <c r="AD61" s="239"/>
      <c r="AE61" s="239"/>
      <c r="AF61" s="240"/>
      <c r="AG61" s="211"/>
      <c r="AH61" s="211"/>
      <c r="AI61" s="211">
        <v>1</v>
      </c>
      <c r="AJ61" s="211">
        <v>1</v>
      </c>
      <c r="AK61" s="211"/>
      <c r="AL61" s="211"/>
      <c r="AM61" s="211"/>
      <c r="AN61" s="239"/>
      <c r="AO61" s="239"/>
      <c r="AP61" s="239"/>
      <c r="AQ61" s="240"/>
      <c r="AR61" s="240"/>
      <c r="AS61" s="240"/>
      <c r="AT61" s="211">
        <v>1</v>
      </c>
      <c r="AU61" s="211">
        <v>1</v>
      </c>
      <c r="AV61" s="203"/>
      <c r="AW61" s="240"/>
      <c r="AX61" s="240"/>
      <c r="AY61" s="240"/>
      <c r="AZ61" s="203"/>
      <c r="BA61" s="203"/>
      <c r="BB61" s="203"/>
      <c r="BC61" s="203"/>
    </row>
    <row r="62" spans="1:55" ht="21" customHeight="1">
      <c r="A62" s="212"/>
      <c r="B62" s="237">
        <v>46023</v>
      </c>
      <c r="C62" s="211" t="s">
        <v>395</v>
      </c>
      <c r="D62" s="238" t="s">
        <v>470</v>
      </c>
      <c r="E62" s="211" t="s">
        <v>449</v>
      </c>
      <c r="F62" s="211"/>
      <c r="G62" s="239"/>
      <c r="H62" s="239"/>
      <c r="I62" s="239"/>
      <c r="J62" s="240"/>
      <c r="K62" s="211"/>
      <c r="L62" s="211">
        <v>1</v>
      </c>
      <c r="M62" s="211">
        <v>1</v>
      </c>
      <c r="N62" s="211"/>
      <c r="O62" s="211"/>
      <c r="P62" s="211"/>
      <c r="Q62" s="211"/>
      <c r="R62" s="239"/>
      <c r="S62" s="239"/>
      <c r="T62" s="239"/>
      <c r="U62" s="240">
        <v>1</v>
      </c>
      <c r="V62" s="211">
        <v>1</v>
      </c>
      <c r="W62" s="211"/>
      <c r="X62" s="211">
        <v>1</v>
      </c>
      <c r="Y62" s="211">
        <v>1</v>
      </c>
      <c r="Z62" s="211">
        <v>1</v>
      </c>
      <c r="AA62" s="211">
        <v>1</v>
      </c>
      <c r="AB62" s="211"/>
      <c r="AC62" s="239"/>
      <c r="AD62" s="239"/>
      <c r="AE62" s="239"/>
      <c r="AF62" s="240"/>
      <c r="AG62" s="211"/>
      <c r="AH62" s="211"/>
      <c r="AI62" s="211">
        <v>1</v>
      </c>
      <c r="AJ62" s="211"/>
      <c r="AK62" s="211"/>
      <c r="AL62" s="211"/>
      <c r="AM62" s="211"/>
      <c r="AN62" s="239"/>
      <c r="AO62" s="239"/>
      <c r="AP62" s="239"/>
      <c r="AQ62" s="240"/>
      <c r="AR62" s="240"/>
      <c r="AS62" s="240"/>
      <c r="AT62" s="211">
        <v>1</v>
      </c>
      <c r="AU62" s="211">
        <v>1</v>
      </c>
      <c r="AV62" s="203"/>
      <c r="AW62" s="240"/>
      <c r="AX62" s="240"/>
      <c r="AY62" s="240"/>
      <c r="AZ62" s="203"/>
      <c r="BA62" s="203">
        <v>1</v>
      </c>
      <c r="BB62" s="203"/>
      <c r="BC62" s="203"/>
    </row>
    <row r="63" spans="1:55" ht="21" customHeight="1">
      <c r="A63" s="212"/>
      <c r="B63" s="237">
        <v>46023</v>
      </c>
      <c r="C63" s="211" t="s">
        <v>395</v>
      </c>
      <c r="D63" s="238" t="s">
        <v>471</v>
      </c>
      <c r="E63" s="211" t="s">
        <v>472</v>
      </c>
      <c r="F63" s="211"/>
      <c r="G63" s="239"/>
      <c r="H63" s="239"/>
      <c r="I63" s="239"/>
      <c r="J63" s="240"/>
      <c r="K63" s="211"/>
      <c r="L63" s="211"/>
      <c r="M63" s="211">
        <v>1</v>
      </c>
      <c r="N63" s="211"/>
      <c r="O63" s="211"/>
      <c r="P63" s="211"/>
      <c r="Q63" s="211"/>
      <c r="R63" s="239"/>
      <c r="S63" s="239"/>
      <c r="T63" s="239"/>
      <c r="U63" s="240"/>
      <c r="V63" s="211"/>
      <c r="W63" s="211"/>
      <c r="X63" s="211">
        <v>1</v>
      </c>
      <c r="Y63" s="211">
        <v>1</v>
      </c>
      <c r="Z63" s="211"/>
      <c r="AA63" s="211"/>
      <c r="AB63" s="211"/>
      <c r="AC63" s="239"/>
      <c r="AD63" s="239"/>
      <c r="AE63" s="239"/>
      <c r="AF63" s="240"/>
      <c r="AG63" s="211"/>
      <c r="AH63" s="211"/>
      <c r="AI63" s="211">
        <v>1</v>
      </c>
      <c r="AJ63" s="211"/>
      <c r="AK63" s="211"/>
      <c r="AL63" s="211"/>
      <c r="AM63" s="211"/>
      <c r="AN63" s="239"/>
      <c r="AO63" s="239"/>
      <c r="AP63" s="239"/>
      <c r="AQ63" s="240"/>
      <c r="AR63" s="240"/>
      <c r="AS63" s="240"/>
      <c r="AT63" s="211"/>
      <c r="AU63" s="211"/>
      <c r="AV63" s="203"/>
      <c r="AW63" s="240"/>
      <c r="AX63" s="240"/>
      <c r="AY63" s="240"/>
      <c r="AZ63" s="203"/>
      <c r="BA63" s="203"/>
      <c r="BB63" s="203"/>
      <c r="BC63" s="203"/>
    </row>
    <row r="64" spans="1:55" ht="21" customHeight="1">
      <c r="A64" s="212"/>
      <c r="B64" s="237">
        <v>46023</v>
      </c>
      <c r="C64" s="211" t="s">
        <v>395</v>
      </c>
      <c r="D64" s="238" t="s">
        <v>473</v>
      </c>
      <c r="E64" s="211" t="s">
        <v>472</v>
      </c>
      <c r="F64" s="211"/>
      <c r="G64" s="239"/>
      <c r="H64" s="239"/>
      <c r="I64" s="239"/>
      <c r="J64" s="240"/>
      <c r="K64" s="211"/>
      <c r="L64" s="211"/>
      <c r="M64" s="211">
        <v>1</v>
      </c>
      <c r="N64" s="211"/>
      <c r="O64" s="211"/>
      <c r="P64" s="211">
        <v>1</v>
      </c>
      <c r="Q64" s="211"/>
      <c r="R64" s="239"/>
      <c r="S64" s="239"/>
      <c r="T64" s="239"/>
      <c r="U64" s="240"/>
      <c r="V64" s="211"/>
      <c r="W64" s="211">
        <v>1</v>
      </c>
      <c r="X64" s="211">
        <v>1</v>
      </c>
      <c r="Y64" s="211">
        <v>1</v>
      </c>
      <c r="Z64" s="211"/>
      <c r="AA64" s="211"/>
      <c r="AB64" s="211"/>
      <c r="AC64" s="239"/>
      <c r="AD64" s="239"/>
      <c r="AE64" s="239"/>
      <c r="AF64" s="240"/>
      <c r="AG64" s="211"/>
      <c r="AH64" s="211">
        <v>1</v>
      </c>
      <c r="AI64" s="211">
        <v>1</v>
      </c>
      <c r="AJ64" s="211"/>
      <c r="AK64" s="211"/>
      <c r="AL64" s="211"/>
      <c r="AM64" s="211"/>
      <c r="AN64" s="239"/>
      <c r="AO64" s="239"/>
      <c r="AP64" s="239"/>
      <c r="AQ64" s="240"/>
      <c r="AR64" s="240"/>
      <c r="AS64" s="240"/>
      <c r="AT64" s="211"/>
      <c r="AU64" s="211"/>
      <c r="AV64" s="203"/>
      <c r="AW64" s="240"/>
      <c r="AX64" s="240"/>
      <c r="AY64" s="240">
        <v>1</v>
      </c>
      <c r="AZ64" s="203"/>
      <c r="BA64" s="203"/>
      <c r="BB64" s="203"/>
      <c r="BC64" s="203"/>
    </row>
    <row r="65" spans="1:55" ht="21" customHeight="1">
      <c r="A65" s="212"/>
      <c r="B65" s="237">
        <v>46023</v>
      </c>
      <c r="C65" s="211" t="s">
        <v>395</v>
      </c>
      <c r="D65" s="238" t="s">
        <v>474</v>
      </c>
      <c r="E65" s="211"/>
      <c r="F65" s="211"/>
      <c r="G65" s="239"/>
      <c r="H65" s="239"/>
      <c r="I65" s="239"/>
      <c r="J65" s="240"/>
      <c r="K65" s="211"/>
      <c r="L65" s="211"/>
      <c r="M65" s="211"/>
      <c r="N65" s="211"/>
      <c r="O65" s="211"/>
      <c r="P65" s="211"/>
      <c r="Q65" s="211"/>
      <c r="R65" s="239"/>
      <c r="S65" s="239"/>
      <c r="T65" s="239"/>
      <c r="U65" s="240"/>
      <c r="V65" s="211"/>
      <c r="W65" s="211"/>
      <c r="X65" s="211">
        <v>1</v>
      </c>
      <c r="Y65" s="211"/>
      <c r="Z65" s="211"/>
      <c r="AA65" s="211"/>
      <c r="AB65" s="211"/>
      <c r="AC65" s="239"/>
      <c r="AD65" s="239"/>
      <c r="AE65" s="239"/>
      <c r="AF65" s="240"/>
      <c r="AG65" s="211"/>
      <c r="AH65" s="211"/>
      <c r="AI65" s="211">
        <v>1</v>
      </c>
      <c r="AJ65" s="211"/>
      <c r="AK65" s="211"/>
      <c r="AL65" s="211"/>
      <c r="AM65" s="211"/>
      <c r="AN65" s="239"/>
      <c r="AO65" s="239"/>
      <c r="AP65" s="239"/>
      <c r="AQ65" s="240"/>
      <c r="AR65" s="240"/>
      <c r="AS65" s="240"/>
      <c r="AT65" s="211"/>
      <c r="AU65" s="211"/>
      <c r="AV65" s="203"/>
      <c r="AW65" s="240"/>
      <c r="AX65" s="240"/>
      <c r="AY65" s="240"/>
      <c r="AZ65" s="203"/>
      <c r="BA65" s="203"/>
      <c r="BB65" s="203"/>
      <c r="BC65" s="203"/>
    </row>
    <row r="66" spans="1:55" ht="21" customHeight="1">
      <c r="A66" s="212"/>
      <c r="B66" s="237">
        <v>46023</v>
      </c>
      <c r="C66" s="211" t="s">
        <v>395</v>
      </c>
      <c r="D66" s="238" t="s">
        <v>475</v>
      </c>
      <c r="E66" s="211" t="s">
        <v>476</v>
      </c>
      <c r="F66" s="211"/>
      <c r="G66" s="239"/>
      <c r="H66" s="239"/>
      <c r="I66" s="239"/>
      <c r="J66" s="240"/>
      <c r="K66" s="211"/>
      <c r="L66" s="211"/>
      <c r="M66" s="211">
        <v>1</v>
      </c>
      <c r="N66" s="211"/>
      <c r="O66" s="211"/>
      <c r="P66" s="211"/>
      <c r="Q66" s="211"/>
      <c r="R66" s="239">
        <v>1</v>
      </c>
      <c r="S66" s="239"/>
      <c r="T66" s="239">
        <v>1</v>
      </c>
      <c r="U66" s="240"/>
      <c r="V66" s="211"/>
      <c r="W66" s="211"/>
      <c r="X66" s="211">
        <v>1</v>
      </c>
      <c r="Y66" s="211"/>
      <c r="Z66" s="211"/>
      <c r="AA66" s="211"/>
      <c r="AB66" s="211"/>
      <c r="AC66" s="239"/>
      <c r="AD66" s="239"/>
      <c r="AE66" s="239"/>
      <c r="AF66" s="240"/>
      <c r="AG66" s="211"/>
      <c r="AH66" s="211"/>
      <c r="AI66" s="211">
        <v>1</v>
      </c>
      <c r="AJ66" s="211"/>
      <c r="AK66" s="211"/>
      <c r="AL66" s="211"/>
      <c r="AM66" s="211"/>
      <c r="AN66" s="239"/>
      <c r="AO66" s="239"/>
      <c r="AP66" s="239"/>
      <c r="AQ66" s="240"/>
      <c r="AR66" s="240"/>
      <c r="AS66" s="240"/>
      <c r="AT66" s="211"/>
      <c r="AU66" s="211"/>
      <c r="AV66" s="203"/>
      <c r="AW66" s="240"/>
      <c r="AX66" s="240"/>
      <c r="AY66" s="240"/>
      <c r="AZ66" s="203"/>
      <c r="BA66" s="203"/>
      <c r="BB66" s="203"/>
      <c r="BC66" s="203"/>
    </row>
    <row r="67" spans="1:55" ht="21" customHeight="1">
      <c r="A67" s="212"/>
      <c r="B67" s="237">
        <v>46023</v>
      </c>
      <c r="C67" s="211" t="s">
        <v>395</v>
      </c>
      <c r="D67" s="238" t="s">
        <v>477</v>
      </c>
      <c r="E67" s="211" t="s">
        <v>478</v>
      </c>
      <c r="F67" s="211"/>
      <c r="G67" s="239"/>
      <c r="H67" s="239"/>
      <c r="I67" s="239"/>
      <c r="J67" s="240"/>
      <c r="K67" s="211"/>
      <c r="L67" s="211"/>
      <c r="M67" s="211">
        <v>1</v>
      </c>
      <c r="N67" s="211"/>
      <c r="O67" s="211"/>
      <c r="P67" s="211"/>
      <c r="Q67" s="211"/>
      <c r="R67" s="239"/>
      <c r="S67" s="239"/>
      <c r="T67" s="239"/>
      <c r="U67" s="240"/>
      <c r="V67" s="211"/>
      <c r="W67" s="211"/>
      <c r="X67" s="211">
        <v>1</v>
      </c>
      <c r="Y67" s="211">
        <v>1</v>
      </c>
      <c r="Z67" s="211"/>
      <c r="AA67" s="211"/>
      <c r="AB67" s="211"/>
      <c r="AC67" s="239"/>
      <c r="AD67" s="239"/>
      <c r="AE67" s="239"/>
      <c r="AF67" s="240"/>
      <c r="AG67" s="211"/>
      <c r="AH67" s="211"/>
      <c r="AI67" s="211">
        <v>1</v>
      </c>
      <c r="AJ67" s="211"/>
      <c r="AK67" s="211"/>
      <c r="AL67" s="211"/>
      <c r="AM67" s="211"/>
      <c r="AN67" s="239"/>
      <c r="AO67" s="239"/>
      <c r="AP67" s="239"/>
      <c r="AQ67" s="240"/>
      <c r="AR67" s="240"/>
      <c r="AS67" s="240"/>
      <c r="AT67" s="211"/>
      <c r="AU67" s="211"/>
      <c r="AV67" s="203"/>
      <c r="AW67" s="240"/>
      <c r="AX67" s="240"/>
      <c r="AY67" s="240"/>
      <c r="AZ67" s="203"/>
      <c r="BA67" s="203"/>
      <c r="BB67" s="203"/>
      <c r="BC67" s="203"/>
    </row>
    <row r="68" spans="1:55" ht="21" customHeight="1">
      <c r="A68" s="212"/>
      <c r="B68" s="237">
        <v>46023</v>
      </c>
      <c r="C68" s="211" t="s">
        <v>395</v>
      </c>
      <c r="D68" s="238" t="s">
        <v>479</v>
      </c>
      <c r="E68" s="211" t="s">
        <v>480</v>
      </c>
      <c r="F68" s="211"/>
      <c r="G68" s="239"/>
      <c r="H68" s="239"/>
      <c r="I68" s="239"/>
      <c r="J68" s="240">
        <v>1</v>
      </c>
      <c r="K68" s="211"/>
      <c r="L68" s="211"/>
      <c r="M68" s="211">
        <v>1</v>
      </c>
      <c r="N68" s="211"/>
      <c r="O68" s="211"/>
      <c r="P68" s="211"/>
      <c r="Q68" s="211"/>
      <c r="R68" s="239"/>
      <c r="S68" s="239"/>
      <c r="T68" s="239"/>
      <c r="U68" s="240"/>
      <c r="V68" s="211"/>
      <c r="W68" s="211"/>
      <c r="X68" s="211">
        <v>1</v>
      </c>
      <c r="Y68" s="211">
        <v>1</v>
      </c>
      <c r="Z68" s="211"/>
      <c r="AA68" s="211"/>
      <c r="AB68" s="211"/>
      <c r="AC68" s="239"/>
      <c r="AD68" s="239"/>
      <c r="AE68" s="239"/>
      <c r="AF68" s="240"/>
      <c r="AG68" s="211"/>
      <c r="AH68" s="211"/>
      <c r="AI68" s="211">
        <v>1</v>
      </c>
      <c r="AJ68" s="211"/>
      <c r="AK68" s="211"/>
      <c r="AL68" s="211"/>
      <c r="AM68" s="211"/>
      <c r="AN68" s="239"/>
      <c r="AO68" s="239"/>
      <c r="AP68" s="239"/>
      <c r="AQ68" s="240"/>
      <c r="AR68" s="240"/>
      <c r="AS68" s="240"/>
      <c r="AT68" s="211">
        <v>1</v>
      </c>
      <c r="AU68" s="211">
        <v>1</v>
      </c>
      <c r="AV68" s="203"/>
      <c r="AW68" s="240"/>
      <c r="AX68" s="240"/>
      <c r="AY68" s="240"/>
      <c r="AZ68" s="203"/>
      <c r="BA68" s="203">
        <v>1</v>
      </c>
      <c r="BB68" s="203"/>
      <c r="BC68" s="203"/>
    </row>
    <row r="69" spans="1:55" ht="21" customHeight="1">
      <c r="A69" s="212"/>
      <c r="B69" s="237">
        <v>46023</v>
      </c>
      <c r="C69" s="211" t="s">
        <v>395</v>
      </c>
      <c r="D69" s="238" t="s">
        <v>481</v>
      </c>
      <c r="E69" s="211" t="s">
        <v>482</v>
      </c>
      <c r="F69" s="211"/>
      <c r="G69" s="239"/>
      <c r="H69" s="239"/>
      <c r="I69" s="239"/>
      <c r="J69" s="240"/>
      <c r="K69" s="211"/>
      <c r="L69" s="211"/>
      <c r="M69" s="211"/>
      <c r="N69" s="211"/>
      <c r="O69" s="211"/>
      <c r="P69" s="211"/>
      <c r="Q69" s="211"/>
      <c r="R69" s="239"/>
      <c r="S69" s="239"/>
      <c r="T69" s="239"/>
      <c r="U69" s="240"/>
      <c r="V69" s="211"/>
      <c r="W69" s="211"/>
      <c r="X69" s="211">
        <v>1</v>
      </c>
      <c r="Y69" s="211"/>
      <c r="Z69" s="211"/>
      <c r="AA69" s="211"/>
      <c r="AB69" s="211"/>
      <c r="AC69" s="239"/>
      <c r="AD69" s="239"/>
      <c r="AE69" s="239"/>
      <c r="AF69" s="240"/>
      <c r="AG69" s="211"/>
      <c r="AH69" s="211"/>
      <c r="AI69" s="211">
        <v>1</v>
      </c>
      <c r="AJ69" s="211"/>
      <c r="AK69" s="211"/>
      <c r="AL69" s="211"/>
      <c r="AM69" s="211"/>
      <c r="AN69" s="239"/>
      <c r="AO69" s="239"/>
      <c r="AP69" s="239"/>
      <c r="AQ69" s="240"/>
      <c r="AR69" s="240"/>
      <c r="AS69" s="240"/>
      <c r="AT69" s="211"/>
      <c r="AU69" s="211"/>
      <c r="AV69" s="203"/>
      <c r="AW69" s="240"/>
      <c r="AX69" s="240"/>
      <c r="AY69" s="240"/>
      <c r="AZ69" s="203"/>
      <c r="BA69" s="203"/>
      <c r="BB69" s="203"/>
      <c r="BC69" s="203"/>
    </row>
    <row r="70" spans="1:55" ht="21" customHeight="1">
      <c r="A70" s="212"/>
      <c r="B70" s="237">
        <v>46023</v>
      </c>
      <c r="C70" s="211" t="s">
        <v>395</v>
      </c>
      <c r="D70" s="238" t="s">
        <v>483</v>
      </c>
      <c r="E70" s="211" t="s">
        <v>484</v>
      </c>
      <c r="F70" s="211"/>
      <c r="G70" s="239"/>
      <c r="H70" s="239"/>
      <c r="I70" s="239"/>
      <c r="J70" s="240"/>
      <c r="K70" s="211"/>
      <c r="L70" s="211"/>
      <c r="M70" s="211">
        <v>1</v>
      </c>
      <c r="N70" s="211"/>
      <c r="O70" s="211"/>
      <c r="P70" s="211"/>
      <c r="Q70" s="211"/>
      <c r="R70" s="239"/>
      <c r="S70" s="239"/>
      <c r="T70" s="239"/>
      <c r="U70" s="240"/>
      <c r="V70" s="211"/>
      <c r="W70" s="211"/>
      <c r="X70" s="211">
        <v>1</v>
      </c>
      <c r="Y70" s="211"/>
      <c r="Z70" s="211"/>
      <c r="AA70" s="211"/>
      <c r="AB70" s="211"/>
      <c r="AC70" s="239"/>
      <c r="AD70" s="239"/>
      <c r="AE70" s="239"/>
      <c r="AF70" s="240"/>
      <c r="AG70" s="211"/>
      <c r="AH70" s="211"/>
      <c r="AI70" s="211">
        <v>1</v>
      </c>
      <c r="AJ70" s="211"/>
      <c r="AK70" s="211"/>
      <c r="AL70" s="211"/>
      <c r="AM70" s="211"/>
      <c r="AN70" s="239"/>
      <c r="AO70" s="239"/>
      <c r="AP70" s="239"/>
      <c r="AQ70" s="240"/>
      <c r="AR70" s="240"/>
      <c r="AS70" s="240"/>
      <c r="AT70" s="211"/>
      <c r="AU70" s="211"/>
      <c r="AV70" s="203">
        <v>1</v>
      </c>
      <c r="AW70" s="240">
        <v>1</v>
      </c>
      <c r="AX70" s="240"/>
      <c r="AY70" s="240"/>
      <c r="AZ70" s="203"/>
      <c r="BA70" s="203"/>
      <c r="BB70" s="203"/>
      <c r="BC70" s="203"/>
    </row>
    <row r="71" spans="1:55" ht="21" customHeight="1">
      <c r="A71" s="212"/>
      <c r="B71" s="237">
        <v>46023</v>
      </c>
      <c r="C71" s="211" t="s">
        <v>395</v>
      </c>
      <c r="D71" s="238" t="s">
        <v>485</v>
      </c>
      <c r="E71" s="211" t="s">
        <v>426</v>
      </c>
      <c r="F71" s="211"/>
      <c r="G71" s="239"/>
      <c r="H71" s="239"/>
      <c r="I71" s="239"/>
      <c r="J71" s="240"/>
      <c r="K71" s="211"/>
      <c r="L71" s="211"/>
      <c r="M71" s="211">
        <v>1</v>
      </c>
      <c r="N71" s="211"/>
      <c r="O71" s="211"/>
      <c r="P71" s="211"/>
      <c r="Q71" s="211"/>
      <c r="R71" s="239"/>
      <c r="S71" s="239"/>
      <c r="T71" s="239"/>
      <c r="U71" s="240"/>
      <c r="V71" s="211"/>
      <c r="W71" s="211"/>
      <c r="X71" s="211">
        <v>1</v>
      </c>
      <c r="Y71" s="211"/>
      <c r="Z71" s="211"/>
      <c r="AA71" s="211"/>
      <c r="AB71" s="211"/>
      <c r="AC71" s="239"/>
      <c r="AD71" s="239"/>
      <c r="AE71" s="239"/>
      <c r="AF71" s="240"/>
      <c r="AG71" s="211"/>
      <c r="AH71" s="211"/>
      <c r="AI71" s="211">
        <v>1</v>
      </c>
      <c r="AJ71" s="211"/>
      <c r="AK71" s="211"/>
      <c r="AL71" s="211"/>
      <c r="AM71" s="211"/>
      <c r="AN71" s="239"/>
      <c r="AO71" s="239"/>
      <c r="AP71" s="239"/>
      <c r="AQ71" s="240"/>
      <c r="AR71" s="240"/>
      <c r="AS71" s="240"/>
      <c r="AT71" s="211"/>
      <c r="AU71" s="211"/>
      <c r="AV71" s="203"/>
      <c r="AW71" s="240"/>
      <c r="AX71" s="240"/>
      <c r="AY71" s="240"/>
      <c r="AZ71" s="203"/>
      <c r="BA71" s="203"/>
      <c r="BB71" s="203"/>
      <c r="BC71" s="203"/>
    </row>
    <row r="72" spans="1:55" ht="21" customHeight="1">
      <c r="A72" s="212"/>
      <c r="B72" s="237">
        <v>46023</v>
      </c>
      <c r="C72" s="211" t="s">
        <v>395</v>
      </c>
      <c r="D72" s="238" t="s">
        <v>486</v>
      </c>
      <c r="E72" s="211" t="s">
        <v>429</v>
      </c>
      <c r="F72" s="211"/>
      <c r="G72" s="239"/>
      <c r="H72" s="239"/>
      <c r="I72" s="239"/>
      <c r="J72" s="240"/>
      <c r="K72" s="211"/>
      <c r="L72" s="211"/>
      <c r="M72" s="211">
        <v>1</v>
      </c>
      <c r="N72" s="211"/>
      <c r="O72" s="211"/>
      <c r="P72" s="211"/>
      <c r="Q72" s="211"/>
      <c r="R72" s="239"/>
      <c r="S72" s="239"/>
      <c r="T72" s="239"/>
      <c r="U72" s="240"/>
      <c r="V72" s="211"/>
      <c r="W72" s="211"/>
      <c r="X72" s="211"/>
      <c r="Y72" s="211">
        <v>1</v>
      </c>
      <c r="Z72" s="211"/>
      <c r="AA72" s="211"/>
      <c r="AB72" s="211"/>
      <c r="AC72" s="239"/>
      <c r="AD72" s="239"/>
      <c r="AE72" s="239"/>
      <c r="AF72" s="240"/>
      <c r="AG72" s="211"/>
      <c r="AH72" s="211"/>
      <c r="AI72" s="211">
        <v>1</v>
      </c>
      <c r="AJ72" s="211"/>
      <c r="AK72" s="211"/>
      <c r="AL72" s="211"/>
      <c r="AM72" s="211"/>
      <c r="AN72" s="239"/>
      <c r="AO72" s="239"/>
      <c r="AP72" s="239"/>
      <c r="AQ72" s="240"/>
      <c r="AR72" s="240"/>
      <c r="AS72" s="240"/>
      <c r="AT72" s="211">
        <v>1</v>
      </c>
      <c r="AU72" s="211">
        <v>1</v>
      </c>
      <c r="AV72" s="203"/>
      <c r="AW72" s="240"/>
      <c r="AX72" s="240"/>
      <c r="AY72" s="240"/>
      <c r="AZ72" s="203">
        <v>1</v>
      </c>
      <c r="BA72" s="203"/>
      <c r="BB72" s="203"/>
      <c r="BC72" s="203"/>
    </row>
    <row r="73" spans="1:55" ht="21" customHeight="1">
      <c r="A73" s="212"/>
      <c r="B73" s="237">
        <v>46023</v>
      </c>
      <c r="C73" s="211" t="s">
        <v>395</v>
      </c>
      <c r="D73" s="238" t="s">
        <v>487</v>
      </c>
      <c r="E73" s="211" t="s">
        <v>488</v>
      </c>
      <c r="F73" s="211"/>
      <c r="G73" s="239"/>
      <c r="H73" s="239"/>
      <c r="I73" s="239"/>
      <c r="J73" s="240"/>
      <c r="K73" s="211">
        <v>1</v>
      </c>
      <c r="L73" s="211"/>
      <c r="M73" s="211">
        <v>1</v>
      </c>
      <c r="N73" s="211"/>
      <c r="O73" s="211"/>
      <c r="P73" s="211"/>
      <c r="Q73" s="211"/>
      <c r="R73" s="239"/>
      <c r="S73" s="239">
        <v>1</v>
      </c>
      <c r="T73" s="239">
        <v>1</v>
      </c>
      <c r="U73" s="240"/>
      <c r="V73" s="211">
        <v>1</v>
      </c>
      <c r="W73" s="211">
        <v>1</v>
      </c>
      <c r="X73" s="211">
        <v>1</v>
      </c>
      <c r="Y73" s="211">
        <v>1</v>
      </c>
      <c r="Z73" s="211">
        <v>1</v>
      </c>
      <c r="AA73" s="211"/>
      <c r="AB73" s="211"/>
      <c r="AC73" s="239"/>
      <c r="AD73" s="239">
        <v>1</v>
      </c>
      <c r="AE73" s="239">
        <v>1</v>
      </c>
      <c r="AF73" s="240"/>
      <c r="AG73" s="211">
        <v>1</v>
      </c>
      <c r="AH73" s="211"/>
      <c r="AI73" s="211">
        <v>1</v>
      </c>
      <c r="AJ73" s="211"/>
      <c r="AK73" s="211"/>
      <c r="AL73" s="211">
        <v>1</v>
      </c>
      <c r="AM73" s="211"/>
      <c r="AN73" s="239"/>
      <c r="AO73" s="239"/>
      <c r="AP73" s="239"/>
      <c r="AQ73" s="240"/>
      <c r="AR73" s="240"/>
      <c r="AS73" s="240"/>
      <c r="AT73" s="211">
        <v>1</v>
      </c>
      <c r="AU73" s="211">
        <v>1</v>
      </c>
      <c r="AV73" s="203"/>
      <c r="AW73" s="240"/>
      <c r="AX73" s="240"/>
      <c r="AY73" s="240"/>
      <c r="AZ73" s="203">
        <v>1</v>
      </c>
      <c r="BA73" s="203">
        <v>1</v>
      </c>
      <c r="BB73" s="203"/>
      <c r="BC73" s="203"/>
    </row>
    <row r="74" spans="1:55" ht="21" customHeight="1">
      <c r="A74" s="212"/>
      <c r="B74" s="237">
        <v>46023</v>
      </c>
      <c r="C74" s="211" t="s">
        <v>395</v>
      </c>
      <c r="D74" s="238" t="s">
        <v>489</v>
      </c>
      <c r="E74" s="211" t="s">
        <v>429</v>
      </c>
      <c r="F74" s="211"/>
      <c r="G74" s="239"/>
      <c r="H74" s="239"/>
      <c r="I74" s="239"/>
      <c r="J74" s="240"/>
      <c r="K74" s="211"/>
      <c r="L74" s="211"/>
      <c r="M74" s="211">
        <v>1</v>
      </c>
      <c r="N74" s="211"/>
      <c r="O74" s="211"/>
      <c r="P74" s="211"/>
      <c r="Q74" s="211"/>
      <c r="R74" s="239"/>
      <c r="S74" s="239"/>
      <c r="T74" s="239"/>
      <c r="U74" s="240"/>
      <c r="V74" s="211"/>
      <c r="W74" s="211"/>
      <c r="X74" s="211">
        <v>1</v>
      </c>
      <c r="Y74" s="211">
        <v>1</v>
      </c>
      <c r="Z74" s="211"/>
      <c r="AA74" s="211"/>
      <c r="AB74" s="211"/>
      <c r="AC74" s="239"/>
      <c r="AD74" s="239"/>
      <c r="AE74" s="239"/>
      <c r="AF74" s="240"/>
      <c r="AG74" s="211"/>
      <c r="AH74" s="211"/>
      <c r="AI74" s="211">
        <v>1</v>
      </c>
      <c r="AJ74" s="211"/>
      <c r="AK74" s="211"/>
      <c r="AL74" s="211"/>
      <c r="AM74" s="211"/>
      <c r="AN74" s="239"/>
      <c r="AO74" s="239"/>
      <c r="AP74" s="239"/>
      <c r="AQ74" s="240"/>
      <c r="AR74" s="240"/>
      <c r="AS74" s="240"/>
      <c r="AT74" s="211"/>
      <c r="AU74" s="211"/>
      <c r="AV74" s="203"/>
      <c r="AW74" s="240"/>
      <c r="AX74" s="240"/>
      <c r="AY74" s="240"/>
      <c r="AZ74" s="203"/>
      <c r="BA74" s="203"/>
      <c r="BB74" s="203"/>
      <c r="BC74" s="203"/>
    </row>
    <row r="75" spans="1:55" ht="21" customHeight="1">
      <c r="A75" s="212"/>
      <c r="B75" s="237">
        <v>46023</v>
      </c>
      <c r="C75" s="211" t="s">
        <v>395</v>
      </c>
      <c r="D75" s="238" t="s">
        <v>490</v>
      </c>
      <c r="E75" s="211" t="s">
        <v>491</v>
      </c>
      <c r="F75" s="211"/>
      <c r="G75" s="239"/>
      <c r="H75" s="239"/>
      <c r="I75" s="239"/>
      <c r="J75" s="240"/>
      <c r="K75" s="211"/>
      <c r="L75" s="211"/>
      <c r="M75" s="211">
        <v>1</v>
      </c>
      <c r="N75" s="211"/>
      <c r="O75" s="211"/>
      <c r="P75" s="211"/>
      <c r="Q75" s="211"/>
      <c r="R75" s="239"/>
      <c r="S75" s="239"/>
      <c r="T75" s="239"/>
      <c r="U75" s="240"/>
      <c r="V75" s="211"/>
      <c r="W75" s="211"/>
      <c r="X75" s="211">
        <v>1</v>
      </c>
      <c r="Y75" s="211"/>
      <c r="Z75" s="211"/>
      <c r="AA75" s="211"/>
      <c r="AB75" s="211"/>
      <c r="AC75" s="239"/>
      <c r="AD75" s="239"/>
      <c r="AE75" s="239"/>
      <c r="AF75" s="240"/>
      <c r="AG75" s="211"/>
      <c r="AH75" s="211"/>
      <c r="AI75" s="211">
        <v>1</v>
      </c>
      <c r="AJ75" s="211"/>
      <c r="AK75" s="211"/>
      <c r="AL75" s="211"/>
      <c r="AM75" s="211"/>
      <c r="AN75" s="239"/>
      <c r="AO75" s="239"/>
      <c r="AP75" s="239"/>
      <c r="AQ75" s="240"/>
      <c r="AR75" s="240"/>
      <c r="AS75" s="240"/>
      <c r="AT75" s="211">
        <v>1</v>
      </c>
      <c r="AU75" s="211">
        <v>1</v>
      </c>
      <c r="AV75" s="203"/>
      <c r="AW75" s="240"/>
      <c r="AX75" s="240"/>
      <c r="AY75" s="240"/>
      <c r="AZ75" s="203"/>
      <c r="BA75" s="203"/>
      <c r="BB75" s="203"/>
      <c r="BC75" s="203"/>
    </row>
    <row r="76" spans="1:55" ht="21" customHeight="1">
      <c r="A76" s="212"/>
      <c r="B76" s="237">
        <v>46023</v>
      </c>
      <c r="C76" s="211" t="s">
        <v>395</v>
      </c>
      <c r="D76" s="238" t="s">
        <v>492</v>
      </c>
      <c r="E76" s="211" t="s">
        <v>493</v>
      </c>
      <c r="F76" s="211"/>
      <c r="G76" s="239"/>
      <c r="H76" s="239"/>
      <c r="I76" s="239"/>
      <c r="J76" s="240"/>
      <c r="K76" s="211"/>
      <c r="L76" s="211"/>
      <c r="M76" s="211">
        <v>1</v>
      </c>
      <c r="N76" s="211"/>
      <c r="O76" s="211"/>
      <c r="P76" s="211"/>
      <c r="Q76" s="211"/>
      <c r="R76" s="239"/>
      <c r="S76" s="239"/>
      <c r="T76" s="239"/>
      <c r="U76" s="240"/>
      <c r="V76" s="211"/>
      <c r="W76" s="211"/>
      <c r="X76" s="211">
        <v>1</v>
      </c>
      <c r="Y76" s="211">
        <v>1</v>
      </c>
      <c r="Z76" s="211"/>
      <c r="AA76" s="211"/>
      <c r="AB76" s="211"/>
      <c r="AC76" s="239"/>
      <c r="AD76" s="239"/>
      <c r="AE76" s="239"/>
      <c r="AF76" s="240"/>
      <c r="AG76" s="211"/>
      <c r="AH76" s="211"/>
      <c r="AI76" s="211">
        <v>1</v>
      </c>
      <c r="AJ76" s="211"/>
      <c r="AK76" s="211"/>
      <c r="AL76" s="211"/>
      <c r="AM76" s="211"/>
      <c r="AN76" s="239"/>
      <c r="AO76" s="239"/>
      <c r="AP76" s="239"/>
      <c r="AQ76" s="240"/>
      <c r="AR76" s="240"/>
      <c r="AS76" s="240"/>
      <c r="AT76" s="211">
        <v>1</v>
      </c>
      <c r="AU76" s="211">
        <v>1</v>
      </c>
      <c r="AV76" s="203"/>
      <c r="AW76" s="240"/>
      <c r="AX76" s="240"/>
      <c r="AY76" s="240"/>
      <c r="AZ76" s="203"/>
      <c r="BA76" s="203"/>
      <c r="BB76" s="203"/>
      <c r="BC76" s="203"/>
    </row>
    <row r="77" spans="1:55" ht="21" customHeight="1">
      <c r="A77" s="212"/>
      <c r="B77" s="237">
        <v>46023</v>
      </c>
      <c r="C77" s="211" t="s">
        <v>395</v>
      </c>
      <c r="D77" s="238" t="s">
        <v>494</v>
      </c>
      <c r="E77" s="211" t="s">
        <v>431</v>
      </c>
      <c r="F77" s="211"/>
      <c r="G77" s="239"/>
      <c r="H77" s="239"/>
      <c r="I77" s="239"/>
      <c r="J77" s="240"/>
      <c r="K77" s="211"/>
      <c r="L77" s="211"/>
      <c r="M77" s="211">
        <v>1</v>
      </c>
      <c r="N77" s="211"/>
      <c r="O77" s="211"/>
      <c r="P77" s="211"/>
      <c r="Q77" s="211"/>
      <c r="R77" s="239"/>
      <c r="S77" s="239"/>
      <c r="T77" s="239"/>
      <c r="U77" s="240"/>
      <c r="V77" s="211"/>
      <c r="W77" s="211"/>
      <c r="X77" s="211">
        <v>1</v>
      </c>
      <c r="Y77" s="211"/>
      <c r="Z77" s="211"/>
      <c r="AA77" s="211"/>
      <c r="AB77" s="211"/>
      <c r="AC77" s="239"/>
      <c r="AD77" s="239"/>
      <c r="AE77" s="239"/>
      <c r="AF77" s="240"/>
      <c r="AG77" s="211"/>
      <c r="AH77" s="211"/>
      <c r="AI77" s="211">
        <v>1</v>
      </c>
      <c r="AJ77" s="211"/>
      <c r="AK77" s="211"/>
      <c r="AL77" s="211"/>
      <c r="AM77" s="211"/>
      <c r="AN77" s="239"/>
      <c r="AO77" s="239"/>
      <c r="AP77" s="239"/>
      <c r="AQ77" s="240"/>
      <c r="AR77" s="240"/>
      <c r="AS77" s="240"/>
      <c r="AT77" s="211">
        <v>1</v>
      </c>
      <c r="AU77" s="211">
        <v>1</v>
      </c>
      <c r="AV77" s="203"/>
      <c r="AW77" s="240"/>
      <c r="AX77" s="240"/>
      <c r="AY77" s="240"/>
      <c r="AZ77" s="203"/>
      <c r="BA77" s="203"/>
      <c r="BB77" s="203"/>
      <c r="BC77" s="203"/>
    </row>
    <row r="78" spans="1:55" ht="21" hidden="1" customHeight="1">
      <c r="A78" s="212"/>
      <c r="B78" s="237">
        <v>46023</v>
      </c>
      <c r="C78" s="211" t="s">
        <v>387</v>
      </c>
      <c r="D78" s="238" t="s">
        <v>495</v>
      </c>
      <c r="E78" s="211" t="s">
        <v>417</v>
      </c>
      <c r="F78" s="211"/>
      <c r="G78" s="239"/>
      <c r="H78" s="239"/>
      <c r="I78" s="239"/>
      <c r="J78" s="240"/>
      <c r="K78" s="211"/>
      <c r="L78" s="211"/>
      <c r="M78" s="211">
        <v>1</v>
      </c>
      <c r="N78" s="211"/>
      <c r="O78" s="211"/>
      <c r="P78" s="211">
        <v>1</v>
      </c>
      <c r="Q78" s="211"/>
      <c r="R78" s="239"/>
      <c r="S78" s="239"/>
      <c r="T78" s="239"/>
      <c r="U78" s="240"/>
      <c r="V78" s="211"/>
      <c r="W78" s="211"/>
      <c r="X78" s="211">
        <v>1</v>
      </c>
      <c r="Y78" s="211"/>
      <c r="Z78" s="211"/>
      <c r="AA78" s="211"/>
      <c r="AB78" s="211"/>
      <c r="AC78" s="239"/>
      <c r="AD78" s="239"/>
      <c r="AE78" s="239"/>
      <c r="AF78" s="240">
        <v>1</v>
      </c>
      <c r="AG78" s="211">
        <v>1</v>
      </c>
      <c r="AH78" s="211">
        <v>1</v>
      </c>
      <c r="AI78" s="211">
        <v>1</v>
      </c>
      <c r="AJ78" s="211"/>
      <c r="AK78" s="211"/>
      <c r="AL78" s="211"/>
      <c r="AM78" s="211"/>
      <c r="AN78" s="239"/>
      <c r="AO78" s="239"/>
      <c r="AP78" s="239"/>
      <c r="AQ78" s="240"/>
      <c r="AR78" s="240"/>
      <c r="AS78" s="240"/>
      <c r="AT78" s="211">
        <v>1</v>
      </c>
      <c r="AU78" s="211">
        <v>1</v>
      </c>
      <c r="AV78" s="203"/>
      <c r="AW78" s="240"/>
      <c r="AX78" s="240">
        <v>1</v>
      </c>
      <c r="AY78" s="240"/>
      <c r="AZ78" s="203"/>
      <c r="BA78" s="203"/>
      <c r="BB78" s="203"/>
      <c r="BC78" s="203"/>
    </row>
    <row r="79" spans="1:55" ht="21" customHeight="1">
      <c r="A79" s="212"/>
      <c r="B79" s="237">
        <v>46023</v>
      </c>
      <c r="C79" s="211" t="s">
        <v>395</v>
      </c>
      <c r="D79" s="238" t="s">
        <v>496</v>
      </c>
      <c r="E79" s="211" t="s">
        <v>497</v>
      </c>
      <c r="F79" s="211"/>
      <c r="G79" s="239"/>
      <c r="H79" s="239"/>
      <c r="I79" s="239"/>
      <c r="J79" s="240"/>
      <c r="K79" s="211"/>
      <c r="L79" s="211">
        <v>1</v>
      </c>
      <c r="M79" s="211">
        <v>1</v>
      </c>
      <c r="N79" s="211"/>
      <c r="O79" s="211"/>
      <c r="P79" s="211"/>
      <c r="Q79" s="211"/>
      <c r="R79" s="239"/>
      <c r="S79" s="239"/>
      <c r="T79" s="239"/>
      <c r="U79" s="240"/>
      <c r="V79" s="211"/>
      <c r="W79" s="211"/>
      <c r="X79" s="211">
        <v>1</v>
      </c>
      <c r="Y79" s="211">
        <v>1</v>
      </c>
      <c r="Z79" s="211"/>
      <c r="AA79" s="211"/>
      <c r="AB79" s="211"/>
      <c r="AC79" s="239"/>
      <c r="AD79" s="239"/>
      <c r="AE79" s="239"/>
      <c r="AF79" s="240"/>
      <c r="AG79" s="211"/>
      <c r="AH79" s="211"/>
      <c r="AI79" s="211">
        <v>1</v>
      </c>
      <c r="AJ79" s="211"/>
      <c r="AK79" s="211"/>
      <c r="AL79" s="211"/>
      <c r="AM79" s="211"/>
      <c r="AN79" s="239"/>
      <c r="AO79" s="239"/>
      <c r="AP79" s="239"/>
      <c r="AQ79" s="240"/>
      <c r="AR79" s="240"/>
      <c r="AS79" s="240"/>
      <c r="AT79" s="211">
        <v>1</v>
      </c>
      <c r="AU79" s="211">
        <v>1</v>
      </c>
      <c r="AV79" s="203"/>
      <c r="AW79" s="240"/>
      <c r="AX79" s="240"/>
      <c r="AY79" s="240"/>
      <c r="AZ79" s="203"/>
      <c r="BA79" s="203"/>
      <c r="BB79" s="203"/>
      <c r="BC79" s="203"/>
    </row>
    <row r="80" spans="1:55" ht="21" customHeight="1">
      <c r="A80" s="212"/>
      <c r="B80" s="237">
        <v>46023</v>
      </c>
      <c r="C80" s="211" t="s">
        <v>395</v>
      </c>
      <c r="D80" s="238" t="s">
        <v>498</v>
      </c>
      <c r="E80" s="211" t="s">
        <v>435</v>
      </c>
      <c r="F80" s="211"/>
      <c r="G80" s="239"/>
      <c r="H80" s="239"/>
      <c r="I80" s="239"/>
      <c r="J80" s="240"/>
      <c r="K80" s="211"/>
      <c r="L80" s="211">
        <v>1</v>
      </c>
      <c r="M80" s="211">
        <v>1</v>
      </c>
      <c r="N80" s="211">
        <v>1</v>
      </c>
      <c r="O80" s="211"/>
      <c r="P80" s="211"/>
      <c r="Q80" s="211"/>
      <c r="R80" s="239"/>
      <c r="S80" s="239"/>
      <c r="T80" s="239"/>
      <c r="U80" s="240"/>
      <c r="V80" s="211"/>
      <c r="W80" s="211"/>
      <c r="X80" s="211">
        <v>1</v>
      </c>
      <c r="Y80" s="211"/>
      <c r="Z80" s="211"/>
      <c r="AA80" s="211"/>
      <c r="AB80" s="211"/>
      <c r="AC80" s="239"/>
      <c r="AD80" s="239"/>
      <c r="AE80" s="239"/>
      <c r="AF80" s="240"/>
      <c r="AG80" s="211"/>
      <c r="AH80" s="211"/>
      <c r="AI80" s="211">
        <v>1</v>
      </c>
      <c r="AJ80" s="211">
        <v>1</v>
      </c>
      <c r="AK80" s="211"/>
      <c r="AL80" s="211"/>
      <c r="AM80" s="211"/>
      <c r="AN80" s="239"/>
      <c r="AO80" s="239"/>
      <c r="AP80" s="239"/>
      <c r="AQ80" s="240"/>
      <c r="AR80" s="240"/>
      <c r="AS80" s="240"/>
      <c r="AT80" s="211"/>
      <c r="AU80" s="211"/>
      <c r="AV80" s="203"/>
      <c r="AW80" s="240"/>
      <c r="AX80" s="240"/>
      <c r="AY80" s="240"/>
      <c r="AZ80" s="203"/>
      <c r="BA80" s="203"/>
      <c r="BB80" s="203"/>
      <c r="BC80" s="203"/>
    </row>
    <row r="81" spans="1:55" ht="21" customHeight="1">
      <c r="A81" s="212"/>
      <c r="B81" s="237">
        <v>46023</v>
      </c>
      <c r="C81" s="211" t="s">
        <v>395</v>
      </c>
      <c r="D81" s="238" t="s">
        <v>499</v>
      </c>
      <c r="E81" s="211" t="s">
        <v>404</v>
      </c>
      <c r="F81" s="211"/>
      <c r="G81" s="239"/>
      <c r="H81" s="239"/>
      <c r="I81" s="239"/>
      <c r="J81" s="240"/>
      <c r="K81" s="211"/>
      <c r="L81" s="211"/>
      <c r="M81" s="211">
        <v>1</v>
      </c>
      <c r="N81" s="211"/>
      <c r="O81" s="211"/>
      <c r="P81" s="211"/>
      <c r="Q81" s="211"/>
      <c r="R81" s="239"/>
      <c r="S81" s="239"/>
      <c r="T81" s="239"/>
      <c r="U81" s="240"/>
      <c r="V81" s="211"/>
      <c r="W81" s="211"/>
      <c r="X81" s="211">
        <v>1</v>
      </c>
      <c r="Y81" s="211">
        <v>1</v>
      </c>
      <c r="Z81" s="211"/>
      <c r="AA81" s="211"/>
      <c r="AB81" s="211"/>
      <c r="AC81" s="239">
        <v>1</v>
      </c>
      <c r="AD81" s="239"/>
      <c r="AE81" s="239"/>
      <c r="AF81" s="240"/>
      <c r="AG81" s="211"/>
      <c r="AH81" s="211"/>
      <c r="AI81" s="211">
        <v>1</v>
      </c>
      <c r="AJ81" s="211"/>
      <c r="AK81" s="211"/>
      <c r="AL81" s="211"/>
      <c r="AM81" s="211"/>
      <c r="AN81" s="239"/>
      <c r="AO81" s="239"/>
      <c r="AP81" s="239"/>
      <c r="AQ81" s="240"/>
      <c r="AR81" s="240"/>
      <c r="AS81" s="240"/>
      <c r="AT81" s="211">
        <v>1</v>
      </c>
      <c r="AU81" s="211">
        <v>1</v>
      </c>
      <c r="AV81" s="203"/>
      <c r="AW81" s="240"/>
      <c r="AX81" s="240"/>
      <c r="AY81" s="240"/>
      <c r="AZ81" s="203"/>
      <c r="BA81" s="203"/>
      <c r="BB81" s="203"/>
      <c r="BC81" s="203"/>
    </row>
    <row r="82" spans="1:55" ht="21" customHeight="1">
      <c r="A82" s="212"/>
      <c r="B82" s="237">
        <v>46023</v>
      </c>
      <c r="C82" s="211" t="s">
        <v>395</v>
      </c>
      <c r="D82" s="238" t="s">
        <v>500</v>
      </c>
      <c r="E82" s="211" t="s">
        <v>435</v>
      </c>
      <c r="F82" s="211"/>
      <c r="G82" s="239"/>
      <c r="H82" s="239"/>
      <c r="I82" s="239"/>
      <c r="J82" s="240"/>
      <c r="K82" s="211"/>
      <c r="L82" s="211"/>
      <c r="M82" s="211">
        <v>1</v>
      </c>
      <c r="N82" s="211"/>
      <c r="O82" s="211"/>
      <c r="P82" s="211"/>
      <c r="Q82" s="211"/>
      <c r="R82" s="239"/>
      <c r="S82" s="239"/>
      <c r="T82" s="239"/>
      <c r="U82" s="240"/>
      <c r="V82" s="211"/>
      <c r="W82" s="211"/>
      <c r="X82" s="211">
        <v>1</v>
      </c>
      <c r="Y82" s="211">
        <v>1</v>
      </c>
      <c r="Z82" s="211"/>
      <c r="AA82" s="211"/>
      <c r="AB82" s="211"/>
      <c r="AC82" s="239"/>
      <c r="AD82" s="239"/>
      <c r="AE82" s="239"/>
      <c r="AF82" s="240"/>
      <c r="AG82" s="211"/>
      <c r="AH82" s="211"/>
      <c r="AI82" s="211">
        <v>1</v>
      </c>
      <c r="AJ82" s="211">
        <v>1</v>
      </c>
      <c r="AK82" s="211"/>
      <c r="AL82" s="211"/>
      <c r="AM82" s="211"/>
      <c r="AN82" s="239"/>
      <c r="AO82" s="239"/>
      <c r="AP82" s="239"/>
      <c r="AQ82" s="240"/>
      <c r="AR82" s="240"/>
      <c r="AS82" s="240"/>
      <c r="AT82" s="211"/>
      <c r="AU82" s="211"/>
      <c r="AV82" s="203"/>
      <c r="AW82" s="240"/>
      <c r="AX82" s="240"/>
      <c r="AY82" s="240"/>
      <c r="AZ82" s="203">
        <v>1</v>
      </c>
      <c r="BA82" s="203"/>
      <c r="BB82" s="203"/>
      <c r="BC82" s="203"/>
    </row>
    <row r="83" spans="1:55" ht="21" customHeight="1">
      <c r="A83" s="212"/>
      <c r="B83" s="237">
        <v>46023</v>
      </c>
      <c r="C83" s="211" t="s">
        <v>395</v>
      </c>
      <c r="D83" s="238" t="s">
        <v>501</v>
      </c>
      <c r="E83" s="211" t="s">
        <v>502</v>
      </c>
      <c r="F83" s="211"/>
      <c r="G83" s="239"/>
      <c r="H83" s="239"/>
      <c r="I83" s="239"/>
      <c r="J83" s="240"/>
      <c r="K83" s="211"/>
      <c r="L83" s="211"/>
      <c r="M83" s="211">
        <v>1</v>
      </c>
      <c r="N83" s="211"/>
      <c r="O83" s="211">
        <v>1</v>
      </c>
      <c r="P83" s="211"/>
      <c r="Q83" s="211"/>
      <c r="R83" s="239"/>
      <c r="S83" s="239"/>
      <c r="T83" s="239"/>
      <c r="U83" s="240"/>
      <c r="V83" s="211"/>
      <c r="W83" s="211"/>
      <c r="X83" s="211"/>
      <c r="Y83" s="211">
        <v>1</v>
      </c>
      <c r="Z83" s="211"/>
      <c r="AA83" s="211"/>
      <c r="AB83" s="211"/>
      <c r="AC83" s="239"/>
      <c r="AD83" s="239"/>
      <c r="AE83" s="239"/>
      <c r="AF83" s="240"/>
      <c r="AG83" s="211"/>
      <c r="AH83" s="211"/>
      <c r="AI83" s="211">
        <v>1</v>
      </c>
      <c r="AJ83" s="211"/>
      <c r="AK83" s="211"/>
      <c r="AL83" s="211"/>
      <c r="AM83" s="211"/>
      <c r="AN83" s="239"/>
      <c r="AO83" s="239"/>
      <c r="AP83" s="239"/>
      <c r="AQ83" s="240"/>
      <c r="AR83" s="240"/>
      <c r="AS83" s="240"/>
      <c r="AT83" s="211">
        <v>1</v>
      </c>
      <c r="AU83" s="211">
        <v>1</v>
      </c>
      <c r="AV83" s="203"/>
      <c r="AW83" s="240"/>
      <c r="AX83" s="240">
        <v>1</v>
      </c>
      <c r="AY83" s="240">
        <v>1</v>
      </c>
      <c r="AZ83" s="203"/>
      <c r="BA83" s="203"/>
      <c r="BB83" s="203"/>
      <c r="BC83" s="203"/>
    </row>
    <row r="84" spans="1:55" ht="21" customHeight="1">
      <c r="A84" s="212"/>
      <c r="B84" s="237">
        <v>46023</v>
      </c>
      <c r="C84" s="211" t="s">
        <v>395</v>
      </c>
      <c r="D84" s="238" t="s">
        <v>503</v>
      </c>
      <c r="E84" s="211" t="s">
        <v>502</v>
      </c>
      <c r="F84" s="211"/>
      <c r="G84" s="239"/>
      <c r="H84" s="239"/>
      <c r="I84" s="239"/>
      <c r="J84" s="240"/>
      <c r="K84" s="211"/>
      <c r="L84" s="211"/>
      <c r="M84" s="211">
        <v>1</v>
      </c>
      <c r="N84" s="211"/>
      <c r="O84" s="211"/>
      <c r="P84" s="211"/>
      <c r="Q84" s="211"/>
      <c r="R84" s="239"/>
      <c r="S84" s="239"/>
      <c r="T84" s="239"/>
      <c r="U84" s="240"/>
      <c r="V84" s="211"/>
      <c r="W84" s="211"/>
      <c r="X84" s="211">
        <v>1</v>
      </c>
      <c r="Y84" s="211"/>
      <c r="Z84" s="211"/>
      <c r="AA84" s="211"/>
      <c r="AB84" s="211"/>
      <c r="AC84" s="239"/>
      <c r="AD84" s="239"/>
      <c r="AE84" s="239"/>
      <c r="AF84" s="240"/>
      <c r="AG84" s="211"/>
      <c r="AH84" s="211"/>
      <c r="AI84" s="211">
        <v>1</v>
      </c>
      <c r="AJ84" s="211"/>
      <c r="AK84" s="211"/>
      <c r="AL84" s="211"/>
      <c r="AM84" s="211"/>
      <c r="AN84" s="239"/>
      <c r="AO84" s="239"/>
      <c r="AP84" s="239"/>
      <c r="AQ84" s="240"/>
      <c r="AR84" s="240"/>
      <c r="AS84" s="240"/>
      <c r="AT84" s="211"/>
      <c r="AU84" s="211"/>
      <c r="AV84" s="203"/>
      <c r="AW84" s="240"/>
      <c r="AX84" s="240"/>
      <c r="AY84" s="240"/>
      <c r="AZ84" s="203"/>
      <c r="BA84" s="203"/>
      <c r="BB84" s="203"/>
      <c r="BC84" s="203"/>
    </row>
    <row r="85" spans="1:55" ht="21" customHeight="1">
      <c r="A85" s="212"/>
      <c r="B85" s="237">
        <v>46023</v>
      </c>
      <c r="C85" s="211" t="s">
        <v>395</v>
      </c>
      <c r="D85" s="238" t="s">
        <v>504</v>
      </c>
      <c r="E85" s="211" t="s">
        <v>505</v>
      </c>
      <c r="F85" s="211"/>
      <c r="G85" s="239"/>
      <c r="H85" s="239"/>
      <c r="I85" s="239"/>
      <c r="J85" s="240"/>
      <c r="K85" s="211"/>
      <c r="L85" s="211"/>
      <c r="M85" s="211">
        <v>1</v>
      </c>
      <c r="N85" s="211"/>
      <c r="O85" s="211"/>
      <c r="P85" s="211"/>
      <c r="Q85" s="211"/>
      <c r="R85" s="239"/>
      <c r="S85" s="239"/>
      <c r="T85" s="239"/>
      <c r="U85" s="240"/>
      <c r="V85" s="211"/>
      <c r="W85" s="211"/>
      <c r="X85" s="211">
        <v>1</v>
      </c>
      <c r="Y85" s="211"/>
      <c r="Z85" s="211"/>
      <c r="AA85" s="211"/>
      <c r="AB85" s="211"/>
      <c r="AC85" s="239"/>
      <c r="AD85" s="239"/>
      <c r="AE85" s="239"/>
      <c r="AF85" s="240"/>
      <c r="AG85" s="211"/>
      <c r="AH85" s="211"/>
      <c r="AI85" s="211">
        <v>1</v>
      </c>
      <c r="AJ85" s="211"/>
      <c r="AK85" s="211"/>
      <c r="AL85" s="211"/>
      <c r="AM85" s="211"/>
      <c r="AN85" s="239"/>
      <c r="AO85" s="239"/>
      <c r="AP85" s="239"/>
      <c r="AQ85" s="240"/>
      <c r="AR85" s="240"/>
      <c r="AS85" s="240"/>
      <c r="AT85" s="211">
        <v>1</v>
      </c>
      <c r="AU85" s="211">
        <v>1</v>
      </c>
      <c r="AV85" s="203"/>
      <c r="AW85" s="240"/>
      <c r="AX85" s="240"/>
      <c r="AY85" s="240"/>
      <c r="AZ85" s="203"/>
      <c r="BA85" s="203"/>
      <c r="BB85" s="203"/>
      <c r="BC85" s="203"/>
    </row>
    <row r="86" spans="1:55" ht="21" customHeight="1">
      <c r="A86" s="212"/>
      <c r="B86" s="237">
        <v>46023</v>
      </c>
      <c r="C86" s="211" t="s">
        <v>395</v>
      </c>
      <c r="D86" s="238" t="s">
        <v>506</v>
      </c>
      <c r="E86" s="211" t="s">
        <v>507</v>
      </c>
      <c r="F86" s="211"/>
      <c r="G86" s="239"/>
      <c r="H86" s="239"/>
      <c r="I86" s="239"/>
      <c r="J86" s="240"/>
      <c r="K86" s="211"/>
      <c r="L86" s="211"/>
      <c r="M86" s="211">
        <v>1</v>
      </c>
      <c r="N86" s="211"/>
      <c r="O86" s="211"/>
      <c r="P86" s="211"/>
      <c r="Q86" s="211"/>
      <c r="R86" s="239"/>
      <c r="S86" s="239"/>
      <c r="T86" s="239"/>
      <c r="U86" s="240"/>
      <c r="V86" s="211"/>
      <c r="W86" s="211"/>
      <c r="X86" s="211">
        <v>1</v>
      </c>
      <c r="Y86" s="211"/>
      <c r="Z86" s="211"/>
      <c r="AA86" s="211"/>
      <c r="AB86" s="211"/>
      <c r="AC86" s="239"/>
      <c r="AD86" s="239"/>
      <c r="AE86" s="239"/>
      <c r="AF86" s="240"/>
      <c r="AG86" s="211"/>
      <c r="AH86" s="211"/>
      <c r="AI86" s="211">
        <v>1</v>
      </c>
      <c r="AJ86" s="211"/>
      <c r="AK86" s="211">
        <v>1</v>
      </c>
      <c r="AL86" s="211">
        <v>1</v>
      </c>
      <c r="AM86" s="211"/>
      <c r="AN86" s="239"/>
      <c r="AO86" s="239"/>
      <c r="AP86" s="239"/>
      <c r="AQ86" s="240"/>
      <c r="AR86" s="240"/>
      <c r="AS86" s="240"/>
      <c r="AT86" s="211"/>
      <c r="AU86" s="211"/>
      <c r="AV86" s="203"/>
      <c r="AW86" s="240"/>
      <c r="AX86" s="240"/>
      <c r="AY86" s="240"/>
      <c r="AZ86" s="203"/>
      <c r="BA86" s="203"/>
      <c r="BB86" s="203"/>
      <c r="BC86" s="203"/>
    </row>
    <row r="87" spans="1:55" ht="21" customHeight="1">
      <c r="A87" s="212"/>
      <c r="B87" s="237">
        <v>46023</v>
      </c>
      <c r="C87" s="211" t="s">
        <v>395</v>
      </c>
      <c r="D87" s="238" t="s">
        <v>508</v>
      </c>
      <c r="E87" s="211" t="s">
        <v>509</v>
      </c>
      <c r="F87" s="211"/>
      <c r="G87" s="239"/>
      <c r="H87" s="239"/>
      <c r="I87" s="239"/>
      <c r="J87" s="240"/>
      <c r="K87" s="211">
        <v>1</v>
      </c>
      <c r="L87" s="211"/>
      <c r="M87" s="211">
        <v>1</v>
      </c>
      <c r="N87" s="211"/>
      <c r="O87" s="211"/>
      <c r="P87" s="211"/>
      <c r="Q87" s="211"/>
      <c r="R87" s="239"/>
      <c r="S87" s="239"/>
      <c r="T87" s="239"/>
      <c r="U87" s="240"/>
      <c r="V87" s="211"/>
      <c r="W87" s="211"/>
      <c r="X87" s="211"/>
      <c r="Y87" s="211"/>
      <c r="Z87" s="211"/>
      <c r="AA87" s="211"/>
      <c r="AB87" s="211"/>
      <c r="AC87" s="239"/>
      <c r="AD87" s="239"/>
      <c r="AE87" s="239"/>
      <c r="AF87" s="240"/>
      <c r="AG87" s="211"/>
      <c r="AH87" s="211"/>
      <c r="AI87" s="211">
        <v>1</v>
      </c>
      <c r="AJ87" s="211"/>
      <c r="AK87" s="211"/>
      <c r="AL87" s="211"/>
      <c r="AM87" s="211"/>
      <c r="AN87" s="239"/>
      <c r="AO87" s="239"/>
      <c r="AP87" s="239"/>
      <c r="AQ87" s="240"/>
      <c r="AR87" s="240"/>
      <c r="AS87" s="240"/>
      <c r="AT87" s="211"/>
      <c r="AU87" s="211"/>
      <c r="AV87" s="203"/>
      <c r="AW87" s="240"/>
      <c r="AX87" s="240"/>
      <c r="AY87" s="240"/>
      <c r="AZ87" s="203"/>
      <c r="BA87" s="203">
        <v>1</v>
      </c>
      <c r="BB87" s="203"/>
      <c r="BC87" s="203"/>
    </row>
    <row r="88" spans="1:55" ht="21" customHeight="1">
      <c r="A88" s="212"/>
      <c r="B88" s="237">
        <v>46023</v>
      </c>
      <c r="C88" s="211" t="s">
        <v>395</v>
      </c>
      <c r="D88" s="238" t="s">
        <v>510</v>
      </c>
      <c r="E88" s="211" t="s">
        <v>511</v>
      </c>
      <c r="F88" s="211"/>
      <c r="G88" s="239"/>
      <c r="H88" s="239"/>
      <c r="I88" s="239"/>
      <c r="J88" s="240"/>
      <c r="K88" s="211"/>
      <c r="L88" s="211"/>
      <c r="M88" s="211">
        <v>1</v>
      </c>
      <c r="N88" s="211"/>
      <c r="O88" s="211"/>
      <c r="P88" s="211"/>
      <c r="Q88" s="211"/>
      <c r="R88" s="239"/>
      <c r="S88" s="239"/>
      <c r="T88" s="239"/>
      <c r="U88" s="240"/>
      <c r="V88" s="211"/>
      <c r="W88" s="211"/>
      <c r="X88" s="211">
        <v>1</v>
      </c>
      <c r="Y88" s="211"/>
      <c r="Z88" s="211"/>
      <c r="AA88" s="211"/>
      <c r="AB88" s="211"/>
      <c r="AC88" s="239"/>
      <c r="AD88" s="239"/>
      <c r="AE88" s="239"/>
      <c r="AF88" s="240"/>
      <c r="AG88" s="211"/>
      <c r="AH88" s="211"/>
      <c r="AI88" s="211">
        <v>1</v>
      </c>
      <c r="AJ88" s="211"/>
      <c r="AK88" s="211"/>
      <c r="AL88" s="211"/>
      <c r="AM88" s="211"/>
      <c r="AN88" s="239"/>
      <c r="AO88" s="239"/>
      <c r="AP88" s="239"/>
      <c r="AQ88" s="240"/>
      <c r="AR88" s="240"/>
      <c r="AS88" s="240"/>
      <c r="AT88" s="211"/>
      <c r="AU88" s="211"/>
      <c r="AV88" s="203"/>
      <c r="AW88" s="240"/>
      <c r="AX88" s="240">
        <v>1</v>
      </c>
      <c r="AY88" s="240"/>
      <c r="AZ88" s="203"/>
      <c r="BA88" s="203"/>
      <c r="BB88" s="203"/>
      <c r="BC88" s="203"/>
    </row>
    <row r="89" spans="1:55" ht="21" customHeight="1">
      <c r="A89" s="212"/>
      <c r="B89" s="237">
        <v>46023</v>
      </c>
      <c r="C89" s="211" t="s">
        <v>395</v>
      </c>
      <c r="D89" s="238" t="s">
        <v>512</v>
      </c>
      <c r="E89" s="211" t="s">
        <v>513</v>
      </c>
      <c r="F89" s="211"/>
      <c r="G89" s="239"/>
      <c r="H89" s="239"/>
      <c r="I89" s="239"/>
      <c r="J89" s="240"/>
      <c r="K89" s="211">
        <v>1</v>
      </c>
      <c r="L89" s="211"/>
      <c r="M89" s="211">
        <v>1</v>
      </c>
      <c r="N89" s="211">
        <v>1</v>
      </c>
      <c r="O89" s="211"/>
      <c r="P89" s="211">
        <v>1</v>
      </c>
      <c r="Q89" s="211"/>
      <c r="R89" s="239"/>
      <c r="S89" s="239"/>
      <c r="T89" s="239"/>
      <c r="U89" s="240"/>
      <c r="V89" s="211"/>
      <c r="W89" s="211"/>
      <c r="X89" s="211">
        <v>1</v>
      </c>
      <c r="Y89" s="211"/>
      <c r="Z89" s="211"/>
      <c r="AA89" s="211"/>
      <c r="AB89" s="211"/>
      <c r="AC89" s="239"/>
      <c r="AD89" s="239"/>
      <c r="AE89" s="239"/>
      <c r="AF89" s="240"/>
      <c r="AG89" s="211"/>
      <c r="AH89" s="211"/>
      <c r="AI89" s="211">
        <v>1</v>
      </c>
      <c r="AJ89" s="211"/>
      <c r="AK89" s="211">
        <v>1</v>
      </c>
      <c r="AL89" s="211">
        <v>1</v>
      </c>
      <c r="AM89" s="211"/>
      <c r="AN89" s="239"/>
      <c r="AO89" s="239"/>
      <c r="AP89" s="239"/>
      <c r="AQ89" s="240"/>
      <c r="AR89" s="240"/>
      <c r="AS89" s="240"/>
      <c r="AT89" s="211"/>
      <c r="AU89" s="211"/>
      <c r="AV89" s="203"/>
      <c r="AW89" s="240"/>
      <c r="AX89" s="240"/>
      <c r="AY89" s="240"/>
      <c r="AZ89" s="203">
        <v>1</v>
      </c>
      <c r="BA89" s="203">
        <v>1</v>
      </c>
      <c r="BB89" s="203"/>
      <c r="BC89" s="203"/>
    </row>
    <row r="90" spans="1:55" ht="21" customHeight="1">
      <c r="A90" s="212"/>
      <c r="B90" s="237">
        <v>46023</v>
      </c>
      <c r="C90" s="211" t="s">
        <v>395</v>
      </c>
      <c r="D90" s="238" t="s">
        <v>514</v>
      </c>
      <c r="E90" s="211" t="s">
        <v>441</v>
      </c>
      <c r="F90" s="211"/>
      <c r="G90" s="239"/>
      <c r="H90" s="239"/>
      <c r="I90" s="239"/>
      <c r="J90" s="240"/>
      <c r="K90" s="211"/>
      <c r="L90" s="211"/>
      <c r="M90" s="211">
        <v>1</v>
      </c>
      <c r="N90" s="211"/>
      <c r="O90" s="211"/>
      <c r="P90" s="211"/>
      <c r="Q90" s="211"/>
      <c r="R90" s="239"/>
      <c r="S90" s="239"/>
      <c r="T90" s="239"/>
      <c r="U90" s="240"/>
      <c r="V90" s="211"/>
      <c r="W90" s="211"/>
      <c r="X90" s="211">
        <v>1</v>
      </c>
      <c r="Y90" s="211"/>
      <c r="Z90" s="211"/>
      <c r="AA90" s="211"/>
      <c r="AB90" s="211"/>
      <c r="AC90" s="239"/>
      <c r="AD90" s="239"/>
      <c r="AE90" s="239"/>
      <c r="AF90" s="240"/>
      <c r="AG90" s="211"/>
      <c r="AH90" s="211"/>
      <c r="AI90" s="211">
        <v>1</v>
      </c>
      <c r="AJ90" s="211"/>
      <c r="AK90" s="211"/>
      <c r="AL90" s="211"/>
      <c r="AM90" s="211"/>
      <c r="AN90" s="239"/>
      <c r="AO90" s="239"/>
      <c r="AP90" s="239"/>
      <c r="AQ90" s="240"/>
      <c r="AR90" s="240"/>
      <c r="AS90" s="240"/>
      <c r="AT90" s="211">
        <v>1</v>
      </c>
      <c r="AU90" s="211">
        <v>1</v>
      </c>
      <c r="AV90" s="203"/>
      <c r="AW90" s="240"/>
      <c r="AX90" s="240"/>
      <c r="AY90" s="240"/>
      <c r="AZ90" s="203"/>
      <c r="BA90" s="203"/>
      <c r="BB90" s="203"/>
      <c r="BC90" s="203"/>
    </row>
    <row r="91" spans="1:55" ht="21" customHeight="1">
      <c r="A91" s="212"/>
      <c r="B91" s="237">
        <v>46023</v>
      </c>
      <c r="C91" s="211" t="s">
        <v>395</v>
      </c>
      <c r="D91" s="238" t="s">
        <v>515</v>
      </c>
      <c r="E91" s="211" t="s">
        <v>516</v>
      </c>
      <c r="F91" s="211"/>
      <c r="G91" s="239"/>
      <c r="H91" s="239"/>
      <c r="I91" s="239"/>
      <c r="J91" s="240"/>
      <c r="K91" s="211"/>
      <c r="L91" s="211"/>
      <c r="M91" s="211">
        <v>1</v>
      </c>
      <c r="N91" s="211"/>
      <c r="O91" s="211"/>
      <c r="P91" s="211"/>
      <c r="Q91" s="211"/>
      <c r="R91" s="239"/>
      <c r="S91" s="239"/>
      <c r="T91" s="239"/>
      <c r="U91" s="240"/>
      <c r="V91" s="211"/>
      <c r="W91" s="211"/>
      <c r="X91" s="211">
        <v>1</v>
      </c>
      <c r="Y91" s="211"/>
      <c r="Z91" s="211"/>
      <c r="AA91" s="211"/>
      <c r="AB91" s="211"/>
      <c r="AC91" s="239"/>
      <c r="AD91" s="239"/>
      <c r="AE91" s="239"/>
      <c r="AF91" s="240"/>
      <c r="AG91" s="211"/>
      <c r="AH91" s="211"/>
      <c r="AI91" s="211">
        <v>1</v>
      </c>
      <c r="AJ91" s="211"/>
      <c r="AK91" s="211"/>
      <c r="AL91" s="211"/>
      <c r="AM91" s="211"/>
      <c r="AN91" s="239"/>
      <c r="AO91" s="239"/>
      <c r="AP91" s="239"/>
      <c r="AQ91" s="240"/>
      <c r="AR91" s="240"/>
      <c r="AS91" s="240"/>
      <c r="AT91" s="211"/>
      <c r="AU91" s="211"/>
      <c r="AV91" s="203"/>
      <c r="AW91" s="240"/>
      <c r="AX91" s="240"/>
      <c r="AY91" s="240"/>
      <c r="AZ91" s="203"/>
      <c r="BA91" s="203"/>
      <c r="BB91" s="203"/>
      <c r="BC91" s="203"/>
    </row>
    <row r="92" spans="1:55" ht="21" customHeight="1">
      <c r="A92" s="212"/>
      <c r="B92" s="237">
        <v>46023</v>
      </c>
      <c r="C92" s="211" t="s">
        <v>395</v>
      </c>
      <c r="D92" s="238" t="s">
        <v>517</v>
      </c>
      <c r="E92" s="211" t="s">
        <v>518</v>
      </c>
      <c r="F92" s="211"/>
      <c r="G92" s="239"/>
      <c r="H92" s="239"/>
      <c r="I92" s="239"/>
      <c r="J92" s="240"/>
      <c r="K92" s="211">
        <v>1</v>
      </c>
      <c r="L92" s="211"/>
      <c r="M92" s="211">
        <v>1</v>
      </c>
      <c r="N92" s="211"/>
      <c r="O92" s="211"/>
      <c r="P92" s="211"/>
      <c r="Q92" s="211"/>
      <c r="R92" s="239"/>
      <c r="S92" s="239"/>
      <c r="T92" s="239"/>
      <c r="U92" s="240"/>
      <c r="V92" s="211"/>
      <c r="W92" s="211"/>
      <c r="X92" s="211">
        <v>1</v>
      </c>
      <c r="Y92" s="211"/>
      <c r="Z92" s="211"/>
      <c r="AA92" s="211"/>
      <c r="AB92" s="211"/>
      <c r="AC92" s="239"/>
      <c r="AD92" s="239"/>
      <c r="AE92" s="239"/>
      <c r="AF92" s="240"/>
      <c r="AG92" s="211"/>
      <c r="AH92" s="211"/>
      <c r="AI92" s="211">
        <v>1</v>
      </c>
      <c r="AJ92" s="211"/>
      <c r="AK92" s="211"/>
      <c r="AL92" s="211"/>
      <c r="AM92" s="211"/>
      <c r="AN92" s="239"/>
      <c r="AO92" s="239"/>
      <c r="AP92" s="239"/>
      <c r="AQ92" s="240"/>
      <c r="AR92" s="240"/>
      <c r="AS92" s="240"/>
      <c r="AT92" s="211"/>
      <c r="AU92" s="211"/>
      <c r="AV92" s="203"/>
      <c r="AW92" s="240"/>
      <c r="AX92" s="240">
        <v>1</v>
      </c>
      <c r="AY92" s="240"/>
      <c r="AZ92" s="203"/>
      <c r="BA92" s="203">
        <v>1</v>
      </c>
      <c r="BB92" s="203">
        <v>1</v>
      </c>
      <c r="BC92" s="203">
        <v>1</v>
      </c>
    </row>
    <row r="93" spans="1:55" ht="21" customHeight="1">
      <c r="A93" s="212"/>
      <c r="B93" s="237">
        <v>46023</v>
      </c>
      <c r="C93" s="211" t="s">
        <v>395</v>
      </c>
      <c r="D93" s="238" t="s">
        <v>519</v>
      </c>
      <c r="E93" s="211" t="s">
        <v>520</v>
      </c>
      <c r="F93" s="211"/>
      <c r="G93" s="239"/>
      <c r="H93" s="239"/>
      <c r="I93" s="239"/>
      <c r="J93" s="240"/>
      <c r="K93" s="211"/>
      <c r="L93" s="211"/>
      <c r="M93" s="211">
        <v>1</v>
      </c>
      <c r="N93" s="211"/>
      <c r="O93" s="211"/>
      <c r="P93" s="211"/>
      <c r="Q93" s="211"/>
      <c r="R93" s="239"/>
      <c r="S93" s="239"/>
      <c r="T93" s="239"/>
      <c r="U93" s="240"/>
      <c r="V93" s="211"/>
      <c r="W93" s="211"/>
      <c r="X93" s="211">
        <v>1</v>
      </c>
      <c r="Y93" s="211"/>
      <c r="Z93" s="211"/>
      <c r="AA93" s="211"/>
      <c r="AB93" s="211"/>
      <c r="AC93" s="239"/>
      <c r="AD93" s="239"/>
      <c r="AE93" s="239"/>
      <c r="AF93" s="240"/>
      <c r="AG93" s="211"/>
      <c r="AH93" s="211"/>
      <c r="AI93" s="211">
        <v>1</v>
      </c>
      <c r="AJ93" s="211"/>
      <c r="AK93" s="211"/>
      <c r="AL93" s="211"/>
      <c r="AM93" s="211"/>
      <c r="AN93" s="239"/>
      <c r="AO93" s="239"/>
      <c r="AP93" s="239"/>
      <c r="AQ93" s="240"/>
      <c r="AR93" s="240"/>
      <c r="AS93" s="240"/>
      <c r="AT93" s="211">
        <v>1</v>
      </c>
      <c r="AU93" s="211">
        <v>1</v>
      </c>
      <c r="AV93" s="203"/>
      <c r="AW93" s="240"/>
      <c r="AX93" s="240"/>
      <c r="AY93" s="240"/>
      <c r="AZ93" s="203"/>
      <c r="BA93" s="203"/>
      <c r="BB93" s="203"/>
      <c r="BC93" s="203"/>
    </row>
    <row r="94" spans="1:55" ht="21" customHeight="1">
      <c r="A94" s="212"/>
      <c r="B94" s="237">
        <v>46023</v>
      </c>
      <c r="C94" s="211" t="s">
        <v>395</v>
      </c>
      <c r="D94" s="238" t="s">
        <v>521</v>
      </c>
      <c r="E94" s="211" t="s">
        <v>522</v>
      </c>
      <c r="F94" s="211"/>
      <c r="G94" s="239"/>
      <c r="H94" s="239"/>
      <c r="I94" s="239"/>
      <c r="J94" s="240"/>
      <c r="K94" s="211"/>
      <c r="L94" s="211"/>
      <c r="M94" s="211">
        <v>1</v>
      </c>
      <c r="N94" s="211"/>
      <c r="O94" s="211"/>
      <c r="P94" s="211"/>
      <c r="Q94" s="211"/>
      <c r="R94" s="239"/>
      <c r="S94" s="239"/>
      <c r="T94" s="239"/>
      <c r="U94" s="240"/>
      <c r="V94" s="211"/>
      <c r="W94" s="211"/>
      <c r="X94" s="211">
        <v>1</v>
      </c>
      <c r="Y94" s="211"/>
      <c r="Z94" s="211"/>
      <c r="AA94" s="211"/>
      <c r="AB94" s="211"/>
      <c r="AC94" s="239"/>
      <c r="AD94" s="239"/>
      <c r="AE94" s="239"/>
      <c r="AF94" s="240"/>
      <c r="AG94" s="211"/>
      <c r="AH94" s="211"/>
      <c r="AI94" s="211">
        <v>1</v>
      </c>
      <c r="AJ94" s="211"/>
      <c r="AK94" s="211"/>
      <c r="AL94" s="211"/>
      <c r="AM94" s="211"/>
      <c r="AN94" s="239"/>
      <c r="AO94" s="239"/>
      <c r="AP94" s="239"/>
      <c r="AQ94" s="240"/>
      <c r="AR94" s="240"/>
      <c r="AS94" s="240"/>
      <c r="AT94" s="211"/>
      <c r="AU94" s="211"/>
      <c r="AV94" s="203"/>
      <c r="AW94" s="240"/>
      <c r="AX94" s="240"/>
      <c r="AY94" s="240"/>
      <c r="AZ94" s="203"/>
      <c r="BA94" s="203">
        <v>1</v>
      </c>
      <c r="BB94" s="203"/>
      <c r="BC94" s="203"/>
    </row>
    <row r="95" spans="1:55" ht="21" hidden="1" customHeight="1">
      <c r="A95" s="212"/>
      <c r="B95" s="237">
        <v>46023</v>
      </c>
      <c r="C95" s="211" t="s">
        <v>384</v>
      </c>
      <c r="D95" s="238" t="s">
        <v>523</v>
      </c>
      <c r="E95" s="211" t="s">
        <v>524</v>
      </c>
      <c r="F95" s="211"/>
      <c r="G95" s="239"/>
      <c r="H95" s="239">
        <v>1</v>
      </c>
      <c r="I95" s="239">
        <v>1</v>
      </c>
      <c r="J95" s="240">
        <v>1</v>
      </c>
      <c r="K95" s="211">
        <v>1</v>
      </c>
      <c r="L95" s="211">
        <v>1</v>
      </c>
      <c r="M95" s="211">
        <v>1</v>
      </c>
      <c r="N95" s="211">
        <v>1</v>
      </c>
      <c r="O95" s="211">
        <v>1</v>
      </c>
      <c r="P95" s="211">
        <v>1</v>
      </c>
      <c r="Q95" s="211">
        <v>1</v>
      </c>
      <c r="R95" s="239">
        <v>1</v>
      </c>
      <c r="S95" s="239">
        <v>1</v>
      </c>
      <c r="T95" s="239">
        <v>1</v>
      </c>
      <c r="U95" s="240">
        <v>1</v>
      </c>
      <c r="V95" s="211">
        <v>1</v>
      </c>
      <c r="W95" s="211">
        <v>1</v>
      </c>
      <c r="X95" s="211">
        <v>1</v>
      </c>
      <c r="Y95" s="211"/>
      <c r="Z95" s="211">
        <v>1</v>
      </c>
      <c r="AA95" s="211">
        <v>1</v>
      </c>
      <c r="AB95" s="211"/>
      <c r="AC95" s="239">
        <v>1</v>
      </c>
      <c r="AD95" s="239">
        <v>1</v>
      </c>
      <c r="AE95" s="239">
        <v>1</v>
      </c>
      <c r="AF95" s="240">
        <v>1</v>
      </c>
      <c r="AG95" s="211">
        <v>1</v>
      </c>
      <c r="AH95" s="211">
        <v>1</v>
      </c>
      <c r="AI95" s="211">
        <v>1</v>
      </c>
      <c r="AJ95" s="211">
        <v>1</v>
      </c>
      <c r="AK95" s="211">
        <v>1</v>
      </c>
      <c r="AL95" s="211">
        <v>1</v>
      </c>
      <c r="AM95" s="211"/>
      <c r="AN95" s="239"/>
      <c r="AO95" s="239">
        <v>1</v>
      </c>
      <c r="AP95" s="239">
        <v>1</v>
      </c>
      <c r="AQ95" s="240">
        <v>1</v>
      </c>
      <c r="AR95" s="240">
        <v>1</v>
      </c>
      <c r="AS95" s="240">
        <v>1</v>
      </c>
      <c r="AT95" s="211">
        <v>1</v>
      </c>
      <c r="AU95" s="211">
        <v>1</v>
      </c>
      <c r="AV95" s="203"/>
      <c r="AW95" s="240"/>
      <c r="AX95" s="240"/>
      <c r="AY95" s="240"/>
      <c r="AZ95" s="203">
        <v>1</v>
      </c>
      <c r="BA95" s="203">
        <v>1</v>
      </c>
      <c r="BB95" s="203"/>
      <c r="BC95" s="203"/>
    </row>
    <row r="96" spans="1:55" ht="21" hidden="1" customHeight="1">
      <c r="A96" s="212"/>
      <c r="B96" s="237">
        <v>46023</v>
      </c>
      <c r="C96" s="211" t="s">
        <v>384</v>
      </c>
      <c r="D96" s="238" t="s">
        <v>525</v>
      </c>
      <c r="E96" s="211" t="s">
        <v>526</v>
      </c>
      <c r="F96" s="211"/>
      <c r="G96" s="239"/>
      <c r="H96" s="239"/>
      <c r="I96" s="239"/>
      <c r="J96" s="240">
        <v>1</v>
      </c>
      <c r="K96" s="211">
        <v>1</v>
      </c>
      <c r="L96" s="211">
        <v>1</v>
      </c>
      <c r="M96" s="211">
        <v>1</v>
      </c>
      <c r="N96" s="211">
        <v>1</v>
      </c>
      <c r="O96" s="211"/>
      <c r="P96" s="211">
        <v>1</v>
      </c>
      <c r="Q96" s="211"/>
      <c r="R96" s="239"/>
      <c r="S96" s="239">
        <v>1</v>
      </c>
      <c r="T96" s="239">
        <v>1</v>
      </c>
      <c r="U96" s="240">
        <v>1</v>
      </c>
      <c r="V96" s="211">
        <v>1</v>
      </c>
      <c r="W96" s="211">
        <v>1</v>
      </c>
      <c r="X96" s="211">
        <v>1</v>
      </c>
      <c r="Y96" s="211"/>
      <c r="Z96" s="211">
        <v>1</v>
      </c>
      <c r="AA96" s="211">
        <v>1</v>
      </c>
      <c r="AB96" s="211">
        <v>1</v>
      </c>
      <c r="AC96" s="239"/>
      <c r="AD96" s="239">
        <v>1</v>
      </c>
      <c r="AE96" s="239">
        <v>1</v>
      </c>
      <c r="AF96" s="240">
        <v>1</v>
      </c>
      <c r="AG96" s="211">
        <v>1</v>
      </c>
      <c r="AH96" s="211">
        <v>1</v>
      </c>
      <c r="AI96" s="211">
        <v>1</v>
      </c>
      <c r="AJ96" s="211">
        <v>1</v>
      </c>
      <c r="AK96" s="211">
        <v>1</v>
      </c>
      <c r="AL96" s="211">
        <v>1</v>
      </c>
      <c r="AM96" s="211"/>
      <c r="AN96" s="239"/>
      <c r="AO96" s="239"/>
      <c r="AP96" s="239"/>
      <c r="AQ96" s="240"/>
      <c r="AR96" s="240">
        <v>1</v>
      </c>
      <c r="AS96" s="240">
        <v>1</v>
      </c>
      <c r="AT96" s="211">
        <v>1</v>
      </c>
      <c r="AU96" s="211">
        <v>1</v>
      </c>
      <c r="AV96" s="203"/>
      <c r="AW96" s="240"/>
      <c r="AX96" s="240"/>
      <c r="AY96" s="240"/>
      <c r="AZ96" s="203">
        <v>1</v>
      </c>
      <c r="BA96" s="203">
        <v>1</v>
      </c>
      <c r="BB96" s="203"/>
      <c r="BC96" s="203"/>
    </row>
    <row r="97" spans="1:55" ht="21" hidden="1" customHeight="1">
      <c r="A97" s="212"/>
      <c r="B97" s="237">
        <v>46023</v>
      </c>
      <c r="C97" s="211" t="s">
        <v>384</v>
      </c>
      <c r="D97" s="238" t="s">
        <v>527</v>
      </c>
      <c r="E97" s="211" t="s">
        <v>528</v>
      </c>
      <c r="F97" s="211"/>
      <c r="G97" s="239"/>
      <c r="H97" s="239"/>
      <c r="I97" s="239"/>
      <c r="J97" s="240"/>
      <c r="K97" s="211">
        <v>1</v>
      </c>
      <c r="L97" s="211">
        <v>1</v>
      </c>
      <c r="M97" s="211">
        <v>1</v>
      </c>
      <c r="N97" s="211"/>
      <c r="O97" s="211">
        <v>1</v>
      </c>
      <c r="P97" s="211">
        <v>1</v>
      </c>
      <c r="Q97" s="211"/>
      <c r="R97" s="239"/>
      <c r="S97" s="239"/>
      <c r="T97" s="239"/>
      <c r="U97" s="240"/>
      <c r="V97" s="211"/>
      <c r="W97" s="211"/>
      <c r="X97" s="211">
        <v>1</v>
      </c>
      <c r="Y97" s="211">
        <v>1</v>
      </c>
      <c r="Z97" s="211">
        <v>1</v>
      </c>
      <c r="AA97" s="211">
        <v>1</v>
      </c>
      <c r="AB97" s="211">
        <v>1</v>
      </c>
      <c r="AC97" s="239"/>
      <c r="AD97" s="239">
        <v>1</v>
      </c>
      <c r="AE97" s="239">
        <v>1</v>
      </c>
      <c r="AF97" s="240">
        <v>1</v>
      </c>
      <c r="AG97" s="211">
        <v>1</v>
      </c>
      <c r="AH97" s="211">
        <v>1</v>
      </c>
      <c r="AI97" s="211">
        <v>1</v>
      </c>
      <c r="AJ97" s="211">
        <v>1</v>
      </c>
      <c r="AK97" s="211">
        <v>1</v>
      </c>
      <c r="AL97" s="211">
        <v>1</v>
      </c>
      <c r="AM97" s="211"/>
      <c r="AN97" s="239"/>
      <c r="AO97" s="239"/>
      <c r="AP97" s="239"/>
      <c r="AQ97" s="240"/>
      <c r="AR97" s="240"/>
      <c r="AS97" s="240"/>
      <c r="AT97" s="211">
        <v>1</v>
      </c>
      <c r="AU97" s="211">
        <v>1</v>
      </c>
      <c r="AV97" s="203"/>
      <c r="AW97" s="240"/>
      <c r="AX97" s="240"/>
      <c r="AY97" s="240"/>
      <c r="AZ97" s="203">
        <v>1</v>
      </c>
      <c r="BA97" s="203">
        <v>1</v>
      </c>
      <c r="BB97" s="203"/>
      <c r="BC97" s="203"/>
    </row>
    <row r="98" spans="1:55" ht="21" hidden="1" customHeight="1">
      <c r="A98" s="212"/>
      <c r="B98" s="237">
        <v>46023</v>
      </c>
      <c r="C98" s="211" t="s">
        <v>384</v>
      </c>
      <c r="D98" s="238" t="s">
        <v>529</v>
      </c>
      <c r="E98" s="211" t="s">
        <v>528</v>
      </c>
      <c r="F98" s="211"/>
      <c r="G98" s="239"/>
      <c r="H98" s="239"/>
      <c r="I98" s="239"/>
      <c r="J98" s="240">
        <v>1</v>
      </c>
      <c r="K98" s="211">
        <v>1</v>
      </c>
      <c r="L98" s="211">
        <v>1</v>
      </c>
      <c r="M98" s="211">
        <v>1</v>
      </c>
      <c r="N98" s="211">
        <v>1</v>
      </c>
      <c r="O98" s="211">
        <v>1</v>
      </c>
      <c r="P98" s="211"/>
      <c r="Q98" s="211">
        <v>1</v>
      </c>
      <c r="R98" s="239"/>
      <c r="S98" s="239">
        <v>1</v>
      </c>
      <c r="T98" s="239">
        <v>1</v>
      </c>
      <c r="U98" s="240">
        <v>1</v>
      </c>
      <c r="V98" s="211">
        <v>1</v>
      </c>
      <c r="W98" s="211">
        <v>1</v>
      </c>
      <c r="X98" s="211"/>
      <c r="Y98" s="211">
        <v>1</v>
      </c>
      <c r="Z98" s="211">
        <v>1</v>
      </c>
      <c r="AA98" s="211">
        <v>1</v>
      </c>
      <c r="AB98" s="211"/>
      <c r="AC98" s="239"/>
      <c r="AD98" s="239">
        <v>1</v>
      </c>
      <c r="AE98" s="239">
        <v>1</v>
      </c>
      <c r="AF98" s="240">
        <v>1</v>
      </c>
      <c r="AG98" s="240">
        <v>1</v>
      </c>
      <c r="AH98" s="211">
        <v>1</v>
      </c>
      <c r="AI98" s="211">
        <v>1</v>
      </c>
      <c r="AJ98" s="211"/>
      <c r="AK98" s="211"/>
      <c r="AL98" s="211"/>
      <c r="AM98" s="211"/>
      <c r="AN98" s="239"/>
      <c r="AO98" s="239"/>
      <c r="AP98" s="239"/>
      <c r="AQ98" s="240"/>
      <c r="AR98" s="240"/>
      <c r="AS98" s="240"/>
      <c r="AT98" s="211">
        <v>1</v>
      </c>
      <c r="AU98" s="211">
        <v>1</v>
      </c>
      <c r="AV98" s="203"/>
      <c r="AW98" s="240"/>
      <c r="AX98" s="240"/>
      <c r="AY98" s="240"/>
      <c r="AZ98" s="203">
        <v>1</v>
      </c>
      <c r="BA98" s="203">
        <v>1</v>
      </c>
      <c r="BB98" s="203"/>
      <c r="BC98" s="203"/>
    </row>
    <row r="99" spans="1:55" ht="21" hidden="1" customHeight="1">
      <c r="A99" s="212"/>
      <c r="B99" s="237">
        <v>46023</v>
      </c>
      <c r="C99" s="211" t="s">
        <v>384</v>
      </c>
      <c r="D99" s="238" t="s">
        <v>530</v>
      </c>
      <c r="E99" s="211" t="s">
        <v>531</v>
      </c>
      <c r="F99" s="211"/>
      <c r="G99" s="239">
        <v>1</v>
      </c>
      <c r="H99" s="239">
        <v>1</v>
      </c>
      <c r="I99" s="239">
        <v>1</v>
      </c>
      <c r="J99" s="240">
        <v>1</v>
      </c>
      <c r="K99" s="211">
        <v>1</v>
      </c>
      <c r="L99" s="211">
        <v>1</v>
      </c>
      <c r="M99" s="211"/>
      <c r="N99" s="211">
        <v>1</v>
      </c>
      <c r="O99" s="211">
        <v>1</v>
      </c>
      <c r="P99" s="211">
        <v>1</v>
      </c>
      <c r="Q99" s="211"/>
      <c r="R99" s="239">
        <v>1</v>
      </c>
      <c r="S99" s="239">
        <v>1</v>
      </c>
      <c r="T99" s="239">
        <v>1</v>
      </c>
      <c r="U99" s="240">
        <v>1</v>
      </c>
      <c r="V99" s="211">
        <v>1</v>
      </c>
      <c r="W99" s="211">
        <v>1</v>
      </c>
      <c r="X99" s="211">
        <v>1</v>
      </c>
      <c r="Y99" s="211"/>
      <c r="Z99" s="211">
        <v>1</v>
      </c>
      <c r="AA99" s="211">
        <v>1</v>
      </c>
      <c r="AB99" s="211">
        <v>1</v>
      </c>
      <c r="AC99" s="239">
        <v>1</v>
      </c>
      <c r="AD99" s="239">
        <v>1</v>
      </c>
      <c r="AE99" s="239">
        <v>1</v>
      </c>
      <c r="AF99" s="239">
        <v>1</v>
      </c>
      <c r="AG99" s="211">
        <v>1</v>
      </c>
      <c r="AH99" s="211">
        <v>1</v>
      </c>
      <c r="AI99" s="211">
        <v>1</v>
      </c>
      <c r="AJ99" s="211">
        <v>1</v>
      </c>
      <c r="AK99" s="211">
        <v>1</v>
      </c>
      <c r="AL99" s="211">
        <v>1</v>
      </c>
      <c r="AM99" s="211"/>
      <c r="AN99" s="239"/>
      <c r="AO99" s="239"/>
      <c r="AP99" s="239"/>
      <c r="AQ99" s="240"/>
      <c r="AR99" s="240">
        <v>1</v>
      </c>
      <c r="AS99" s="240">
        <v>1</v>
      </c>
      <c r="AT99" s="211">
        <v>1</v>
      </c>
      <c r="AU99" s="211">
        <v>1</v>
      </c>
      <c r="AV99" s="203"/>
      <c r="AW99" s="240"/>
      <c r="AX99" s="240"/>
      <c r="AY99" s="240"/>
      <c r="AZ99" s="203">
        <v>1</v>
      </c>
      <c r="BA99" s="203">
        <v>1</v>
      </c>
      <c r="BB99" s="203"/>
      <c r="BC99" s="203"/>
    </row>
    <row r="100" spans="1:55" ht="21" hidden="1" customHeight="1">
      <c r="A100" s="212"/>
      <c r="B100" s="237">
        <v>46023</v>
      </c>
      <c r="C100" s="211" t="s">
        <v>384</v>
      </c>
      <c r="D100" s="238" t="s">
        <v>532</v>
      </c>
      <c r="E100" s="211" t="s">
        <v>533</v>
      </c>
      <c r="F100" s="211"/>
      <c r="G100" s="239"/>
      <c r="H100" s="239">
        <v>1</v>
      </c>
      <c r="I100" s="239">
        <v>1</v>
      </c>
      <c r="J100" s="240">
        <v>1</v>
      </c>
      <c r="K100" s="211">
        <v>1</v>
      </c>
      <c r="L100" s="211">
        <v>1</v>
      </c>
      <c r="M100" s="211">
        <v>1</v>
      </c>
      <c r="N100" s="211">
        <v>1</v>
      </c>
      <c r="O100" s="211">
        <v>1</v>
      </c>
      <c r="P100" s="211">
        <v>1</v>
      </c>
      <c r="Q100" s="211"/>
      <c r="R100" s="239">
        <v>1</v>
      </c>
      <c r="S100" s="239">
        <v>1</v>
      </c>
      <c r="T100" s="239">
        <v>1</v>
      </c>
      <c r="U100" s="240">
        <v>1</v>
      </c>
      <c r="V100" s="211">
        <v>1</v>
      </c>
      <c r="W100" s="211">
        <v>1</v>
      </c>
      <c r="X100" s="211">
        <v>1</v>
      </c>
      <c r="Y100" s="211">
        <v>1</v>
      </c>
      <c r="Z100" s="211">
        <v>1</v>
      </c>
      <c r="AA100" s="211">
        <v>1</v>
      </c>
      <c r="AB100" s="211">
        <v>1</v>
      </c>
      <c r="AC100" s="239">
        <v>1</v>
      </c>
      <c r="AD100" s="239">
        <v>1</v>
      </c>
      <c r="AE100" s="239">
        <v>1</v>
      </c>
      <c r="AF100" s="240">
        <v>1</v>
      </c>
      <c r="AG100" s="211">
        <v>1</v>
      </c>
      <c r="AH100" s="211">
        <v>1</v>
      </c>
      <c r="AI100" s="211">
        <v>1</v>
      </c>
      <c r="AJ100" s="211">
        <v>1</v>
      </c>
      <c r="AK100" s="211">
        <v>1</v>
      </c>
      <c r="AL100" s="211">
        <v>1</v>
      </c>
      <c r="AM100" s="211"/>
      <c r="AN100" s="239"/>
      <c r="AO100" s="239"/>
      <c r="AP100" s="239"/>
      <c r="AQ100" s="240"/>
      <c r="AR100" s="240">
        <v>1</v>
      </c>
      <c r="AS100" s="240">
        <v>1</v>
      </c>
      <c r="AT100" s="211"/>
      <c r="AU100" s="211"/>
      <c r="AV100" s="203"/>
      <c r="AW100" s="240"/>
      <c r="AX100" s="240">
        <v>1</v>
      </c>
      <c r="AY100" s="240"/>
      <c r="AZ100" s="203">
        <v>1</v>
      </c>
      <c r="BA100" s="203">
        <v>1</v>
      </c>
      <c r="BB100" s="203"/>
      <c r="BC100" s="203"/>
    </row>
    <row r="101" spans="1:55" ht="21" hidden="1" customHeight="1">
      <c r="A101" s="212"/>
      <c r="B101" s="237">
        <v>46023</v>
      </c>
      <c r="C101" s="211" t="s">
        <v>384</v>
      </c>
      <c r="D101" s="238" t="s">
        <v>534</v>
      </c>
      <c r="E101" s="211" t="s">
        <v>535</v>
      </c>
      <c r="F101" s="211"/>
      <c r="G101" s="239">
        <v>1</v>
      </c>
      <c r="H101" s="239"/>
      <c r="I101" s="239"/>
      <c r="J101" s="240"/>
      <c r="K101" s="211">
        <v>1</v>
      </c>
      <c r="L101" s="211"/>
      <c r="M101" s="211">
        <v>1</v>
      </c>
      <c r="N101" s="211">
        <v>1</v>
      </c>
      <c r="O101" s="211">
        <v>1</v>
      </c>
      <c r="P101" s="211">
        <v>1</v>
      </c>
      <c r="Q101" s="211"/>
      <c r="R101" s="239">
        <v>1</v>
      </c>
      <c r="S101" s="239">
        <v>1</v>
      </c>
      <c r="T101" s="239">
        <v>1</v>
      </c>
      <c r="U101" s="240">
        <v>1</v>
      </c>
      <c r="V101" s="211">
        <v>1</v>
      </c>
      <c r="W101" s="211">
        <v>1</v>
      </c>
      <c r="X101" s="211">
        <v>1</v>
      </c>
      <c r="Y101" s="211">
        <v>1</v>
      </c>
      <c r="Z101" s="211">
        <v>1</v>
      </c>
      <c r="AA101" s="211">
        <v>1</v>
      </c>
      <c r="AB101" s="211">
        <v>1</v>
      </c>
      <c r="AC101" s="239"/>
      <c r="AD101" s="239">
        <v>1</v>
      </c>
      <c r="AE101" s="211">
        <v>1</v>
      </c>
      <c r="AF101" s="240"/>
      <c r="AG101" s="211">
        <v>1</v>
      </c>
      <c r="AH101" s="211">
        <v>1</v>
      </c>
      <c r="AI101" s="211">
        <v>1</v>
      </c>
      <c r="AJ101" s="211"/>
      <c r="AK101" s="211">
        <v>1</v>
      </c>
      <c r="AL101" s="211">
        <v>1</v>
      </c>
      <c r="AM101" s="211"/>
      <c r="AN101" s="239"/>
      <c r="AO101" s="239"/>
      <c r="AP101" s="239"/>
      <c r="AQ101" s="240"/>
      <c r="AR101" s="240">
        <v>1</v>
      </c>
      <c r="AS101" s="240">
        <v>1</v>
      </c>
      <c r="AT101" s="211"/>
      <c r="AU101" s="211"/>
      <c r="AV101" s="203"/>
      <c r="AW101" s="240"/>
      <c r="AX101" s="240"/>
      <c r="AY101" s="240"/>
      <c r="AZ101" s="203">
        <v>1</v>
      </c>
      <c r="BA101" s="203">
        <v>1</v>
      </c>
      <c r="BB101" s="203"/>
      <c r="BC101" s="203"/>
    </row>
    <row r="102" spans="1:55" ht="21" hidden="1" customHeight="1">
      <c r="A102" s="212"/>
      <c r="B102" s="237">
        <v>46023</v>
      </c>
      <c r="C102" s="211" t="s">
        <v>384</v>
      </c>
      <c r="D102" s="238" t="s">
        <v>536</v>
      </c>
      <c r="E102" s="211" t="s">
        <v>408</v>
      </c>
      <c r="F102" s="211"/>
      <c r="G102" s="239"/>
      <c r="H102" s="239">
        <v>1</v>
      </c>
      <c r="I102" s="239">
        <v>1</v>
      </c>
      <c r="J102" s="240">
        <v>1</v>
      </c>
      <c r="K102" s="211">
        <v>1</v>
      </c>
      <c r="L102" s="211">
        <v>1</v>
      </c>
      <c r="M102" s="211">
        <v>1</v>
      </c>
      <c r="N102" s="211">
        <v>1</v>
      </c>
      <c r="O102" s="211">
        <v>1</v>
      </c>
      <c r="P102" s="211">
        <v>1</v>
      </c>
      <c r="Q102" s="211"/>
      <c r="R102" s="239">
        <v>1</v>
      </c>
      <c r="S102" s="239">
        <v>1</v>
      </c>
      <c r="T102" s="239">
        <v>1</v>
      </c>
      <c r="U102" s="240">
        <v>1</v>
      </c>
      <c r="V102" s="211">
        <v>1</v>
      </c>
      <c r="W102" s="211">
        <v>1</v>
      </c>
      <c r="X102" s="211"/>
      <c r="Y102" s="211">
        <v>1</v>
      </c>
      <c r="Z102" s="211">
        <v>1</v>
      </c>
      <c r="AA102" s="211">
        <v>1</v>
      </c>
      <c r="AB102" s="211">
        <v>1</v>
      </c>
      <c r="AC102" s="239">
        <v>1</v>
      </c>
      <c r="AD102" s="239">
        <v>1</v>
      </c>
      <c r="AE102" s="239">
        <v>1</v>
      </c>
      <c r="AF102" s="240">
        <v>1</v>
      </c>
      <c r="AG102" s="240">
        <v>1</v>
      </c>
      <c r="AH102" s="211">
        <v>1</v>
      </c>
      <c r="AI102" s="211">
        <v>1</v>
      </c>
      <c r="AJ102" s="211">
        <v>1</v>
      </c>
      <c r="AK102" s="211">
        <v>1</v>
      </c>
      <c r="AL102" s="211">
        <v>1</v>
      </c>
      <c r="AM102" s="211"/>
      <c r="AN102" s="239"/>
      <c r="AO102" s="239">
        <v>1</v>
      </c>
      <c r="AP102" s="239">
        <v>1</v>
      </c>
      <c r="AQ102" s="240">
        <v>1</v>
      </c>
      <c r="AR102" s="240">
        <v>1</v>
      </c>
      <c r="AS102" s="240">
        <v>1</v>
      </c>
      <c r="AT102" s="211">
        <v>1</v>
      </c>
      <c r="AU102" s="211">
        <v>1</v>
      </c>
      <c r="AV102" s="240">
        <v>1</v>
      </c>
      <c r="AW102" s="240">
        <v>1</v>
      </c>
      <c r="AX102" s="240">
        <v>1</v>
      </c>
      <c r="AY102" s="240"/>
      <c r="AZ102" s="203">
        <v>1</v>
      </c>
      <c r="BA102" s="203">
        <v>1</v>
      </c>
      <c r="BB102" s="203">
        <v>1</v>
      </c>
      <c r="BC102" s="203">
        <v>1</v>
      </c>
    </row>
    <row r="103" spans="1:55" ht="21" hidden="1" customHeight="1">
      <c r="A103" s="212"/>
      <c r="B103" s="237">
        <v>46023</v>
      </c>
      <c r="C103" s="211" t="s">
        <v>386</v>
      </c>
      <c r="D103" s="238" t="s">
        <v>537</v>
      </c>
      <c r="E103" s="211" t="s">
        <v>415</v>
      </c>
      <c r="F103" s="211"/>
      <c r="G103" s="239"/>
      <c r="H103" s="239"/>
      <c r="I103" s="239"/>
      <c r="J103" s="240">
        <v>1</v>
      </c>
      <c r="K103" s="211"/>
      <c r="L103" s="211"/>
      <c r="M103" s="211">
        <v>1</v>
      </c>
      <c r="N103" s="211">
        <v>1</v>
      </c>
      <c r="O103" s="211"/>
      <c r="P103" s="211">
        <v>1</v>
      </c>
      <c r="Q103" s="211"/>
      <c r="R103" s="239"/>
      <c r="S103" s="239"/>
      <c r="T103" s="239"/>
      <c r="U103" s="240"/>
      <c r="V103" s="211"/>
      <c r="W103" s="211"/>
      <c r="X103" s="211">
        <v>1</v>
      </c>
      <c r="Y103" s="211"/>
      <c r="Z103" s="211"/>
      <c r="AA103" s="211">
        <v>1</v>
      </c>
      <c r="AB103" s="211">
        <v>1</v>
      </c>
      <c r="AC103" s="239"/>
      <c r="AD103" s="239">
        <v>1</v>
      </c>
      <c r="AE103" s="239">
        <v>1</v>
      </c>
      <c r="AF103" s="240">
        <v>1</v>
      </c>
      <c r="AG103" s="240">
        <v>1</v>
      </c>
      <c r="AH103" s="240">
        <v>1</v>
      </c>
      <c r="AI103" s="211">
        <v>1</v>
      </c>
      <c r="AJ103" s="211"/>
      <c r="AK103" s="211"/>
      <c r="AL103" s="211">
        <v>1</v>
      </c>
      <c r="AM103" s="211"/>
      <c r="AN103" s="239"/>
      <c r="AO103" s="239"/>
      <c r="AP103" s="239"/>
      <c r="AQ103" s="240"/>
      <c r="AR103" s="240"/>
      <c r="AS103" s="240"/>
      <c r="AT103" s="211">
        <v>1</v>
      </c>
      <c r="AU103" s="211">
        <v>1</v>
      </c>
      <c r="AV103" s="203"/>
      <c r="AW103" s="240"/>
      <c r="AX103" s="240">
        <v>1</v>
      </c>
      <c r="AY103" s="240">
        <v>1</v>
      </c>
      <c r="AZ103" s="203">
        <v>1</v>
      </c>
      <c r="BA103" s="203">
        <v>1</v>
      </c>
      <c r="BB103" s="203">
        <v>1</v>
      </c>
      <c r="BC103" s="203">
        <v>1</v>
      </c>
    </row>
    <row r="104" spans="1:55" ht="21" hidden="1" customHeight="1">
      <c r="A104" s="212"/>
      <c r="B104" s="237">
        <v>46023</v>
      </c>
      <c r="C104" s="211" t="s">
        <v>386</v>
      </c>
      <c r="D104" s="238" t="s">
        <v>538</v>
      </c>
      <c r="E104" s="211" t="s">
        <v>539</v>
      </c>
      <c r="F104" s="211"/>
      <c r="G104" s="239">
        <v>1</v>
      </c>
      <c r="H104" s="239">
        <v>1</v>
      </c>
      <c r="I104" s="239">
        <v>1</v>
      </c>
      <c r="J104" s="240">
        <v>1</v>
      </c>
      <c r="K104" s="211">
        <v>1</v>
      </c>
      <c r="L104" s="211">
        <v>1</v>
      </c>
      <c r="M104" s="211">
        <v>1</v>
      </c>
      <c r="N104" s="211">
        <v>1</v>
      </c>
      <c r="O104" s="211">
        <v>1</v>
      </c>
      <c r="P104" s="211">
        <v>1</v>
      </c>
      <c r="Q104" s="211"/>
      <c r="R104" s="239"/>
      <c r="S104" s="239">
        <v>1</v>
      </c>
      <c r="T104" s="239">
        <v>1</v>
      </c>
      <c r="U104" s="240">
        <v>1</v>
      </c>
      <c r="V104" s="211"/>
      <c r="W104" s="211">
        <v>1</v>
      </c>
      <c r="X104" s="211"/>
      <c r="Y104" s="211">
        <v>1</v>
      </c>
      <c r="Z104" s="211"/>
      <c r="AA104" s="211">
        <v>1</v>
      </c>
      <c r="AB104" s="211">
        <v>1</v>
      </c>
      <c r="AC104" s="239"/>
      <c r="AD104" s="239">
        <v>1</v>
      </c>
      <c r="AE104" s="239">
        <v>1</v>
      </c>
      <c r="AF104" s="240">
        <v>1</v>
      </c>
      <c r="AG104" s="211">
        <v>1</v>
      </c>
      <c r="AH104" s="211">
        <v>1</v>
      </c>
      <c r="AI104" s="211">
        <v>1</v>
      </c>
      <c r="AJ104" s="211">
        <v>1</v>
      </c>
      <c r="AK104" s="211">
        <v>1</v>
      </c>
      <c r="AL104" s="211">
        <v>1</v>
      </c>
      <c r="AM104" s="211"/>
      <c r="AN104" s="239"/>
      <c r="AO104" s="239"/>
      <c r="AP104" s="239"/>
      <c r="AQ104" s="240"/>
      <c r="AR104" s="240"/>
      <c r="AS104" s="240"/>
      <c r="AT104" s="211">
        <v>1</v>
      </c>
      <c r="AU104" s="211">
        <v>1</v>
      </c>
      <c r="AV104" s="203"/>
      <c r="AW104" s="240"/>
      <c r="AX104" s="240"/>
      <c r="AY104" s="240"/>
      <c r="AZ104" s="203">
        <v>1</v>
      </c>
      <c r="BA104" s="203">
        <v>1</v>
      </c>
      <c r="BB104" s="203"/>
      <c r="BC104" s="203"/>
    </row>
    <row r="105" spans="1:55" ht="21" hidden="1" customHeight="1">
      <c r="A105" s="212"/>
      <c r="B105" s="237">
        <v>46023</v>
      </c>
      <c r="C105" s="211" t="s">
        <v>386</v>
      </c>
      <c r="D105" s="238" t="s">
        <v>540</v>
      </c>
      <c r="E105" s="211" t="s">
        <v>541</v>
      </c>
      <c r="F105" s="211">
        <v>1</v>
      </c>
      <c r="G105" s="239">
        <v>1</v>
      </c>
      <c r="H105" s="239">
        <v>1</v>
      </c>
      <c r="I105" s="239">
        <v>1</v>
      </c>
      <c r="J105" s="240">
        <v>1</v>
      </c>
      <c r="K105" s="211">
        <v>1</v>
      </c>
      <c r="L105" s="211">
        <v>1</v>
      </c>
      <c r="M105" s="211">
        <v>1</v>
      </c>
      <c r="N105" s="211">
        <v>1</v>
      </c>
      <c r="O105" s="211">
        <v>1</v>
      </c>
      <c r="P105" s="211">
        <v>1</v>
      </c>
      <c r="Q105" s="211"/>
      <c r="R105" s="239">
        <v>1</v>
      </c>
      <c r="S105" s="239">
        <v>1</v>
      </c>
      <c r="T105" s="239">
        <v>1</v>
      </c>
      <c r="U105" s="240">
        <v>1</v>
      </c>
      <c r="V105" s="211">
        <v>1</v>
      </c>
      <c r="W105" s="211">
        <v>1</v>
      </c>
      <c r="X105" s="211"/>
      <c r="Y105" s="211">
        <v>1</v>
      </c>
      <c r="Z105" s="211">
        <v>1</v>
      </c>
      <c r="AA105" s="211">
        <v>1</v>
      </c>
      <c r="AB105" s="211"/>
      <c r="AC105" s="239">
        <v>1</v>
      </c>
      <c r="AD105" s="239">
        <v>1</v>
      </c>
      <c r="AE105" s="239">
        <v>1</v>
      </c>
      <c r="AF105" s="240">
        <v>1</v>
      </c>
      <c r="AG105" s="211">
        <v>1</v>
      </c>
      <c r="AH105" s="211">
        <v>1</v>
      </c>
      <c r="AI105" s="211">
        <v>1</v>
      </c>
      <c r="AJ105" s="211"/>
      <c r="AK105" s="211">
        <v>1</v>
      </c>
      <c r="AL105" s="211">
        <v>1</v>
      </c>
      <c r="AM105" s="211"/>
      <c r="AN105" s="239"/>
      <c r="AO105" s="239">
        <v>1</v>
      </c>
      <c r="AP105" s="239">
        <v>1</v>
      </c>
      <c r="AQ105" s="240">
        <v>1</v>
      </c>
      <c r="AR105" s="240">
        <v>1</v>
      </c>
      <c r="AS105" s="240"/>
      <c r="AT105" s="211"/>
      <c r="AU105" s="211"/>
      <c r="AV105" s="203"/>
      <c r="AW105" s="240"/>
      <c r="AX105" s="240"/>
      <c r="AY105" s="240"/>
      <c r="AZ105" s="203">
        <v>1</v>
      </c>
      <c r="BA105" s="203">
        <v>1</v>
      </c>
      <c r="BB105" s="203"/>
      <c r="BC105" s="203"/>
    </row>
    <row r="106" spans="1:55" ht="21" hidden="1" customHeight="1">
      <c r="A106" s="212"/>
      <c r="B106" s="237">
        <v>46023</v>
      </c>
      <c r="C106" s="211" t="s">
        <v>386</v>
      </c>
      <c r="D106" s="238" t="s">
        <v>542</v>
      </c>
      <c r="E106" s="211" t="s">
        <v>415</v>
      </c>
      <c r="F106" s="211"/>
      <c r="G106" s="239"/>
      <c r="H106" s="239">
        <v>1</v>
      </c>
      <c r="I106" s="239">
        <v>1</v>
      </c>
      <c r="J106" s="240">
        <v>1</v>
      </c>
      <c r="K106" s="211">
        <v>1</v>
      </c>
      <c r="L106" s="211">
        <v>1</v>
      </c>
      <c r="M106" s="211"/>
      <c r="N106" s="211">
        <v>1</v>
      </c>
      <c r="O106" s="211">
        <v>1</v>
      </c>
      <c r="P106" s="211">
        <v>1</v>
      </c>
      <c r="Q106" s="211"/>
      <c r="R106" s="239">
        <v>1</v>
      </c>
      <c r="S106" s="239">
        <v>1</v>
      </c>
      <c r="T106" s="239">
        <v>1</v>
      </c>
      <c r="U106" s="240">
        <v>1</v>
      </c>
      <c r="V106" s="211">
        <v>1</v>
      </c>
      <c r="W106" s="211">
        <v>1</v>
      </c>
      <c r="X106" s="211">
        <v>1</v>
      </c>
      <c r="Y106" s="211">
        <v>1</v>
      </c>
      <c r="Z106" s="211">
        <v>1</v>
      </c>
      <c r="AA106" s="211"/>
      <c r="AB106" s="211">
        <v>1</v>
      </c>
      <c r="AC106" s="239">
        <v>1</v>
      </c>
      <c r="AD106" s="239">
        <v>1</v>
      </c>
      <c r="AE106" s="239">
        <v>1</v>
      </c>
      <c r="AF106" s="240">
        <v>1</v>
      </c>
      <c r="AG106" s="211">
        <v>1</v>
      </c>
      <c r="AH106" s="211">
        <v>1</v>
      </c>
      <c r="AI106" s="211">
        <v>1</v>
      </c>
      <c r="AJ106" s="211">
        <v>1</v>
      </c>
      <c r="AK106" s="211">
        <v>1</v>
      </c>
      <c r="AL106" s="211">
        <v>1</v>
      </c>
      <c r="AM106" s="211"/>
      <c r="AN106" s="239"/>
      <c r="AO106" s="239">
        <v>1</v>
      </c>
      <c r="AP106" s="239">
        <v>1</v>
      </c>
      <c r="AQ106" s="240">
        <v>1</v>
      </c>
      <c r="AR106" s="240"/>
      <c r="AS106" s="240"/>
      <c r="AT106" s="211"/>
      <c r="AU106" s="211"/>
      <c r="AV106" s="203">
        <v>1</v>
      </c>
      <c r="AW106" s="240">
        <v>1</v>
      </c>
      <c r="AX106" s="240">
        <v>1</v>
      </c>
      <c r="AY106" s="240"/>
      <c r="AZ106" s="203">
        <v>1</v>
      </c>
      <c r="BA106" s="203">
        <v>1</v>
      </c>
      <c r="BB106" s="203">
        <v>1</v>
      </c>
      <c r="BC106" s="203">
        <v>1</v>
      </c>
    </row>
    <row r="107" spans="1:55" ht="21" hidden="1" customHeight="1">
      <c r="A107" s="212"/>
      <c r="B107" s="237">
        <v>46023</v>
      </c>
      <c r="C107" s="211" t="s">
        <v>387</v>
      </c>
      <c r="D107" s="238" t="s">
        <v>543</v>
      </c>
      <c r="E107" s="211" t="s">
        <v>415</v>
      </c>
      <c r="F107" s="211"/>
      <c r="G107" s="239"/>
      <c r="H107" s="239"/>
      <c r="I107" s="239"/>
      <c r="J107" s="240"/>
      <c r="K107" s="211">
        <v>1</v>
      </c>
      <c r="L107" s="211">
        <v>1</v>
      </c>
      <c r="M107" s="211">
        <v>1</v>
      </c>
      <c r="N107" s="211">
        <v>1</v>
      </c>
      <c r="O107" s="211"/>
      <c r="P107" s="211">
        <v>1</v>
      </c>
      <c r="Q107" s="211"/>
      <c r="R107" s="239"/>
      <c r="S107" s="239"/>
      <c r="T107" s="239"/>
      <c r="U107" s="240"/>
      <c r="V107" s="211">
        <v>1</v>
      </c>
      <c r="W107" s="211">
        <v>1</v>
      </c>
      <c r="X107" s="211"/>
      <c r="Y107" s="211"/>
      <c r="Z107" s="211"/>
      <c r="AA107" s="211"/>
      <c r="AB107" s="211">
        <v>1</v>
      </c>
      <c r="AC107" s="239"/>
      <c r="AD107" s="239"/>
      <c r="AE107" s="239"/>
      <c r="AF107" s="240">
        <v>1</v>
      </c>
      <c r="AG107" s="211"/>
      <c r="AH107" s="211">
        <v>1</v>
      </c>
      <c r="AI107" s="211">
        <v>1</v>
      </c>
      <c r="AJ107" s="211">
        <v>1</v>
      </c>
      <c r="AK107" s="211">
        <v>1</v>
      </c>
      <c r="AL107" s="211">
        <v>1</v>
      </c>
      <c r="AM107" s="211"/>
      <c r="AN107" s="239"/>
      <c r="AO107" s="239"/>
      <c r="AP107" s="239"/>
      <c r="AQ107" s="240"/>
      <c r="AR107" s="240"/>
      <c r="AS107" s="240"/>
      <c r="AT107" s="211">
        <v>1</v>
      </c>
      <c r="AU107" s="211">
        <v>1</v>
      </c>
      <c r="AV107" s="203"/>
      <c r="AW107" s="240"/>
      <c r="AX107" s="240"/>
      <c r="AY107" s="240">
        <v>1</v>
      </c>
      <c r="AZ107" s="203"/>
      <c r="BA107" s="203">
        <v>1</v>
      </c>
      <c r="BB107" s="203"/>
      <c r="BC107" s="203"/>
    </row>
    <row r="108" spans="1:55" ht="21" hidden="1" customHeight="1">
      <c r="A108" s="212"/>
      <c r="B108" s="237">
        <v>46023</v>
      </c>
      <c r="C108" s="211" t="s">
        <v>386</v>
      </c>
      <c r="D108" s="238" t="s">
        <v>544</v>
      </c>
      <c r="E108" s="211" t="s">
        <v>545</v>
      </c>
      <c r="F108" s="211"/>
      <c r="G108" s="239"/>
      <c r="H108" s="239"/>
      <c r="I108" s="239"/>
      <c r="J108" s="240">
        <v>1</v>
      </c>
      <c r="K108" s="211">
        <v>1</v>
      </c>
      <c r="L108" s="211">
        <v>1</v>
      </c>
      <c r="M108" s="211">
        <v>1</v>
      </c>
      <c r="N108" s="211">
        <v>1</v>
      </c>
      <c r="O108" s="211">
        <v>1</v>
      </c>
      <c r="P108" s="211">
        <v>1</v>
      </c>
      <c r="Q108" s="211"/>
      <c r="R108" s="239"/>
      <c r="S108" s="239">
        <v>1</v>
      </c>
      <c r="T108" s="239">
        <v>1</v>
      </c>
      <c r="U108" s="240">
        <v>1</v>
      </c>
      <c r="V108" s="211">
        <v>1</v>
      </c>
      <c r="W108" s="211">
        <v>1</v>
      </c>
      <c r="X108" s="211"/>
      <c r="Y108" s="211">
        <v>1</v>
      </c>
      <c r="Z108" s="211">
        <v>1</v>
      </c>
      <c r="AA108" s="211">
        <v>1</v>
      </c>
      <c r="AB108" s="211">
        <v>1</v>
      </c>
      <c r="AC108" s="239"/>
      <c r="AD108" s="239">
        <v>1</v>
      </c>
      <c r="AE108" s="239">
        <v>1</v>
      </c>
      <c r="AF108" s="240">
        <v>1</v>
      </c>
      <c r="AG108" s="211">
        <v>1</v>
      </c>
      <c r="AH108" s="211">
        <v>1</v>
      </c>
      <c r="AI108" s="211">
        <v>1</v>
      </c>
      <c r="AJ108" s="211">
        <v>1</v>
      </c>
      <c r="AK108" s="211">
        <v>1</v>
      </c>
      <c r="AL108" s="211">
        <v>1</v>
      </c>
      <c r="AM108" s="211"/>
      <c r="AN108" s="239">
        <v>1</v>
      </c>
      <c r="AO108" s="239"/>
      <c r="AP108" s="239">
        <v>1</v>
      </c>
      <c r="AQ108" s="240">
        <v>1</v>
      </c>
      <c r="AR108" s="240"/>
      <c r="AS108" s="240">
        <v>1</v>
      </c>
      <c r="AT108" s="211">
        <v>1</v>
      </c>
      <c r="AU108" s="211">
        <v>1</v>
      </c>
      <c r="AV108" s="203"/>
      <c r="AW108" s="240"/>
      <c r="AX108" s="240">
        <v>1</v>
      </c>
      <c r="AY108" s="240">
        <v>1</v>
      </c>
      <c r="AZ108" s="203">
        <v>1</v>
      </c>
      <c r="BA108" s="203">
        <v>1</v>
      </c>
      <c r="BB108" s="203"/>
      <c r="BC108" s="203"/>
    </row>
    <row r="109" spans="1:55" ht="21" customHeight="1">
      <c r="A109" s="212"/>
      <c r="B109" s="237">
        <v>46023</v>
      </c>
      <c r="C109" s="211" t="s">
        <v>395</v>
      </c>
      <c r="D109" s="238" t="s">
        <v>546</v>
      </c>
      <c r="E109" s="211" t="s">
        <v>547</v>
      </c>
      <c r="F109" s="211"/>
      <c r="G109" s="239"/>
      <c r="H109" s="239"/>
      <c r="I109" s="239"/>
      <c r="J109" s="240">
        <v>1</v>
      </c>
      <c r="K109" s="211">
        <v>1</v>
      </c>
      <c r="L109" s="211">
        <v>1</v>
      </c>
      <c r="M109" s="211">
        <v>1</v>
      </c>
      <c r="N109" s="211"/>
      <c r="O109" s="211"/>
      <c r="P109" s="211"/>
      <c r="Q109" s="211"/>
      <c r="R109" s="239"/>
      <c r="S109" s="239">
        <v>1</v>
      </c>
      <c r="T109" s="239">
        <v>1</v>
      </c>
      <c r="U109" s="240"/>
      <c r="V109" s="211"/>
      <c r="W109" s="211"/>
      <c r="X109" s="211">
        <v>1</v>
      </c>
      <c r="Y109" s="211"/>
      <c r="Z109" s="211"/>
      <c r="AA109" s="211"/>
      <c r="AB109" s="211">
        <v>1</v>
      </c>
      <c r="AC109" s="239"/>
      <c r="AD109" s="239"/>
      <c r="AE109" s="239"/>
      <c r="AF109" s="240"/>
      <c r="AG109" s="211"/>
      <c r="AH109" s="211"/>
      <c r="AI109" s="211"/>
      <c r="AJ109" s="211"/>
      <c r="AK109" s="211"/>
      <c r="AL109" s="211"/>
      <c r="AM109" s="211"/>
      <c r="AN109" s="239"/>
      <c r="AO109" s="239"/>
      <c r="AP109" s="239"/>
      <c r="AQ109" s="240"/>
      <c r="AR109" s="240"/>
      <c r="AS109" s="240"/>
      <c r="AT109" s="211"/>
      <c r="AU109" s="211"/>
      <c r="AV109" s="203">
        <v>1</v>
      </c>
      <c r="AW109" s="240">
        <v>1</v>
      </c>
      <c r="AX109" s="240"/>
      <c r="AY109" s="240">
        <v>1</v>
      </c>
      <c r="AZ109" s="203">
        <v>1</v>
      </c>
      <c r="BA109" s="203">
        <v>1</v>
      </c>
      <c r="BB109" s="203"/>
      <c r="BC109" s="203"/>
    </row>
    <row r="110" spans="1:55" ht="21" customHeight="1">
      <c r="A110" s="212"/>
      <c r="B110" s="237">
        <v>46023</v>
      </c>
      <c r="C110" s="211" t="s">
        <v>395</v>
      </c>
      <c r="D110" s="238" t="s">
        <v>548</v>
      </c>
      <c r="E110" s="211" t="s">
        <v>549</v>
      </c>
      <c r="F110" s="211"/>
      <c r="G110" s="239"/>
      <c r="H110" s="239">
        <v>1</v>
      </c>
      <c r="I110" s="239">
        <v>1</v>
      </c>
      <c r="J110" s="240"/>
      <c r="K110" s="211"/>
      <c r="L110" s="211">
        <v>1</v>
      </c>
      <c r="M110" s="211">
        <v>1</v>
      </c>
      <c r="N110" s="211">
        <v>1</v>
      </c>
      <c r="O110" s="211">
        <v>1</v>
      </c>
      <c r="P110" s="211">
        <v>1</v>
      </c>
      <c r="Q110" s="211"/>
      <c r="R110" s="239"/>
      <c r="S110" s="239"/>
      <c r="T110" s="239"/>
      <c r="U110" s="240">
        <v>1</v>
      </c>
      <c r="V110" s="211"/>
      <c r="W110" s="211"/>
      <c r="X110" s="211"/>
      <c r="Y110" s="211">
        <v>1</v>
      </c>
      <c r="Z110" s="211">
        <v>1</v>
      </c>
      <c r="AA110" s="211"/>
      <c r="AB110" s="211">
        <v>1</v>
      </c>
      <c r="AC110" s="239"/>
      <c r="AD110" s="239"/>
      <c r="AE110" s="211">
        <v>1</v>
      </c>
      <c r="AF110" s="240">
        <v>1</v>
      </c>
      <c r="AG110" s="211">
        <v>1</v>
      </c>
      <c r="AH110" s="211">
        <v>1</v>
      </c>
      <c r="AI110" s="211">
        <v>1</v>
      </c>
      <c r="AJ110" s="211">
        <v>1</v>
      </c>
      <c r="AK110" s="211">
        <v>1</v>
      </c>
      <c r="AL110" s="211">
        <v>1</v>
      </c>
      <c r="AM110" s="211"/>
      <c r="AN110" s="239"/>
      <c r="AO110" s="239"/>
      <c r="AP110" s="239"/>
      <c r="AQ110" s="240"/>
      <c r="AR110" s="240"/>
      <c r="AS110" s="240"/>
      <c r="AT110" s="211">
        <v>1</v>
      </c>
      <c r="AU110" s="211">
        <v>1</v>
      </c>
      <c r="AV110" s="203"/>
      <c r="AW110" s="240"/>
      <c r="AX110" s="240">
        <v>1</v>
      </c>
      <c r="AY110" s="240">
        <v>1</v>
      </c>
      <c r="AZ110" s="203">
        <v>1</v>
      </c>
      <c r="BA110" s="203">
        <v>1</v>
      </c>
      <c r="BB110" s="203"/>
      <c r="BC110" s="203"/>
    </row>
    <row r="111" spans="1:55" ht="21" customHeight="1">
      <c r="A111" s="212"/>
      <c r="B111" s="237">
        <v>46023</v>
      </c>
      <c r="C111" s="211" t="s">
        <v>395</v>
      </c>
      <c r="D111" s="238" t="s">
        <v>550</v>
      </c>
      <c r="E111" s="211" t="s">
        <v>513</v>
      </c>
      <c r="F111" s="211"/>
      <c r="G111" s="239"/>
      <c r="H111" s="239"/>
      <c r="I111" s="239"/>
      <c r="J111" s="240"/>
      <c r="K111" s="211">
        <v>1</v>
      </c>
      <c r="L111" s="211"/>
      <c r="M111" s="211"/>
      <c r="N111" s="211">
        <v>1</v>
      </c>
      <c r="O111" s="211"/>
      <c r="P111" s="211"/>
      <c r="Q111" s="211">
        <v>1</v>
      </c>
      <c r="R111" s="239"/>
      <c r="S111" s="239">
        <v>1</v>
      </c>
      <c r="T111" s="239">
        <v>1</v>
      </c>
      <c r="U111" s="240"/>
      <c r="V111" s="211"/>
      <c r="W111" s="211"/>
      <c r="X111" s="211"/>
      <c r="Y111" s="211"/>
      <c r="Z111" s="211"/>
      <c r="AA111" s="211"/>
      <c r="AB111" s="211"/>
      <c r="AC111" s="239"/>
      <c r="AD111" s="239"/>
      <c r="AE111" s="211"/>
      <c r="AF111" s="240"/>
      <c r="AG111" s="211"/>
      <c r="AH111" s="211">
        <v>1</v>
      </c>
      <c r="AI111" s="211"/>
      <c r="AJ111" s="211"/>
      <c r="AK111" s="211"/>
      <c r="AL111" s="211"/>
      <c r="AM111" s="211"/>
      <c r="AN111" s="239"/>
      <c r="AO111" s="239"/>
      <c r="AP111" s="239"/>
      <c r="AQ111" s="240"/>
      <c r="AR111" s="240"/>
      <c r="AS111" s="240"/>
      <c r="AT111" s="211"/>
      <c r="AU111" s="211"/>
      <c r="AV111" s="203"/>
      <c r="AW111" s="240"/>
      <c r="AX111" s="240"/>
      <c r="AY111" s="240"/>
      <c r="AZ111" s="203">
        <v>1</v>
      </c>
      <c r="BA111" s="203"/>
      <c r="BB111" s="203"/>
      <c r="BC111" s="203"/>
    </row>
    <row r="112" spans="1:55" ht="21" customHeight="1">
      <c r="A112" s="212"/>
      <c r="B112" s="237">
        <v>46023</v>
      </c>
      <c r="C112" s="211" t="s">
        <v>395</v>
      </c>
      <c r="D112" s="238" t="s">
        <v>551</v>
      </c>
      <c r="E112" s="211" t="s">
        <v>552</v>
      </c>
      <c r="F112" s="211"/>
      <c r="G112" s="239"/>
      <c r="H112" s="239">
        <v>1</v>
      </c>
      <c r="I112" s="239">
        <v>1</v>
      </c>
      <c r="J112" s="240">
        <v>1</v>
      </c>
      <c r="K112" s="211">
        <v>1</v>
      </c>
      <c r="L112" s="211">
        <v>1</v>
      </c>
      <c r="M112" s="211"/>
      <c r="N112" s="211">
        <v>1</v>
      </c>
      <c r="O112" s="211">
        <v>1</v>
      </c>
      <c r="P112" s="211">
        <v>1</v>
      </c>
      <c r="Q112" s="211"/>
      <c r="R112" s="239"/>
      <c r="S112" s="239"/>
      <c r="T112" s="239"/>
      <c r="U112" s="240"/>
      <c r="V112" s="211">
        <v>1</v>
      </c>
      <c r="W112" s="211"/>
      <c r="X112" s="211"/>
      <c r="Y112" s="211">
        <v>1</v>
      </c>
      <c r="Z112" s="211"/>
      <c r="AA112" s="211"/>
      <c r="AB112" s="211">
        <v>1</v>
      </c>
      <c r="AC112" s="239"/>
      <c r="AD112" s="239"/>
      <c r="AE112" s="211">
        <v>1</v>
      </c>
      <c r="AF112" s="240">
        <v>1</v>
      </c>
      <c r="AG112" s="211">
        <v>1</v>
      </c>
      <c r="AH112" s="211">
        <v>1</v>
      </c>
      <c r="AI112" s="211"/>
      <c r="AJ112" s="211">
        <v>1</v>
      </c>
      <c r="AK112" s="211">
        <v>1</v>
      </c>
      <c r="AL112" s="211">
        <v>1</v>
      </c>
      <c r="AM112" s="211"/>
      <c r="AN112" s="239"/>
      <c r="AO112" s="239"/>
      <c r="AP112" s="239"/>
      <c r="AQ112" s="240"/>
      <c r="AR112" s="240"/>
      <c r="AS112" s="240"/>
      <c r="AT112" s="211"/>
      <c r="AU112" s="211"/>
      <c r="AV112" s="203"/>
      <c r="AW112" s="240"/>
      <c r="AX112" s="240"/>
      <c r="AY112" s="240"/>
      <c r="AZ112" s="203">
        <v>1</v>
      </c>
      <c r="BA112" s="203">
        <v>1</v>
      </c>
      <c r="BB112" s="203"/>
      <c r="BC112" s="203"/>
    </row>
    <row r="113" spans="1:55" ht="21" customHeight="1">
      <c r="A113" s="212"/>
      <c r="B113" s="237">
        <v>46023</v>
      </c>
      <c r="C113" s="211" t="s">
        <v>395</v>
      </c>
      <c r="D113" s="238" t="s">
        <v>553</v>
      </c>
      <c r="E113" s="211" t="s">
        <v>554</v>
      </c>
      <c r="F113" s="211"/>
      <c r="G113" s="239"/>
      <c r="H113" s="239"/>
      <c r="I113" s="239"/>
      <c r="J113" s="240"/>
      <c r="K113" s="211"/>
      <c r="L113" s="211"/>
      <c r="M113" s="211"/>
      <c r="N113" s="211"/>
      <c r="O113" s="211"/>
      <c r="P113" s="211"/>
      <c r="Q113" s="211"/>
      <c r="R113" s="239"/>
      <c r="S113" s="239"/>
      <c r="T113" s="239"/>
      <c r="U113" s="240"/>
      <c r="V113" s="211"/>
      <c r="W113" s="211"/>
      <c r="X113" s="211"/>
      <c r="Y113" s="211"/>
      <c r="Z113" s="211"/>
      <c r="AA113" s="211"/>
      <c r="AB113" s="211">
        <v>1</v>
      </c>
      <c r="AC113" s="239"/>
      <c r="AD113" s="239"/>
      <c r="AE113" s="211">
        <v>1</v>
      </c>
      <c r="AF113" s="240"/>
      <c r="AG113" s="211">
        <v>1</v>
      </c>
      <c r="AH113" s="211">
        <v>1</v>
      </c>
      <c r="AI113" s="211"/>
      <c r="AJ113" s="211"/>
      <c r="AK113" s="211"/>
      <c r="AL113" s="211"/>
      <c r="AM113" s="211"/>
      <c r="AN113" s="239"/>
      <c r="AO113" s="239"/>
      <c r="AP113" s="239"/>
      <c r="AQ113" s="240"/>
      <c r="AR113" s="240"/>
      <c r="AS113" s="240"/>
      <c r="AT113" s="211"/>
      <c r="AU113" s="211"/>
      <c r="AV113" s="203"/>
      <c r="AW113" s="240"/>
      <c r="AX113" s="240"/>
      <c r="AY113" s="240"/>
      <c r="AZ113" s="203"/>
      <c r="BA113" s="203"/>
      <c r="BB113" s="203"/>
      <c r="BC113" s="203"/>
    </row>
    <row r="114" spans="1:55" ht="21" customHeight="1">
      <c r="A114" s="212"/>
      <c r="B114" s="237">
        <v>46023</v>
      </c>
      <c r="C114" s="211" t="s">
        <v>395</v>
      </c>
      <c r="D114" s="238" t="s">
        <v>555</v>
      </c>
      <c r="E114" s="211" t="s">
        <v>507</v>
      </c>
      <c r="F114" s="211"/>
      <c r="G114" s="239"/>
      <c r="H114" s="239"/>
      <c r="I114" s="239"/>
      <c r="J114" s="240"/>
      <c r="K114" s="211"/>
      <c r="L114" s="211"/>
      <c r="M114" s="211"/>
      <c r="N114" s="211"/>
      <c r="O114" s="211"/>
      <c r="P114" s="211"/>
      <c r="Q114" s="211"/>
      <c r="R114" s="239"/>
      <c r="S114" s="239"/>
      <c r="T114" s="239"/>
      <c r="U114" s="240"/>
      <c r="V114" s="211"/>
      <c r="W114" s="211"/>
      <c r="X114" s="211"/>
      <c r="Y114" s="211"/>
      <c r="Z114" s="211"/>
      <c r="AA114" s="211"/>
      <c r="AB114" s="211"/>
      <c r="AC114" s="239"/>
      <c r="AD114" s="239"/>
      <c r="AE114" s="239"/>
      <c r="AF114" s="240"/>
      <c r="AG114" s="211"/>
      <c r="AH114" s="211"/>
      <c r="AI114" s="211"/>
      <c r="AJ114" s="211"/>
      <c r="AK114" s="211"/>
      <c r="AL114" s="211"/>
      <c r="AM114" s="211">
        <v>1</v>
      </c>
      <c r="AN114" s="239"/>
      <c r="AO114" s="239"/>
      <c r="AP114" s="239"/>
      <c r="AQ114" s="240"/>
      <c r="AR114" s="240"/>
      <c r="AS114" s="240"/>
      <c r="AT114" s="211"/>
      <c r="AU114" s="211"/>
      <c r="AV114" s="203"/>
      <c r="AW114" s="240"/>
      <c r="AX114" s="240">
        <v>1</v>
      </c>
      <c r="AY114" s="240"/>
      <c r="AZ114" s="203"/>
      <c r="BA114" s="203"/>
      <c r="BB114" s="203"/>
      <c r="BC114" s="203"/>
    </row>
    <row r="115" spans="1:55" ht="21" customHeight="1">
      <c r="A115" s="212"/>
      <c r="B115" s="237">
        <v>46023</v>
      </c>
      <c r="C115" s="211" t="s">
        <v>395</v>
      </c>
      <c r="D115" s="238" t="s">
        <v>556</v>
      </c>
      <c r="E115" s="211" t="s">
        <v>557</v>
      </c>
      <c r="F115" s="211"/>
      <c r="G115" s="239"/>
      <c r="H115" s="239"/>
      <c r="I115" s="239"/>
      <c r="J115" s="240">
        <v>1</v>
      </c>
      <c r="K115" s="211">
        <v>1</v>
      </c>
      <c r="L115" s="211">
        <v>1</v>
      </c>
      <c r="M115" s="211"/>
      <c r="N115" s="211"/>
      <c r="O115" s="211"/>
      <c r="P115" s="211">
        <v>1</v>
      </c>
      <c r="Q115" s="211"/>
      <c r="R115" s="239"/>
      <c r="S115" s="239"/>
      <c r="T115" s="239"/>
      <c r="U115" s="240"/>
      <c r="V115" s="211"/>
      <c r="W115" s="211"/>
      <c r="X115" s="211"/>
      <c r="Y115" s="211"/>
      <c r="Z115" s="211"/>
      <c r="AA115" s="211"/>
      <c r="AB115" s="211"/>
      <c r="AC115" s="239"/>
      <c r="AD115" s="239"/>
      <c r="AE115" s="239"/>
      <c r="AF115" s="240">
        <v>1</v>
      </c>
      <c r="AG115" s="211">
        <v>1</v>
      </c>
      <c r="AH115" s="211">
        <v>1</v>
      </c>
      <c r="AI115" s="211">
        <v>1</v>
      </c>
      <c r="AJ115" s="211">
        <v>1</v>
      </c>
      <c r="AK115" s="211"/>
      <c r="AL115" s="211">
        <v>1</v>
      </c>
      <c r="AM115" s="211">
        <v>1</v>
      </c>
      <c r="AN115" s="239"/>
      <c r="AO115" s="239"/>
      <c r="AP115" s="239"/>
      <c r="AQ115" s="240"/>
      <c r="AR115" s="240"/>
      <c r="AS115" s="240"/>
      <c r="AT115" s="211"/>
      <c r="AU115" s="211"/>
      <c r="AV115" s="203"/>
      <c r="AW115" s="240"/>
      <c r="AX115" s="240">
        <v>1</v>
      </c>
      <c r="AY115" s="240">
        <v>1</v>
      </c>
      <c r="AZ115" s="203"/>
      <c r="BA115" s="203"/>
      <c r="BB115" s="203"/>
      <c r="BC115" s="203"/>
    </row>
    <row r="116" spans="1:55" ht="21" customHeight="1">
      <c r="A116" s="212"/>
      <c r="B116" s="237">
        <v>46023</v>
      </c>
      <c r="C116" s="211" t="s">
        <v>395</v>
      </c>
      <c r="D116" s="238" t="s">
        <v>558</v>
      </c>
      <c r="E116" s="211" t="s">
        <v>426</v>
      </c>
      <c r="F116" s="211"/>
      <c r="G116" s="239"/>
      <c r="H116" s="239"/>
      <c r="I116" s="239"/>
      <c r="J116" s="240">
        <v>1</v>
      </c>
      <c r="K116" s="211"/>
      <c r="L116" s="211"/>
      <c r="M116" s="211"/>
      <c r="N116" s="211">
        <v>1</v>
      </c>
      <c r="O116" s="211"/>
      <c r="P116" s="211"/>
      <c r="Q116" s="211"/>
      <c r="R116" s="239"/>
      <c r="S116" s="239"/>
      <c r="T116" s="239"/>
      <c r="U116" s="240">
        <v>1</v>
      </c>
      <c r="V116" s="211"/>
      <c r="W116" s="211"/>
      <c r="X116" s="211">
        <v>1</v>
      </c>
      <c r="Y116" s="211"/>
      <c r="Z116" s="211"/>
      <c r="AA116" s="211"/>
      <c r="AB116" s="211">
        <v>1</v>
      </c>
      <c r="AC116" s="239"/>
      <c r="AD116" s="239"/>
      <c r="AE116" s="239"/>
      <c r="AF116" s="240"/>
      <c r="AG116" s="211"/>
      <c r="AH116" s="211"/>
      <c r="AI116" s="211"/>
      <c r="AJ116" s="211"/>
      <c r="AK116" s="211"/>
      <c r="AL116" s="211"/>
      <c r="AM116" s="211"/>
      <c r="AN116" s="239"/>
      <c r="AO116" s="239">
        <v>1</v>
      </c>
      <c r="AP116" s="239">
        <v>1</v>
      </c>
      <c r="AQ116" s="240"/>
      <c r="AR116" s="240"/>
      <c r="AS116" s="240"/>
      <c r="AT116" s="211"/>
      <c r="AU116" s="211"/>
      <c r="AV116" s="203">
        <v>1</v>
      </c>
      <c r="AW116" s="240">
        <v>1</v>
      </c>
      <c r="AX116" s="240">
        <v>1</v>
      </c>
      <c r="AY116" s="240">
        <v>1</v>
      </c>
      <c r="AZ116" s="203">
        <v>1</v>
      </c>
      <c r="BA116" s="203">
        <v>1</v>
      </c>
      <c r="BB116" s="203"/>
      <c r="BC116" s="203"/>
    </row>
    <row r="117" spans="1:55" ht="21" customHeight="1">
      <c r="A117" s="212"/>
      <c r="B117" s="237">
        <v>46023</v>
      </c>
      <c r="C117" s="211" t="s">
        <v>395</v>
      </c>
      <c r="D117" s="238" t="s">
        <v>559</v>
      </c>
      <c r="E117" s="211" t="s">
        <v>417</v>
      </c>
      <c r="F117" s="211"/>
      <c r="G117" s="239"/>
      <c r="H117" s="239"/>
      <c r="I117" s="239"/>
      <c r="J117" s="240"/>
      <c r="K117" s="211"/>
      <c r="L117" s="211"/>
      <c r="M117" s="211">
        <v>1</v>
      </c>
      <c r="N117" s="211"/>
      <c r="O117" s="211"/>
      <c r="P117" s="211"/>
      <c r="Q117" s="211"/>
      <c r="R117" s="239"/>
      <c r="S117" s="239"/>
      <c r="T117" s="239"/>
      <c r="U117" s="240"/>
      <c r="V117" s="211"/>
      <c r="W117" s="211"/>
      <c r="X117" s="211">
        <v>1</v>
      </c>
      <c r="Y117" s="211"/>
      <c r="Z117" s="211"/>
      <c r="AA117" s="211"/>
      <c r="AB117" s="211">
        <v>1</v>
      </c>
      <c r="AC117" s="239"/>
      <c r="AD117" s="239"/>
      <c r="AE117" s="239"/>
      <c r="AF117" s="240">
        <v>1</v>
      </c>
      <c r="AG117" s="211">
        <v>1</v>
      </c>
      <c r="AH117" s="211">
        <v>1</v>
      </c>
      <c r="AI117" s="211">
        <v>1</v>
      </c>
      <c r="AJ117" s="211">
        <v>1</v>
      </c>
      <c r="AK117" s="211"/>
      <c r="AL117" s="211"/>
      <c r="AM117" s="211"/>
      <c r="AN117" s="239"/>
      <c r="AO117" s="239"/>
      <c r="AP117" s="239"/>
      <c r="AQ117" s="240"/>
      <c r="AR117" s="240"/>
      <c r="AS117" s="240"/>
      <c r="AT117" s="211"/>
      <c r="AU117" s="211"/>
      <c r="AV117" s="203"/>
      <c r="AW117" s="240"/>
      <c r="AX117" s="240">
        <v>1</v>
      </c>
      <c r="AY117" s="240"/>
      <c r="AZ117" s="203"/>
      <c r="BA117" s="203"/>
      <c r="BB117" s="203"/>
      <c r="BC117" s="203"/>
    </row>
    <row r="118" spans="1:55" ht="21" customHeight="1">
      <c r="A118" s="212"/>
      <c r="B118" s="237">
        <v>46023</v>
      </c>
      <c r="C118" s="211" t="s">
        <v>395</v>
      </c>
      <c r="D118" s="238" t="s">
        <v>560</v>
      </c>
      <c r="E118" s="211" t="s">
        <v>561</v>
      </c>
      <c r="F118" s="211"/>
      <c r="G118" s="239"/>
      <c r="H118" s="239"/>
      <c r="I118" s="239"/>
      <c r="J118" s="240"/>
      <c r="K118" s="211"/>
      <c r="L118" s="211">
        <v>1</v>
      </c>
      <c r="M118" s="211">
        <v>1</v>
      </c>
      <c r="N118" s="211">
        <v>1</v>
      </c>
      <c r="O118" s="211"/>
      <c r="P118" s="211">
        <v>1</v>
      </c>
      <c r="Q118" s="211"/>
      <c r="R118" s="239">
        <v>1</v>
      </c>
      <c r="S118" s="239">
        <v>1</v>
      </c>
      <c r="T118" s="239">
        <v>1</v>
      </c>
      <c r="U118" s="240">
        <v>1</v>
      </c>
      <c r="V118" s="211">
        <v>1</v>
      </c>
      <c r="W118" s="211">
        <v>1</v>
      </c>
      <c r="X118" s="211">
        <v>1</v>
      </c>
      <c r="Y118" s="211">
        <v>1</v>
      </c>
      <c r="Z118" s="211">
        <v>1</v>
      </c>
      <c r="AA118" s="211">
        <v>1</v>
      </c>
      <c r="AB118" s="211">
        <v>1</v>
      </c>
      <c r="AC118" s="239">
        <v>1</v>
      </c>
      <c r="AD118" s="239"/>
      <c r="AE118" s="239"/>
      <c r="AF118" s="240">
        <v>1</v>
      </c>
      <c r="AG118" s="211">
        <v>1</v>
      </c>
      <c r="AH118" s="211">
        <v>1</v>
      </c>
      <c r="AI118" s="211">
        <v>1</v>
      </c>
      <c r="AJ118" s="211"/>
      <c r="AK118" s="211">
        <v>1</v>
      </c>
      <c r="AL118" s="211">
        <v>1</v>
      </c>
      <c r="AM118" s="211"/>
      <c r="AN118" s="239"/>
      <c r="AO118" s="239"/>
      <c r="AP118" s="239"/>
      <c r="AQ118" s="240"/>
      <c r="AR118" s="240">
        <v>1</v>
      </c>
      <c r="AS118" s="240"/>
      <c r="AT118" s="211">
        <v>1</v>
      </c>
      <c r="AU118" s="211">
        <v>1</v>
      </c>
      <c r="AV118" s="203"/>
      <c r="AW118" s="240"/>
      <c r="AX118" s="240"/>
      <c r="AY118" s="240"/>
      <c r="AZ118" s="203">
        <v>1</v>
      </c>
      <c r="BA118" s="203">
        <v>1</v>
      </c>
      <c r="BB118" s="203">
        <v>1</v>
      </c>
      <c r="BC118" s="203">
        <v>1</v>
      </c>
    </row>
    <row r="119" spans="1:55" ht="21" customHeight="1">
      <c r="A119" s="212"/>
      <c r="B119" s="237">
        <v>46023</v>
      </c>
      <c r="C119" s="211" t="s">
        <v>395</v>
      </c>
      <c r="D119" s="238" t="s">
        <v>562</v>
      </c>
      <c r="E119" s="211" t="s">
        <v>563</v>
      </c>
      <c r="F119" s="211"/>
      <c r="G119" s="239"/>
      <c r="H119" s="239"/>
      <c r="I119" s="239"/>
      <c r="J119" s="240">
        <v>1</v>
      </c>
      <c r="K119" s="211">
        <v>1</v>
      </c>
      <c r="L119" s="211">
        <v>1</v>
      </c>
      <c r="M119" s="211">
        <v>1</v>
      </c>
      <c r="N119" s="211">
        <v>1</v>
      </c>
      <c r="O119" s="211">
        <v>1</v>
      </c>
      <c r="P119" s="211">
        <v>1</v>
      </c>
      <c r="Q119" s="211">
        <v>1</v>
      </c>
      <c r="R119" s="239">
        <v>1</v>
      </c>
      <c r="S119" s="239"/>
      <c r="T119" s="239">
        <v>1</v>
      </c>
      <c r="U119" s="240"/>
      <c r="V119" s="211"/>
      <c r="W119" s="211"/>
      <c r="X119" s="211">
        <v>1</v>
      </c>
      <c r="Y119" s="211"/>
      <c r="Z119" s="211"/>
      <c r="AA119" s="211">
        <v>1</v>
      </c>
      <c r="AB119" s="211"/>
      <c r="AC119" s="239">
        <v>1</v>
      </c>
      <c r="AD119" s="239">
        <v>1</v>
      </c>
      <c r="AE119" s="239">
        <v>1</v>
      </c>
      <c r="AF119" s="240"/>
      <c r="AG119" s="239">
        <v>1</v>
      </c>
      <c r="AH119" s="211">
        <v>1</v>
      </c>
      <c r="AI119" s="211">
        <v>1</v>
      </c>
      <c r="AJ119" s="211">
        <v>1</v>
      </c>
      <c r="AK119" s="211">
        <v>1</v>
      </c>
      <c r="AL119" s="211">
        <v>1</v>
      </c>
      <c r="AM119" s="211"/>
      <c r="AN119" s="239"/>
      <c r="AO119" s="239"/>
      <c r="AP119" s="239"/>
      <c r="AQ119" s="240"/>
      <c r="AR119" s="240"/>
      <c r="AS119" s="240"/>
      <c r="AT119" s="211"/>
      <c r="AU119" s="211"/>
      <c r="AV119" s="203"/>
      <c r="AW119" s="240"/>
      <c r="AX119" s="240">
        <v>1</v>
      </c>
      <c r="AY119" s="240"/>
      <c r="AZ119" s="203">
        <v>1</v>
      </c>
      <c r="BA119" s="203">
        <v>1</v>
      </c>
      <c r="BB119" s="203">
        <v>1</v>
      </c>
      <c r="BC119" s="203">
        <v>1</v>
      </c>
    </row>
    <row r="120" spans="1:55" ht="21" hidden="1" customHeight="1">
      <c r="A120" s="212"/>
      <c r="B120" s="237">
        <v>46023</v>
      </c>
      <c r="C120" s="211" t="s">
        <v>384</v>
      </c>
      <c r="D120" s="238" t="s">
        <v>564</v>
      </c>
      <c r="E120" s="211" t="s">
        <v>565</v>
      </c>
      <c r="F120" s="211">
        <v>1</v>
      </c>
      <c r="G120" s="239">
        <v>1</v>
      </c>
      <c r="H120" s="239"/>
      <c r="I120" s="239">
        <v>1</v>
      </c>
      <c r="J120" s="240">
        <v>1</v>
      </c>
      <c r="K120" s="211">
        <v>1</v>
      </c>
      <c r="L120" s="211">
        <v>1</v>
      </c>
      <c r="M120" s="211">
        <v>1</v>
      </c>
      <c r="N120" s="211"/>
      <c r="O120" s="211">
        <v>1</v>
      </c>
      <c r="P120" s="211"/>
      <c r="Q120" s="211"/>
      <c r="R120" s="239"/>
      <c r="S120" s="239"/>
      <c r="T120" s="239"/>
      <c r="U120" s="240">
        <v>1</v>
      </c>
      <c r="V120" s="211">
        <v>1</v>
      </c>
      <c r="W120" s="211"/>
      <c r="X120" s="211"/>
      <c r="Y120" s="211">
        <v>1</v>
      </c>
      <c r="Z120" s="211"/>
      <c r="AA120" s="211">
        <v>1</v>
      </c>
      <c r="AB120" s="211">
        <v>1</v>
      </c>
      <c r="AC120" s="239">
        <v>1</v>
      </c>
      <c r="AD120" s="239"/>
      <c r="AE120" s="239">
        <v>1</v>
      </c>
      <c r="AF120" s="240">
        <v>1</v>
      </c>
      <c r="AG120" s="240">
        <v>1</v>
      </c>
      <c r="AH120" s="240">
        <v>1</v>
      </c>
      <c r="AI120" s="211">
        <v>1</v>
      </c>
      <c r="AJ120" s="211"/>
      <c r="AK120" s="211">
        <v>1</v>
      </c>
      <c r="AL120" s="211">
        <v>1</v>
      </c>
      <c r="AM120" s="211"/>
      <c r="AN120" s="239"/>
      <c r="AO120" s="239"/>
      <c r="AP120" s="239"/>
      <c r="AQ120" s="240"/>
      <c r="AR120" s="240"/>
      <c r="AS120" s="240"/>
      <c r="AT120" s="211"/>
      <c r="AU120" s="211"/>
      <c r="AV120" s="203"/>
      <c r="AW120" s="240"/>
      <c r="AX120" s="240"/>
      <c r="AY120" s="240"/>
      <c r="AZ120" s="203">
        <v>1</v>
      </c>
      <c r="BA120" s="203">
        <v>1</v>
      </c>
      <c r="BB120" s="203"/>
      <c r="BC120" s="203"/>
    </row>
    <row r="121" spans="1:55" ht="21" hidden="1" customHeight="1">
      <c r="A121" s="212"/>
      <c r="B121" s="237">
        <v>46023</v>
      </c>
      <c r="C121" s="211" t="s">
        <v>384</v>
      </c>
      <c r="D121" s="238" t="s">
        <v>566</v>
      </c>
      <c r="E121" s="211" t="s">
        <v>408</v>
      </c>
      <c r="F121" s="211"/>
      <c r="G121" s="239">
        <v>1</v>
      </c>
      <c r="H121" s="239">
        <v>1</v>
      </c>
      <c r="I121" s="239">
        <v>1</v>
      </c>
      <c r="J121" s="240">
        <v>1</v>
      </c>
      <c r="K121" s="211">
        <v>1</v>
      </c>
      <c r="L121" s="211">
        <v>1</v>
      </c>
      <c r="M121" s="211"/>
      <c r="N121" s="211">
        <v>1</v>
      </c>
      <c r="O121" s="211">
        <v>1</v>
      </c>
      <c r="P121" s="211">
        <v>1</v>
      </c>
      <c r="Q121" s="211">
        <v>1</v>
      </c>
      <c r="R121" s="239">
        <v>1</v>
      </c>
      <c r="S121" s="239">
        <v>1</v>
      </c>
      <c r="T121" s="239">
        <v>1</v>
      </c>
      <c r="U121" s="240">
        <v>1</v>
      </c>
      <c r="V121" s="211">
        <v>1</v>
      </c>
      <c r="W121" s="211">
        <v>1</v>
      </c>
      <c r="X121" s="211"/>
      <c r="Y121" s="211">
        <v>1</v>
      </c>
      <c r="Z121" s="211">
        <v>1</v>
      </c>
      <c r="AA121" s="211">
        <v>1</v>
      </c>
      <c r="AB121" s="211">
        <v>1</v>
      </c>
      <c r="AC121" s="239">
        <v>1</v>
      </c>
      <c r="AD121" s="239">
        <v>1</v>
      </c>
      <c r="AE121" s="239">
        <v>1</v>
      </c>
      <c r="AF121" s="240">
        <v>1</v>
      </c>
      <c r="AG121" s="211">
        <v>1</v>
      </c>
      <c r="AH121" s="211">
        <v>1</v>
      </c>
      <c r="AI121" s="211"/>
      <c r="AJ121" s="211">
        <v>1</v>
      </c>
      <c r="AK121" s="211">
        <v>1</v>
      </c>
      <c r="AL121" s="211">
        <v>1</v>
      </c>
      <c r="AM121" s="211"/>
      <c r="AN121" s="239"/>
      <c r="AO121" s="239">
        <v>1</v>
      </c>
      <c r="AP121" s="239">
        <v>1</v>
      </c>
      <c r="AQ121" s="240">
        <v>1</v>
      </c>
      <c r="AR121" s="240">
        <v>1</v>
      </c>
      <c r="AS121" s="240">
        <v>1</v>
      </c>
      <c r="AT121" s="211">
        <v>1</v>
      </c>
      <c r="AU121" s="211">
        <v>1</v>
      </c>
      <c r="AV121" s="203"/>
      <c r="AW121" s="240"/>
      <c r="AX121" s="240"/>
      <c r="AY121" s="240"/>
      <c r="AZ121" s="203">
        <v>1</v>
      </c>
      <c r="BA121" s="203">
        <v>1</v>
      </c>
      <c r="BB121" s="203"/>
      <c r="BC121" s="203"/>
    </row>
    <row r="122" spans="1:55" ht="21" hidden="1" customHeight="1">
      <c r="A122" s="212"/>
      <c r="B122" s="237">
        <v>46023</v>
      </c>
      <c r="C122" s="211" t="s">
        <v>384</v>
      </c>
      <c r="D122" s="238" t="s">
        <v>567</v>
      </c>
      <c r="E122" s="211" t="s">
        <v>568</v>
      </c>
      <c r="F122" s="211"/>
      <c r="G122" s="239"/>
      <c r="H122" s="239"/>
      <c r="I122" s="239"/>
      <c r="J122" s="240">
        <v>1</v>
      </c>
      <c r="K122" s="211">
        <v>1</v>
      </c>
      <c r="L122" s="211">
        <v>1</v>
      </c>
      <c r="M122" s="211"/>
      <c r="N122" s="211"/>
      <c r="O122" s="211">
        <v>1</v>
      </c>
      <c r="P122" s="211">
        <v>1</v>
      </c>
      <c r="Q122" s="211">
        <v>1</v>
      </c>
      <c r="R122" s="239"/>
      <c r="S122" s="239">
        <v>1</v>
      </c>
      <c r="T122" s="239">
        <v>1</v>
      </c>
      <c r="U122" s="240">
        <v>1</v>
      </c>
      <c r="V122" s="211">
        <v>1</v>
      </c>
      <c r="W122" s="211">
        <v>1</v>
      </c>
      <c r="X122" s="211"/>
      <c r="Y122" s="211">
        <v>1</v>
      </c>
      <c r="Z122" s="211">
        <v>1</v>
      </c>
      <c r="AA122" s="211">
        <v>1</v>
      </c>
      <c r="AB122" s="211">
        <v>1</v>
      </c>
      <c r="AC122" s="239">
        <v>1</v>
      </c>
      <c r="AD122" s="239">
        <v>1</v>
      </c>
      <c r="AE122" s="239">
        <v>1</v>
      </c>
      <c r="AF122" s="240">
        <v>1</v>
      </c>
      <c r="AG122" s="211">
        <v>1</v>
      </c>
      <c r="AH122" s="211">
        <v>1</v>
      </c>
      <c r="AI122" s="211"/>
      <c r="AJ122" s="211">
        <v>1</v>
      </c>
      <c r="AK122" s="211">
        <v>1</v>
      </c>
      <c r="AL122" s="211">
        <v>1</v>
      </c>
      <c r="AM122" s="211"/>
      <c r="AN122" s="239"/>
      <c r="AO122" s="239"/>
      <c r="AP122" s="239"/>
      <c r="AQ122" s="240">
        <v>1</v>
      </c>
      <c r="AR122" s="240">
        <v>1</v>
      </c>
      <c r="AS122" s="240">
        <v>1</v>
      </c>
      <c r="AT122" s="240">
        <v>1</v>
      </c>
      <c r="AU122" s="240">
        <v>1</v>
      </c>
      <c r="AV122" s="203">
        <v>1</v>
      </c>
      <c r="AW122" s="240">
        <v>1</v>
      </c>
      <c r="AX122" s="240"/>
      <c r="AY122" s="240"/>
      <c r="AZ122" s="203">
        <v>1</v>
      </c>
      <c r="BA122" s="203">
        <v>1</v>
      </c>
      <c r="BB122" s="203">
        <v>1</v>
      </c>
      <c r="BC122" s="203">
        <v>1</v>
      </c>
    </row>
    <row r="123" spans="1:55" ht="21" hidden="1" customHeight="1">
      <c r="A123" s="212"/>
      <c r="B123" s="237">
        <v>46023</v>
      </c>
      <c r="C123" s="211" t="s">
        <v>384</v>
      </c>
      <c r="D123" s="238" t="s">
        <v>569</v>
      </c>
      <c r="E123" s="211" t="s">
        <v>408</v>
      </c>
      <c r="F123" s="211">
        <v>1</v>
      </c>
      <c r="G123" s="239">
        <v>1</v>
      </c>
      <c r="H123" s="239">
        <v>1</v>
      </c>
      <c r="I123" s="239">
        <v>1</v>
      </c>
      <c r="J123" s="240">
        <v>1</v>
      </c>
      <c r="K123" s="211">
        <v>1</v>
      </c>
      <c r="L123" s="211">
        <v>1</v>
      </c>
      <c r="M123" s="211"/>
      <c r="N123" s="211">
        <v>1</v>
      </c>
      <c r="O123" s="211">
        <v>1</v>
      </c>
      <c r="P123" s="211">
        <v>1</v>
      </c>
      <c r="Q123" s="211"/>
      <c r="R123" s="239">
        <v>1</v>
      </c>
      <c r="S123" s="239">
        <v>1</v>
      </c>
      <c r="T123" s="239">
        <v>1</v>
      </c>
      <c r="U123" s="240">
        <v>1</v>
      </c>
      <c r="V123" s="211">
        <v>1</v>
      </c>
      <c r="W123" s="211">
        <v>1</v>
      </c>
      <c r="X123" s="211">
        <v>1</v>
      </c>
      <c r="Y123" s="211">
        <v>1</v>
      </c>
      <c r="Z123" s="211">
        <v>1</v>
      </c>
      <c r="AA123" s="211">
        <v>1</v>
      </c>
      <c r="AB123" s="211">
        <v>1</v>
      </c>
      <c r="AC123" s="239"/>
      <c r="AD123" s="239">
        <v>1</v>
      </c>
      <c r="AE123" s="239">
        <v>1</v>
      </c>
      <c r="AF123" s="240">
        <v>1</v>
      </c>
      <c r="AG123" s="211">
        <v>1</v>
      </c>
      <c r="AH123" s="211">
        <v>1</v>
      </c>
      <c r="AI123" s="211"/>
      <c r="AJ123" s="211">
        <v>1</v>
      </c>
      <c r="AK123" s="211">
        <v>1</v>
      </c>
      <c r="AL123" s="211">
        <v>1</v>
      </c>
      <c r="AM123" s="211"/>
      <c r="AN123" s="239"/>
      <c r="AO123" s="239">
        <v>1</v>
      </c>
      <c r="AP123" s="239">
        <v>1</v>
      </c>
      <c r="AQ123" s="240">
        <v>1</v>
      </c>
      <c r="AR123" s="240">
        <v>1</v>
      </c>
      <c r="AS123" s="240">
        <v>1</v>
      </c>
      <c r="AT123" s="240">
        <v>1</v>
      </c>
      <c r="AU123" s="240">
        <v>1</v>
      </c>
      <c r="AV123" s="203"/>
      <c r="AW123" s="240"/>
      <c r="AX123" s="240">
        <v>1</v>
      </c>
      <c r="AY123" s="240">
        <v>1</v>
      </c>
      <c r="AZ123" s="203">
        <v>1</v>
      </c>
      <c r="BA123" s="203">
        <v>1</v>
      </c>
      <c r="BB123" s="203"/>
      <c r="BC123" s="203"/>
    </row>
    <row r="124" spans="1:55" ht="21" hidden="1" customHeight="1">
      <c r="A124" s="212"/>
      <c r="B124" s="237">
        <v>46023</v>
      </c>
      <c r="C124" s="211" t="s">
        <v>384</v>
      </c>
      <c r="D124" s="238" t="s">
        <v>570</v>
      </c>
      <c r="E124" s="211" t="s">
        <v>571</v>
      </c>
      <c r="F124" s="211"/>
      <c r="G124" s="239">
        <v>1</v>
      </c>
      <c r="H124" s="239">
        <v>1</v>
      </c>
      <c r="I124" s="239">
        <v>1</v>
      </c>
      <c r="J124" s="240">
        <v>1</v>
      </c>
      <c r="K124" s="211">
        <v>1</v>
      </c>
      <c r="L124" s="211">
        <v>1</v>
      </c>
      <c r="M124" s="211">
        <v>1</v>
      </c>
      <c r="N124" s="211">
        <v>1</v>
      </c>
      <c r="O124" s="211">
        <v>1</v>
      </c>
      <c r="P124" s="211">
        <v>1</v>
      </c>
      <c r="Q124" s="211">
        <v>1</v>
      </c>
      <c r="R124" s="239">
        <v>1</v>
      </c>
      <c r="S124" s="239">
        <v>1</v>
      </c>
      <c r="T124" s="239">
        <v>1</v>
      </c>
      <c r="U124" s="240">
        <v>1</v>
      </c>
      <c r="V124" s="211">
        <v>1</v>
      </c>
      <c r="W124" s="211">
        <v>1</v>
      </c>
      <c r="X124" s="211"/>
      <c r="Y124" s="211">
        <v>1</v>
      </c>
      <c r="Z124" s="211">
        <v>1</v>
      </c>
      <c r="AA124" s="211">
        <v>1</v>
      </c>
      <c r="AB124" s="211">
        <v>1</v>
      </c>
      <c r="AC124" s="239">
        <v>1</v>
      </c>
      <c r="AD124" s="239">
        <v>1</v>
      </c>
      <c r="AE124" s="239">
        <v>1</v>
      </c>
      <c r="AF124" s="240">
        <v>1</v>
      </c>
      <c r="AG124" s="211">
        <v>1</v>
      </c>
      <c r="AH124" s="211">
        <v>1</v>
      </c>
      <c r="AI124" s="211">
        <v>1</v>
      </c>
      <c r="AJ124" s="211">
        <v>1</v>
      </c>
      <c r="AK124" s="211">
        <v>1</v>
      </c>
      <c r="AL124" s="211">
        <v>1</v>
      </c>
      <c r="AM124" s="211"/>
      <c r="AN124" s="239"/>
      <c r="AO124" s="239">
        <v>1</v>
      </c>
      <c r="AP124" s="239">
        <v>1</v>
      </c>
      <c r="AQ124" s="240">
        <v>1</v>
      </c>
      <c r="AR124" s="240">
        <v>1</v>
      </c>
      <c r="AS124" s="240">
        <v>1</v>
      </c>
      <c r="AT124" s="240">
        <v>1</v>
      </c>
      <c r="AU124" s="240">
        <v>1</v>
      </c>
      <c r="AV124" s="203"/>
      <c r="AW124" s="240"/>
      <c r="AX124" s="240">
        <v>1</v>
      </c>
      <c r="AY124" s="240"/>
      <c r="AZ124" s="203">
        <v>1</v>
      </c>
      <c r="BA124" s="203">
        <v>1</v>
      </c>
      <c r="BB124" s="203"/>
      <c r="BC124" s="203"/>
    </row>
    <row r="125" spans="1:55" ht="21" hidden="1" customHeight="1">
      <c r="A125" s="212"/>
      <c r="B125" s="237">
        <v>46023</v>
      </c>
      <c r="C125" s="211" t="s">
        <v>386</v>
      </c>
      <c r="D125" s="238" t="s">
        <v>572</v>
      </c>
      <c r="E125" s="211" t="s">
        <v>573</v>
      </c>
      <c r="F125" s="211">
        <v>1</v>
      </c>
      <c r="G125" s="239">
        <v>1</v>
      </c>
      <c r="H125" s="239">
        <v>1</v>
      </c>
      <c r="I125" s="239">
        <v>1</v>
      </c>
      <c r="J125" s="240">
        <v>1</v>
      </c>
      <c r="K125" s="211">
        <v>1</v>
      </c>
      <c r="L125" s="211">
        <v>1</v>
      </c>
      <c r="M125" s="211"/>
      <c r="N125" s="211">
        <v>1</v>
      </c>
      <c r="O125" s="211">
        <v>1</v>
      </c>
      <c r="P125" s="211">
        <v>1</v>
      </c>
      <c r="Q125" s="211"/>
      <c r="R125" s="239">
        <v>1</v>
      </c>
      <c r="S125" s="239">
        <v>1</v>
      </c>
      <c r="T125" s="239">
        <v>1</v>
      </c>
      <c r="U125" s="240">
        <v>1</v>
      </c>
      <c r="V125" s="211">
        <v>1</v>
      </c>
      <c r="W125" s="211">
        <v>1</v>
      </c>
      <c r="X125" s="211">
        <v>1</v>
      </c>
      <c r="Y125" s="211">
        <v>1</v>
      </c>
      <c r="Z125" s="211">
        <v>1</v>
      </c>
      <c r="AA125" s="211">
        <v>1</v>
      </c>
      <c r="AB125" s="211">
        <v>1</v>
      </c>
      <c r="AC125" s="239">
        <v>1</v>
      </c>
      <c r="AD125" s="239">
        <v>1</v>
      </c>
      <c r="AE125" s="239">
        <v>1</v>
      </c>
      <c r="AF125" s="240">
        <v>1</v>
      </c>
      <c r="AG125" s="211">
        <v>1</v>
      </c>
      <c r="AH125" s="211">
        <v>1</v>
      </c>
      <c r="AI125" s="211"/>
      <c r="AJ125" s="211">
        <v>1</v>
      </c>
      <c r="AK125" s="211">
        <v>1</v>
      </c>
      <c r="AL125" s="211">
        <v>1</v>
      </c>
      <c r="AM125" s="211"/>
      <c r="AN125" s="239"/>
      <c r="AO125" s="239">
        <v>1</v>
      </c>
      <c r="AP125" s="239">
        <v>1</v>
      </c>
      <c r="AQ125" s="239">
        <v>1</v>
      </c>
      <c r="AR125" s="240">
        <v>1</v>
      </c>
      <c r="AS125" s="240">
        <v>1</v>
      </c>
      <c r="AT125" s="240">
        <v>1</v>
      </c>
      <c r="AU125" s="240">
        <v>1</v>
      </c>
      <c r="AV125" s="203"/>
      <c r="AW125" s="240"/>
      <c r="AX125" s="240">
        <v>1</v>
      </c>
      <c r="AY125" s="240">
        <v>1</v>
      </c>
      <c r="AZ125" s="203">
        <v>1</v>
      </c>
      <c r="BA125" s="203">
        <v>1</v>
      </c>
      <c r="BB125" s="203">
        <v>1</v>
      </c>
      <c r="BC125" s="203">
        <v>1</v>
      </c>
    </row>
    <row r="126" spans="1:55" ht="21" hidden="1" customHeight="1">
      <c r="A126" s="212"/>
      <c r="B126" s="237">
        <v>46023</v>
      </c>
      <c r="C126" s="211" t="s">
        <v>384</v>
      </c>
      <c r="D126" s="238" t="s">
        <v>574</v>
      </c>
      <c r="E126" s="211" t="s">
        <v>575</v>
      </c>
      <c r="F126" s="211"/>
      <c r="G126" s="239"/>
      <c r="H126" s="239"/>
      <c r="I126" s="239"/>
      <c r="J126" s="240"/>
      <c r="K126" s="211">
        <v>1</v>
      </c>
      <c r="L126" s="211">
        <v>1</v>
      </c>
      <c r="M126" s="211">
        <v>1</v>
      </c>
      <c r="N126" s="211">
        <v>1</v>
      </c>
      <c r="O126" s="211">
        <v>1</v>
      </c>
      <c r="P126" s="211">
        <v>1</v>
      </c>
      <c r="Q126" s="211">
        <v>1</v>
      </c>
      <c r="R126" s="239">
        <v>1</v>
      </c>
      <c r="S126" s="239">
        <v>1</v>
      </c>
      <c r="T126" s="239">
        <v>1</v>
      </c>
      <c r="U126" s="240">
        <v>1</v>
      </c>
      <c r="V126" s="211">
        <v>1</v>
      </c>
      <c r="W126" s="211">
        <v>1</v>
      </c>
      <c r="X126" s="211">
        <v>1</v>
      </c>
      <c r="Y126" s="211">
        <v>1</v>
      </c>
      <c r="Z126" s="211">
        <v>1</v>
      </c>
      <c r="AA126" s="211">
        <v>1</v>
      </c>
      <c r="AB126" s="211">
        <v>1</v>
      </c>
      <c r="AC126" s="239">
        <v>1</v>
      </c>
      <c r="AD126" s="239">
        <v>1</v>
      </c>
      <c r="AE126" s="239">
        <v>1</v>
      </c>
      <c r="AF126" s="240">
        <v>1</v>
      </c>
      <c r="AG126" s="240">
        <v>1</v>
      </c>
      <c r="AH126" s="211">
        <v>1</v>
      </c>
      <c r="AI126" s="211">
        <v>1</v>
      </c>
      <c r="AJ126" s="211">
        <v>1</v>
      </c>
      <c r="AK126" s="211">
        <v>1</v>
      </c>
      <c r="AL126" s="211">
        <v>1</v>
      </c>
      <c r="AM126" s="211"/>
      <c r="AN126" s="239"/>
      <c r="AO126" s="239">
        <v>1</v>
      </c>
      <c r="AP126" s="239">
        <v>1</v>
      </c>
      <c r="AQ126" s="239">
        <v>1</v>
      </c>
      <c r="AR126" s="240">
        <v>1</v>
      </c>
      <c r="AS126" s="240">
        <v>1</v>
      </c>
      <c r="AT126" s="240">
        <v>1</v>
      </c>
      <c r="AU126" s="240">
        <v>1</v>
      </c>
      <c r="AV126" s="203"/>
      <c r="AW126" s="240"/>
      <c r="AX126" s="240">
        <v>1</v>
      </c>
      <c r="AY126" s="240"/>
      <c r="AZ126" s="203">
        <v>1</v>
      </c>
      <c r="BA126" s="203">
        <v>1</v>
      </c>
      <c r="BB126" s="203"/>
      <c r="BC126" s="203"/>
    </row>
    <row r="127" spans="1:55" ht="21" hidden="1" customHeight="1">
      <c r="A127" s="212"/>
      <c r="B127" s="237">
        <v>46023</v>
      </c>
      <c r="C127" s="211" t="s">
        <v>384</v>
      </c>
      <c r="D127" s="238" t="s">
        <v>576</v>
      </c>
      <c r="E127" s="211" t="s">
        <v>577</v>
      </c>
      <c r="F127" s="211">
        <v>1</v>
      </c>
      <c r="G127" s="239"/>
      <c r="H127" s="239">
        <v>1</v>
      </c>
      <c r="I127" s="239">
        <v>1</v>
      </c>
      <c r="J127" s="240">
        <v>1</v>
      </c>
      <c r="K127" s="211">
        <v>1</v>
      </c>
      <c r="L127" s="211">
        <v>1</v>
      </c>
      <c r="M127" s="211">
        <v>1</v>
      </c>
      <c r="N127" s="211">
        <v>1</v>
      </c>
      <c r="O127" s="211">
        <v>1</v>
      </c>
      <c r="P127" s="211">
        <v>1</v>
      </c>
      <c r="Q127" s="211"/>
      <c r="R127" s="239">
        <v>1</v>
      </c>
      <c r="S127" s="239">
        <v>1</v>
      </c>
      <c r="T127" s="239">
        <v>1</v>
      </c>
      <c r="U127" s="240">
        <v>1</v>
      </c>
      <c r="V127" s="211">
        <v>1</v>
      </c>
      <c r="W127" s="211">
        <v>1</v>
      </c>
      <c r="X127" s="211"/>
      <c r="Y127" s="211">
        <v>1</v>
      </c>
      <c r="Z127" s="211">
        <v>1</v>
      </c>
      <c r="AA127" s="211">
        <v>1</v>
      </c>
      <c r="AB127" s="211">
        <v>1</v>
      </c>
      <c r="AC127" s="239">
        <v>1</v>
      </c>
      <c r="AD127" s="239">
        <v>1</v>
      </c>
      <c r="AE127" s="239">
        <v>1</v>
      </c>
      <c r="AF127" s="240">
        <v>1</v>
      </c>
      <c r="AG127" s="240">
        <v>1</v>
      </c>
      <c r="AH127" s="211">
        <v>1</v>
      </c>
      <c r="AI127" s="211">
        <v>1</v>
      </c>
      <c r="AJ127" s="211">
        <v>1</v>
      </c>
      <c r="AK127" s="211">
        <v>1</v>
      </c>
      <c r="AL127" s="211">
        <v>1</v>
      </c>
      <c r="AM127" s="211"/>
      <c r="AN127" s="239"/>
      <c r="AO127" s="239">
        <v>1</v>
      </c>
      <c r="AP127" s="239">
        <v>1</v>
      </c>
      <c r="AQ127" s="240">
        <v>1</v>
      </c>
      <c r="AR127" s="240">
        <v>1</v>
      </c>
      <c r="AS127" s="240">
        <v>1</v>
      </c>
      <c r="AT127" s="240">
        <v>1</v>
      </c>
      <c r="AU127" s="240">
        <v>1</v>
      </c>
      <c r="AV127" s="240">
        <v>1</v>
      </c>
      <c r="AW127" s="240"/>
      <c r="AX127" s="240"/>
      <c r="AY127" s="240">
        <v>1</v>
      </c>
      <c r="AZ127" s="203"/>
      <c r="BA127" s="203">
        <v>1</v>
      </c>
      <c r="BB127" s="203"/>
      <c r="BC127" s="203"/>
    </row>
    <row r="128" spans="1:55" ht="21" hidden="1" customHeight="1">
      <c r="A128" s="212"/>
      <c r="B128" s="237">
        <v>46023</v>
      </c>
      <c r="C128" s="211" t="s">
        <v>386</v>
      </c>
      <c r="D128" s="238" t="s">
        <v>578</v>
      </c>
      <c r="E128" s="211" t="s">
        <v>545</v>
      </c>
      <c r="F128" s="211"/>
      <c r="G128" s="239"/>
      <c r="H128" s="239"/>
      <c r="I128" s="239"/>
      <c r="J128" s="240">
        <v>1</v>
      </c>
      <c r="K128" s="211">
        <v>1</v>
      </c>
      <c r="L128" s="211">
        <v>1</v>
      </c>
      <c r="M128" s="211">
        <v>1</v>
      </c>
      <c r="N128" s="211">
        <v>1</v>
      </c>
      <c r="O128" s="211">
        <v>1</v>
      </c>
      <c r="P128" s="211">
        <v>1</v>
      </c>
      <c r="Q128" s="211">
        <v>1</v>
      </c>
      <c r="R128" s="239">
        <v>1</v>
      </c>
      <c r="S128" s="239">
        <v>1</v>
      </c>
      <c r="T128" s="239">
        <v>1</v>
      </c>
      <c r="U128" s="240">
        <v>1</v>
      </c>
      <c r="V128" s="211">
        <v>1</v>
      </c>
      <c r="W128" s="211">
        <v>1</v>
      </c>
      <c r="X128" s="211">
        <v>1</v>
      </c>
      <c r="Y128" s="211">
        <v>1</v>
      </c>
      <c r="Z128" s="211">
        <v>1</v>
      </c>
      <c r="AA128" s="211">
        <v>1</v>
      </c>
      <c r="AB128" s="211">
        <v>1</v>
      </c>
      <c r="AC128" s="239">
        <v>1</v>
      </c>
      <c r="AD128" s="239">
        <v>1</v>
      </c>
      <c r="AE128" s="239">
        <v>1</v>
      </c>
      <c r="AF128" s="240">
        <v>1</v>
      </c>
      <c r="AG128" s="211">
        <v>1</v>
      </c>
      <c r="AH128" s="211">
        <v>1</v>
      </c>
      <c r="AI128" s="211">
        <v>1</v>
      </c>
      <c r="AJ128" s="211">
        <v>1</v>
      </c>
      <c r="AK128" s="211">
        <v>1</v>
      </c>
      <c r="AL128" s="211">
        <v>1</v>
      </c>
      <c r="AM128" s="211"/>
      <c r="AN128" s="239">
        <v>1</v>
      </c>
      <c r="AO128" s="239">
        <v>1</v>
      </c>
      <c r="AP128" s="239">
        <v>1</v>
      </c>
      <c r="AQ128" s="240">
        <v>1</v>
      </c>
      <c r="AR128" s="240">
        <v>1</v>
      </c>
      <c r="AS128" s="240">
        <v>1</v>
      </c>
      <c r="AT128" s="240">
        <v>1</v>
      </c>
      <c r="AU128" s="240">
        <v>1</v>
      </c>
      <c r="AV128" s="203"/>
      <c r="AW128" s="240"/>
      <c r="AX128" s="240">
        <v>1</v>
      </c>
      <c r="AY128" s="240">
        <v>1</v>
      </c>
      <c r="AZ128" s="203">
        <v>1</v>
      </c>
      <c r="BA128" s="203">
        <v>1</v>
      </c>
      <c r="BB128" s="203">
        <v>1</v>
      </c>
      <c r="BC128" s="203">
        <v>1</v>
      </c>
    </row>
    <row r="129" spans="1:55" ht="21" hidden="1" customHeight="1">
      <c r="A129" s="212"/>
      <c r="B129" s="237">
        <v>46023</v>
      </c>
      <c r="C129" s="211" t="s">
        <v>386</v>
      </c>
      <c r="D129" s="238" t="s">
        <v>579</v>
      </c>
      <c r="E129" s="211" t="s">
        <v>545</v>
      </c>
      <c r="F129" s="211"/>
      <c r="G129" s="239">
        <v>1</v>
      </c>
      <c r="H129" s="239">
        <v>1</v>
      </c>
      <c r="I129" s="239">
        <v>1</v>
      </c>
      <c r="J129" s="240">
        <v>1</v>
      </c>
      <c r="K129" s="211">
        <v>1</v>
      </c>
      <c r="L129" s="211">
        <v>1</v>
      </c>
      <c r="M129" s="211"/>
      <c r="N129" s="211">
        <v>1</v>
      </c>
      <c r="O129" s="211">
        <v>1</v>
      </c>
      <c r="P129" s="211">
        <v>1</v>
      </c>
      <c r="Q129" s="211"/>
      <c r="R129" s="239"/>
      <c r="S129" s="239">
        <v>1</v>
      </c>
      <c r="T129" s="239">
        <v>1</v>
      </c>
      <c r="U129" s="240">
        <v>1</v>
      </c>
      <c r="V129" s="211">
        <v>1</v>
      </c>
      <c r="W129" s="211">
        <v>1</v>
      </c>
      <c r="X129" s="211">
        <v>1</v>
      </c>
      <c r="Y129" s="211">
        <v>1</v>
      </c>
      <c r="Z129" s="211">
        <v>1</v>
      </c>
      <c r="AA129" s="211">
        <v>1</v>
      </c>
      <c r="AB129" s="211">
        <v>1</v>
      </c>
      <c r="AC129" s="239">
        <v>1</v>
      </c>
      <c r="AD129" s="239">
        <v>1</v>
      </c>
      <c r="AE129" s="239">
        <v>1</v>
      </c>
      <c r="AF129" s="240">
        <v>1</v>
      </c>
      <c r="AG129" s="240">
        <v>1</v>
      </c>
      <c r="AH129" s="211">
        <v>1</v>
      </c>
      <c r="AI129" s="211">
        <v>1</v>
      </c>
      <c r="AJ129" s="211">
        <v>1</v>
      </c>
      <c r="AK129" s="211">
        <v>1</v>
      </c>
      <c r="AL129" s="211">
        <v>1</v>
      </c>
      <c r="AM129" s="211">
        <v>1</v>
      </c>
      <c r="AN129" s="239">
        <v>1</v>
      </c>
      <c r="AO129" s="239"/>
      <c r="AP129" s="239">
        <v>1</v>
      </c>
      <c r="AQ129" s="240">
        <v>1</v>
      </c>
      <c r="AR129" s="240">
        <v>1</v>
      </c>
      <c r="AS129" s="240">
        <v>1</v>
      </c>
      <c r="AT129" s="240">
        <v>1</v>
      </c>
      <c r="AU129" s="240">
        <v>1</v>
      </c>
      <c r="AV129" s="203"/>
      <c r="AW129" s="240"/>
      <c r="AX129" s="240">
        <v>1</v>
      </c>
      <c r="AY129" s="240">
        <v>1</v>
      </c>
      <c r="AZ129" s="203">
        <v>1</v>
      </c>
      <c r="BA129" s="203">
        <v>1</v>
      </c>
      <c r="BB129" s="203">
        <v>1</v>
      </c>
      <c r="BC129" s="203">
        <v>1</v>
      </c>
    </row>
    <row r="130" spans="1:55" ht="21" hidden="1" customHeight="1">
      <c r="A130" s="212"/>
      <c r="B130" s="237">
        <v>46023</v>
      </c>
      <c r="C130" s="211" t="s">
        <v>386</v>
      </c>
      <c r="D130" s="238" t="s">
        <v>580</v>
      </c>
      <c r="E130" s="211" t="s">
        <v>545</v>
      </c>
      <c r="F130" s="211"/>
      <c r="G130" s="239">
        <v>1</v>
      </c>
      <c r="H130" s="239">
        <v>1</v>
      </c>
      <c r="I130" s="239">
        <v>1</v>
      </c>
      <c r="J130" s="240">
        <v>1</v>
      </c>
      <c r="K130" s="211">
        <v>1</v>
      </c>
      <c r="L130" s="211">
        <v>1</v>
      </c>
      <c r="M130" s="211"/>
      <c r="N130" s="211">
        <v>1</v>
      </c>
      <c r="O130" s="211">
        <v>1</v>
      </c>
      <c r="P130" s="211">
        <v>1</v>
      </c>
      <c r="Q130" s="211"/>
      <c r="R130" s="239"/>
      <c r="S130" s="239">
        <v>1</v>
      </c>
      <c r="T130" s="239">
        <v>1</v>
      </c>
      <c r="U130" s="240"/>
      <c r="V130" s="211">
        <v>1</v>
      </c>
      <c r="W130" s="211">
        <v>1</v>
      </c>
      <c r="X130" s="211">
        <v>1</v>
      </c>
      <c r="Y130" s="211">
        <v>1</v>
      </c>
      <c r="Z130" s="211">
        <v>1</v>
      </c>
      <c r="AA130" s="211">
        <v>1</v>
      </c>
      <c r="AB130" s="211">
        <v>1</v>
      </c>
      <c r="AC130" s="239">
        <v>1</v>
      </c>
      <c r="AD130" s="239">
        <v>1</v>
      </c>
      <c r="AE130" s="239">
        <v>1</v>
      </c>
      <c r="AF130" s="240">
        <v>1</v>
      </c>
      <c r="AG130" s="240">
        <v>1</v>
      </c>
      <c r="AH130" s="211">
        <v>1</v>
      </c>
      <c r="AI130" s="211">
        <v>1</v>
      </c>
      <c r="AJ130" s="211">
        <v>1</v>
      </c>
      <c r="AK130" s="211">
        <v>1</v>
      </c>
      <c r="AL130" s="211">
        <v>1</v>
      </c>
      <c r="AM130" s="211">
        <v>1</v>
      </c>
      <c r="AN130" s="239">
        <v>1</v>
      </c>
      <c r="AO130" s="239"/>
      <c r="AP130" s="239">
        <v>1</v>
      </c>
      <c r="AQ130" s="240">
        <v>1</v>
      </c>
      <c r="AR130" s="240">
        <v>1</v>
      </c>
      <c r="AS130" s="240">
        <v>1</v>
      </c>
      <c r="AT130" s="240">
        <v>1</v>
      </c>
      <c r="AU130" s="240">
        <v>1</v>
      </c>
      <c r="AV130" s="203">
        <v>1</v>
      </c>
      <c r="AW130" s="240">
        <v>1</v>
      </c>
      <c r="AX130" s="240">
        <v>1</v>
      </c>
      <c r="AY130" s="240">
        <v>1</v>
      </c>
      <c r="AZ130" s="203">
        <v>1</v>
      </c>
      <c r="BA130" s="203">
        <v>1</v>
      </c>
      <c r="BB130" s="203"/>
      <c r="BC130" s="203"/>
    </row>
    <row r="131" spans="1:55" ht="21" hidden="1" customHeight="1">
      <c r="A131" s="212"/>
      <c r="B131" s="237">
        <v>46023</v>
      </c>
      <c r="C131" s="211" t="s">
        <v>386</v>
      </c>
      <c r="D131" s="238" t="s">
        <v>581</v>
      </c>
      <c r="E131" s="211" t="s">
        <v>545</v>
      </c>
      <c r="F131" s="211"/>
      <c r="G131" s="239"/>
      <c r="H131" s="239"/>
      <c r="I131" s="239"/>
      <c r="J131" s="240">
        <v>1</v>
      </c>
      <c r="K131" s="211">
        <v>1</v>
      </c>
      <c r="L131" s="211">
        <v>1</v>
      </c>
      <c r="M131" s="211">
        <v>1</v>
      </c>
      <c r="N131" s="211">
        <v>1</v>
      </c>
      <c r="O131" s="211">
        <v>1</v>
      </c>
      <c r="P131" s="211">
        <v>1</v>
      </c>
      <c r="Q131" s="211"/>
      <c r="R131" s="239"/>
      <c r="S131" s="239">
        <v>1</v>
      </c>
      <c r="T131" s="239">
        <v>1</v>
      </c>
      <c r="U131" s="240">
        <v>1</v>
      </c>
      <c r="V131" s="211">
        <v>1</v>
      </c>
      <c r="W131" s="211">
        <v>1</v>
      </c>
      <c r="X131" s="211"/>
      <c r="Y131" s="211">
        <v>1</v>
      </c>
      <c r="Z131" s="211">
        <v>1</v>
      </c>
      <c r="AA131" s="211">
        <v>1</v>
      </c>
      <c r="AB131" s="211">
        <v>1</v>
      </c>
      <c r="AC131" s="239">
        <v>1</v>
      </c>
      <c r="AD131" s="239">
        <v>1</v>
      </c>
      <c r="AE131" s="239">
        <v>1</v>
      </c>
      <c r="AF131" s="240">
        <v>1</v>
      </c>
      <c r="AG131" s="211">
        <v>1</v>
      </c>
      <c r="AH131" s="211">
        <v>1</v>
      </c>
      <c r="AI131" s="211"/>
      <c r="AJ131" s="211">
        <v>1</v>
      </c>
      <c r="AK131" s="211">
        <v>1</v>
      </c>
      <c r="AL131" s="211">
        <v>1</v>
      </c>
      <c r="AM131" s="211">
        <v>1</v>
      </c>
      <c r="AN131" s="239">
        <v>1</v>
      </c>
      <c r="AO131" s="239"/>
      <c r="AP131" s="239">
        <v>1</v>
      </c>
      <c r="AQ131" s="240">
        <v>1</v>
      </c>
      <c r="AR131" s="240">
        <v>1</v>
      </c>
      <c r="AS131" s="240">
        <v>1</v>
      </c>
      <c r="AT131" s="240">
        <v>1</v>
      </c>
      <c r="AU131" s="240">
        <v>1</v>
      </c>
      <c r="AV131" s="203">
        <v>1</v>
      </c>
      <c r="AW131" s="240">
        <v>1</v>
      </c>
      <c r="AX131" s="240">
        <v>1</v>
      </c>
      <c r="AY131" s="240">
        <v>1</v>
      </c>
      <c r="AZ131" s="203">
        <v>1</v>
      </c>
      <c r="BA131" s="203">
        <v>1</v>
      </c>
      <c r="BB131" s="203">
        <v>1</v>
      </c>
      <c r="BC131" s="203">
        <v>1</v>
      </c>
    </row>
    <row r="132" spans="1:55" ht="21" hidden="1" customHeight="1">
      <c r="A132" s="212"/>
      <c r="B132" s="237">
        <v>46023</v>
      </c>
      <c r="C132" s="211" t="s">
        <v>386</v>
      </c>
      <c r="D132" s="238" t="s">
        <v>582</v>
      </c>
      <c r="E132" s="211" t="s">
        <v>415</v>
      </c>
      <c r="F132" s="211"/>
      <c r="G132" s="239"/>
      <c r="H132" s="239"/>
      <c r="I132" s="239"/>
      <c r="J132" s="240">
        <v>1</v>
      </c>
      <c r="K132" s="211">
        <v>1</v>
      </c>
      <c r="L132" s="211">
        <v>1</v>
      </c>
      <c r="M132" s="211">
        <v>1</v>
      </c>
      <c r="N132" s="211">
        <v>1</v>
      </c>
      <c r="O132" s="211">
        <v>1</v>
      </c>
      <c r="P132" s="211">
        <v>1</v>
      </c>
      <c r="Q132" s="211">
        <v>1</v>
      </c>
      <c r="R132" s="239"/>
      <c r="S132" s="239">
        <v>1</v>
      </c>
      <c r="T132" s="239">
        <v>1</v>
      </c>
      <c r="U132" s="240">
        <v>1</v>
      </c>
      <c r="V132" s="211">
        <v>1</v>
      </c>
      <c r="W132" s="211">
        <v>1</v>
      </c>
      <c r="X132" s="211"/>
      <c r="Y132" s="211">
        <v>1</v>
      </c>
      <c r="Z132" s="211">
        <v>1</v>
      </c>
      <c r="AA132" s="211">
        <v>1</v>
      </c>
      <c r="AB132" s="211">
        <v>1</v>
      </c>
      <c r="AC132" s="239">
        <v>1</v>
      </c>
      <c r="AD132" s="239">
        <v>1</v>
      </c>
      <c r="AE132" s="239">
        <v>1</v>
      </c>
      <c r="AF132" s="240">
        <v>1</v>
      </c>
      <c r="AG132" s="211">
        <v>1</v>
      </c>
      <c r="AH132" s="211">
        <v>1</v>
      </c>
      <c r="AI132" s="211">
        <v>1</v>
      </c>
      <c r="AJ132" s="211">
        <v>1</v>
      </c>
      <c r="AK132" s="211">
        <v>1</v>
      </c>
      <c r="AL132" s="211">
        <v>1</v>
      </c>
      <c r="AM132" s="211"/>
      <c r="AN132" s="239">
        <v>1</v>
      </c>
      <c r="AO132" s="239"/>
      <c r="AP132" s="239">
        <v>1</v>
      </c>
      <c r="AQ132" s="240">
        <v>1</v>
      </c>
      <c r="AR132" s="240">
        <v>1</v>
      </c>
      <c r="AS132" s="240">
        <v>1</v>
      </c>
      <c r="AT132" s="240">
        <v>1</v>
      </c>
      <c r="AU132" s="240">
        <v>1</v>
      </c>
      <c r="AV132" s="203"/>
      <c r="AW132" s="240"/>
      <c r="AX132" s="240">
        <v>1</v>
      </c>
      <c r="AY132" s="240">
        <v>1</v>
      </c>
      <c r="AZ132" s="203">
        <v>1</v>
      </c>
      <c r="BA132" s="203">
        <v>1</v>
      </c>
      <c r="BB132" s="203">
        <v>1</v>
      </c>
      <c r="BC132" s="203">
        <v>1</v>
      </c>
    </row>
    <row r="133" spans="1:55" ht="21" hidden="1" customHeight="1">
      <c r="A133" s="212"/>
      <c r="B133" s="237">
        <v>46023</v>
      </c>
      <c r="C133" s="211" t="s">
        <v>386</v>
      </c>
      <c r="D133" s="238" t="s">
        <v>583</v>
      </c>
      <c r="E133" s="211" t="s">
        <v>545</v>
      </c>
      <c r="F133" s="211"/>
      <c r="G133" s="239"/>
      <c r="H133" s="239"/>
      <c r="I133" s="239"/>
      <c r="J133" s="240">
        <v>1</v>
      </c>
      <c r="K133" s="211">
        <v>1</v>
      </c>
      <c r="L133" s="211">
        <v>1</v>
      </c>
      <c r="M133" s="211">
        <v>1</v>
      </c>
      <c r="N133" s="211">
        <v>1</v>
      </c>
      <c r="O133" s="211">
        <v>1</v>
      </c>
      <c r="P133" s="211">
        <v>1</v>
      </c>
      <c r="Q133" s="211">
        <v>1</v>
      </c>
      <c r="R133" s="239"/>
      <c r="S133" s="239">
        <v>1</v>
      </c>
      <c r="T133" s="239">
        <v>1</v>
      </c>
      <c r="U133" s="240">
        <v>1</v>
      </c>
      <c r="V133" s="211">
        <v>1</v>
      </c>
      <c r="W133" s="211">
        <v>1</v>
      </c>
      <c r="X133" s="211"/>
      <c r="Y133" s="211">
        <v>1</v>
      </c>
      <c r="Z133" s="211">
        <v>1</v>
      </c>
      <c r="AA133" s="211">
        <v>1</v>
      </c>
      <c r="AB133" s="211">
        <v>1</v>
      </c>
      <c r="AC133" s="239">
        <v>1</v>
      </c>
      <c r="AD133" s="239">
        <v>1</v>
      </c>
      <c r="AE133" s="239">
        <v>1</v>
      </c>
      <c r="AF133" s="240">
        <v>1</v>
      </c>
      <c r="AG133" s="240">
        <v>1</v>
      </c>
      <c r="AH133" s="211">
        <v>1</v>
      </c>
      <c r="AI133" s="211"/>
      <c r="AJ133" s="211">
        <v>1</v>
      </c>
      <c r="AK133" s="211">
        <v>1</v>
      </c>
      <c r="AL133" s="211">
        <v>1</v>
      </c>
      <c r="AM133" s="211"/>
      <c r="AN133" s="239">
        <v>1</v>
      </c>
      <c r="AO133" s="239">
        <v>1</v>
      </c>
      <c r="AP133" s="239">
        <v>1</v>
      </c>
      <c r="AQ133" s="239">
        <v>1</v>
      </c>
      <c r="AR133" s="239">
        <v>1</v>
      </c>
      <c r="AS133" s="240">
        <v>1</v>
      </c>
      <c r="AT133" s="240">
        <v>1</v>
      </c>
      <c r="AU133" s="240">
        <v>1</v>
      </c>
      <c r="AV133" s="203">
        <v>1</v>
      </c>
      <c r="AW133" s="240">
        <v>1</v>
      </c>
      <c r="AX133" s="240">
        <v>1</v>
      </c>
      <c r="AY133" s="240"/>
      <c r="AZ133" s="203">
        <v>1</v>
      </c>
      <c r="BA133" s="203">
        <v>1</v>
      </c>
      <c r="BB133" s="203"/>
      <c r="BC133" s="203"/>
    </row>
    <row r="134" spans="1:55" ht="21" hidden="1" customHeight="1">
      <c r="A134" s="212"/>
      <c r="B134" s="237">
        <v>46023</v>
      </c>
      <c r="C134" s="211" t="s">
        <v>386</v>
      </c>
      <c r="D134" s="238" t="s">
        <v>584</v>
      </c>
      <c r="E134" s="211" t="s">
        <v>585</v>
      </c>
      <c r="F134" s="211">
        <v>1</v>
      </c>
      <c r="G134" s="239"/>
      <c r="H134" s="239">
        <v>1</v>
      </c>
      <c r="I134" s="239">
        <v>1</v>
      </c>
      <c r="J134" s="240">
        <v>1</v>
      </c>
      <c r="K134" s="211">
        <v>1</v>
      </c>
      <c r="L134" s="211">
        <v>1</v>
      </c>
      <c r="M134" s="211"/>
      <c r="N134" s="211">
        <v>1</v>
      </c>
      <c r="O134" s="211">
        <v>1</v>
      </c>
      <c r="P134" s="211">
        <v>1</v>
      </c>
      <c r="Q134" s="211"/>
      <c r="R134" s="239"/>
      <c r="S134" s="239">
        <v>1</v>
      </c>
      <c r="T134" s="239">
        <v>1</v>
      </c>
      <c r="U134" s="240">
        <v>1</v>
      </c>
      <c r="V134" s="211">
        <v>1</v>
      </c>
      <c r="W134" s="211">
        <v>1</v>
      </c>
      <c r="X134" s="211"/>
      <c r="Y134" s="211">
        <v>1</v>
      </c>
      <c r="Z134" s="211">
        <v>1</v>
      </c>
      <c r="AA134" s="211">
        <v>1</v>
      </c>
      <c r="AB134" s="211">
        <v>1</v>
      </c>
      <c r="AC134" s="239"/>
      <c r="AD134" s="239">
        <v>1</v>
      </c>
      <c r="AE134" s="239">
        <v>1</v>
      </c>
      <c r="AF134" s="240">
        <v>1</v>
      </c>
      <c r="AG134" s="240">
        <v>1</v>
      </c>
      <c r="AH134" s="240">
        <v>1</v>
      </c>
      <c r="AI134" s="211"/>
      <c r="AJ134" s="211">
        <v>1</v>
      </c>
      <c r="AK134" s="211">
        <v>1</v>
      </c>
      <c r="AL134" s="211">
        <v>1</v>
      </c>
      <c r="AM134" s="211"/>
      <c r="AN134" s="239">
        <v>1</v>
      </c>
      <c r="AO134" s="239"/>
      <c r="AP134" s="239">
        <v>1</v>
      </c>
      <c r="AQ134" s="239">
        <v>1</v>
      </c>
      <c r="AR134" s="239">
        <v>1</v>
      </c>
      <c r="AS134" s="240">
        <v>1</v>
      </c>
      <c r="AT134" s="240">
        <v>1</v>
      </c>
      <c r="AU134" s="240">
        <v>1</v>
      </c>
      <c r="AV134" s="203"/>
      <c r="AW134" s="240"/>
      <c r="AX134" s="240">
        <v>1</v>
      </c>
      <c r="AY134" s="240">
        <v>1</v>
      </c>
      <c r="AZ134" s="203">
        <v>1</v>
      </c>
      <c r="BA134" s="203">
        <v>1</v>
      </c>
      <c r="BB134" s="203">
        <v>1</v>
      </c>
      <c r="BC134" s="203">
        <v>1</v>
      </c>
    </row>
    <row r="135" spans="1:55" ht="21" hidden="1" customHeight="1">
      <c r="A135" s="212"/>
      <c r="B135" s="237">
        <v>46023</v>
      </c>
      <c r="C135" s="211" t="s">
        <v>386</v>
      </c>
      <c r="D135" s="238" t="s">
        <v>586</v>
      </c>
      <c r="E135" s="211" t="s">
        <v>587</v>
      </c>
      <c r="F135" s="211">
        <v>1</v>
      </c>
      <c r="G135" s="239">
        <v>1</v>
      </c>
      <c r="H135" s="239">
        <v>1</v>
      </c>
      <c r="I135" s="239">
        <v>1</v>
      </c>
      <c r="J135" s="240">
        <v>1</v>
      </c>
      <c r="K135" s="211">
        <v>1</v>
      </c>
      <c r="L135" s="211">
        <v>1</v>
      </c>
      <c r="M135" s="211"/>
      <c r="N135" s="211">
        <v>1</v>
      </c>
      <c r="O135" s="211">
        <v>1</v>
      </c>
      <c r="P135" s="211">
        <v>1</v>
      </c>
      <c r="Q135" s="211"/>
      <c r="R135" s="239">
        <v>1</v>
      </c>
      <c r="S135" s="239">
        <v>1</v>
      </c>
      <c r="T135" s="239">
        <v>1</v>
      </c>
      <c r="U135" s="240">
        <v>1</v>
      </c>
      <c r="V135" s="211">
        <v>1</v>
      </c>
      <c r="W135" s="211">
        <v>1</v>
      </c>
      <c r="X135" s="211"/>
      <c r="Y135" s="211">
        <v>1</v>
      </c>
      <c r="Z135" s="211">
        <v>1</v>
      </c>
      <c r="AA135" s="211">
        <v>1</v>
      </c>
      <c r="AB135" s="211">
        <v>1</v>
      </c>
      <c r="AC135" s="239">
        <v>1</v>
      </c>
      <c r="AD135" s="239">
        <v>1</v>
      </c>
      <c r="AE135" s="239">
        <v>1</v>
      </c>
      <c r="AF135" s="240">
        <v>1</v>
      </c>
      <c r="AG135" s="211">
        <v>1</v>
      </c>
      <c r="AH135" s="211">
        <v>1</v>
      </c>
      <c r="AI135" s="211"/>
      <c r="AJ135" s="211">
        <v>1</v>
      </c>
      <c r="AK135" s="211">
        <v>1</v>
      </c>
      <c r="AL135" s="211">
        <v>1</v>
      </c>
      <c r="AM135" s="211"/>
      <c r="AN135" s="239">
        <v>1</v>
      </c>
      <c r="AO135" s="239">
        <v>1</v>
      </c>
      <c r="AP135" s="239">
        <v>1</v>
      </c>
      <c r="AQ135" s="239">
        <v>1</v>
      </c>
      <c r="AR135" s="239">
        <v>1</v>
      </c>
      <c r="AS135" s="240">
        <v>1</v>
      </c>
      <c r="AT135" s="240">
        <v>1</v>
      </c>
      <c r="AU135" s="240">
        <v>1</v>
      </c>
      <c r="AV135" s="203"/>
      <c r="AW135" s="240"/>
      <c r="AX135" s="240">
        <v>1</v>
      </c>
      <c r="AY135" s="240">
        <v>1</v>
      </c>
      <c r="AZ135" s="203">
        <v>1</v>
      </c>
      <c r="BA135" s="203">
        <v>1</v>
      </c>
      <c r="BB135" s="203">
        <v>1</v>
      </c>
      <c r="BC135" s="203">
        <v>1</v>
      </c>
    </row>
    <row r="136" spans="1:55" ht="21" hidden="1" customHeight="1">
      <c r="A136" s="212"/>
      <c r="B136" s="237">
        <v>46023</v>
      </c>
      <c r="C136" s="211" t="s">
        <v>386</v>
      </c>
      <c r="D136" s="238" t="s">
        <v>588</v>
      </c>
      <c r="E136" s="211" t="s">
        <v>589</v>
      </c>
      <c r="F136" s="211">
        <v>1</v>
      </c>
      <c r="G136" s="239">
        <v>1</v>
      </c>
      <c r="H136" s="239">
        <v>1</v>
      </c>
      <c r="I136" s="239">
        <v>1</v>
      </c>
      <c r="J136" s="240">
        <v>1</v>
      </c>
      <c r="K136" s="211">
        <v>1</v>
      </c>
      <c r="L136" s="211">
        <v>1</v>
      </c>
      <c r="M136" s="211"/>
      <c r="N136" s="211">
        <v>1</v>
      </c>
      <c r="O136" s="211">
        <v>1</v>
      </c>
      <c r="P136" s="211">
        <v>1</v>
      </c>
      <c r="Q136" s="211"/>
      <c r="R136" s="239"/>
      <c r="S136" s="239">
        <v>1</v>
      </c>
      <c r="T136" s="239">
        <v>1</v>
      </c>
      <c r="U136" s="240"/>
      <c r="V136" s="211">
        <v>1</v>
      </c>
      <c r="W136" s="211">
        <v>1</v>
      </c>
      <c r="X136" s="211"/>
      <c r="Y136" s="211">
        <v>1</v>
      </c>
      <c r="Z136" s="211">
        <v>1</v>
      </c>
      <c r="AA136" s="211">
        <v>1</v>
      </c>
      <c r="AB136" s="211">
        <v>1</v>
      </c>
      <c r="AC136" s="239">
        <v>1</v>
      </c>
      <c r="AD136" s="239">
        <v>1</v>
      </c>
      <c r="AE136" s="239">
        <v>1</v>
      </c>
      <c r="AF136" s="240">
        <v>1</v>
      </c>
      <c r="AG136" s="211">
        <v>1</v>
      </c>
      <c r="AH136" s="211">
        <v>1</v>
      </c>
      <c r="AI136" s="211"/>
      <c r="AJ136" s="211">
        <v>1</v>
      </c>
      <c r="AK136" s="211">
        <v>1</v>
      </c>
      <c r="AL136" s="211">
        <v>1</v>
      </c>
      <c r="AM136" s="211"/>
      <c r="AN136" s="239"/>
      <c r="AO136" s="239"/>
      <c r="AP136" s="239"/>
      <c r="AQ136" s="240"/>
      <c r="AR136" s="240">
        <v>1</v>
      </c>
      <c r="AS136" s="240">
        <v>1</v>
      </c>
      <c r="AT136" s="240">
        <v>1</v>
      </c>
      <c r="AU136" s="240">
        <v>1</v>
      </c>
      <c r="AV136" s="240">
        <v>1</v>
      </c>
      <c r="AW136" s="240">
        <v>1</v>
      </c>
      <c r="AX136" s="240">
        <v>1</v>
      </c>
      <c r="AY136" s="240">
        <v>1</v>
      </c>
      <c r="AZ136" s="203">
        <v>1</v>
      </c>
      <c r="BA136" s="203">
        <v>1</v>
      </c>
      <c r="BB136" s="203">
        <v>1</v>
      </c>
      <c r="BC136" s="203">
        <v>1</v>
      </c>
    </row>
    <row r="137" spans="1:55" ht="21" hidden="1" customHeight="1">
      <c r="A137" s="212"/>
      <c r="B137" s="237">
        <v>46023</v>
      </c>
      <c r="C137" s="211" t="s">
        <v>386</v>
      </c>
      <c r="D137" s="238" t="s">
        <v>590</v>
      </c>
      <c r="E137" s="211" t="s">
        <v>591</v>
      </c>
      <c r="F137" s="211"/>
      <c r="G137" s="239"/>
      <c r="H137" s="239">
        <v>1</v>
      </c>
      <c r="I137" s="239">
        <v>1</v>
      </c>
      <c r="J137" s="240">
        <v>1</v>
      </c>
      <c r="K137" s="211">
        <v>1</v>
      </c>
      <c r="L137" s="211">
        <v>1</v>
      </c>
      <c r="M137" s="211">
        <v>1</v>
      </c>
      <c r="N137" s="211">
        <v>1</v>
      </c>
      <c r="O137" s="211">
        <v>1</v>
      </c>
      <c r="P137" s="211">
        <v>1</v>
      </c>
      <c r="Q137" s="211">
        <v>1</v>
      </c>
      <c r="R137" s="239"/>
      <c r="S137" s="239">
        <v>1</v>
      </c>
      <c r="T137" s="239">
        <v>1</v>
      </c>
      <c r="U137" s="240">
        <v>1</v>
      </c>
      <c r="V137" s="211">
        <v>1</v>
      </c>
      <c r="W137" s="211">
        <v>1</v>
      </c>
      <c r="X137" s="211"/>
      <c r="Y137" s="211">
        <v>1</v>
      </c>
      <c r="Z137" s="211">
        <v>1</v>
      </c>
      <c r="AA137" s="211">
        <v>1</v>
      </c>
      <c r="AB137" s="211"/>
      <c r="AC137" s="239"/>
      <c r="AD137" s="239">
        <v>1</v>
      </c>
      <c r="AE137" s="239">
        <v>1</v>
      </c>
      <c r="AF137" s="240">
        <v>1</v>
      </c>
      <c r="AG137" s="211">
        <v>1</v>
      </c>
      <c r="AH137" s="211">
        <v>1</v>
      </c>
      <c r="AI137" s="211">
        <v>1</v>
      </c>
      <c r="AJ137" s="211"/>
      <c r="AK137" s="211">
        <v>1</v>
      </c>
      <c r="AL137" s="211">
        <v>1</v>
      </c>
      <c r="AM137" s="211">
        <v>1</v>
      </c>
      <c r="AN137" s="239">
        <v>1</v>
      </c>
      <c r="AO137" s="239"/>
      <c r="AP137" s="239">
        <v>1</v>
      </c>
      <c r="AQ137" s="240">
        <v>1</v>
      </c>
      <c r="AR137" s="240">
        <v>1</v>
      </c>
      <c r="AS137" s="240">
        <v>1</v>
      </c>
      <c r="AT137" s="240">
        <v>1</v>
      </c>
      <c r="AU137" s="240">
        <v>1</v>
      </c>
      <c r="AV137" s="203"/>
      <c r="AW137" s="240"/>
      <c r="AX137" s="240">
        <v>1</v>
      </c>
      <c r="AY137" s="240">
        <v>1</v>
      </c>
      <c r="AZ137" s="203">
        <v>1</v>
      </c>
      <c r="BA137" s="203">
        <v>1</v>
      </c>
      <c r="BB137" s="203">
        <v>1</v>
      </c>
      <c r="BC137" s="203">
        <v>1</v>
      </c>
    </row>
    <row r="138" spans="1:55" ht="21" hidden="1" customHeight="1">
      <c r="A138" s="212"/>
      <c r="B138" s="237">
        <v>46023</v>
      </c>
      <c r="C138" s="211" t="s">
        <v>386</v>
      </c>
      <c r="D138" s="238" t="s">
        <v>592</v>
      </c>
      <c r="E138" s="211" t="s">
        <v>587</v>
      </c>
      <c r="F138" s="211"/>
      <c r="G138" s="239"/>
      <c r="H138" s="239"/>
      <c r="I138" s="239"/>
      <c r="J138" s="240">
        <v>1</v>
      </c>
      <c r="K138" s="211">
        <v>1</v>
      </c>
      <c r="L138" s="211">
        <v>1</v>
      </c>
      <c r="M138" s="211">
        <v>1</v>
      </c>
      <c r="N138" s="211">
        <v>1</v>
      </c>
      <c r="O138" s="211">
        <v>1</v>
      </c>
      <c r="P138" s="211">
        <v>1</v>
      </c>
      <c r="Q138" s="211"/>
      <c r="R138" s="239">
        <v>1</v>
      </c>
      <c r="S138" s="239">
        <v>1</v>
      </c>
      <c r="T138" s="239">
        <v>1</v>
      </c>
      <c r="U138" s="240">
        <v>1</v>
      </c>
      <c r="V138" s="211"/>
      <c r="W138" s="211">
        <v>1</v>
      </c>
      <c r="X138" s="211">
        <v>1</v>
      </c>
      <c r="Y138" s="211"/>
      <c r="Z138" s="211"/>
      <c r="AA138" s="211">
        <v>1</v>
      </c>
      <c r="AB138" s="211">
        <v>1</v>
      </c>
      <c r="AC138" s="239">
        <v>1</v>
      </c>
      <c r="AD138" s="239">
        <v>1</v>
      </c>
      <c r="AE138" s="239">
        <v>1</v>
      </c>
      <c r="AF138" s="240">
        <v>1</v>
      </c>
      <c r="AG138" s="211">
        <v>1</v>
      </c>
      <c r="AH138" s="211">
        <v>1</v>
      </c>
      <c r="AI138" s="211">
        <v>1</v>
      </c>
      <c r="AJ138" s="211"/>
      <c r="AK138" s="211">
        <v>1</v>
      </c>
      <c r="AL138" s="211">
        <v>1</v>
      </c>
      <c r="AM138" s="211">
        <v>1</v>
      </c>
      <c r="AN138" s="239"/>
      <c r="AO138" s="239"/>
      <c r="AP138" s="239"/>
      <c r="AQ138" s="240"/>
      <c r="AR138" s="240"/>
      <c r="AS138" s="240"/>
      <c r="AT138" s="240"/>
      <c r="AU138" s="240"/>
      <c r="AV138" s="203"/>
      <c r="AW138" s="240"/>
      <c r="AX138" s="240"/>
      <c r="AY138" s="240">
        <v>1</v>
      </c>
      <c r="AZ138" s="203">
        <v>1</v>
      </c>
      <c r="BA138" s="203">
        <v>1</v>
      </c>
      <c r="BB138" s="203">
        <v>1</v>
      </c>
      <c r="BC138" s="203">
        <v>1</v>
      </c>
    </row>
    <row r="139" spans="1:55" ht="21" hidden="1" customHeight="1">
      <c r="A139" s="212"/>
      <c r="B139" s="237">
        <v>46023</v>
      </c>
      <c r="C139" s="211" t="s">
        <v>386</v>
      </c>
      <c r="D139" s="238" t="s">
        <v>593</v>
      </c>
      <c r="E139" s="211" t="s">
        <v>587</v>
      </c>
      <c r="F139" s="211"/>
      <c r="G139" s="239"/>
      <c r="H139" s="239"/>
      <c r="I139" s="239"/>
      <c r="J139" s="240">
        <v>1</v>
      </c>
      <c r="K139" s="211">
        <v>1</v>
      </c>
      <c r="L139" s="211">
        <v>1</v>
      </c>
      <c r="M139" s="211">
        <v>1</v>
      </c>
      <c r="N139" s="211">
        <v>1</v>
      </c>
      <c r="O139" s="211">
        <v>1</v>
      </c>
      <c r="P139" s="211">
        <v>1</v>
      </c>
      <c r="Q139" s="211"/>
      <c r="R139" s="239">
        <v>1</v>
      </c>
      <c r="S139" s="239"/>
      <c r="T139" s="239">
        <v>1</v>
      </c>
      <c r="U139" s="240"/>
      <c r="V139" s="211"/>
      <c r="W139" s="211">
        <v>1</v>
      </c>
      <c r="X139" s="211">
        <v>1</v>
      </c>
      <c r="Y139" s="211">
        <v>1</v>
      </c>
      <c r="Z139" s="211">
        <v>1</v>
      </c>
      <c r="AA139" s="211">
        <v>1</v>
      </c>
      <c r="AB139" s="211">
        <v>1</v>
      </c>
      <c r="AC139" s="239">
        <v>1</v>
      </c>
      <c r="AD139" s="239">
        <v>1</v>
      </c>
      <c r="AE139" s="239">
        <v>1</v>
      </c>
      <c r="AF139" s="240">
        <v>1</v>
      </c>
      <c r="AG139" s="211">
        <v>1</v>
      </c>
      <c r="AH139" s="211">
        <v>1</v>
      </c>
      <c r="AI139" s="211">
        <v>1</v>
      </c>
      <c r="AJ139" s="211">
        <v>1</v>
      </c>
      <c r="AK139" s="211">
        <v>1</v>
      </c>
      <c r="AL139" s="211">
        <v>1</v>
      </c>
      <c r="AM139" s="211">
        <v>1</v>
      </c>
      <c r="AN139" s="239">
        <v>1</v>
      </c>
      <c r="AO139" s="239"/>
      <c r="AP139" s="239">
        <v>1</v>
      </c>
      <c r="AQ139" s="240">
        <v>1</v>
      </c>
      <c r="AR139" s="240">
        <v>1</v>
      </c>
      <c r="AS139" s="240">
        <v>1</v>
      </c>
      <c r="AT139" s="240">
        <v>1</v>
      </c>
      <c r="AU139" s="240">
        <v>1</v>
      </c>
      <c r="AV139" s="203"/>
      <c r="AW139" s="240"/>
      <c r="AX139" s="240">
        <v>1</v>
      </c>
      <c r="AY139" s="240">
        <v>1</v>
      </c>
      <c r="AZ139" s="203">
        <v>1</v>
      </c>
      <c r="BA139" s="203">
        <v>1</v>
      </c>
      <c r="BB139" s="203"/>
      <c r="BC139" s="203"/>
    </row>
    <row r="140" spans="1:55" ht="21" hidden="1" customHeight="1">
      <c r="A140" s="212"/>
      <c r="B140" s="237">
        <v>46023</v>
      </c>
      <c r="C140" s="211" t="s">
        <v>386</v>
      </c>
      <c r="D140" s="238" t="s">
        <v>594</v>
      </c>
      <c r="E140" s="211" t="s">
        <v>595</v>
      </c>
      <c r="F140" s="211">
        <v>1</v>
      </c>
      <c r="G140" s="239"/>
      <c r="H140" s="239">
        <v>1</v>
      </c>
      <c r="I140" s="239">
        <v>1</v>
      </c>
      <c r="J140" s="240">
        <v>1</v>
      </c>
      <c r="K140" s="211">
        <v>1</v>
      </c>
      <c r="L140" s="211">
        <v>1</v>
      </c>
      <c r="M140" s="211">
        <v>1</v>
      </c>
      <c r="N140" s="211">
        <v>1</v>
      </c>
      <c r="O140" s="211">
        <v>1</v>
      </c>
      <c r="P140" s="211">
        <v>1</v>
      </c>
      <c r="Q140" s="211"/>
      <c r="R140" s="239"/>
      <c r="S140" s="239">
        <v>1</v>
      </c>
      <c r="T140" s="239">
        <v>1</v>
      </c>
      <c r="U140" s="240">
        <v>1</v>
      </c>
      <c r="V140" s="211">
        <v>1</v>
      </c>
      <c r="W140" s="211">
        <v>1</v>
      </c>
      <c r="X140" s="211"/>
      <c r="Y140" s="211">
        <v>1</v>
      </c>
      <c r="Z140" s="211">
        <v>1</v>
      </c>
      <c r="AA140" s="211">
        <v>1</v>
      </c>
      <c r="AB140" s="211">
        <v>1</v>
      </c>
      <c r="AC140" s="239"/>
      <c r="AD140" s="239">
        <v>1</v>
      </c>
      <c r="AE140" s="239">
        <v>1</v>
      </c>
      <c r="AF140" s="240">
        <v>1</v>
      </c>
      <c r="AG140" s="211">
        <v>1</v>
      </c>
      <c r="AH140" s="211">
        <v>1</v>
      </c>
      <c r="AI140" s="211">
        <v>1</v>
      </c>
      <c r="AJ140" s="211">
        <v>1</v>
      </c>
      <c r="AK140" s="211">
        <v>1</v>
      </c>
      <c r="AL140" s="211">
        <v>1</v>
      </c>
      <c r="AM140" s="211"/>
      <c r="AN140" s="239">
        <v>1</v>
      </c>
      <c r="AO140" s="239"/>
      <c r="AP140" s="239">
        <v>1</v>
      </c>
      <c r="AQ140" s="240">
        <v>1</v>
      </c>
      <c r="AR140" s="240">
        <v>1</v>
      </c>
      <c r="AS140" s="240">
        <v>1</v>
      </c>
      <c r="AT140" s="240">
        <v>1</v>
      </c>
      <c r="AU140" s="240">
        <v>1</v>
      </c>
      <c r="AV140" s="203"/>
      <c r="AW140" s="240"/>
      <c r="AX140" s="240">
        <v>1</v>
      </c>
      <c r="AY140" s="240">
        <v>1</v>
      </c>
      <c r="AZ140" s="203">
        <v>1</v>
      </c>
      <c r="BA140" s="203">
        <v>1</v>
      </c>
      <c r="BB140" s="203">
        <v>1</v>
      </c>
      <c r="BC140" s="203">
        <v>1</v>
      </c>
    </row>
    <row r="141" spans="1:55" ht="21" hidden="1" customHeight="1">
      <c r="A141" s="212"/>
      <c r="B141" s="237">
        <v>46023</v>
      </c>
      <c r="C141" s="211" t="s">
        <v>387</v>
      </c>
      <c r="D141" s="238" t="s">
        <v>596</v>
      </c>
      <c r="E141" s="211" t="s">
        <v>545</v>
      </c>
      <c r="F141" s="211">
        <v>1</v>
      </c>
      <c r="G141" s="239"/>
      <c r="H141" s="239">
        <v>1</v>
      </c>
      <c r="I141" s="239">
        <v>1</v>
      </c>
      <c r="J141" s="240">
        <v>1</v>
      </c>
      <c r="K141" s="211">
        <v>1</v>
      </c>
      <c r="L141" s="211">
        <v>1</v>
      </c>
      <c r="M141" s="211">
        <v>1</v>
      </c>
      <c r="N141" s="211">
        <v>1</v>
      </c>
      <c r="O141" s="211">
        <v>1</v>
      </c>
      <c r="P141" s="211">
        <v>1</v>
      </c>
      <c r="Q141" s="211"/>
      <c r="R141" s="239"/>
      <c r="S141" s="239">
        <v>1</v>
      </c>
      <c r="T141" s="239">
        <v>1</v>
      </c>
      <c r="U141" s="240">
        <v>1</v>
      </c>
      <c r="V141" s="211">
        <v>1</v>
      </c>
      <c r="W141" s="211">
        <v>1</v>
      </c>
      <c r="X141" s="211">
        <v>1</v>
      </c>
      <c r="Y141" s="211">
        <v>1</v>
      </c>
      <c r="Z141" s="211"/>
      <c r="AA141" s="211">
        <v>1</v>
      </c>
      <c r="AB141" s="211"/>
      <c r="AC141" s="239"/>
      <c r="AD141" s="239">
        <v>1</v>
      </c>
      <c r="AE141" s="239">
        <v>1</v>
      </c>
      <c r="AF141" s="240">
        <v>1</v>
      </c>
      <c r="AG141" s="211">
        <v>1</v>
      </c>
      <c r="AH141" s="211">
        <v>1</v>
      </c>
      <c r="AI141" s="211">
        <v>1</v>
      </c>
      <c r="AJ141" s="211">
        <v>1</v>
      </c>
      <c r="AK141" s="211">
        <v>1</v>
      </c>
      <c r="AL141" s="211">
        <v>1</v>
      </c>
      <c r="AM141" s="211">
        <v>1</v>
      </c>
      <c r="AN141" s="239"/>
      <c r="AO141" s="239"/>
      <c r="AP141" s="239"/>
      <c r="AQ141" s="240"/>
      <c r="AR141" s="240"/>
      <c r="AS141" s="240"/>
      <c r="AT141" s="240"/>
      <c r="AU141" s="240"/>
      <c r="AV141" s="203"/>
      <c r="AW141" s="240"/>
      <c r="AX141" s="240">
        <v>1</v>
      </c>
      <c r="AY141" s="240">
        <v>1</v>
      </c>
      <c r="AZ141" s="203">
        <v>1</v>
      </c>
      <c r="BA141" s="203">
        <v>1</v>
      </c>
      <c r="BB141" s="203"/>
      <c r="BC141" s="203"/>
    </row>
    <row r="142" spans="1:55" ht="21" hidden="1" customHeight="1">
      <c r="A142" s="212"/>
      <c r="B142" s="237">
        <v>46023</v>
      </c>
      <c r="C142" s="211" t="s">
        <v>386</v>
      </c>
      <c r="D142" s="238" t="s">
        <v>597</v>
      </c>
      <c r="E142" s="211" t="s">
        <v>545</v>
      </c>
      <c r="F142" s="211">
        <v>1</v>
      </c>
      <c r="G142" s="239">
        <v>1</v>
      </c>
      <c r="H142" s="239">
        <v>1</v>
      </c>
      <c r="I142" s="239">
        <v>1</v>
      </c>
      <c r="J142" s="240">
        <v>1</v>
      </c>
      <c r="K142" s="211">
        <v>1</v>
      </c>
      <c r="L142" s="211">
        <v>1</v>
      </c>
      <c r="M142" s="211"/>
      <c r="N142" s="211">
        <v>1</v>
      </c>
      <c r="O142" s="211">
        <v>1</v>
      </c>
      <c r="P142" s="211">
        <v>1</v>
      </c>
      <c r="Q142" s="211"/>
      <c r="R142" s="239"/>
      <c r="S142" s="239">
        <v>1</v>
      </c>
      <c r="T142" s="239">
        <v>1</v>
      </c>
      <c r="U142" s="240">
        <v>1</v>
      </c>
      <c r="V142" s="211">
        <v>1</v>
      </c>
      <c r="W142" s="211">
        <v>1</v>
      </c>
      <c r="X142" s="211">
        <v>1</v>
      </c>
      <c r="Y142" s="211"/>
      <c r="Z142" s="211">
        <v>1</v>
      </c>
      <c r="AA142" s="211">
        <v>1</v>
      </c>
      <c r="AB142" s="211">
        <v>1</v>
      </c>
      <c r="AC142" s="239">
        <v>1</v>
      </c>
      <c r="AD142" s="239">
        <v>1</v>
      </c>
      <c r="AE142" s="239">
        <v>1</v>
      </c>
      <c r="AF142" s="240">
        <v>1</v>
      </c>
      <c r="AG142" s="211">
        <v>1</v>
      </c>
      <c r="AH142" s="211">
        <v>1</v>
      </c>
      <c r="AI142" s="211">
        <v>1</v>
      </c>
      <c r="AJ142" s="211">
        <v>1</v>
      </c>
      <c r="AK142" s="211">
        <v>1</v>
      </c>
      <c r="AL142" s="211">
        <v>1</v>
      </c>
      <c r="AM142" s="211"/>
      <c r="AN142" s="239">
        <v>1</v>
      </c>
      <c r="AO142" s="239"/>
      <c r="AP142" s="239">
        <v>1</v>
      </c>
      <c r="AQ142" s="240">
        <v>1</v>
      </c>
      <c r="AR142" s="240">
        <v>1</v>
      </c>
      <c r="AS142" s="240">
        <v>1</v>
      </c>
      <c r="AT142" s="240">
        <v>1</v>
      </c>
      <c r="AU142" s="240">
        <v>1</v>
      </c>
      <c r="AV142" s="203"/>
      <c r="AW142" s="240"/>
      <c r="AX142" s="240">
        <v>1</v>
      </c>
      <c r="AY142" s="240">
        <v>1</v>
      </c>
      <c r="AZ142" s="203">
        <v>1</v>
      </c>
      <c r="BA142" s="203">
        <v>1</v>
      </c>
      <c r="BB142" s="203">
        <v>1</v>
      </c>
      <c r="BC142" s="203">
        <v>1</v>
      </c>
    </row>
    <row r="143" spans="1:55" ht="21" hidden="1" customHeight="1">
      <c r="A143" s="212"/>
      <c r="B143" s="237">
        <v>46023</v>
      </c>
      <c r="C143" s="211" t="s">
        <v>386</v>
      </c>
      <c r="D143" s="238" t="s">
        <v>598</v>
      </c>
      <c r="E143" s="211" t="s">
        <v>545</v>
      </c>
      <c r="F143" s="211"/>
      <c r="G143" s="239"/>
      <c r="H143" s="239">
        <v>1</v>
      </c>
      <c r="I143" s="239">
        <v>1</v>
      </c>
      <c r="J143" s="240">
        <v>1</v>
      </c>
      <c r="K143" s="211">
        <v>1</v>
      </c>
      <c r="L143" s="211">
        <v>1</v>
      </c>
      <c r="M143" s="211">
        <v>1</v>
      </c>
      <c r="N143" s="211">
        <v>1</v>
      </c>
      <c r="O143" s="211">
        <v>1</v>
      </c>
      <c r="P143" s="211">
        <v>1</v>
      </c>
      <c r="Q143" s="211"/>
      <c r="R143" s="239"/>
      <c r="S143" s="239"/>
      <c r="T143" s="239"/>
      <c r="U143" s="240">
        <v>1</v>
      </c>
      <c r="V143" s="211">
        <v>1</v>
      </c>
      <c r="W143" s="211">
        <v>1</v>
      </c>
      <c r="X143" s="211">
        <v>1</v>
      </c>
      <c r="Y143" s="211">
        <v>1</v>
      </c>
      <c r="Z143" s="211">
        <v>1</v>
      </c>
      <c r="AA143" s="211">
        <v>1</v>
      </c>
      <c r="AB143" s="211">
        <v>1</v>
      </c>
      <c r="AC143" s="239">
        <v>1</v>
      </c>
      <c r="AD143" s="239">
        <v>1</v>
      </c>
      <c r="AE143" s="239">
        <v>1</v>
      </c>
      <c r="AF143" s="240">
        <v>1</v>
      </c>
      <c r="AG143" s="240">
        <v>1</v>
      </c>
      <c r="AH143" s="240">
        <v>1</v>
      </c>
      <c r="AI143" s="211">
        <v>1</v>
      </c>
      <c r="AJ143" s="211">
        <v>1</v>
      </c>
      <c r="AK143" s="211">
        <v>1</v>
      </c>
      <c r="AL143" s="211">
        <v>1</v>
      </c>
      <c r="AM143" s="211">
        <v>1</v>
      </c>
      <c r="AN143" s="239">
        <v>1</v>
      </c>
      <c r="AO143" s="239"/>
      <c r="AP143" s="239">
        <v>1</v>
      </c>
      <c r="AQ143" s="240">
        <v>1</v>
      </c>
      <c r="AR143" s="240"/>
      <c r="AS143" s="240"/>
      <c r="AT143" s="240"/>
      <c r="AU143" s="240"/>
      <c r="AV143" s="203"/>
      <c r="AW143" s="240"/>
      <c r="AX143" s="240">
        <v>1</v>
      </c>
      <c r="AY143" s="240">
        <v>1</v>
      </c>
      <c r="AZ143" s="203">
        <v>1</v>
      </c>
      <c r="BA143" s="203">
        <v>1</v>
      </c>
      <c r="BB143" s="203">
        <v>1</v>
      </c>
      <c r="BC143" s="203">
        <v>1</v>
      </c>
    </row>
    <row r="144" spans="1:55" ht="21" hidden="1" customHeight="1">
      <c r="A144" s="212"/>
      <c r="B144" s="237">
        <v>46023</v>
      </c>
      <c r="C144" s="211" t="s">
        <v>386</v>
      </c>
      <c r="D144" s="238" t="s">
        <v>599</v>
      </c>
      <c r="E144" s="211" t="s">
        <v>411</v>
      </c>
      <c r="F144" s="211">
        <v>1</v>
      </c>
      <c r="G144" s="239"/>
      <c r="H144" s="239"/>
      <c r="I144" s="211">
        <v>1</v>
      </c>
      <c r="J144" s="240">
        <v>1</v>
      </c>
      <c r="K144" s="211">
        <v>1</v>
      </c>
      <c r="L144" s="211">
        <v>1</v>
      </c>
      <c r="M144" s="211">
        <v>1</v>
      </c>
      <c r="N144" s="211">
        <v>1</v>
      </c>
      <c r="O144" s="211">
        <v>1</v>
      </c>
      <c r="P144" s="211">
        <v>1</v>
      </c>
      <c r="Q144" s="211"/>
      <c r="R144" s="239"/>
      <c r="S144" s="239">
        <v>1</v>
      </c>
      <c r="T144" s="239">
        <v>1</v>
      </c>
      <c r="U144" s="240">
        <v>1</v>
      </c>
      <c r="V144" s="211">
        <v>1</v>
      </c>
      <c r="W144" s="211">
        <v>1</v>
      </c>
      <c r="X144" s="211"/>
      <c r="Y144" s="211">
        <v>1</v>
      </c>
      <c r="Z144" s="211">
        <v>1</v>
      </c>
      <c r="AA144" s="211">
        <v>1</v>
      </c>
      <c r="AB144" s="211">
        <v>1</v>
      </c>
      <c r="AC144" s="239"/>
      <c r="AD144" s="239">
        <v>1</v>
      </c>
      <c r="AE144" s="239">
        <v>1</v>
      </c>
      <c r="AF144" s="240">
        <v>1</v>
      </c>
      <c r="AG144" s="211">
        <v>1</v>
      </c>
      <c r="AH144" s="211">
        <v>1</v>
      </c>
      <c r="AI144" s="211"/>
      <c r="AJ144" s="211">
        <v>1</v>
      </c>
      <c r="AK144" s="211">
        <v>1</v>
      </c>
      <c r="AL144" s="211">
        <v>1</v>
      </c>
      <c r="AM144" s="211"/>
      <c r="AN144" s="239"/>
      <c r="AO144" s="239"/>
      <c r="AP144" s="239"/>
      <c r="AQ144" s="240"/>
      <c r="AR144" s="240"/>
      <c r="AS144" s="240"/>
      <c r="AT144" s="240"/>
      <c r="AU144" s="240"/>
      <c r="AV144" s="203"/>
      <c r="AW144" s="240"/>
      <c r="AX144" s="240">
        <v>1</v>
      </c>
      <c r="AY144" s="240">
        <v>1</v>
      </c>
      <c r="AZ144" s="203">
        <v>1</v>
      </c>
      <c r="BA144" s="203">
        <v>1</v>
      </c>
      <c r="BB144" s="203">
        <v>1</v>
      </c>
      <c r="BC144" s="203">
        <v>1</v>
      </c>
    </row>
    <row r="145" spans="1:55" ht="21" customHeight="1">
      <c r="A145" s="212"/>
      <c r="B145" s="237">
        <v>46023</v>
      </c>
      <c r="C145" s="211" t="s">
        <v>395</v>
      </c>
      <c r="D145" s="238" t="s">
        <v>600</v>
      </c>
      <c r="E145" s="211" t="s">
        <v>426</v>
      </c>
      <c r="F145" s="211"/>
      <c r="G145" s="239"/>
      <c r="H145" s="239">
        <v>1</v>
      </c>
      <c r="I145" s="239">
        <v>1</v>
      </c>
      <c r="J145" s="240"/>
      <c r="K145" s="211"/>
      <c r="L145" s="211"/>
      <c r="M145" s="211"/>
      <c r="N145" s="211"/>
      <c r="O145" s="211"/>
      <c r="P145" s="211">
        <v>1</v>
      </c>
      <c r="Q145" s="211"/>
      <c r="R145" s="239"/>
      <c r="S145" s="239"/>
      <c r="T145" s="239"/>
      <c r="U145" s="240"/>
      <c r="V145" s="211"/>
      <c r="W145" s="211"/>
      <c r="X145" s="211">
        <v>1</v>
      </c>
      <c r="Y145" s="211"/>
      <c r="Z145" s="211"/>
      <c r="AA145" s="211"/>
      <c r="AB145" s="211">
        <v>1</v>
      </c>
      <c r="AC145" s="239"/>
      <c r="AD145" s="239">
        <v>1</v>
      </c>
      <c r="AE145" s="211">
        <v>1</v>
      </c>
      <c r="AF145" s="240">
        <v>1</v>
      </c>
      <c r="AG145" s="211">
        <v>1</v>
      </c>
      <c r="AH145" s="211">
        <v>1</v>
      </c>
      <c r="AI145" s="211">
        <v>1</v>
      </c>
      <c r="AJ145" s="211">
        <v>1</v>
      </c>
      <c r="AK145" s="211">
        <v>1</v>
      </c>
      <c r="AL145" s="211">
        <v>1</v>
      </c>
      <c r="AM145" s="211">
        <v>1</v>
      </c>
      <c r="AN145" s="239"/>
      <c r="AO145" s="239">
        <v>1</v>
      </c>
      <c r="AP145" s="239">
        <v>1</v>
      </c>
      <c r="AQ145" s="240"/>
      <c r="AR145" s="240"/>
      <c r="AS145" s="240">
        <v>1</v>
      </c>
      <c r="AT145" s="240">
        <v>1</v>
      </c>
      <c r="AU145" s="240">
        <v>1</v>
      </c>
      <c r="AV145" s="203"/>
      <c r="AW145" s="240"/>
      <c r="AX145" s="240">
        <v>1</v>
      </c>
      <c r="AY145" s="240"/>
      <c r="AZ145" s="203">
        <v>1</v>
      </c>
      <c r="BA145" s="203">
        <v>1</v>
      </c>
      <c r="BB145" s="203"/>
      <c r="BC145" s="203"/>
    </row>
    <row r="146" spans="1:55" ht="21" customHeight="1">
      <c r="A146" s="212"/>
      <c r="B146" s="237">
        <v>46023</v>
      </c>
      <c r="C146" s="211" t="s">
        <v>395</v>
      </c>
      <c r="D146" s="238" t="s">
        <v>601</v>
      </c>
      <c r="E146" s="211" t="s">
        <v>404</v>
      </c>
      <c r="F146" s="211">
        <v>1</v>
      </c>
      <c r="G146" s="239"/>
      <c r="H146" s="239">
        <v>1</v>
      </c>
      <c r="I146" s="239">
        <v>1</v>
      </c>
      <c r="J146" s="240">
        <v>1</v>
      </c>
      <c r="K146" s="211">
        <v>1</v>
      </c>
      <c r="L146" s="211">
        <v>1</v>
      </c>
      <c r="M146" s="211">
        <v>1</v>
      </c>
      <c r="N146" s="211">
        <v>1</v>
      </c>
      <c r="O146" s="211">
        <v>1</v>
      </c>
      <c r="P146" s="211">
        <v>1</v>
      </c>
      <c r="Q146" s="211"/>
      <c r="R146" s="239"/>
      <c r="S146" s="239">
        <v>1</v>
      </c>
      <c r="T146" s="239">
        <v>1</v>
      </c>
      <c r="U146" s="240">
        <v>1</v>
      </c>
      <c r="V146" s="211">
        <v>1</v>
      </c>
      <c r="W146" s="211">
        <v>1</v>
      </c>
      <c r="X146" s="211"/>
      <c r="Y146" s="211"/>
      <c r="Z146" s="211">
        <v>1</v>
      </c>
      <c r="AA146" s="211">
        <v>1</v>
      </c>
      <c r="AB146" s="211">
        <v>1</v>
      </c>
      <c r="AC146" s="239">
        <v>1</v>
      </c>
      <c r="AD146" s="239">
        <v>1</v>
      </c>
      <c r="AE146" s="239">
        <v>1</v>
      </c>
      <c r="AF146" s="240">
        <v>1</v>
      </c>
      <c r="AG146" s="211">
        <v>1</v>
      </c>
      <c r="AH146" s="211">
        <v>1</v>
      </c>
      <c r="AI146" s="211">
        <v>1</v>
      </c>
      <c r="AJ146" s="211">
        <v>1</v>
      </c>
      <c r="AK146" s="211">
        <v>1</v>
      </c>
      <c r="AL146" s="211">
        <v>1</v>
      </c>
      <c r="AM146" s="211"/>
      <c r="AN146" s="239"/>
      <c r="AO146" s="239"/>
      <c r="AP146" s="239"/>
      <c r="AQ146" s="240"/>
      <c r="AR146" s="240">
        <v>1</v>
      </c>
      <c r="AS146" s="240"/>
      <c r="AT146" s="240"/>
      <c r="AU146" s="240"/>
      <c r="AV146" s="203"/>
      <c r="AW146" s="240"/>
      <c r="AX146" s="240"/>
      <c r="AY146" s="240"/>
      <c r="AZ146" s="203">
        <v>1</v>
      </c>
      <c r="BA146" s="203">
        <v>1</v>
      </c>
      <c r="BB146" s="203">
        <v>1</v>
      </c>
      <c r="BC146" s="203">
        <v>1</v>
      </c>
    </row>
    <row r="147" spans="1:55" ht="21" hidden="1" customHeight="1">
      <c r="A147" s="212"/>
      <c r="B147" s="237">
        <v>46023</v>
      </c>
      <c r="C147" s="211" t="s">
        <v>384</v>
      </c>
      <c r="D147" s="238" t="s">
        <v>602</v>
      </c>
      <c r="E147" s="211" t="s">
        <v>603</v>
      </c>
      <c r="F147" s="211">
        <v>1</v>
      </c>
      <c r="G147" s="239">
        <v>1</v>
      </c>
      <c r="H147" s="239">
        <v>1</v>
      </c>
      <c r="I147" s="239">
        <v>1</v>
      </c>
      <c r="J147" s="240">
        <v>1</v>
      </c>
      <c r="K147" s="211"/>
      <c r="L147" s="211"/>
      <c r="M147" s="211">
        <v>1</v>
      </c>
      <c r="N147" s="211">
        <v>1</v>
      </c>
      <c r="O147" s="211"/>
      <c r="P147" s="211"/>
      <c r="Q147" s="211">
        <v>1</v>
      </c>
      <c r="R147" s="239">
        <v>1</v>
      </c>
      <c r="S147" s="239"/>
      <c r="T147" s="239">
        <v>1</v>
      </c>
      <c r="U147" s="240">
        <v>1</v>
      </c>
      <c r="V147" s="211"/>
      <c r="W147" s="211"/>
      <c r="X147" s="211"/>
      <c r="Y147" s="211">
        <v>1</v>
      </c>
      <c r="Z147" s="211">
        <v>1</v>
      </c>
      <c r="AA147" s="211">
        <v>1</v>
      </c>
      <c r="AB147" s="211">
        <v>1</v>
      </c>
      <c r="AC147" s="239">
        <v>1</v>
      </c>
      <c r="AD147" s="239">
        <v>1</v>
      </c>
      <c r="AE147" s="239">
        <v>1</v>
      </c>
      <c r="AF147" s="240">
        <v>1</v>
      </c>
      <c r="AG147" s="211">
        <v>1</v>
      </c>
      <c r="AH147" s="211">
        <v>1</v>
      </c>
      <c r="AI147" s="211">
        <v>1</v>
      </c>
      <c r="AJ147" s="211"/>
      <c r="AK147" s="211"/>
      <c r="AL147" s="211">
        <v>1</v>
      </c>
      <c r="AM147" s="211"/>
      <c r="AN147" s="239"/>
      <c r="AO147" s="239">
        <v>1</v>
      </c>
      <c r="AP147" s="239">
        <v>1</v>
      </c>
      <c r="AQ147" s="240">
        <v>1</v>
      </c>
      <c r="AR147" s="240"/>
      <c r="AS147" s="240"/>
      <c r="AT147" s="240"/>
      <c r="AU147" s="240"/>
      <c r="AV147" s="203"/>
      <c r="AW147" s="240"/>
      <c r="AX147" s="240"/>
      <c r="AY147" s="240"/>
      <c r="AZ147" s="203"/>
      <c r="BA147" s="203"/>
      <c r="BB147" s="203"/>
      <c r="BC147" s="203"/>
    </row>
    <row r="148" spans="1:55" ht="21" hidden="1" customHeight="1">
      <c r="A148" s="212"/>
      <c r="B148" s="237">
        <v>46023</v>
      </c>
      <c r="C148" s="211" t="s">
        <v>384</v>
      </c>
      <c r="D148" s="238" t="s">
        <v>604</v>
      </c>
      <c r="E148" s="211" t="s">
        <v>568</v>
      </c>
      <c r="F148" s="211">
        <v>1</v>
      </c>
      <c r="G148" s="239">
        <v>1</v>
      </c>
      <c r="H148" s="239">
        <v>1</v>
      </c>
      <c r="I148" s="239">
        <v>1</v>
      </c>
      <c r="J148" s="240">
        <v>1</v>
      </c>
      <c r="K148" s="211">
        <v>1</v>
      </c>
      <c r="L148" s="211">
        <v>1</v>
      </c>
      <c r="M148" s="211">
        <v>1</v>
      </c>
      <c r="N148" s="211">
        <v>1</v>
      </c>
      <c r="O148" s="211">
        <v>1</v>
      </c>
      <c r="P148" s="211">
        <v>1</v>
      </c>
      <c r="Q148" s="211">
        <v>1</v>
      </c>
      <c r="R148" s="239">
        <v>1</v>
      </c>
      <c r="S148" s="239">
        <v>1</v>
      </c>
      <c r="T148" s="239">
        <v>1</v>
      </c>
      <c r="U148" s="240">
        <v>1</v>
      </c>
      <c r="V148" s="211">
        <v>1</v>
      </c>
      <c r="W148" s="211">
        <v>1</v>
      </c>
      <c r="X148" s="211">
        <v>1</v>
      </c>
      <c r="Y148" s="211">
        <v>1</v>
      </c>
      <c r="Z148" s="211">
        <v>1</v>
      </c>
      <c r="AA148" s="211">
        <v>1</v>
      </c>
      <c r="AB148" s="211">
        <v>1</v>
      </c>
      <c r="AC148" s="239">
        <v>1</v>
      </c>
      <c r="AD148" s="239">
        <v>1</v>
      </c>
      <c r="AE148" s="239">
        <v>1</v>
      </c>
      <c r="AF148" s="240">
        <v>1</v>
      </c>
      <c r="AG148" s="211">
        <v>1</v>
      </c>
      <c r="AH148" s="211">
        <v>1</v>
      </c>
      <c r="AI148" s="211">
        <v>1</v>
      </c>
      <c r="AJ148" s="211">
        <v>1</v>
      </c>
      <c r="AK148" s="211">
        <v>1</v>
      </c>
      <c r="AL148" s="211">
        <v>1</v>
      </c>
      <c r="AM148" s="211"/>
      <c r="AN148" s="239"/>
      <c r="AO148" s="239"/>
      <c r="AP148" s="239"/>
      <c r="AQ148" s="240"/>
      <c r="AR148" s="240">
        <v>1</v>
      </c>
      <c r="AS148" s="240">
        <v>1</v>
      </c>
      <c r="AT148" s="240">
        <v>1</v>
      </c>
      <c r="AU148" s="240">
        <v>1</v>
      </c>
      <c r="AV148" s="203"/>
      <c r="AW148" s="240"/>
      <c r="AX148" s="240"/>
      <c r="AY148" s="240"/>
      <c r="AZ148" s="203">
        <v>1</v>
      </c>
      <c r="BA148" s="203">
        <v>1</v>
      </c>
      <c r="BB148" s="203"/>
      <c r="BC148" s="203"/>
    </row>
    <row r="149" spans="1:55" ht="21" hidden="1" customHeight="1">
      <c r="A149" s="212"/>
      <c r="B149" s="237">
        <v>46023</v>
      </c>
      <c r="C149" s="211" t="s">
        <v>384</v>
      </c>
      <c r="D149" s="238" t="s">
        <v>605</v>
      </c>
      <c r="E149" s="211" t="s">
        <v>575</v>
      </c>
      <c r="F149" s="211">
        <v>1</v>
      </c>
      <c r="G149" s="239">
        <v>1</v>
      </c>
      <c r="H149" s="239">
        <v>1</v>
      </c>
      <c r="I149" s="239">
        <v>1</v>
      </c>
      <c r="J149" s="240">
        <v>1</v>
      </c>
      <c r="K149" s="211">
        <v>1</v>
      </c>
      <c r="L149" s="211">
        <v>1</v>
      </c>
      <c r="M149" s="211">
        <v>1</v>
      </c>
      <c r="N149" s="211">
        <v>1</v>
      </c>
      <c r="O149" s="211">
        <v>1</v>
      </c>
      <c r="P149" s="211">
        <v>1</v>
      </c>
      <c r="Q149" s="211"/>
      <c r="R149" s="239">
        <v>1</v>
      </c>
      <c r="S149" s="239">
        <v>1</v>
      </c>
      <c r="T149" s="239">
        <v>1</v>
      </c>
      <c r="U149" s="240">
        <v>1</v>
      </c>
      <c r="V149" s="211">
        <v>1</v>
      </c>
      <c r="W149" s="211">
        <v>1</v>
      </c>
      <c r="X149" s="211">
        <v>1</v>
      </c>
      <c r="Y149" s="211">
        <v>1</v>
      </c>
      <c r="Z149" s="211">
        <v>1</v>
      </c>
      <c r="AA149" s="211">
        <v>1</v>
      </c>
      <c r="AB149" s="211">
        <v>1</v>
      </c>
      <c r="AC149" s="239">
        <v>1</v>
      </c>
      <c r="AD149" s="239">
        <v>1</v>
      </c>
      <c r="AE149" s="239">
        <v>1</v>
      </c>
      <c r="AF149" s="240">
        <v>1</v>
      </c>
      <c r="AG149" s="211">
        <v>1</v>
      </c>
      <c r="AH149" s="211">
        <v>1</v>
      </c>
      <c r="AI149" s="211">
        <v>1</v>
      </c>
      <c r="AJ149" s="211">
        <v>1</v>
      </c>
      <c r="AK149" s="211">
        <v>1</v>
      </c>
      <c r="AL149" s="211">
        <v>1</v>
      </c>
      <c r="AM149" s="211">
        <v>1</v>
      </c>
      <c r="AN149" s="239">
        <v>1</v>
      </c>
      <c r="AO149" s="239">
        <v>1</v>
      </c>
      <c r="AP149" s="211">
        <v>1</v>
      </c>
      <c r="AQ149" s="211">
        <v>1</v>
      </c>
      <c r="AR149" s="211">
        <v>1</v>
      </c>
      <c r="AS149" s="211">
        <v>1</v>
      </c>
      <c r="AT149" s="211">
        <v>1</v>
      </c>
      <c r="AU149" s="211">
        <v>1</v>
      </c>
      <c r="AV149" s="203">
        <v>1</v>
      </c>
      <c r="AW149" s="240">
        <v>1</v>
      </c>
      <c r="AX149" s="240">
        <v>1</v>
      </c>
      <c r="AY149" s="240">
        <v>1</v>
      </c>
      <c r="AZ149" s="203">
        <v>1</v>
      </c>
      <c r="BA149" s="203">
        <v>1</v>
      </c>
      <c r="BB149" s="203">
        <v>1</v>
      </c>
      <c r="BC149" s="203">
        <v>1</v>
      </c>
    </row>
    <row r="150" spans="1:55" ht="21" hidden="1" customHeight="1">
      <c r="A150" s="212"/>
      <c r="B150" s="237">
        <v>46023</v>
      </c>
      <c r="C150" s="211" t="s">
        <v>384</v>
      </c>
      <c r="D150" s="238" t="s">
        <v>606</v>
      </c>
      <c r="E150" s="211" t="s">
        <v>607</v>
      </c>
      <c r="F150" s="211">
        <v>1</v>
      </c>
      <c r="G150" s="239">
        <v>1</v>
      </c>
      <c r="H150" s="239">
        <v>1</v>
      </c>
      <c r="I150" s="239">
        <v>1</v>
      </c>
      <c r="J150" s="240">
        <v>1</v>
      </c>
      <c r="K150" s="211">
        <v>1</v>
      </c>
      <c r="L150" s="211">
        <v>1</v>
      </c>
      <c r="M150" s="211">
        <v>1</v>
      </c>
      <c r="N150" s="211">
        <v>1</v>
      </c>
      <c r="O150" s="211">
        <v>1</v>
      </c>
      <c r="P150" s="211">
        <v>1</v>
      </c>
      <c r="Q150" s="211">
        <v>1</v>
      </c>
      <c r="R150" s="239">
        <v>1</v>
      </c>
      <c r="S150" s="239">
        <v>1</v>
      </c>
      <c r="T150" s="239">
        <v>1</v>
      </c>
      <c r="U150" s="240">
        <v>1</v>
      </c>
      <c r="V150" s="211">
        <v>1</v>
      </c>
      <c r="W150" s="211">
        <v>1</v>
      </c>
      <c r="X150" s="211"/>
      <c r="Y150" s="211"/>
      <c r="Z150" s="211">
        <v>1</v>
      </c>
      <c r="AA150" s="211">
        <v>1</v>
      </c>
      <c r="AB150" s="211">
        <v>1</v>
      </c>
      <c r="AC150" s="239">
        <v>1</v>
      </c>
      <c r="AD150" s="239">
        <v>1</v>
      </c>
      <c r="AE150" s="239">
        <v>1</v>
      </c>
      <c r="AF150" s="240">
        <v>1</v>
      </c>
      <c r="AG150" s="211">
        <v>1</v>
      </c>
      <c r="AH150" s="211">
        <v>1</v>
      </c>
      <c r="AI150" s="211">
        <v>1</v>
      </c>
      <c r="AJ150" s="211">
        <v>1</v>
      </c>
      <c r="AK150" s="211">
        <v>1</v>
      </c>
      <c r="AL150" s="211">
        <v>1</v>
      </c>
      <c r="AM150" s="211"/>
      <c r="AN150" s="239"/>
      <c r="AO150" s="239">
        <v>1</v>
      </c>
      <c r="AP150" s="239">
        <v>1</v>
      </c>
      <c r="AQ150" s="239">
        <v>1</v>
      </c>
      <c r="AR150" s="239">
        <v>1</v>
      </c>
      <c r="AS150" s="239">
        <v>1</v>
      </c>
      <c r="AT150" s="239">
        <v>1</v>
      </c>
      <c r="AU150" s="239">
        <v>1</v>
      </c>
      <c r="AV150" s="203">
        <v>1</v>
      </c>
      <c r="AW150" s="240">
        <v>1</v>
      </c>
      <c r="AX150" s="240">
        <v>1</v>
      </c>
      <c r="AY150" s="240"/>
      <c r="AZ150" s="203">
        <v>1</v>
      </c>
      <c r="BA150" s="203">
        <v>1</v>
      </c>
      <c r="BB150" s="203">
        <v>1</v>
      </c>
      <c r="BC150" s="203">
        <v>1</v>
      </c>
    </row>
    <row r="151" spans="1:55" ht="21" hidden="1" customHeight="1">
      <c r="A151" s="212"/>
      <c r="B151" s="237">
        <v>46023</v>
      </c>
      <c r="C151" s="211" t="s">
        <v>384</v>
      </c>
      <c r="D151" s="238" t="s">
        <v>608</v>
      </c>
      <c r="E151" s="211" t="s">
        <v>609</v>
      </c>
      <c r="F151" s="211">
        <v>1</v>
      </c>
      <c r="G151" s="239">
        <v>1</v>
      </c>
      <c r="H151" s="239">
        <v>1</v>
      </c>
      <c r="I151" s="239">
        <v>1</v>
      </c>
      <c r="J151" s="240">
        <v>1</v>
      </c>
      <c r="K151" s="211">
        <v>1</v>
      </c>
      <c r="L151" s="211">
        <v>1</v>
      </c>
      <c r="M151" s="211">
        <v>1</v>
      </c>
      <c r="N151" s="211">
        <v>1</v>
      </c>
      <c r="O151" s="211">
        <v>1</v>
      </c>
      <c r="P151" s="211">
        <v>1</v>
      </c>
      <c r="Q151" s="211">
        <v>1</v>
      </c>
      <c r="R151" s="239">
        <v>1</v>
      </c>
      <c r="S151" s="239">
        <v>1</v>
      </c>
      <c r="T151" s="239">
        <v>1</v>
      </c>
      <c r="U151" s="240">
        <v>1</v>
      </c>
      <c r="V151" s="211">
        <v>1</v>
      </c>
      <c r="W151" s="211">
        <v>1</v>
      </c>
      <c r="X151" s="211">
        <v>1</v>
      </c>
      <c r="Y151" s="211">
        <v>1</v>
      </c>
      <c r="Z151" s="211">
        <v>1</v>
      </c>
      <c r="AA151" s="211">
        <v>1</v>
      </c>
      <c r="AB151" s="211">
        <v>1</v>
      </c>
      <c r="AC151" s="239">
        <v>1</v>
      </c>
      <c r="AD151" s="239">
        <v>1</v>
      </c>
      <c r="AE151" s="239">
        <v>1</v>
      </c>
      <c r="AF151" s="240">
        <v>1</v>
      </c>
      <c r="AG151" s="211">
        <v>1</v>
      </c>
      <c r="AH151" s="211">
        <v>1</v>
      </c>
      <c r="AI151" s="211">
        <v>1</v>
      </c>
      <c r="AJ151" s="211">
        <v>1</v>
      </c>
      <c r="AK151" s="211">
        <v>1</v>
      </c>
      <c r="AL151" s="211">
        <v>1</v>
      </c>
      <c r="AM151" s="211"/>
      <c r="AN151" s="239"/>
      <c r="AO151" s="239"/>
      <c r="AP151" s="239"/>
      <c r="AQ151" s="240"/>
      <c r="AR151" s="240">
        <v>1</v>
      </c>
      <c r="AS151" s="240">
        <v>1</v>
      </c>
      <c r="AT151" s="240"/>
      <c r="AU151" s="240"/>
      <c r="AV151" s="203">
        <v>1</v>
      </c>
      <c r="AW151" s="240">
        <v>1</v>
      </c>
      <c r="AX151" s="240"/>
      <c r="AY151" s="240"/>
      <c r="AZ151" s="203">
        <v>1</v>
      </c>
      <c r="BA151" s="203">
        <v>1</v>
      </c>
      <c r="BB151" s="203"/>
      <c r="BC151" s="203"/>
    </row>
    <row r="152" spans="1:55" ht="21" hidden="1" customHeight="1">
      <c r="A152" s="212"/>
      <c r="B152" s="237">
        <v>46023</v>
      </c>
      <c r="C152" s="211" t="s">
        <v>386</v>
      </c>
      <c r="D152" s="238" t="s">
        <v>610</v>
      </c>
      <c r="E152" s="211" t="s">
        <v>545</v>
      </c>
      <c r="F152" s="211">
        <v>1</v>
      </c>
      <c r="G152" s="239"/>
      <c r="H152" s="239">
        <v>1</v>
      </c>
      <c r="I152" s="239">
        <v>1</v>
      </c>
      <c r="J152" s="240">
        <v>1</v>
      </c>
      <c r="K152" s="211">
        <v>1</v>
      </c>
      <c r="L152" s="211">
        <v>1</v>
      </c>
      <c r="M152" s="211">
        <v>1</v>
      </c>
      <c r="N152" s="211">
        <v>1</v>
      </c>
      <c r="O152" s="211">
        <v>1</v>
      </c>
      <c r="P152" s="211">
        <v>1</v>
      </c>
      <c r="Q152" s="211"/>
      <c r="R152" s="239"/>
      <c r="S152" s="239">
        <v>1</v>
      </c>
      <c r="T152" s="239">
        <v>1</v>
      </c>
      <c r="U152" s="240">
        <v>1</v>
      </c>
      <c r="V152" s="211">
        <v>1</v>
      </c>
      <c r="W152" s="211">
        <v>1</v>
      </c>
      <c r="X152" s="211">
        <v>1</v>
      </c>
      <c r="Y152" s="211"/>
      <c r="Z152" s="211"/>
      <c r="AA152" s="211">
        <v>1</v>
      </c>
      <c r="AB152" s="211">
        <v>1</v>
      </c>
      <c r="AC152" s="239">
        <v>1</v>
      </c>
      <c r="AD152" s="239">
        <v>1</v>
      </c>
      <c r="AE152" s="239">
        <v>1</v>
      </c>
      <c r="AF152" s="240">
        <v>1</v>
      </c>
      <c r="AG152" s="240">
        <v>1</v>
      </c>
      <c r="AH152" s="211">
        <v>1</v>
      </c>
      <c r="AI152" s="211">
        <v>1</v>
      </c>
      <c r="AJ152" s="211">
        <v>1</v>
      </c>
      <c r="AK152" s="211">
        <v>1</v>
      </c>
      <c r="AL152" s="211">
        <v>1</v>
      </c>
      <c r="AM152" s="211">
        <v>1</v>
      </c>
      <c r="AN152" s="239">
        <v>1</v>
      </c>
      <c r="AO152" s="239"/>
      <c r="AP152" s="239">
        <v>1</v>
      </c>
      <c r="AQ152" s="240">
        <v>1</v>
      </c>
      <c r="AR152" s="240"/>
      <c r="AS152" s="240"/>
      <c r="AT152" s="240">
        <v>1</v>
      </c>
      <c r="AU152" s="240">
        <v>1</v>
      </c>
      <c r="AV152" s="203"/>
      <c r="AW152" s="240"/>
      <c r="AX152" s="240">
        <v>1</v>
      </c>
      <c r="AY152" s="240">
        <v>1</v>
      </c>
      <c r="AZ152" s="203">
        <v>1</v>
      </c>
      <c r="BA152" s="203">
        <v>1</v>
      </c>
      <c r="BB152" s="203"/>
      <c r="BC152" s="203"/>
    </row>
    <row r="153" spans="1:55" ht="21" hidden="1" customHeight="1">
      <c r="A153" s="212"/>
      <c r="B153" s="237">
        <v>46023</v>
      </c>
      <c r="C153" s="211" t="s">
        <v>386</v>
      </c>
      <c r="D153" s="238" t="s">
        <v>611</v>
      </c>
      <c r="E153" s="211" t="s">
        <v>612</v>
      </c>
      <c r="F153" s="211"/>
      <c r="G153" s="239">
        <v>1</v>
      </c>
      <c r="H153" s="239">
        <v>1</v>
      </c>
      <c r="I153" s="239">
        <v>1</v>
      </c>
      <c r="J153" s="240">
        <v>1</v>
      </c>
      <c r="K153" s="211">
        <v>1</v>
      </c>
      <c r="L153" s="211">
        <v>1</v>
      </c>
      <c r="M153" s="211">
        <v>1</v>
      </c>
      <c r="N153" s="211">
        <v>1</v>
      </c>
      <c r="O153" s="211">
        <v>1</v>
      </c>
      <c r="P153" s="211">
        <v>1</v>
      </c>
      <c r="Q153" s="211">
        <v>1</v>
      </c>
      <c r="R153" s="239">
        <v>1</v>
      </c>
      <c r="S153" s="239">
        <v>1</v>
      </c>
      <c r="T153" s="239">
        <v>1</v>
      </c>
      <c r="U153" s="240">
        <v>1</v>
      </c>
      <c r="V153" s="211">
        <v>1</v>
      </c>
      <c r="W153" s="211">
        <v>1</v>
      </c>
      <c r="X153" s="211">
        <v>1</v>
      </c>
      <c r="Y153" s="211">
        <v>1</v>
      </c>
      <c r="Z153" s="211">
        <v>1</v>
      </c>
      <c r="AA153" s="211">
        <v>1</v>
      </c>
      <c r="AB153" s="211">
        <v>1</v>
      </c>
      <c r="AC153" s="239">
        <v>1</v>
      </c>
      <c r="AD153" s="239">
        <v>1</v>
      </c>
      <c r="AE153" s="239">
        <v>1</v>
      </c>
      <c r="AF153" s="240">
        <v>1</v>
      </c>
      <c r="AG153" s="240">
        <v>1</v>
      </c>
      <c r="AH153" s="211">
        <v>1</v>
      </c>
      <c r="AI153" s="211">
        <v>1</v>
      </c>
      <c r="AJ153" s="211">
        <v>1</v>
      </c>
      <c r="AK153" s="211">
        <v>1</v>
      </c>
      <c r="AL153" s="211">
        <v>1</v>
      </c>
      <c r="AM153" s="211">
        <v>1</v>
      </c>
      <c r="AN153" s="239"/>
      <c r="AO153" s="239">
        <v>1</v>
      </c>
      <c r="AP153" s="239">
        <v>1</v>
      </c>
      <c r="AQ153" s="240">
        <v>1</v>
      </c>
      <c r="AR153" s="240">
        <v>1</v>
      </c>
      <c r="AS153" s="240">
        <v>1</v>
      </c>
      <c r="AT153" s="240">
        <v>1</v>
      </c>
      <c r="AU153" s="240">
        <v>1</v>
      </c>
      <c r="AV153" s="203"/>
      <c r="AW153" s="240"/>
      <c r="AX153" s="240">
        <v>1</v>
      </c>
      <c r="AY153" s="240">
        <v>1</v>
      </c>
      <c r="AZ153" s="203">
        <v>1</v>
      </c>
      <c r="BA153" s="203">
        <v>1</v>
      </c>
      <c r="BB153" s="203">
        <v>1</v>
      </c>
      <c r="BC153" s="203">
        <v>1</v>
      </c>
    </row>
    <row r="154" spans="1:55" ht="21" hidden="1" customHeight="1">
      <c r="A154" s="212"/>
      <c r="B154" s="237">
        <v>46023</v>
      </c>
      <c r="C154" s="211" t="s">
        <v>386</v>
      </c>
      <c r="D154" s="238" t="s">
        <v>613</v>
      </c>
      <c r="E154" s="211" t="s">
        <v>614</v>
      </c>
      <c r="F154" s="211"/>
      <c r="G154" s="239">
        <v>1</v>
      </c>
      <c r="H154" s="239">
        <v>1</v>
      </c>
      <c r="I154" s="239">
        <v>1</v>
      </c>
      <c r="J154" s="240">
        <v>1</v>
      </c>
      <c r="K154" s="211">
        <v>1</v>
      </c>
      <c r="L154" s="211">
        <v>1</v>
      </c>
      <c r="M154" s="211">
        <v>1</v>
      </c>
      <c r="N154" s="211">
        <v>1</v>
      </c>
      <c r="O154" s="211">
        <v>1</v>
      </c>
      <c r="P154" s="211">
        <v>1</v>
      </c>
      <c r="Q154" s="211">
        <v>1</v>
      </c>
      <c r="R154" s="239">
        <v>1</v>
      </c>
      <c r="S154" s="239">
        <v>1</v>
      </c>
      <c r="T154" s="239">
        <v>1</v>
      </c>
      <c r="U154" s="240">
        <v>1</v>
      </c>
      <c r="V154" s="211">
        <v>1</v>
      </c>
      <c r="W154" s="211">
        <v>1</v>
      </c>
      <c r="X154" s="211">
        <v>1</v>
      </c>
      <c r="Y154" s="211">
        <v>1</v>
      </c>
      <c r="Z154" s="211">
        <v>1</v>
      </c>
      <c r="AA154" s="211">
        <v>1</v>
      </c>
      <c r="AB154" s="211">
        <v>1</v>
      </c>
      <c r="AC154" s="239">
        <v>1</v>
      </c>
      <c r="AD154" s="239">
        <v>1</v>
      </c>
      <c r="AE154" s="239">
        <v>1</v>
      </c>
      <c r="AF154" s="240">
        <v>1</v>
      </c>
      <c r="AG154" s="211">
        <v>1</v>
      </c>
      <c r="AH154" s="211">
        <v>1</v>
      </c>
      <c r="AI154" s="211">
        <v>1</v>
      </c>
      <c r="AJ154" s="211">
        <v>1</v>
      </c>
      <c r="AK154" s="211">
        <v>1</v>
      </c>
      <c r="AL154" s="211">
        <v>1</v>
      </c>
      <c r="AM154" s="211">
        <v>1</v>
      </c>
      <c r="AN154" s="239">
        <v>1</v>
      </c>
      <c r="AO154" s="239"/>
      <c r="AP154" s="239">
        <v>1</v>
      </c>
      <c r="AQ154" s="240">
        <v>1</v>
      </c>
      <c r="AR154" s="240"/>
      <c r="AS154" s="240"/>
      <c r="AT154" s="240"/>
      <c r="AU154" s="240"/>
      <c r="AV154" s="203"/>
      <c r="AW154" s="240"/>
      <c r="AX154" s="240">
        <v>1</v>
      </c>
      <c r="AY154" s="240">
        <v>1</v>
      </c>
      <c r="AZ154" s="203">
        <v>1</v>
      </c>
      <c r="BA154" s="203">
        <v>1</v>
      </c>
      <c r="BB154" s="203">
        <v>1</v>
      </c>
      <c r="BC154" s="203">
        <v>1</v>
      </c>
    </row>
    <row r="155" spans="1:55" ht="21" hidden="1" customHeight="1">
      <c r="A155" s="212"/>
      <c r="B155" s="237">
        <v>46023</v>
      </c>
      <c r="C155" s="211" t="s">
        <v>386</v>
      </c>
      <c r="D155" s="238" t="s">
        <v>615</v>
      </c>
      <c r="E155" s="211" t="s">
        <v>415</v>
      </c>
      <c r="F155" s="211">
        <v>1</v>
      </c>
      <c r="G155" s="239">
        <v>1</v>
      </c>
      <c r="H155" s="239">
        <v>1</v>
      </c>
      <c r="I155" s="239">
        <v>1</v>
      </c>
      <c r="J155" s="240">
        <v>1</v>
      </c>
      <c r="K155" s="211">
        <v>1</v>
      </c>
      <c r="L155" s="211">
        <v>1</v>
      </c>
      <c r="M155" s="211">
        <v>1</v>
      </c>
      <c r="N155" s="211">
        <v>1</v>
      </c>
      <c r="O155" s="211">
        <v>1</v>
      </c>
      <c r="P155" s="211">
        <v>1</v>
      </c>
      <c r="Q155" s="211">
        <v>1</v>
      </c>
      <c r="R155" s="239">
        <v>1</v>
      </c>
      <c r="S155" s="239">
        <v>1</v>
      </c>
      <c r="T155" s="239">
        <v>1</v>
      </c>
      <c r="U155" s="240">
        <v>1</v>
      </c>
      <c r="V155" s="211">
        <v>1</v>
      </c>
      <c r="W155" s="211">
        <v>1</v>
      </c>
      <c r="X155" s="211">
        <v>1</v>
      </c>
      <c r="Y155" s="211">
        <v>1</v>
      </c>
      <c r="Z155" s="211">
        <v>1</v>
      </c>
      <c r="AA155" s="211">
        <v>1</v>
      </c>
      <c r="AB155" s="211">
        <v>1</v>
      </c>
      <c r="AC155" s="239"/>
      <c r="AD155" s="239">
        <v>1</v>
      </c>
      <c r="AE155" s="239">
        <v>1</v>
      </c>
      <c r="AF155" s="240">
        <v>1</v>
      </c>
      <c r="AG155" s="211">
        <v>1</v>
      </c>
      <c r="AH155" s="211">
        <v>1</v>
      </c>
      <c r="AI155" s="211">
        <v>1</v>
      </c>
      <c r="AJ155" s="211">
        <v>1</v>
      </c>
      <c r="AK155" s="211">
        <v>1</v>
      </c>
      <c r="AL155" s="211">
        <v>1</v>
      </c>
      <c r="AM155" s="211"/>
      <c r="AN155" s="239">
        <v>1</v>
      </c>
      <c r="AO155" s="239"/>
      <c r="AP155" s="239">
        <v>1</v>
      </c>
      <c r="AQ155" s="240">
        <v>1</v>
      </c>
      <c r="AR155" s="240"/>
      <c r="AS155" s="240"/>
      <c r="AT155" s="240"/>
      <c r="AU155" s="240"/>
      <c r="AV155" s="203"/>
      <c r="AW155" s="240"/>
      <c r="AX155" s="240">
        <v>1</v>
      </c>
      <c r="AY155" s="240">
        <v>1</v>
      </c>
      <c r="AZ155" s="203">
        <v>1</v>
      </c>
      <c r="BA155" s="203">
        <v>1</v>
      </c>
      <c r="BB155" s="203">
        <v>1</v>
      </c>
      <c r="BC155" s="203">
        <v>1</v>
      </c>
    </row>
    <row r="156" spans="1:55" ht="21" hidden="1" customHeight="1">
      <c r="A156" s="212"/>
      <c r="B156" s="237">
        <v>46023</v>
      </c>
      <c r="C156" s="211" t="s">
        <v>386</v>
      </c>
      <c r="D156" s="238" t="s">
        <v>616</v>
      </c>
      <c r="E156" s="211" t="s">
        <v>415</v>
      </c>
      <c r="F156" s="211">
        <v>1</v>
      </c>
      <c r="G156" s="239"/>
      <c r="H156" s="239"/>
      <c r="I156" s="211">
        <v>1</v>
      </c>
      <c r="J156" s="240">
        <v>1</v>
      </c>
      <c r="K156" s="211">
        <v>1</v>
      </c>
      <c r="L156" s="211">
        <v>1</v>
      </c>
      <c r="M156" s="211">
        <v>1</v>
      </c>
      <c r="N156" s="211">
        <v>1</v>
      </c>
      <c r="O156" s="211">
        <v>1</v>
      </c>
      <c r="P156" s="211">
        <v>1</v>
      </c>
      <c r="Q156" s="211"/>
      <c r="R156" s="239"/>
      <c r="S156" s="239"/>
      <c r="T156" s="211">
        <v>1</v>
      </c>
      <c r="U156" s="240"/>
      <c r="V156" s="211">
        <v>1</v>
      </c>
      <c r="W156" s="211">
        <v>1</v>
      </c>
      <c r="X156" s="211">
        <v>1</v>
      </c>
      <c r="Y156" s="211">
        <v>1</v>
      </c>
      <c r="Z156" s="211">
        <v>1</v>
      </c>
      <c r="AA156" s="211"/>
      <c r="AB156" s="211">
        <v>1</v>
      </c>
      <c r="AC156" s="239">
        <v>1</v>
      </c>
      <c r="AD156" s="239">
        <v>1</v>
      </c>
      <c r="AE156" s="239">
        <v>1</v>
      </c>
      <c r="AF156" s="240">
        <v>1</v>
      </c>
      <c r="AG156" s="211">
        <v>1</v>
      </c>
      <c r="AH156" s="211">
        <v>1</v>
      </c>
      <c r="AI156" s="211">
        <v>1</v>
      </c>
      <c r="AJ156" s="211">
        <v>1</v>
      </c>
      <c r="AK156" s="211">
        <v>1</v>
      </c>
      <c r="AL156" s="211">
        <v>1</v>
      </c>
      <c r="AM156" s="211">
        <v>1</v>
      </c>
      <c r="AN156" s="239"/>
      <c r="AO156" s="239">
        <v>1</v>
      </c>
      <c r="AP156" s="211">
        <v>1</v>
      </c>
      <c r="AQ156" s="211">
        <v>1</v>
      </c>
      <c r="AR156" s="211">
        <v>1</v>
      </c>
      <c r="AS156" s="211">
        <v>1</v>
      </c>
      <c r="AT156" s="211">
        <v>1</v>
      </c>
      <c r="AU156" s="211">
        <v>1</v>
      </c>
      <c r="AV156" s="203"/>
      <c r="AW156" s="240"/>
      <c r="AX156" s="240">
        <v>1</v>
      </c>
      <c r="AY156" s="240">
        <v>1</v>
      </c>
      <c r="AZ156" s="203">
        <v>1</v>
      </c>
      <c r="BA156" s="203">
        <v>1</v>
      </c>
      <c r="BB156" s="203">
        <v>1</v>
      </c>
      <c r="BC156" s="203">
        <v>1</v>
      </c>
    </row>
    <row r="157" spans="1:55" ht="21" hidden="1" customHeight="1">
      <c r="A157" s="212"/>
      <c r="B157" s="237">
        <v>46023</v>
      </c>
      <c r="C157" s="211" t="s">
        <v>386</v>
      </c>
      <c r="D157" s="238" t="s">
        <v>617</v>
      </c>
      <c r="E157" s="211" t="s">
        <v>587</v>
      </c>
      <c r="F157" s="211">
        <v>1</v>
      </c>
      <c r="G157" s="239"/>
      <c r="H157" s="239">
        <v>1</v>
      </c>
      <c r="I157" s="239">
        <v>1</v>
      </c>
      <c r="J157" s="240">
        <v>1</v>
      </c>
      <c r="K157" s="211">
        <v>1</v>
      </c>
      <c r="L157" s="211">
        <v>1</v>
      </c>
      <c r="M157" s="211">
        <v>1</v>
      </c>
      <c r="N157" s="211">
        <v>1</v>
      </c>
      <c r="O157" s="211">
        <v>1</v>
      </c>
      <c r="P157" s="211">
        <v>1</v>
      </c>
      <c r="Q157" s="211"/>
      <c r="R157" s="239"/>
      <c r="S157" s="239"/>
      <c r="T157" s="239">
        <v>1</v>
      </c>
      <c r="U157" s="240"/>
      <c r="V157" s="211">
        <v>1</v>
      </c>
      <c r="W157" s="211">
        <v>1</v>
      </c>
      <c r="X157" s="211">
        <v>1</v>
      </c>
      <c r="Y157" s="211">
        <v>1</v>
      </c>
      <c r="Z157" s="211">
        <v>1</v>
      </c>
      <c r="AA157" s="211">
        <v>1</v>
      </c>
      <c r="AB157" s="211">
        <v>1</v>
      </c>
      <c r="AC157" s="239"/>
      <c r="AD157" s="239">
        <v>1</v>
      </c>
      <c r="AE157" s="239">
        <v>1</v>
      </c>
      <c r="AF157" s="240">
        <v>1</v>
      </c>
      <c r="AG157" s="240">
        <v>1</v>
      </c>
      <c r="AH157" s="211">
        <v>1</v>
      </c>
      <c r="AI157" s="211">
        <v>1</v>
      </c>
      <c r="AJ157" s="211">
        <v>1</v>
      </c>
      <c r="AK157" s="211">
        <v>1</v>
      </c>
      <c r="AL157" s="211">
        <v>1</v>
      </c>
      <c r="AM157" s="211">
        <v>1</v>
      </c>
      <c r="AN157" s="239">
        <v>1</v>
      </c>
      <c r="AO157" s="239"/>
      <c r="AP157" s="211">
        <v>1</v>
      </c>
      <c r="AQ157" s="211">
        <v>1</v>
      </c>
      <c r="AR157" s="211">
        <v>1</v>
      </c>
      <c r="AS157" s="211">
        <v>1</v>
      </c>
      <c r="AT157" s="211">
        <v>1</v>
      </c>
      <c r="AU157" s="211">
        <v>1</v>
      </c>
      <c r="AV157" s="203"/>
      <c r="AW157" s="240"/>
      <c r="AX157" s="240"/>
      <c r="AY157" s="240">
        <v>1</v>
      </c>
      <c r="AZ157" s="203">
        <v>1</v>
      </c>
      <c r="BA157" s="203">
        <v>1</v>
      </c>
      <c r="BB157" s="203">
        <v>1</v>
      </c>
      <c r="BC157" s="203">
        <v>1</v>
      </c>
    </row>
    <row r="158" spans="1:55" ht="21" hidden="1" customHeight="1">
      <c r="A158" s="212"/>
      <c r="B158" s="237">
        <v>46023</v>
      </c>
      <c r="C158" s="211" t="s">
        <v>386</v>
      </c>
      <c r="D158" s="238" t="s">
        <v>618</v>
      </c>
      <c r="E158" s="211" t="s">
        <v>587</v>
      </c>
      <c r="F158" s="211">
        <v>1</v>
      </c>
      <c r="G158" s="239">
        <v>1</v>
      </c>
      <c r="H158" s="239">
        <v>1</v>
      </c>
      <c r="I158" s="239">
        <v>1</v>
      </c>
      <c r="J158" s="240">
        <v>1</v>
      </c>
      <c r="K158" s="211">
        <v>1</v>
      </c>
      <c r="L158" s="211">
        <v>1</v>
      </c>
      <c r="M158" s="211">
        <v>1</v>
      </c>
      <c r="N158" s="211">
        <v>1</v>
      </c>
      <c r="O158" s="211">
        <v>1</v>
      </c>
      <c r="P158" s="211">
        <v>1</v>
      </c>
      <c r="Q158" s="211"/>
      <c r="R158" s="239"/>
      <c r="S158" s="239"/>
      <c r="T158" s="239">
        <v>1</v>
      </c>
      <c r="U158" s="240">
        <v>1</v>
      </c>
      <c r="V158" s="211">
        <v>1</v>
      </c>
      <c r="W158" s="211">
        <v>1</v>
      </c>
      <c r="X158" s="211">
        <v>1</v>
      </c>
      <c r="Y158" s="211">
        <v>1</v>
      </c>
      <c r="Z158" s="211">
        <v>1</v>
      </c>
      <c r="AA158" s="211">
        <v>1</v>
      </c>
      <c r="AB158" s="211">
        <v>1</v>
      </c>
      <c r="AC158" s="239">
        <v>1</v>
      </c>
      <c r="AD158" s="239">
        <v>1</v>
      </c>
      <c r="AE158" s="239">
        <v>1</v>
      </c>
      <c r="AF158" s="240">
        <v>1</v>
      </c>
      <c r="AG158" s="211">
        <v>1</v>
      </c>
      <c r="AH158" s="211">
        <v>1</v>
      </c>
      <c r="AI158" s="211">
        <v>1</v>
      </c>
      <c r="AJ158" s="211">
        <v>1</v>
      </c>
      <c r="AK158" s="211">
        <v>1</v>
      </c>
      <c r="AL158" s="211">
        <v>1</v>
      </c>
      <c r="AM158" s="211">
        <v>1</v>
      </c>
      <c r="AN158" s="239">
        <v>1</v>
      </c>
      <c r="AO158" s="239">
        <v>1</v>
      </c>
      <c r="AP158" s="239">
        <v>1</v>
      </c>
      <c r="AQ158" s="239">
        <v>1</v>
      </c>
      <c r="AR158" s="239">
        <v>1</v>
      </c>
      <c r="AS158" s="240"/>
      <c r="AT158" s="240">
        <v>1</v>
      </c>
      <c r="AU158" s="240">
        <v>1</v>
      </c>
      <c r="AV158" s="203"/>
      <c r="AW158" s="240"/>
      <c r="AX158" s="240">
        <v>1</v>
      </c>
      <c r="AY158" s="240">
        <v>1</v>
      </c>
      <c r="AZ158" s="203">
        <v>1</v>
      </c>
      <c r="BA158" s="203">
        <v>1</v>
      </c>
      <c r="BB158" s="203">
        <v>1</v>
      </c>
      <c r="BC158" s="203">
        <v>1</v>
      </c>
    </row>
    <row r="159" spans="1:55" ht="21" hidden="1" customHeight="1">
      <c r="A159" s="212"/>
      <c r="B159" s="237">
        <v>46023</v>
      </c>
      <c r="C159" s="211" t="s">
        <v>386</v>
      </c>
      <c r="D159" s="238" t="s">
        <v>619</v>
      </c>
      <c r="E159" s="211" t="s">
        <v>620</v>
      </c>
      <c r="F159" s="211">
        <v>1</v>
      </c>
      <c r="G159" s="239">
        <v>1</v>
      </c>
      <c r="H159" s="239">
        <v>1</v>
      </c>
      <c r="I159" s="239">
        <v>1</v>
      </c>
      <c r="J159" s="240">
        <v>1</v>
      </c>
      <c r="K159" s="211">
        <v>1</v>
      </c>
      <c r="L159" s="211">
        <v>1</v>
      </c>
      <c r="M159" s="211">
        <v>1</v>
      </c>
      <c r="N159" s="211">
        <v>1</v>
      </c>
      <c r="O159" s="211">
        <v>1</v>
      </c>
      <c r="P159" s="211">
        <v>1</v>
      </c>
      <c r="Q159" s="211">
        <v>1</v>
      </c>
      <c r="R159" s="239"/>
      <c r="S159" s="239"/>
      <c r="T159" s="239"/>
      <c r="U159" s="240">
        <v>1</v>
      </c>
      <c r="V159" s="211">
        <v>1</v>
      </c>
      <c r="W159" s="211">
        <v>1</v>
      </c>
      <c r="X159" s="211">
        <v>1</v>
      </c>
      <c r="Y159" s="211">
        <v>1</v>
      </c>
      <c r="Z159" s="211">
        <v>1</v>
      </c>
      <c r="AA159" s="211">
        <v>1</v>
      </c>
      <c r="AB159" s="211">
        <v>1</v>
      </c>
      <c r="AC159" s="239">
        <v>1</v>
      </c>
      <c r="AD159" s="239">
        <v>1</v>
      </c>
      <c r="AE159" s="239">
        <v>1</v>
      </c>
      <c r="AF159" s="240">
        <v>1</v>
      </c>
      <c r="AG159" s="211">
        <v>1</v>
      </c>
      <c r="AH159" s="211">
        <v>1</v>
      </c>
      <c r="AI159" s="211">
        <v>1</v>
      </c>
      <c r="AJ159" s="211">
        <v>1</v>
      </c>
      <c r="AK159" s="211">
        <v>1</v>
      </c>
      <c r="AL159" s="211">
        <v>1</v>
      </c>
      <c r="AM159" s="211"/>
      <c r="AN159" s="239">
        <v>1</v>
      </c>
      <c r="AO159" s="239"/>
      <c r="AP159" s="239"/>
      <c r="AQ159" s="239"/>
      <c r="AR159" s="239"/>
      <c r="AS159" s="240"/>
      <c r="AT159" s="240"/>
      <c r="AU159" s="240"/>
      <c r="AV159" s="203"/>
      <c r="AW159" s="240"/>
      <c r="AX159" s="240">
        <v>1</v>
      </c>
      <c r="AY159" s="240">
        <v>1</v>
      </c>
      <c r="AZ159" s="203">
        <v>1</v>
      </c>
      <c r="BA159" s="203">
        <v>1</v>
      </c>
      <c r="BB159" s="203">
        <v>1</v>
      </c>
      <c r="BC159" s="203">
        <v>1</v>
      </c>
    </row>
    <row r="160" spans="1:55" ht="21" hidden="1" customHeight="1">
      <c r="A160" s="212"/>
      <c r="B160" s="237">
        <v>46023</v>
      </c>
      <c r="C160" s="211" t="s">
        <v>386</v>
      </c>
      <c r="D160" s="238" t="s">
        <v>621</v>
      </c>
      <c r="E160" s="211" t="s">
        <v>545</v>
      </c>
      <c r="F160" s="211">
        <v>1</v>
      </c>
      <c r="G160" s="239">
        <v>1</v>
      </c>
      <c r="H160" s="239">
        <v>1</v>
      </c>
      <c r="I160" s="239">
        <v>1</v>
      </c>
      <c r="J160" s="240">
        <v>1</v>
      </c>
      <c r="K160" s="211">
        <v>1</v>
      </c>
      <c r="L160" s="211">
        <v>1</v>
      </c>
      <c r="M160" s="211">
        <v>1</v>
      </c>
      <c r="N160" s="211">
        <v>1</v>
      </c>
      <c r="O160" s="211">
        <v>1</v>
      </c>
      <c r="P160" s="211">
        <v>1</v>
      </c>
      <c r="Q160" s="211">
        <v>1</v>
      </c>
      <c r="R160" s="239">
        <v>1</v>
      </c>
      <c r="S160" s="239">
        <v>1</v>
      </c>
      <c r="T160" s="239">
        <v>1</v>
      </c>
      <c r="U160" s="240">
        <v>1</v>
      </c>
      <c r="V160" s="211">
        <v>1</v>
      </c>
      <c r="W160" s="211">
        <v>1</v>
      </c>
      <c r="X160" s="211">
        <v>1</v>
      </c>
      <c r="Y160" s="211">
        <v>1</v>
      </c>
      <c r="Z160" s="211">
        <v>1</v>
      </c>
      <c r="AA160" s="211">
        <v>1</v>
      </c>
      <c r="AB160" s="211">
        <v>1</v>
      </c>
      <c r="AC160" s="239">
        <v>1</v>
      </c>
      <c r="AD160" s="239">
        <v>1</v>
      </c>
      <c r="AE160" s="239">
        <v>1</v>
      </c>
      <c r="AF160" s="240">
        <v>1</v>
      </c>
      <c r="AG160" s="240">
        <v>1</v>
      </c>
      <c r="AH160" s="240">
        <v>1</v>
      </c>
      <c r="AI160" s="211">
        <v>1</v>
      </c>
      <c r="AJ160" s="211">
        <v>1</v>
      </c>
      <c r="AK160" s="211">
        <v>1</v>
      </c>
      <c r="AL160" s="211">
        <v>1</v>
      </c>
      <c r="AM160" s="211">
        <v>1</v>
      </c>
      <c r="AN160" s="239">
        <v>1</v>
      </c>
      <c r="AO160" s="239">
        <v>1</v>
      </c>
      <c r="AP160" s="239">
        <v>1</v>
      </c>
      <c r="AQ160" s="239">
        <v>1</v>
      </c>
      <c r="AR160" s="239">
        <v>1</v>
      </c>
      <c r="AS160" s="240">
        <v>1</v>
      </c>
      <c r="AT160" s="240">
        <v>1</v>
      </c>
      <c r="AU160" s="240">
        <v>1</v>
      </c>
      <c r="AV160" s="240">
        <v>1</v>
      </c>
      <c r="AW160" s="240">
        <v>1</v>
      </c>
      <c r="AX160" s="240">
        <v>1</v>
      </c>
      <c r="AY160" s="240">
        <v>1</v>
      </c>
      <c r="AZ160" s="203">
        <v>1</v>
      </c>
      <c r="BA160" s="203">
        <v>1</v>
      </c>
      <c r="BB160" s="203">
        <v>1</v>
      </c>
      <c r="BC160" s="203">
        <v>1</v>
      </c>
    </row>
    <row r="161" spans="1:55" ht="21" hidden="1" customHeight="1">
      <c r="A161" s="212"/>
      <c r="B161" s="237">
        <v>46023</v>
      </c>
      <c r="C161" s="211" t="s">
        <v>386</v>
      </c>
      <c r="D161" s="238" t="s">
        <v>622</v>
      </c>
      <c r="E161" s="211" t="s">
        <v>623</v>
      </c>
      <c r="F161" s="211">
        <v>1</v>
      </c>
      <c r="G161" s="239">
        <v>1</v>
      </c>
      <c r="H161" s="239">
        <v>1</v>
      </c>
      <c r="I161" s="239">
        <v>1</v>
      </c>
      <c r="J161" s="240">
        <v>1</v>
      </c>
      <c r="K161" s="211">
        <v>1</v>
      </c>
      <c r="L161" s="211">
        <v>1</v>
      </c>
      <c r="M161" s="211">
        <v>1</v>
      </c>
      <c r="N161" s="211">
        <v>1</v>
      </c>
      <c r="O161" s="211">
        <v>1</v>
      </c>
      <c r="P161" s="211">
        <v>1</v>
      </c>
      <c r="Q161" s="211">
        <v>1</v>
      </c>
      <c r="R161" s="239">
        <v>1</v>
      </c>
      <c r="S161" s="239">
        <v>1</v>
      </c>
      <c r="T161" s="239">
        <v>1</v>
      </c>
      <c r="U161" s="240"/>
      <c r="V161" s="211">
        <v>1</v>
      </c>
      <c r="W161" s="211">
        <v>1</v>
      </c>
      <c r="X161" s="211">
        <v>1</v>
      </c>
      <c r="Y161" s="211"/>
      <c r="Z161" s="211">
        <v>1</v>
      </c>
      <c r="AA161" s="211">
        <v>1</v>
      </c>
      <c r="AB161" s="211">
        <v>1</v>
      </c>
      <c r="AC161" s="239"/>
      <c r="AD161" s="239">
        <v>1</v>
      </c>
      <c r="AE161" s="239">
        <v>1</v>
      </c>
      <c r="AF161" s="240">
        <v>1</v>
      </c>
      <c r="AG161" s="211">
        <v>1</v>
      </c>
      <c r="AH161" s="211">
        <v>1</v>
      </c>
      <c r="AI161" s="211">
        <v>1</v>
      </c>
      <c r="AJ161" s="211"/>
      <c r="AK161" s="211">
        <v>1</v>
      </c>
      <c r="AL161" s="211">
        <v>1</v>
      </c>
      <c r="AM161" s="211"/>
      <c r="AN161" s="239"/>
      <c r="AO161" s="239">
        <v>1</v>
      </c>
      <c r="AP161" s="239">
        <v>1</v>
      </c>
      <c r="AQ161" s="239">
        <v>1</v>
      </c>
      <c r="AR161" s="240"/>
      <c r="AS161" s="240"/>
      <c r="AT161" s="240"/>
      <c r="AU161" s="240"/>
      <c r="AV161" s="203"/>
      <c r="AW161" s="240"/>
      <c r="AX161" s="240">
        <v>1</v>
      </c>
      <c r="AY161" s="240">
        <v>1</v>
      </c>
      <c r="AZ161" s="203"/>
      <c r="BA161" s="203">
        <v>1</v>
      </c>
      <c r="BB161" s="203"/>
      <c r="BC161" s="203"/>
    </row>
    <row r="162" spans="1:55" ht="21" hidden="1" customHeight="1">
      <c r="A162" s="212"/>
      <c r="B162" s="237">
        <v>46023</v>
      </c>
      <c r="C162" s="211" t="s">
        <v>387</v>
      </c>
      <c r="D162" s="238" t="s">
        <v>624</v>
      </c>
      <c r="E162" s="211" t="s">
        <v>415</v>
      </c>
      <c r="F162" s="211"/>
      <c r="G162" s="239"/>
      <c r="H162" s="239">
        <v>1</v>
      </c>
      <c r="I162" s="239">
        <v>1</v>
      </c>
      <c r="J162" s="240">
        <v>1</v>
      </c>
      <c r="K162" s="211">
        <v>1</v>
      </c>
      <c r="L162" s="211">
        <v>1</v>
      </c>
      <c r="M162" s="211">
        <v>1</v>
      </c>
      <c r="N162" s="211">
        <v>1</v>
      </c>
      <c r="O162" s="211">
        <v>1</v>
      </c>
      <c r="P162" s="211">
        <v>1</v>
      </c>
      <c r="Q162" s="211">
        <v>1</v>
      </c>
      <c r="R162" s="239"/>
      <c r="S162" s="239">
        <v>1</v>
      </c>
      <c r="T162" s="239">
        <v>1</v>
      </c>
      <c r="U162" s="240">
        <v>1</v>
      </c>
      <c r="V162" s="211"/>
      <c r="W162" s="211">
        <v>1</v>
      </c>
      <c r="X162" s="211">
        <v>1</v>
      </c>
      <c r="Y162" s="211">
        <v>1</v>
      </c>
      <c r="Z162" s="211">
        <v>1</v>
      </c>
      <c r="AA162" s="211">
        <v>1</v>
      </c>
      <c r="AB162" s="211">
        <v>1</v>
      </c>
      <c r="AC162" s="239"/>
      <c r="AD162" s="239">
        <v>1</v>
      </c>
      <c r="AE162" s="239">
        <v>1</v>
      </c>
      <c r="AF162" s="240">
        <v>1</v>
      </c>
      <c r="AG162" s="211">
        <v>1</v>
      </c>
      <c r="AH162" s="211">
        <v>1</v>
      </c>
      <c r="AI162" s="211">
        <v>1</v>
      </c>
      <c r="AJ162" s="211">
        <v>1</v>
      </c>
      <c r="AK162" s="211">
        <v>1</v>
      </c>
      <c r="AL162" s="211">
        <v>1</v>
      </c>
      <c r="AM162" s="211">
        <v>1</v>
      </c>
      <c r="AN162" s="239">
        <v>1</v>
      </c>
      <c r="AO162" s="239"/>
      <c r="AP162" s="239">
        <v>1</v>
      </c>
      <c r="AQ162" s="239">
        <v>1</v>
      </c>
      <c r="AR162" s="240"/>
      <c r="AS162" s="240"/>
      <c r="AT162" s="240"/>
      <c r="AU162" s="240"/>
      <c r="AV162" s="203"/>
      <c r="AW162" s="240"/>
      <c r="AX162" s="240"/>
      <c r="AY162" s="240">
        <v>1</v>
      </c>
      <c r="AZ162" s="203">
        <v>1</v>
      </c>
      <c r="BA162" s="203">
        <v>1</v>
      </c>
      <c r="BB162" s="203"/>
      <c r="BC162" s="203"/>
    </row>
    <row r="163" spans="1:55" ht="21" hidden="1" customHeight="1">
      <c r="A163" s="212"/>
      <c r="B163" s="237">
        <v>46023</v>
      </c>
      <c r="C163" s="211" t="s">
        <v>384</v>
      </c>
      <c r="D163" s="238" t="s">
        <v>625</v>
      </c>
      <c r="E163" s="211" t="s">
        <v>575</v>
      </c>
      <c r="F163" s="211">
        <v>1</v>
      </c>
      <c r="G163" s="239">
        <v>1</v>
      </c>
      <c r="H163" s="239">
        <v>1</v>
      </c>
      <c r="I163" s="239">
        <v>1</v>
      </c>
      <c r="J163" s="240">
        <v>1</v>
      </c>
      <c r="K163" s="211">
        <v>1</v>
      </c>
      <c r="L163" s="211">
        <v>1</v>
      </c>
      <c r="M163" s="211">
        <v>1</v>
      </c>
      <c r="N163" s="211">
        <v>1</v>
      </c>
      <c r="O163" s="211">
        <v>1</v>
      </c>
      <c r="P163" s="211">
        <v>1</v>
      </c>
      <c r="Q163" s="211">
        <v>1</v>
      </c>
      <c r="R163" s="239">
        <v>1</v>
      </c>
      <c r="S163" s="239"/>
      <c r="T163" s="211">
        <v>1</v>
      </c>
      <c r="U163" s="240">
        <v>1</v>
      </c>
      <c r="V163" s="211">
        <v>1</v>
      </c>
      <c r="W163" s="211">
        <v>1</v>
      </c>
      <c r="X163" s="211">
        <v>1</v>
      </c>
      <c r="Y163" s="211">
        <v>1</v>
      </c>
      <c r="Z163" s="211">
        <v>1</v>
      </c>
      <c r="AA163" s="211">
        <v>1</v>
      </c>
      <c r="AB163" s="211">
        <v>1</v>
      </c>
      <c r="AC163" s="239">
        <v>1</v>
      </c>
      <c r="AD163" s="239">
        <v>1</v>
      </c>
      <c r="AE163" s="239">
        <v>1</v>
      </c>
      <c r="AF163" s="240">
        <v>1</v>
      </c>
      <c r="AG163" s="211">
        <v>1</v>
      </c>
      <c r="AH163" s="211">
        <v>1</v>
      </c>
      <c r="AI163" s="211">
        <v>1</v>
      </c>
      <c r="AJ163" s="211">
        <v>1</v>
      </c>
      <c r="AK163" s="211">
        <v>1</v>
      </c>
      <c r="AL163" s="211">
        <v>1</v>
      </c>
      <c r="AM163" s="211"/>
      <c r="AN163" s="239">
        <v>1</v>
      </c>
      <c r="AO163" s="239">
        <v>1</v>
      </c>
      <c r="AP163" s="239">
        <v>1</v>
      </c>
      <c r="AQ163" s="240"/>
      <c r="AR163" s="240">
        <v>1</v>
      </c>
      <c r="AS163" s="240">
        <v>1</v>
      </c>
      <c r="AT163" s="240">
        <v>1</v>
      </c>
      <c r="AU163" s="240">
        <v>1</v>
      </c>
      <c r="AV163" s="240">
        <v>1</v>
      </c>
      <c r="AW163" s="240">
        <v>1</v>
      </c>
      <c r="AX163" s="240">
        <v>1</v>
      </c>
      <c r="AY163" s="240">
        <v>1</v>
      </c>
      <c r="AZ163" s="203">
        <v>1</v>
      </c>
      <c r="BA163" s="203">
        <v>1</v>
      </c>
      <c r="BB163" s="203">
        <v>1</v>
      </c>
      <c r="BC163" s="203">
        <v>1</v>
      </c>
    </row>
    <row r="164" spans="1:55" ht="21" hidden="1" customHeight="1">
      <c r="A164" s="212"/>
      <c r="B164" s="237">
        <v>46023</v>
      </c>
      <c r="C164" s="211" t="s">
        <v>388</v>
      </c>
      <c r="D164" s="238" t="s">
        <v>626</v>
      </c>
      <c r="E164" s="211" t="s">
        <v>415</v>
      </c>
      <c r="F164" s="211"/>
      <c r="G164" s="239"/>
      <c r="H164" s="239"/>
      <c r="I164" s="239"/>
      <c r="J164" s="240"/>
      <c r="K164" s="211"/>
      <c r="L164" s="211">
        <v>1</v>
      </c>
      <c r="M164" s="211">
        <v>1</v>
      </c>
      <c r="N164" s="211">
        <v>1</v>
      </c>
      <c r="O164" s="211">
        <v>1</v>
      </c>
      <c r="P164" s="211">
        <v>1</v>
      </c>
      <c r="Q164" s="211">
        <v>1</v>
      </c>
      <c r="R164" s="239"/>
      <c r="S164" s="239"/>
      <c r="T164" s="211">
        <v>1</v>
      </c>
      <c r="U164" s="240">
        <v>1</v>
      </c>
      <c r="V164" s="211">
        <v>1</v>
      </c>
      <c r="W164" s="211">
        <v>1</v>
      </c>
      <c r="X164" s="211">
        <v>1</v>
      </c>
      <c r="Y164" s="211">
        <v>1</v>
      </c>
      <c r="Z164" s="211">
        <v>1</v>
      </c>
      <c r="AA164" s="211">
        <v>1</v>
      </c>
      <c r="AB164" s="211">
        <v>1</v>
      </c>
      <c r="AC164" s="239">
        <v>1</v>
      </c>
      <c r="AD164" s="239">
        <v>1</v>
      </c>
      <c r="AE164" s="239">
        <v>1</v>
      </c>
      <c r="AF164" s="240">
        <v>1</v>
      </c>
      <c r="AG164" s="240">
        <v>1</v>
      </c>
      <c r="AH164" s="211">
        <v>1</v>
      </c>
      <c r="AI164" s="211">
        <v>1</v>
      </c>
      <c r="AJ164" s="211">
        <v>1</v>
      </c>
      <c r="AK164" s="211">
        <v>1</v>
      </c>
      <c r="AL164" s="211">
        <v>1</v>
      </c>
      <c r="AM164" s="211">
        <v>1</v>
      </c>
      <c r="AN164" s="239">
        <v>1</v>
      </c>
      <c r="AO164" s="239"/>
      <c r="AP164" s="239">
        <v>1</v>
      </c>
      <c r="AQ164" s="240"/>
      <c r="AR164" s="240"/>
      <c r="AS164" s="240"/>
      <c r="AT164" s="240"/>
      <c r="AU164" s="240"/>
      <c r="AV164" s="203"/>
      <c r="AW164" s="240"/>
      <c r="AX164" s="240">
        <v>1</v>
      </c>
      <c r="AY164" s="240">
        <v>1</v>
      </c>
      <c r="AZ164" s="203"/>
      <c r="BA164" s="203">
        <v>1</v>
      </c>
      <c r="BB164" s="203">
        <v>1</v>
      </c>
      <c r="BC164" s="203">
        <v>1</v>
      </c>
    </row>
    <row r="165" spans="1:55" ht="21" hidden="1" customHeight="1">
      <c r="A165" s="212"/>
      <c r="B165" s="237">
        <v>46023</v>
      </c>
      <c r="C165" s="211" t="s">
        <v>384</v>
      </c>
      <c r="D165" s="238" t="s">
        <v>627</v>
      </c>
      <c r="E165" s="211" t="s">
        <v>408</v>
      </c>
      <c r="F165" s="211">
        <v>1</v>
      </c>
      <c r="G165" s="239">
        <v>1</v>
      </c>
      <c r="H165" s="239">
        <v>1</v>
      </c>
      <c r="I165" s="239">
        <v>1</v>
      </c>
      <c r="J165" s="240">
        <v>1</v>
      </c>
      <c r="K165" s="211">
        <v>1</v>
      </c>
      <c r="L165" s="211">
        <v>1</v>
      </c>
      <c r="M165" s="211">
        <v>1</v>
      </c>
      <c r="N165" s="211">
        <v>1</v>
      </c>
      <c r="O165" s="211">
        <v>1</v>
      </c>
      <c r="P165" s="211">
        <v>1</v>
      </c>
      <c r="Q165" s="211">
        <v>1</v>
      </c>
      <c r="R165" s="239">
        <v>1</v>
      </c>
      <c r="S165" s="239">
        <v>1</v>
      </c>
      <c r="T165" s="239">
        <v>1</v>
      </c>
      <c r="U165" s="240">
        <v>1</v>
      </c>
      <c r="V165" s="211">
        <v>1</v>
      </c>
      <c r="W165" s="211">
        <v>1</v>
      </c>
      <c r="X165" s="211">
        <v>1</v>
      </c>
      <c r="Y165" s="211">
        <v>1</v>
      </c>
      <c r="Z165" s="211">
        <v>1</v>
      </c>
      <c r="AA165" s="211">
        <v>1</v>
      </c>
      <c r="AB165" s="211">
        <v>1</v>
      </c>
      <c r="AC165" s="239">
        <v>1</v>
      </c>
      <c r="AD165" s="239">
        <v>1</v>
      </c>
      <c r="AE165" s="239">
        <v>1</v>
      </c>
      <c r="AF165" s="240">
        <v>1</v>
      </c>
      <c r="AG165" s="240">
        <v>1</v>
      </c>
      <c r="AH165" s="211">
        <v>1</v>
      </c>
      <c r="AI165" s="211">
        <v>1</v>
      </c>
      <c r="AJ165" s="211">
        <v>1</v>
      </c>
      <c r="AK165" s="211">
        <v>1</v>
      </c>
      <c r="AL165" s="211">
        <v>1</v>
      </c>
      <c r="AM165" s="211">
        <v>1</v>
      </c>
      <c r="AN165" s="239">
        <v>1</v>
      </c>
      <c r="AO165" s="239">
        <v>1</v>
      </c>
      <c r="AP165" s="239">
        <v>1</v>
      </c>
      <c r="AQ165" s="240">
        <v>1</v>
      </c>
      <c r="AR165" s="240">
        <v>1</v>
      </c>
      <c r="AS165" s="240">
        <v>1</v>
      </c>
      <c r="AT165" s="240">
        <v>1</v>
      </c>
      <c r="AU165" s="240">
        <v>1</v>
      </c>
      <c r="AV165" s="203">
        <v>1</v>
      </c>
      <c r="AW165" s="240">
        <v>1</v>
      </c>
      <c r="AX165" s="240">
        <v>1</v>
      </c>
      <c r="AY165" s="240">
        <v>1</v>
      </c>
      <c r="AZ165" s="203">
        <v>1</v>
      </c>
      <c r="BA165" s="203">
        <v>1</v>
      </c>
      <c r="BB165" s="203">
        <v>1</v>
      </c>
      <c r="BC165" s="203">
        <v>1</v>
      </c>
    </row>
    <row r="166" spans="1:55" ht="21" hidden="1" customHeight="1">
      <c r="A166" s="212"/>
      <c r="B166" s="237">
        <v>46023</v>
      </c>
      <c r="C166" s="211" t="s">
        <v>384</v>
      </c>
      <c r="D166" s="238" t="s">
        <v>628</v>
      </c>
      <c r="E166" s="211" t="s">
        <v>568</v>
      </c>
      <c r="F166" s="211">
        <v>1</v>
      </c>
      <c r="G166" s="239">
        <v>1</v>
      </c>
      <c r="H166" s="239">
        <v>1</v>
      </c>
      <c r="I166" s="239">
        <v>1</v>
      </c>
      <c r="J166" s="240">
        <v>1</v>
      </c>
      <c r="K166" s="211">
        <v>1</v>
      </c>
      <c r="L166" s="211">
        <v>1</v>
      </c>
      <c r="M166" s="211">
        <v>1</v>
      </c>
      <c r="N166" s="211">
        <v>1</v>
      </c>
      <c r="O166" s="211">
        <v>1</v>
      </c>
      <c r="P166" s="211">
        <v>1</v>
      </c>
      <c r="Q166" s="211">
        <v>1</v>
      </c>
      <c r="R166" s="239">
        <v>1</v>
      </c>
      <c r="S166" s="239">
        <v>1</v>
      </c>
      <c r="T166" s="239">
        <v>1</v>
      </c>
      <c r="U166" s="240">
        <v>1</v>
      </c>
      <c r="V166" s="211">
        <v>1</v>
      </c>
      <c r="W166" s="211">
        <v>1</v>
      </c>
      <c r="X166" s="211">
        <v>1</v>
      </c>
      <c r="Y166" s="211"/>
      <c r="Z166" s="211">
        <v>1</v>
      </c>
      <c r="AA166" s="211">
        <v>1</v>
      </c>
      <c r="AB166" s="211">
        <v>1</v>
      </c>
      <c r="AC166" s="239">
        <v>1</v>
      </c>
      <c r="AD166" s="239">
        <v>1</v>
      </c>
      <c r="AE166" s="239">
        <v>1</v>
      </c>
      <c r="AF166" s="240">
        <v>1</v>
      </c>
      <c r="AG166" s="240">
        <v>1</v>
      </c>
      <c r="AH166" s="211">
        <v>1</v>
      </c>
      <c r="AI166" s="211">
        <v>1</v>
      </c>
      <c r="AJ166" s="211">
        <v>1</v>
      </c>
      <c r="AK166" s="211">
        <v>1</v>
      </c>
      <c r="AL166" s="211">
        <v>1</v>
      </c>
      <c r="AM166" s="211">
        <v>1</v>
      </c>
      <c r="AN166" s="239">
        <v>1</v>
      </c>
      <c r="AO166" s="239"/>
      <c r="AP166" s="239">
        <v>1</v>
      </c>
      <c r="AQ166" s="240">
        <v>1</v>
      </c>
      <c r="AR166" s="240">
        <v>1</v>
      </c>
      <c r="AS166" s="240">
        <v>1</v>
      </c>
      <c r="AT166" s="240">
        <v>1</v>
      </c>
      <c r="AU166" s="240">
        <v>1</v>
      </c>
      <c r="AV166" s="240">
        <v>1</v>
      </c>
      <c r="AW166" s="240">
        <v>1</v>
      </c>
      <c r="AX166" s="240">
        <v>1</v>
      </c>
      <c r="AY166" s="240">
        <v>1</v>
      </c>
      <c r="AZ166" s="203">
        <v>1</v>
      </c>
      <c r="BA166" s="203">
        <v>1</v>
      </c>
      <c r="BB166" s="203">
        <v>1</v>
      </c>
      <c r="BC166" s="203">
        <v>1</v>
      </c>
    </row>
    <row r="167" spans="1:55" ht="21" hidden="1" customHeight="1">
      <c r="A167" s="212"/>
      <c r="B167" s="237">
        <v>46023</v>
      </c>
      <c r="C167" s="211" t="s">
        <v>384</v>
      </c>
      <c r="D167" s="238" t="s">
        <v>629</v>
      </c>
      <c r="E167" s="211" t="s">
        <v>568</v>
      </c>
      <c r="F167" s="211">
        <v>1</v>
      </c>
      <c r="G167" s="239"/>
      <c r="H167" s="239">
        <v>1</v>
      </c>
      <c r="I167" s="239">
        <v>1</v>
      </c>
      <c r="J167" s="240">
        <v>1</v>
      </c>
      <c r="K167" s="211">
        <v>1</v>
      </c>
      <c r="L167" s="211">
        <v>1</v>
      </c>
      <c r="M167" s="211">
        <v>1</v>
      </c>
      <c r="N167" s="211">
        <v>1</v>
      </c>
      <c r="O167" s="211">
        <v>1</v>
      </c>
      <c r="P167" s="211">
        <v>1</v>
      </c>
      <c r="Q167" s="211">
        <v>1</v>
      </c>
      <c r="R167" s="239">
        <v>1</v>
      </c>
      <c r="S167" s="239">
        <v>1</v>
      </c>
      <c r="T167" s="239">
        <v>1</v>
      </c>
      <c r="U167" s="240">
        <v>1</v>
      </c>
      <c r="V167" s="211">
        <v>1</v>
      </c>
      <c r="W167" s="211">
        <v>1</v>
      </c>
      <c r="X167" s="211">
        <v>1</v>
      </c>
      <c r="Y167" s="211">
        <v>1</v>
      </c>
      <c r="Z167" s="211">
        <v>1</v>
      </c>
      <c r="AA167" s="211">
        <v>1</v>
      </c>
      <c r="AB167" s="211">
        <v>1</v>
      </c>
      <c r="AC167" s="239">
        <v>1</v>
      </c>
      <c r="AD167" s="239">
        <v>1</v>
      </c>
      <c r="AE167" s="239">
        <v>1</v>
      </c>
      <c r="AF167" s="240">
        <v>1</v>
      </c>
      <c r="AG167" s="211">
        <v>1</v>
      </c>
      <c r="AH167" s="211">
        <v>1</v>
      </c>
      <c r="AI167" s="211">
        <v>1</v>
      </c>
      <c r="AJ167" s="211">
        <v>1</v>
      </c>
      <c r="AK167" s="211">
        <v>1</v>
      </c>
      <c r="AL167" s="211">
        <v>1</v>
      </c>
      <c r="AM167" s="211">
        <v>1</v>
      </c>
      <c r="AN167" s="239">
        <v>1</v>
      </c>
      <c r="AO167" s="239">
        <v>1</v>
      </c>
      <c r="AP167" s="239">
        <v>1</v>
      </c>
      <c r="AQ167" s="240">
        <v>1</v>
      </c>
      <c r="AR167" s="240">
        <v>1</v>
      </c>
      <c r="AS167" s="240">
        <v>1</v>
      </c>
      <c r="AT167" s="240">
        <v>1</v>
      </c>
      <c r="AU167" s="240">
        <v>1</v>
      </c>
      <c r="AV167" s="240">
        <v>1</v>
      </c>
      <c r="AW167" s="240">
        <v>1</v>
      </c>
      <c r="AX167" s="240">
        <v>1</v>
      </c>
      <c r="AY167" s="240">
        <v>1</v>
      </c>
      <c r="AZ167" s="203">
        <v>1</v>
      </c>
      <c r="BA167" s="203">
        <v>1</v>
      </c>
      <c r="BB167" s="203">
        <v>1</v>
      </c>
      <c r="BC167" s="203">
        <v>1</v>
      </c>
    </row>
    <row r="168" spans="1:55" ht="21" hidden="1" customHeight="1">
      <c r="A168" s="212"/>
      <c r="B168" s="237">
        <v>46023</v>
      </c>
      <c r="C168" s="211" t="s">
        <v>384</v>
      </c>
      <c r="D168" s="238" t="s">
        <v>630</v>
      </c>
      <c r="E168" s="211" t="s">
        <v>631</v>
      </c>
      <c r="F168" s="211">
        <v>1</v>
      </c>
      <c r="G168" s="239">
        <v>1</v>
      </c>
      <c r="H168" s="239">
        <v>1</v>
      </c>
      <c r="I168" s="239">
        <v>1</v>
      </c>
      <c r="J168" s="240">
        <v>1</v>
      </c>
      <c r="K168" s="211">
        <v>1</v>
      </c>
      <c r="L168" s="211">
        <v>1</v>
      </c>
      <c r="M168" s="211">
        <v>1</v>
      </c>
      <c r="N168" s="211">
        <v>1</v>
      </c>
      <c r="O168" s="211">
        <v>1</v>
      </c>
      <c r="P168" s="211">
        <v>1</v>
      </c>
      <c r="Q168" s="211">
        <v>1</v>
      </c>
      <c r="R168" s="239">
        <v>1</v>
      </c>
      <c r="S168" s="239">
        <v>1</v>
      </c>
      <c r="T168" s="239">
        <v>1</v>
      </c>
      <c r="U168" s="240">
        <v>1</v>
      </c>
      <c r="V168" s="211">
        <v>1</v>
      </c>
      <c r="W168" s="211">
        <v>1</v>
      </c>
      <c r="X168" s="211">
        <v>1</v>
      </c>
      <c r="Y168" s="211"/>
      <c r="Z168" s="211">
        <v>1</v>
      </c>
      <c r="AA168" s="211">
        <v>1</v>
      </c>
      <c r="AB168" s="211">
        <v>1</v>
      </c>
      <c r="AC168" s="239">
        <v>1</v>
      </c>
      <c r="AD168" s="239">
        <v>1</v>
      </c>
      <c r="AE168" s="239">
        <v>1</v>
      </c>
      <c r="AF168" s="240">
        <v>1</v>
      </c>
      <c r="AG168" s="211">
        <v>1</v>
      </c>
      <c r="AH168" s="211">
        <v>1</v>
      </c>
      <c r="AI168" s="211">
        <v>1</v>
      </c>
      <c r="AJ168" s="211">
        <v>1</v>
      </c>
      <c r="AK168" s="211">
        <v>1</v>
      </c>
      <c r="AL168" s="211">
        <v>1</v>
      </c>
      <c r="AM168" s="211">
        <v>1</v>
      </c>
      <c r="AN168" s="239">
        <v>1</v>
      </c>
      <c r="AO168" s="239">
        <v>1</v>
      </c>
      <c r="AP168" s="239">
        <v>1</v>
      </c>
      <c r="AQ168" s="240">
        <v>1</v>
      </c>
      <c r="AR168" s="240">
        <v>1</v>
      </c>
      <c r="AS168" s="240">
        <v>1</v>
      </c>
      <c r="AT168" s="240">
        <v>1</v>
      </c>
      <c r="AU168" s="240">
        <v>1</v>
      </c>
      <c r="AV168" s="240">
        <v>1</v>
      </c>
      <c r="AW168" s="240">
        <v>1</v>
      </c>
      <c r="AX168" s="240">
        <v>1</v>
      </c>
      <c r="AY168" s="240"/>
      <c r="AZ168" s="203">
        <v>1</v>
      </c>
      <c r="BA168" s="203">
        <v>1</v>
      </c>
      <c r="BB168" s="203">
        <v>1</v>
      </c>
      <c r="BC168" s="203">
        <v>1</v>
      </c>
    </row>
    <row r="169" spans="1:55" ht="21" hidden="1" customHeight="1">
      <c r="A169" s="212"/>
      <c r="B169" s="237">
        <v>46023</v>
      </c>
      <c r="C169" s="211" t="s">
        <v>384</v>
      </c>
      <c r="D169" s="238" t="s">
        <v>632</v>
      </c>
      <c r="E169" s="211" t="s">
        <v>545</v>
      </c>
      <c r="F169" s="211">
        <v>1</v>
      </c>
      <c r="G169" s="239">
        <v>1</v>
      </c>
      <c r="H169" s="239">
        <v>1</v>
      </c>
      <c r="I169" s="239">
        <v>1</v>
      </c>
      <c r="J169" s="240">
        <v>1</v>
      </c>
      <c r="K169" s="211">
        <v>1</v>
      </c>
      <c r="L169" s="211">
        <v>1</v>
      </c>
      <c r="M169" s="211">
        <v>1</v>
      </c>
      <c r="N169" s="211">
        <v>1</v>
      </c>
      <c r="O169" s="211">
        <v>1</v>
      </c>
      <c r="P169" s="211">
        <v>1</v>
      </c>
      <c r="Q169" s="211">
        <v>1</v>
      </c>
      <c r="R169" s="239"/>
      <c r="S169" s="239">
        <v>1</v>
      </c>
      <c r="T169" s="239">
        <v>1</v>
      </c>
      <c r="U169" s="240">
        <v>1</v>
      </c>
      <c r="V169" s="211">
        <v>1</v>
      </c>
      <c r="W169" s="211">
        <v>1</v>
      </c>
      <c r="X169" s="211">
        <v>1</v>
      </c>
      <c r="Y169" s="211">
        <v>1</v>
      </c>
      <c r="Z169" s="211">
        <v>1</v>
      </c>
      <c r="AA169" s="211">
        <v>1</v>
      </c>
      <c r="AB169" s="211">
        <v>1</v>
      </c>
      <c r="AC169" s="239">
        <v>1</v>
      </c>
      <c r="AD169" s="239">
        <v>1</v>
      </c>
      <c r="AE169" s="239">
        <v>1</v>
      </c>
      <c r="AF169" s="240">
        <v>1</v>
      </c>
      <c r="AG169" s="211">
        <v>1</v>
      </c>
      <c r="AH169" s="211">
        <v>1</v>
      </c>
      <c r="AI169" s="211">
        <v>1</v>
      </c>
      <c r="AJ169" s="211">
        <v>1</v>
      </c>
      <c r="AK169" s="211">
        <v>1</v>
      </c>
      <c r="AL169" s="211">
        <v>1</v>
      </c>
      <c r="AM169" s="211">
        <v>1</v>
      </c>
      <c r="AN169" s="239">
        <v>1</v>
      </c>
      <c r="AO169" s="239"/>
      <c r="AP169" s="239">
        <v>1</v>
      </c>
      <c r="AQ169" s="239">
        <v>1</v>
      </c>
      <c r="AR169" s="239">
        <v>1</v>
      </c>
      <c r="AS169" s="240">
        <v>1</v>
      </c>
      <c r="AT169" s="240">
        <v>1</v>
      </c>
      <c r="AU169" s="240">
        <v>1</v>
      </c>
      <c r="AV169" s="203">
        <v>1</v>
      </c>
      <c r="AW169" s="240">
        <v>1</v>
      </c>
      <c r="AX169" s="240">
        <v>1</v>
      </c>
      <c r="AY169" s="240">
        <v>1</v>
      </c>
      <c r="AZ169" s="203">
        <v>1</v>
      </c>
      <c r="BA169" s="203">
        <v>1</v>
      </c>
      <c r="BB169" s="203">
        <v>1</v>
      </c>
      <c r="BC169" s="203">
        <v>1</v>
      </c>
    </row>
    <row r="170" spans="1:55" ht="21" customHeight="1">
      <c r="A170" s="212"/>
      <c r="B170" s="237">
        <v>46023</v>
      </c>
      <c r="C170" s="211" t="s">
        <v>395</v>
      </c>
      <c r="D170" s="238" t="s">
        <v>633</v>
      </c>
      <c r="E170" s="211" t="s">
        <v>545</v>
      </c>
      <c r="F170" s="211">
        <v>1</v>
      </c>
      <c r="G170" s="239">
        <v>1</v>
      </c>
      <c r="H170" s="239">
        <v>1</v>
      </c>
      <c r="I170" s="239">
        <v>1</v>
      </c>
      <c r="J170" s="240">
        <v>1</v>
      </c>
      <c r="K170" s="211">
        <v>1</v>
      </c>
      <c r="L170" s="211">
        <v>1</v>
      </c>
      <c r="M170" s="211">
        <v>1</v>
      </c>
      <c r="N170" s="211">
        <v>1</v>
      </c>
      <c r="O170" s="211">
        <v>1</v>
      </c>
      <c r="P170" s="211">
        <v>1</v>
      </c>
      <c r="Q170" s="211">
        <v>1</v>
      </c>
      <c r="R170" s="239">
        <v>1</v>
      </c>
      <c r="S170" s="239"/>
      <c r="T170" s="239">
        <v>1</v>
      </c>
      <c r="U170" s="240">
        <v>1</v>
      </c>
      <c r="V170" s="211">
        <v>1</v>
      </c>
      <c r="W170" s="211">
        <v>1</v>
      </c>
      <c r="X170" s="211"/>
      <c r="Y170" s="211">
        <v>1</v>
      </c>
      <c r="Z170" s="211">
        <v>1</v>
      </c>
      <c r="AA170" s="211"/>
      <c r="AB170" s="211">
        <v>1</v>
      </c>
      <c r="AC170" s="239">
        <v>1</v>
      </c>
      <c r="AD170" s="239">
        <v>1</v>
      </c>
      <c r="AE170" s="239">
        <v>1</v>
      </c>
      <c r="AF170" s="240">
        <v>1</v>
      </c>
      <c r="AG170" s="211">
        <v>1</v>
      </c>
      <c r="AH170" s="211">
        <v>1</v>
      </c>
      <c r="AI170" s="211">
        <v>1</v>
      </c>
      <c r="AJ170" s="211">
        <v>1</v>
      </c>
      <c r="AK170" s="211"/>
      <c r="AL170" s="211">
        <v>1</v>
      </c>
      <c r="AM170" s="211">
        <v>1</v>
      </c>
      <c r="AN170" s="239">
        <v>1</v>
      </c>
      <c r="AO170" s="239"/>
      <c r="AP170" s="239">
        <v>1</v>
      </c>
      <c r="AQ170" s="239">
        <v>1</v>
      </c>
      <c r="AR170" s="239">
        <v>1</v>
      </c>
      <c r="AS170" s="239">
        <v>1</v>
      </c>
      <c r="AT170" s="239">
        <v>1</v>
      </c>
      <c r="AU170" s="239">
        <v>1</v>
      </c>
      <c r="AV170" s="203"/>
      <c r="AW170" s="240"/>
      <c r="AX170" s="240">
        <v>1</v>
      </c>
      <c r="AY170" s="240">
        <v>1</v>
      </c>
      <c r="AZ170" s="203">
        <v>1</v>
      </c>
      <c r="BA170" s="203">
        <v>1</v>
      </c>
      <c r="BB170" s="203"/>
      <c r="BC170" s="203"/>
    </row>
    <row r="171" spans="1:55" ht="21" hidden="1" customHeight="1">
      <c r="A171" s="212"/>
      <c r="B171" s="237">
        <v>46023</v>
      </c>
      <c r="C171" s="211" t="s">
        <v>386</v>
      </c>
      <c r="D171" s="238" t="s">
        <v>634</v>
      </c>
      <c r="E171" s="211" t="s">
        <v>623</v>
      </c>
      <c r="F171" s="211">
        <v>1</v>
      </c>
      <c r="G171" s="239"/>
      <c r="H171" s="239"/>
      <c r="I171" s="211">
        <v>1</v>
      </c>
      <c r="J171" s="240">
        <v>1</v>
      </c>
      <c r="K171" s="211">
        <v>1</v>
      </c>
      <c r="L171" s="211">
        <v>1</v>
      </c>
      <c r="M171" s="211">
        <v>1</v>
      </c>
      <c r="N171" s="211">
        <v>1</v>
      </c>
      <c r="O171" s="211">
        <v>1</v>
      </c>
      <c r="P171" s="211">
        <v>1</v>
      </c>
      <c r="Q171" s="211">
        <v>1</v>
      </c>
      <c r="R171" s="239"/>
      <c r="S171" s="239">
        <v>1</v>
      </c>
      <c r="T171" s="239">
        <v>1</v>
      </c>
      <c r="U171" s="240"/>
      <c r="V171" s="211">
        <v>1</v>
      </c>
      <c r="W171" s="211">
        <v>1</v>
      </c>
      <c r="X171" s="211">
        <v>1</v>
      </c>
      <c r="Y171" s="211">
        <v>1</v>
      </c>
      <c r="Z171" s="211">
        <v>1</v>
      </c>
      <c r="AA171" s="211">
        <v>1</v>
      </c>
      <c r="AB171" s="211">
        <v>1</v>
      </c>
      <c r="AC171" s="239"/>
      <c r="AD171" s="239">
        <v>1</v>
      </c>
      <c r="AE171" s="239">
        <v>1</v>
      </c>
      <c r="AF171" s="240">
        <v>1</v>
      </c>
      <c r="AG171" s="211">
        <v>1</v>
      </c>
      <c r="AH171" s="211">
        <v>1</v>
      </c>
      <c r="AI171" s="211">
        <v>1</v>
      </c>
      <c r="AJ171" s="211">
        <v>1</v>
      </c>
      <c r="AK171" s="211">
        <v>1</v>
      </c>
      <c r="AL171" s="211">
        <v>1</v>
      </c>
      <c r="AM171" s="211">
        <v>1</v>
      </c>
      <c r="AN171" s="239"/>
      <c r="AO171" s="239"/>
      <c r="AP171" s="239"/>
      <c r="AQ171" s="240"/>
      <c r="AR171" s="240"/>
      <c r="AS171" s="240"/>
      <c r="AT171" s="240"/>
      <c r="AU171" s="240"/>
      <c r="AV171" s="203"/>
      <c r="AW171" s="240"/>
      <c r="AX171" s="240">
        <v>1</v>
      </c>
      <c r="AY171" s="240">
        <v>1</v>
      </c>
      <c r="AZ171" s="203">
        <v>1</v>
      </c>
      <c r="BA171" s="203">
        <v>1</v>
      </c>
      <c r="BB171" s="203">
        <v>1</v>
      </c>
      <c r="BC171" s="203">
        <v>1</v>
      </c>
    </row>
    <row r="172" spans="1:55" ht="21" hidden="1" customHeight="1">
      <c r="A172" s="212"/>
      <c r="B172" s="237">
        <v>46023</v>
      </c>
      <c r="C172" s="211" t="s">
        <v>386</v>
      </c>
      <c r="D172" s="238" t="s">
        <v>635</v>
      </c>
      <c r="E172" s="211" t="s">
        <v>545</v>
      </c>
      <c r="F172" s="211">
        <v>1</v>
      </c>
      <c r="G172" s="239">
        <v>1</v>
      </c>
      <c r="H172" s="239">
        <v>1</v>
      </c>
      <c r="I172" s="239">
        <v>1</v>
      </c>
      <c r="J172" s="240">
        <v>1</v>
      </c>
      <c r="K172" s="211">
        <v>1</v>
      </c>
      <c r="L172" s="211">
        <v>1</v>
      </c>
      <c r="M172" s="211">
        <v>1</v>
      </c>
      <c r="N172" s="211">
        <v>1</v>
      </c>
      <c r="O172" s="211">
        <v>1</v>
      </c>
      <c r="P172" s="211">
        <v>1</v>
      </c>
      <c r="Q172" s="211">
        <v>1</v>
      </c>
      <c r="R172" s="239"/>
      <c r="S172" s="239">
        <v>1</v>
      </c>
      <c r="T172" s="239">
        <v>1</v>
      </c>
      <c r="U172" s="240">
        <v>1</v>
      </c>
      <c r="V172" s="211">
        <v>1</v>
      </c>
      <c r="W172" s="211">
        <v>1</v>
      </c>
      <c r="X172" s="211">
        <v>1</v>
      </c>
      <c r="Y172" s="211">
        <v>1</v>
      </c>
      <c r="Z172" s="211">
        <v>1</v>
      </c>
      <c r="AA172" s="211">
        <v>1</v>
      </c>
      <c r="AB172" s="211">
        <v>1</v>
      </c>
      <c r="AC172" s="239">
        <v>1</v>
      </c>
      <c r="AD172" s="239">
        <v>1</v>
      </c>
      <c r="AE172" s="239">
        <v>1</v>
      </c>
      <c r="AF172" s="240">
        <v>1</v>
      </c>
      <c r="AG172" s="211">
        <v>1</v>
      </c>
      <c r="AH172" s="211">
        <v>1</v>
      </c>
      <c r="AI172" s="211">
        <v>1</v>
      </c>
      <c r="AJ172" s="211">
        <v>1</v>
      </c>
      <c r="AK172" s="211">
        <v>1</v>
      </c>
      <c r="AL172" s="211">
        <v>1</v>
      </c>
      <c r="AM172" s="211">
        <v>1</v>
      </c>
      <c r="AN172" s="239">
        <v>1</v>
      </c>
      <c r="AO172" s="239"/>
      <c r="AP172" s="239">
        <v>1</v>
      </c>
      <c r="AQ172" s="240">
        <v>1</v>
      </c>
      <c r="AR172" s="240">
        <v>1</v>
      </c>
      <c r="AS172" s="240">
        <v>1</v>
      </c>
      <c r="AT172" s="240">
        <v>1</v>
      </c>
      <c r="AU172" s="240">
        <v>1</v>
      </c>
      <c r="AV172" s="203"/>
      <c r="AW172" s="240"/>
      <c r="AX172" s="240">
        <v>1</v>
      </c>
      <c r="AY172" s="240">
        <v>1</v>
      </c>
      <c r="AZ172" s="203">
        <v>1</v>
      </c>
      <c r="BA172" s="203">
        <v>1</v>
      </c>
      <c r="BB172" s="203">
        <v>1</v>
      </c>
      <c r="BC172" s="203">
        <v>1</v>
      </c>
    </row>
    <row r="173" spans="1:55" ht="21" customHeight="1">
      <c r="A173" s="212"/>
      <c r="B173" s="237">
        <v>46023</v>
      </c>
      <c r="C173" s="211" t="s">
        <v>395</v>
      </c>
      <c r="D173" s="238" t="s">
        <v>636</v>
      </c>
      <c r="E173" s="211" t="s">
        <v>575</v>
      </c>
      <c r="F173" s="211">
        <v>1</v>
      </c>
      <c r="G173" s="239">
        <v>1</v>
      </c>
      <c r="H173" s="239">
        <v>1</v>
      </c>
      <c r="I173" s="239">
        <v>1</v>
      </c>
      <c r="J173" s="240">
        <v>1</v>
      </c>
      <c r="K173" s="211">
        <v>1</v>
      </c>
      <c r="L173" s="211">
        <v>1</v>
      </c>
      <c r="M173" s="211">
        <v>1</v>
      </c>
      <c r="N173" s="211">
        <v>1</v>
      </c>
      <c r="O173" s="211">
        <v>1</v>
      </c>
      <c r="P173" s="211">
        <v>1</v>
      </c>
      <c r="Q173" s="211">
        <v>1</v>
      </c>
      <c r="R173" s="239">
        <v>1</v>
      </c>
      <c r="S173" s="239"/>
      <c r="T173" s="239">
        <v>1</v>
      </c>
      <c r="U173" s="240">
        <v>1</v>
      </c>
      <c r="V173" s="211">
        <v>1</v>
      </c>
      <c r="W173" s="211">
        <v>1</v>
      </c>
      <c r="X173" s="211">
        <v>1</v>
      </c>
      <c r="Y173" s="211">
        <v>1</v>
      </c>
      <c r="Z173" s="211">
        <v>1</v>
      </c>
      <c r="AA173" s="211">
        <v>1</v>
      </c>
      <c r="AB173" s="211">
        <v>1</v>
      </c>
      <c r="AC173" s="239">
        <v>1</v>
      </c>
      <c r="AD173" s="239">
        <v>1</v>
      </c>
      <c r="AE173" s="239">
        <v>1</v>
      </c>
      <c r="AF173" s="240">
        <v>1</v>
      </c>
      <c r="AG173" s="211">
        <v>1</v>
      </c>
      <c r="AH173" s="211">
        <v>1</v>
      </c>
      <c r="AI173" s="211">
        <v>1</v>
      </c>
      <c r="AJ173" s="211">
        <v>1</v>
      </c>
      <c r="AK173" s="211">
        <v>1</v>
      </c>
      <c r="AL173" s="211">
        <v>1</v>
      </c>
      <c r="AM173" s="211">
        <v>1</v>
      </c>
      <c r="AN173" s="239">
        <v>1</v>
      </c>
      <c r="AO173" s="239">
        <v>1</v>
      </c>
      <c r="AP173" s="239">
        <v>1</v>
      </c>
      <c r="AQ173" s="240">
        <v>1</v>
      </c>
      <c r="AR173" s="240">
        <v>1</v>
      </c>
      <c r="AS173" s="240">
        <v>1</v>
      </c>
      <c r="AT173" s="240">
        <v>1</v>
      </c>
      <c r="AU173" s="240">
        <v>1</v>
      </c>
      <c r="AV173" s="240">
        <v>1</v>
      </c>
      <c r="AW173" s="240">
        <v>1</v>
      </c>
      <c r="AX173" s="240">
        <v>1</v>
      </c>
      <c r="AY173" s="240"/>
      <c r="AZ173" s="203">
        <v>1</v>
      </c>
      <c r="BA173" s="203">
        <v>1</v>
      </c>
      <c r="BB173" s="203">
        <v>1</v>
      </c>
      <c r="BC173" s="203">
        <v>1</v>
      </c>
    </row>
    <row r="174" spans="1:55" ht="21" customHeight="1">
      <c r="A174" s="212"/>
      <c r="B174" s="237">
        <v>46054</v>
      </c>
      <c r="C174" s="211" t="s">
        <v>395</v>
      </c>
      <c r="D174" s="238" t="s">
        <v>637</v>
      </c>
      <c r="E174" s="203" t="s">
        <v>638</v>
      </c>
      <c r="F174" s="211"/>
      <c r="G174" s="211"/>
      <c r="H174" s="211">
        <v>1</v>
      </c>
      <c r="I174" s="211">
        <v>1</v>
      </c>
      <c r="J174" s="240">
        <v>1</v>
      </c>
      <c r="K174" s="211">
        <v>1</v>
      </c>
      <c r="L174" s="211">
        <v>1</v>
      </c>
      <c r="M174" s="211">
        <v>1</v>
      </c>
      <c r="N174" s="211">
        <v>1</v>
      </c>
      <c r="O174" s="211">
        <v>1</v>
      </c>
      <c r="P174" s="211">
        <v>1</v>
      </c>
      <c r="Q174" s="211"/>
      <c r="R174" s="211"/>
      <c r="S174" s="211"/>
      <c r="T174" s="211"/>
      <c r="U174" s="240"/>
      <c r="V174" s="211">
        <v>1</v>
      </c>
      <c r="W174" s="211"/>
      <c r="X174" s="211">
        <v>1</v>
      </c>
      <c r="Y174" s="211"/>
      <c r="Z174" s="211">
        <v>1</v>
      </c>
      <c r="AA174" s="211">
        <v>1</v>
      </c>
      <c r="AB174" s="211"/>
      <c r="AC174" s="211"/>
      <c r="AD174" s="211"/>
      <c r="AE174" s="211"/>
      <c r="AF174" s="240">
        <v>1</v>
      </c>
      <c r="AG174" s="211">
        <v>1</v>
      </c>
      <c r="AH174" s="211">
        <v>1</v>
      </c>
      <c r="AI174" s="211">
        <v>1</v>
      </c>
      <c r="AJ174" s="211">
        <v>1</v>
      </c>
      <c r="AK174" s="211">
        <v>1</v>
      </c>
      <c r="AL174" s="211">
        <v>1</v>
      </c>
      <c r="AM174" s="211"/>
      <c r="AN174" s="211"/>
      <c r="AO174" s="211">
        <v>1</v>
      </c>
      <c r="AP174" s="211">
        <v>1</v>
      </c>
      <c r="AQ174" s="240"/>
      <c r="AR174" s="240">
        <v>1</v>
      </c>
      <c r="AS174" s="240"/>
      <c r="AT174" s="211"/>
      <c r="AU174" s="211"/>
      <c r="AV174" s="242">
        <v>1</v>
      </c>
      <c r="AW174" s="240">
        <v>1</v>
      </c>
      <c r="AX174" s="240"/>
      <c r="AY174" s="240">
        <v>1</v>
      </c>
      <c r="AZ174" s="242"/>
      <c r="BA174" s="203"/>
      <c r="BB174" s="203"/>
      <c r="BC174" s="203"/>
    </row>
    <row r="175" spans="1:55" ht="21" hidden="1" customHeight="1">
      <c r="A175" s="212"/>
      <c r="B175" s="237">
        <v>46054</v>
      </c>
      <c r="C175" s="211" t="s">
        <v>386</v>
      </c>
      <c r="D175" s="238" t="s">
        <v>639</v>
      </c>
      <c r="E175" s="211" t="s">
        <v>415</v>
      </c>
      <c r="F175" s="211"/>
      <c r="G175" s="211"/>
      <c r="H175" s="211"/>
      <c r="I175" s="211"/>
      <c r="J175" s="240">
        <v>1</v>
      </c>
      <c r="K175" s="211">
        <v>1</v>
      </c>
      <c r="L175" s="211">
        <v>1</v>
      </c>
      <c r="M175" s="211">
        <v>1</v>
      </c>
      <c r="N175" s="211">
        <v>1</v>
      </c>
      <c r="O175" s="211">
        <v>1</v>
      </c>
      <c r="P175" s="211">
        <v>1</v>
      </c>
      <c r="Q175" s="211"/>
      <c r="R175" s="211"/>
      <c r="S175" s="211">
        <v>1</v>
      </c>
      <c r="T175" s="211">
        <v>1</v>
      </c>
      <c r="U175" s="240">
        <v>1</v>
      </c>
      <c r="V175" s="211">
        <v>1</v>
      </c>
      <c r="W175" s="211">
        <v>1</v>
      </c>
      <c r="X175" s="211">
        <v>1</v>
      </c>
      <c r="Y175" s="211"/>
      <c r="Z175" s="211">
        <v>1</v>
      </c>
      <c r="AA175" s="211">
        <v>1</v>
      </c>
      <c r="AB175" s="211"/>
      <c r="AC175" s="211"/>
      <c r="AD175" s="211">
        <v>1</v>
      </c>
      <c r="AE175" s="211">
        <v>1</v>
      </c>
      <c r="AF175" s="240"/>
      <c r="AG175" s="211"/>
      <c r="AH175" s="211">
        <v>1</v>
      </c>
      <c r="AI175" s="211">
        <v>1</v>
      </c>
      <c r="AJ175" s="211">
        <v>1</v>
      </c>
      <c r="AK175" s="211"/>
      <c r="AL175" s="211">
        <v>1</v>
      </c>
      <c r="AM175" s="211"/>
      <c r="AN175" s="211"/>
      <c r="AO175" s="211"/>
      <c r="AP175" s="211"/>
      <c r="AQ175" s="240"/>
      <c r="AR175" s="240"/>
      <c r="AS175" s="240"/>
      <c r="AT175" s="211"/>
      <c r="AU175" s="211"/>
      <c r="AV175" s="242"/>
      <c r="AW175" s="240"/>
      <c r="AX175" s="240">
        <v>1</v>
      </c>
      <c r="AY175" s="240">
        <v>1</v>
      </c>
      <c r="AZ175" s="242"/>
      <c r="BA175" s="203">
        <v>1</v>
      </c>
      <c r="BB175" s="203"/>
      <c r="BC175" s="203"/>
    </row>
    <row r="176" spans="1:55" ht="21" customHeight="1">
      <c r="A176" s="212"/>
      <c r="B176" s="237">
        <v>46054</v>
      </c>
      <c r="C176" s="211" t="s">
        <v>395</v>
      </c>
      <c r="D176" s="238" t="s">
        <v>640</v>
      </c>
      <c r="E176" s="203" t="s">
        <v>641</v>
      </c>
      <c r="F176" s="211"/>
      <c r="G176" s="211"/>
      <c r="H176" s="211">
        <v>1</v>
      </c>
      <c r="I176" s="211">
        <v>1</v>
      </c>
      <c r="J176" s="240">
        <v>1</v>
      </c>
      <c r="K176" s="211">
        <v>1</v>
      </c>
      <c r="L176" s="211">
        <v>1</v>
      </c>
      <c r="M176" s="211">
        <v>1</v>
      </c>
      <c r="N176" s="211">
        <v>1</v>
      </c>
      <c r="O176" s="211">
        <v>1</v>
      </c>
      <c r="P176" s="211">
        <v>1</v>
      </c>
      <c r="Q176" s="211"/>
      <c r="R176" s="211"/>
      <c r="S176" s="211"/>
      <c r="T176" s="211"/>
      <c r="U176" s="240"/>
      <c r="V176" s="211"/>
      <c r="W176" s="211"/>
      <c r="X176" s="211"/>
      <c r="Y176" s="211"/>
      <c r="Z176" s="211"/>
      <c r="AA176" s="211">
        <v>1</v>
      </c>
      <c r="AB176" s="211"/>
      <c r="AC176" s="211"/>
      <c r="AD176" s="211"/>
      <c r="AE176" s="211"/>
      <c r="AF176" s="240">
        <v>1</v>
      </c>
      <c r="AG176" s="211">
        <v>1</v>
      </c>
      <c r="AH176" s="211">
        <v>1</v>
      </c>
      <c r="AI176" s="211">
        <v>1</v>
      </c>
      <c r="AJ176" s="211">
        <v>1</v>
      </c>
      <c r="AK176" s="211">
        <v>1</v>
      </c>
      <c r="AL176" s="211">
        <v>1</v>
      </c>
      <c r="AM176" s="211"/>
      <c r="AN176" s="211"/>
      <c r="AO176" s="211">
        <v>1</v>
      </c>
      <c r="AP176" s="211">
        <v>1</v>
      </c>
      <c r="AQ176" s="240"/>
      <c r="AR176" s="240"/>
      <c r="AS176" s="240">
        <v>1</v>
      </c>
      <c r="AT176" s="211">
        <v>1</v>
      </c>
      <c r="AU176" s="211">
        <v>1</v>
      </c>
      <c r="AV176" s="242"/>
      <c r="AW176" s="240"/>
      <c r="AX176" s="240">
        <v>1</v>
      </c>
      <c r="AY176" s="240">
        <v>1</v>
      </c>
      <c r="AZ176" s="242"/>
      <c r="BA176" s="203"/>
      <c r="BB176" s="203"/>
      <c r="BC176" s="203"/>
    </row>
    <row r="177" spans="1:55" ht="21" hidden="1" customHeight="1">
      <c r="A177" s="212"/>
      <c r="B177" s="237">
        <v>46054</v>
      </c>
      <c r="C177" s="211" t="s">
        <v>384</v>
      </c>
      <c r="D177" s="238" t="s">
        <v>642</v>
      </c>
      <c r="E177" s="203" t="s">
        <v>643</v>
      </c>
      <c r="F177" s="211"/>
      <c r="G177" s="211"/>
      <c r="H177" s="211"/>
      <c r="I177" s="211"/>
      <c r="J177" s="240">
        <v>1</v>
      </c>
      <c r="K177" s="211"/>
      <c r="L177" s="211">
        <v>1</v>
      </c>
      <c r="M177" s="211">
        <v>1</v>
      </c>
      <c r="N177" s="211"/>
      <c r="O177" s="211">
        <v>1</v>
      </c>
      <c r="P177" s="211">
        <v>1</v>
      </c>
      <c r="Q177" s="211"/>
      <c r="R177" s="211"/>
      <c r="S177" s="211"/>
      <c r="T177" s="211"/>
      <c r="U177" s="240"/>
      <c r="V177" s="211"/>
      <c r="W177" s="211"/>
      <c r="X177" s="211">
        <v>1</v>
      </c>
      <c r="Y177" s="211"/>
      <c r="Z177" s="211"/>
      <c r="AA177" s="211"/>
      <c r="AB177" s="211"/>
      <c r="AC177" s="211"/>
      <c r="AD177" s="211"/>
      <c r="AE177" s="211"/>
      <c r="AF177" s="240">
        <v>1</v>
      </c>
      <c r="AG177" s="211">
        <v>1</v>
      </c>
      <c r="AH177" s="211">
        <v>1</v>
      </c>
      <c r="AI177" s="211">
        <v>1</v>
      </c>
      <c r="AJ177" s="211">
        <v>1</v>
      </c>
      <c r="AK177" s="211">
        <v>1</v>
      </c>
      <c r="AL177" s="211">
        <v>1</v>
      </c>
      <c r="AM177" s="211"/>
      <c r="AN177" s="211"/>
      <c r="AO177" s="211">
        <v>1</v>
      </c>
      <c r="AP177" s="211">
        <v>1</v>
      </c>
      <c r="AQ177" s="240">
        <v>1</v>
      </c>
      <c r="AR177" s="240"/>
      <c r="AS177" s="240">
        <v>1</v>
      </c>
      <c r="AT177" s="211">
        <v>1</v>
      </c>
      <c r="AU177" s="211">
        <v>1</v>
      </c>
      <c r="AV177" s="242">
        <v>1</v>
      </c>
      <c r="AW177" s="240">
        <v>1</v>
      </c>
      <c r="AX177" s="240"/>
      <c r="AY177" s="240">
        <v>1</v>
      </c>
      <c r="AZ177" s="242"/>
      <c r="BA177" s="203">
        <v>1</v>
      </c>
      <c r="BB177" s="203">
        <v>1</v>
      </c>
      <c r="BC177" s="203">
        <v>1</v>
      </c>
    </row>
    <row r="178" spans="1:55" ht="21" customHeight="1">
      <c r="A178" s="212"/>
      <c r="B178" s="237">
        <v>46054</v>
      </c>
      <c r="C178" s="211" t="s">
        <v>395</v>
      </c>
      <c r="D178" s="238" t="s">
        <v>644</v>
      </c>
      <c r="E178" s="211" t="s">
        <v>528</v>
      </c>
      <c r="F178" s="211"/>
      <c r="G178" s="211"/>
      <c r="H178" s="211"/>
      <c r="I178" s="211"/>
      <c r="J178" s="240"/>
      <c r="K178" s="211">
        <v>1</v>
      </c>
      <c r="L178" s="211">
        <v>1</v>
      </c>
      <c r="M178" s="211">
        <v>1</v>
      </c>
      <c r="N178" s="211">
        <v>1</v>
      </c>
      <c r="O178" s="211">
        <v>1</v>
      </c>
      <c r="P178" s="211">
        <v>1</v>
      </c>
      <c r="Q178" s="211"/>
      <c r="R178" s="211"/>
      <c r="S178" s="211"/>
      <c r="T178" s="211"/>
      <c r="U178" s="240">
        <v>1</v>
      </c>
      <c r="V178" s="211">
        <v>1</v>
      </c>
      <c r="W178" s="211">
        <v>1</v>
      </c>
      <c r="X178" s="211">
        <v>1</v>
      </c>
      <c r="Y178" s="211">
        <v>1</v>
      </c>
      <c r="Z178" s="211">
        <v>1</v>
      </c>
      <c r="AA178" s="211">
        <v>1</v>
      </c>
      <c r="AB178" s="211"/>
      <c r="AC178" s="211"/>
      <c r="AD178" s="211"/>
      <c r="AE178" s="211"/>
      <c r="AF178" s="240">
        <v>1</v>
      </c>
      <c r="AG178" s="211">
        <v>1</v>
      </c>
      <c r="AH178" s="211"/>
      <c r="AI178" s="211">
        <v>1</v>
      </c>
      <c r="AJ178" s="211">
        <v>1</v>
      </c>
      <c r="AK178" s="211">
        <v>1</v>
      </c>
      <c r="AL178" s="211">
        <v>1</v>
      </c>
      <c r="AM178" s="211"/>
      <c r="AN178" s="211"/>
      <c r="AO178" s="211"/>
      <c r="AP178" s="211"/>
      <c r="AQ178" s="240">
        <v>1</v>
      </c>
      <c r="AR178" s="240">
        <v>1</v>
      </c>
      <c r="AS178" s="240">
        <v>1</v>
      </c>
      <c r="AT178" s="240">
        <v>1</v>
      </c>
      <c r="AU178" s="240">
        <v>1</v>
      </c>
      <c r="AV178" s="240">
        <v>1</v>
      </c>
      <c r="AW178" s="240">
        <v>1</v>
      </c>
      <c r="AX178" s="240">
        <v>1</v>
      </c>
      <c r="AY178" s="240"/>
      <c r="AZ178" s="203">
        <v>1</v>
      </c>
      <c r="BA178" s="203">
        <v>1</v>
      </c>
      <c r="BB178" s="203"/>
      <c r="BC178" s="203"/>
    </row>
    <row r="179" spans="1:55" ht="21" customHeight="1">
      <c r="A179" s="212"/>
      <c r="B179" s="237">
        <v>46054</v>
      </c>
      <c r="C179" s="211" t="s">
        <v>395</v>
      </c>
      <c r="D179" s="238" t="s">
        <v>645</v>
      </c>
      <c r="E179" s="211" t="s">
        <v>528</v>
      </c>
      <c r="F179" s="211"/>
      <c r="G179" s="211"/>
      <c r="H179" s="211"/>
      <c r="I179" s="211"/>
      <c r="J179" s="240">
        <v>1</v>
      </c>
      <c r="K179" s="211">
        <v>1</v>
      </c>
      <c r="L179" s="211">
        <v>1</v>
      </c>
      <c r="M179" s="211">
        <v>1</v>
      </c>
      <c r="N179" s="211">
        <v>1</v>
      </c>
      <c r="O179" s="211">
        <v>1</v>
      </c>
      <c r="P179" s="211">
        <v>1</v>
      </c>
      <c r="Q179" s="211"/>
      <c r="R179" s="211"/>
      <c r="S179" s="211"/>
      <c r="T179" s="211"/>
      <c r="U179" s="240">
        <v>1</v>
      </c>
      <c r="V179" s="211">
        <v>1</v>
      </c>
      <c r="W179" s="211">
        <v>1</v>
      </c>
      <c r="X179" s="211">
        <v>1</v>
      </c>
      <c r="Y179" s="211">
        <v>1</v>
      </c>
      <c r="Z179" s="211">
        <v>1</v>
      </c>
      <c r="AA179" s="211">
        <v>1</v>
      </c>
      <c r="AB179" s="211"/>
      <c r="AC179" s="211"/>
      <c r="AD179" s="211"/>
      <c r="AE179" s="211"/>
      <c r="AF179" s="240">
        <v>1</v>
      </c>
      <c r="AG179" s="211"/>
      <c r="AH179" s="211">
        <v>1</v>
      </c>
      <c r="AI179" s="211">
        <v>1</v>
      </c>
      <c r="AJ179" s="211">
        <v>1</v>
      </c>
      <c r="AK179" s="211">
        <v>1</v>
      </c>
      <c r="AL179" s="211">
        <v>1</v>
      </c>
      <c r="AM179" s="211"/>
      <c r="AN179" s="211"/>
      <c r="AO179" s="211"/>
      <c r="AP179" s="211"/>
      <c r="AQ179" s="240"/>
      <c r="AR179" s="240">
        <v>1</v>
      </c>
      <c r="AS179" s="240">
        <v>1</v>
      </c>
      <c r="AT179" s="240">
        <v>1</v>
      </c>
      <c r="AU179" s="240">
        <v>1</v>
      </c>
      <c r="AV179" s="242"/>
      <c r="AW179" s="240"/>
      <c r="AX179" s="240"/>
      <c r="AY179" s="240"/>
      <c r="AZ179" s="203">
        <v>1</v>
      </c>
      <c r="BA179" s="203">
        <v>1</v>
      </c>
      <c r="BB179" s="203"/>
      <c r="BC179" s="203"/>
    </row>
    <row r="180" spans="1:55" ht="21" customHeight="1">
      <c r="A180" s="212"/>
      <c r="B180" s="237">
        <v>46054</v>
      </c>
      <c r="C180" s="211" t="s">
        <v>395</v>
      </c>
      <c r="D180" s="238" t="s">
        <v>646</v>
      </c>
      <c r="E180" s="211" t="s">
        <v>528</v>
      </c>
      <c r="F180" s="211"/>
      <c r="G180" s="211"/>
      <c r="H180" s="211"/>
      <c r="I180" s="211"/>
      <c r="J180" s="240">
        <v>1</v>
      </c>
      <c r="K180" s="211">
        <v>1</v>
      </c>
      <c r="L180" s="211">
        <v>1</v>
      </c>
      <c r="M180" s="211">
        <v>1</v>
      </c>
      <c r="N180" s="211">
        <v>1</v>
      </c>
      <c r="O180" s="211">
        <v>1</v>
      </c>
      <c r="P180" s="211">
        <v>1</v>
      </c>
      <c r="Q180" s="211"/>
      <c r="R180" s="211"/>
      <c r="S180" s="211"/>
      <c r="T180" s="211"/>
      <c r="U180" s="240">
        <v>1</v>
      </c>
      <c r="V180" s="211">
        <v>1</v>
      </c>
      <c r="W180" s="211">
        <v>1</v>
      </c>
      <c r="X180" s="211">
        <v>1</v>
      </c>
      <c r="Y180" s="211">
        <v>1</v>
      </c>
      <c r="Z180" s="211">
        <v>1</v>
      </c>
      <c r="AA180" s="211">
        <v>1</v>
      </c>
      <c r="AB180" s="211"/>
      <c r="AC180" s="211"/>
      <c r="AD180" s="211"/>
      <c r="AE180" s="211"/>
      <c r="AF180" s="240">
        <v>1</v>
      </c>
      <c r="AG180" s="211">
        <v>1</v>
      </c>
      <c r="AH180" s="211"/>
      <c r="AI180" s="211">
        <v>1</v>
      </c>
      <c r="AJ180" s="211">
        <v>1</v>
      </c>
      <c r="AK180" s="211">
        <v>1</v>
      </c>
      <c r="AL180" s="211">
        <v>1</v>
      </c>
      <c r="AM180" s="211"/>
      <c r="AN180" s="211"/>
      <c r="AO180" s="211"/>
      <c r="AP180" s="211"/>
      <c r="AQ180" s="240">
        <v>1</v>
      </c>
      <c r="AR180" s="240">
        <v>1</v>
      </c>
      <c r="AS180" s="240">
        <v>1</v>
      </c>
      <c r="AT180" s="240">
        <v>1</v>
      </c>
      <c r="AU180" s="240">
        <v>1</v>
      </c>
      <c r="AV180" s="240">
        <v>1</v>
      </c>
      <c r="AW180" s="240">
        <v>1</v>
      </c>
      <c r="AX180" s="240">
        <v>1</v>
      </c>
      <c r="AY180" s="240">
        <v>1</v>
      </c>
      <c r="AZ180" s="203">
        <v>1</v>
      </c>
      <c r="BA180" s="203">
        <v>1</v>
      </c>
      <c r="BB180" s="203"/>
      <c r="BC180" s="203"/>
    </row>
    <row r="181" spans="1:55" ht="21" customHeight="1">
      <c r="A181" s="212"/>
      <c r="B181" s="237">
        <v>46054</v>
      </c>
      <c r="C181" s="211" t="s">
        <v>395</v>
      </c>
      <c r="D181" s="238" t="s">
        <v>647</v>
      </c>
      <c r="E181" s="203" t="s">
        <v>648</v>
      </c>
      <c r="F181" s="211"/>
      <c r="G181" s="211"/>
      <c r="H181" s="211"/>
      <c r="I181" s="211"/>
      <c r="J181" s="240">
        <v>1</v>
      </c>
      <c r="K181" s="211">
        <v>1</v>
      </c>
      <c r="L181" s="211">
        <v>1</v>
      </c>
      <c r="M181" s="211">
        <v>1</v>
      </c>
      <c r="N181" s="211">
        <v>1</v>
      </c>
      <c r="O181" s="211">
        <v>1</v>
      </c>
      <c r="P181" s="211">
        <v>1</v>
      </c>
      <c r="Q181" s="211"/>
      <c r="R181" s="211"/>
      <c r="S181" s="211"/>
      <c r="T181" s="211"/>
      <c r="U181" s="240"/>
      <c r="V181" s="211">
        <v>1</v>
      </c>
      <c r="W181" s="211">
        <v>1</v>
      </c>
      <c r="X181" s="211">
        <v>1</v>
      </c>
      <c r="Y181" s="211">
        <v>1</v>
      </c>
      <c r="Z181" s="211"/>
      <c r="AA181" s="211"/>
      <c r="AB181" s="211"/>
      <c r="AC181" s="211"/>
      <c r="AD181" s="211"/>
      <c r="AE181" s="211"/>
      <c r="AF181" s="240">
        <v>1</v>
      </c>
      <c r="AG181" s="211">
        <v>1</v>
      </c>
      <c r="AH181" s="211">
        <v>1</v>
      </c>
      <c r="AI181" s="211">
        <v>1</v>
      </c>
      <c r="AJ181" s="211">
        <v>1</v>
      </c>
      <c r="AK181" s="211">
        <v>1</v>
      </c>
      <c r="AL181" s="211">
        <v>1</v>
      </c>
      <c r="AM181" s="211"/>
      <c r="AN181" s="211"/>
      <c r="AO181" s="211">
        <v>1</v>
      </c>
      <c r="AP181" s="211">
        <v>1</v>
      </c>
      <c r="AQ181" s="240">
        <v>1</v>
      </c>
      <c r="AR181" s="240">
        <v>1</v>
      </c>
      <c r="AS181" s="240">
        <v>1</v>
      </c>
      <c r="AT181" s="240">
        <v>1</v>
      </c>
      <c r="AU181" s="240">
        <v>1</v>
      </c>
      <c r="AV181" s="240">
        <v>1</v>
      </c>
      <c r="AW181" s="240">
        <v>1</v>
      </c>
      <c r="AX181" s="240">
        <v>1</v>
      </c>
      <c r="AY181" s="240">
        <v>1</v>
      </c>
      <c r="AZ181" s="203">
        <v>1</v>
      </c>
      <c r="BA181" s="203">
        <v>1</v>
      </c>
      <c r="BB181" s="203">
        <v>1</v>
      </c>
      <c r="BC181" s="203">
        <v>1</v>
      </c>
    </row>
    <row r="182" spans="1:55" ht="21" customHeight="1">
      <c r="A182" s="212"/>
      <c r="B182" s="237">
        <v>46054</v>
      </c>
      <c r="C182" s="211" t="s">
        <v>395</v>
      </c>
      <c r="D182" s="238" t="s">
        <v>649</v>
      </c>
      <c r="E182" s="203" t="s">
        <v>650</v>
      </c>
      <c r="F182" s="211"/>
      <c r="G182" s="211"/>
      <c r="H182" s="211"/>
      <c r="I182" s="211"/>
      <c r="J182" s="240">
        <v>1</v>
      </c>
      <c r="K182" s="211">
        <v>1</v>
      </c>
      <c r="L182" s="211">
        <v>1</v>
      </c>
      <c r="M182" s="211">
        <v>1</v>
      </c>
      <c r="N182" s="211">
        <v>1</v>
      </c>
      <c r="O182" s="211">
        <v>1</v>
      </c>
      <c r="P182" s="211">
        <v>1</v>
      </c>
      <c r="Q182" s="211"/>
      <c r="R182" s="211"/>
      <c r="S182" s="211"/>
      <c r="T182" s="211"/>
      <c r="U182" s="240">
        <v>1</v>
      </c>
      <c r="V182" s="211">
        <v>1</v>
      </c>
      <c r="W182" s="211">
        <v>1</v>
      </c>
      <c r="X182" s="211"/>
      <c r="Y182" s="211">
        <v>1</v>
      </c>
      <c r="Z182" s="211">
        <v>1</v>
      </c>
      <c r="AA182" s="211">
        <v>1</v>
      </c>
      <c r="AB182" s="211"/>
      <c r="AC182" s="211"/>
      <c r="AD182" s="211"/>
      <c r="AE182" s="211"/>
      <c r="AF182" s="240">
        <v>1</v>
      </c>
      <c r="AG182" s="211">
        <v>1</v>
      </c>
      <c r="AH182" s="211">
        <v>1</v>
      </c>
      <c r="AI182" s="211">
        <v>1</v>
      </c>
      <c r="AJ182" s="211">
        <v>1</v>
      </c>
      <c r="AK182" s="211">
        <v>1</v>
      </c>
      <c r="AL182" s="211">
        <v>1</v>
      </c>
      <c r="AM182" s="211"/>
      <c r="AN182" s="211"/>
      <c r="AO182" s="211"/>
      <c r="AP182" s="211"/>
      <c r="AQ182" s="240"/>
      <c r="AR182" s="240">
        <v>1</v>
      </c>
      <c r="AS182" s="240">
        <v>1</v>
      </c>
      <c r="AT182" s="240">
        <v>1</v>
      </c>
      <c r="AU182" s="240">
        <v>1</v>
      </c>
      <c r="AV182" s="242"/>
      <c r="AW182" s="240"/>
      <c r="AX182" s="240"/>
      <c r="AY182" s="240"/>
      <c r="AZ182" s="203">
        <v>1</v>
      </c>
      <c r="BA182" s="203">
        <v>1</v>
      </c>
      <c r="BB182" s="203"/>
      <c r="BC182" s="203"/>
    </row>
    <row r="183" spans="1:55" ht="21" customHeight="1">
      <c r="A183" s="212"/>
      <c r="B183" s="237">
        <v>46054</v>
      </c>
      <c r="C183" s="211" t="s">
        <v>395</v>
      </c>
      <c r="D183" s="238" t="s">
        <v>651</v>
      </c>
      <c r="E183" s="203" t="s">
        <v>652</v>
      </c>
      <c r="F183" s="211"/>
      <c r="G183" s="211"/>
      <c r="H183" s="211"/>
      <c r="I183" s="211"/>
      <c r="J183" s="240"/>
      <c r="K183" s="211"/>
      <c r="L183" s="211"/>
      <c r="M183" s="211">
        <v>1</v>
      </c>
      <c r="N183" s="211"/>
      <c r="O183" s="211"/>
      <c r="P183" s="211"/>
      <c r="Q183" s="211"/>
      <c r="R183" s="211"/>
      <c r="S183" s="211"/>
      <c r="T183" s="211"/>
      <c r="U183" s="240"/>
      <c r="V183" s="211"/>
      <c r="W183" s="211">
        <v>1</v>
      </c>
      <c r="X183" s="211">
        <v>1</v>
      </c>
      <c r="Y183" s="211">
        <v>1</v>
      </c>
      <c r="Z183" s="211"/>
      <c r="AA183" s="211"/>
      <c r="AB183" s="211"/>
      <c r="AC183" s="211"/>
      <c r="AD183" s="211"/>
      <c r="AE183" s="211"/>
      <c r="AF183" s="240"/>
      <c r="AG183" s="211"/>
      <c r="AH183" s="211"/>
      <c r="AI183" s="211">
        <v>1</v>
      </c>
      <c r="AJ183" s="211"/>
      <c r="AK183" s="211"/>
      <c r="AL183" s="211"/>
      <c r="AM183" s="211"/>
      <c r="AN183" s="211"/>
      <c r="AO183" s="211"/>
      <c r="AP183" s="211"/>
      <c r="AQ183" s="240">
        <v>1</v>
      </c>
      <c r="AR183" s="240">
        <v>1</v>
      </c>
      <c r="AS183" s="240">
        <v>1</v>
      </c>
      <c r="AT183" s="240">
        <v>1</v>
      </c>
      <c r="AU183" s="240">
        <v>1</v>
      </c>
      <c r="AV183" s="240">
        <v>1</v>
      </c>
      <c r="AW183" s="240">
        <v>1</v>
      </c>
      <c r="AX183" s="240"/>
      <c r="AY183" s="240"/>
      <c r="AZ183" s="242"/>
      <c r="BA183" s="203">
        <v>1</v>
      </c>
      <c r="BB183" s="203"/>
      <c r="BC183" s="203"/>
    </row>
    <row r="184" spans="1:55" ht="21" customHeight="1">
      <c r="A184" s="212"/>
      <c r="B184" s="237">
        <v>46054</v>
      </c>
      <c r="C184" s="211" t="s">
        <v>395</v>
      </c>
      <c r="D184" s="238" t="s">
        <v>653</v>
      </c>
      <c r="E184" s="203" t="s">
        <v>654</v>
      </c>
      <c r="F184" s="211"/>
      <c r="G184" s="211"/>
      <c r="H184" s="211">
        <v>1</v>
      </c>
      <c r="I184" s="211">
        <v>1</v>
      </c>
      <c r="J184" s="240">
        <v>1</v>
      </c>
      <c r="K184" s="211">
        <v>1</v>
      </c>
      <c r="L184" s="211">
        <v>1</v>
      </c>
      <c r="M184" s="211">
        <v>1</v>
      </c>
      <c r="N184" s="211">
        <v>1</v>
      </c>
      <c r="O184" s="211">
        <v>1</v>
      </c>
      <c r="P184" s="211">
        <v>1</v>
      </c>
      <c r="Q184" s="211"/>
      <c r="R184" s="211"/>
      <c r="S184" s="211"/>
      <c r="T184" s="211"/>
      <c r="U184" s="240">
        <v>1</v>
      </c>
      <c r="V184" s="211">
        <v>1</v>
      </c>
      <c r="W184" s="211">
        <v>1</v>
      </c>
      <c r="X184" s="211">
        <v>1</v>
      </c>
      <c r="Y184" s="211">
        <v>1</v>
      </c>
      <c r="Z184" s="211">
        <v>1</v>
      </c>
      <c r="AA184" s="211">
        <v>1</v>
      </c>
      <c r="AB184" s="211"/>
      <c r="AC184" s="211"/>
      <c r="AD184" s="211"/>
      <c r="AE184" s="211"/>
      <c r="AF184" s="240">
        <v>1</v>
      </c>
      <c r="AG184" s="211">
        <v>1</v>
      </c>
      <c r="AH184" s="211">
        <v>1</v>
      </c>
      <c r="AI184" s="211">
        <v>1</v>
      </c>
      <c r="AJ184" s="211">
        <v>1</v>
      </c>
      <c r="AK184" s="211">
        <v>1</v>
      </c>
      <c r="AL184" s="211">
        <v>1</v>
      </c>
      <c r="AM184" s="211"/>
      <c r="AN184" s="211"/>
      <c r="AO184" s="211"/>
      <c r="AP184" s="211"/>
      <c r="AQ184" s="240"/>
      <c r="AR184" s="240">
        <v>1</v>
      </c>
      <c r="AS184" s="240">
        <v>1</v>
      </c>
      <c r="AT184" s="211">
        <v>1</v>
      </c>
      <c r="AU184" s="211">
        <v>1</v>
      </c>
      <c r="AV184" s="242">
        <v>1</v>
      </c>
      <c r="AW184" s="240">
        <v>1</v>
      </c>
      <c r="AX184" s="240">
        <v>1</v>
      </c>
      <c r="AY184" s="240">
        <v>1</v>
      </c>
      <c r="AZ184" s="203">
        <v>1</v>
      </c>
      <c r="BA184" s="203"/>
      <c r="BB184" s="203">
        <v>1</v>
      </c>
      <c r="BC184" s="203">
        <v>1</v>
      </c>
    </row>
    <row r="185" spans="1:55" ht="21" customHeight="1">
      <c r="A185" s="212"/>
      <c r="B185" s="237">
        <v>46054</v>
      </c>
      <c r="C185" s="211" t="s">
        <v>395</v>
      </c>
      <c r="D185" s="238" t="s">
        <v>655</v>
      </c>
      <c r="E185" s="203" t="s">
        <v>656</v>
      </c>
      <c r="F185" s="211"/>
      <c r="G185" s="211"/>
      <c r="H185" s="211"/>
      <c r="I185" s="211"/>
      <c r="J185" s="240">
        <v>1</v>
      </c>
      <c r="K185" s="211">
        <v>1</v>
      </c>
      <c r="L185" s="211">
        <v>1</v>
      </c>
      <c r="M185" s="211">
        <v>1</v>
      </c>
      <c r="N185" s="211"/>
      <c r="O185" s="211">
        <v>1</v>
      </c>
      <c r="P185" s="211">
        <v>1</v>
      </c>
      <c r="Q185" s="211"/>
      <c r="R185" s="211"/>
      <c r="S185" s="211"/>
      <c r="T185" s="211"/>
      <c r="U185" s="240"/>
      <c r="V185" s="211"/>
      <c r="W185" s="211"/>
      <c r="X185" s="211">
        <v>1</v>
      </c>
      <c r="Y185" s="211">
        <v>1</v>
      </c>
      <c r="Z185" s="211"/>
      <c r="AA185" s="211">
        <v>1</v>
      </c>
      <c r="AB185" s="211"/>
      <c r="AC185" s="211"/>
      <c r="AD185" s="211"/>
      <c r="AE185" s="211"/>
      <c r="AF185" s="240">
        <v>1</v>
      </c>
      <c r="AG185" s="211"/>
      <c r="AH185" s="211">
        <v>1</v>
      </c>
      <c r="AI185" s="211">
        <v>1</v>
      </c>
      <c r="AJ185" s="211">
        <v>1</v>
      </c>
      <c r="AK185" s="211">
        <v>1</v>
      </c>
      <c r="AL185" s="211">
        <v>1</v>
      </c>
      <c r="AM185" s="211"/>
      <c r="AN185" s="211"/>
      <c r="AO185" s="211"/>
      <c r="AP185" s="211"/>
      <c r="AQ185" s="240">
        <v>1</v>
      </c>
      <c r="AR185" s="240"/>
      <c r="AS185" s="240"/>
      <c r="AT185" s="211"/>
      <c r="AU185" s="211"/>
      <c r="AV185" s="240">
        <v>1</v>
      </c>
      <c r="AW185" s="240">
        <v>1</v>
      </c>
      <c r="AX185" s="240"/>
      <c r="AY185" s="240">
        <v>1</v>
      </c>
      <c r="AZ185" s="242"/>
      <c r="BA185" s="203">
        <v>1</v>
      </c>
      <c r="BB185" s="203">
        <v>1</v>
      </c>
      <c r="BC185" s="203">
        <v>1</v>
      </c>
    </row>
    <row r="186" spans="1:55" ht="21" customHeight="1">
      <c r="A186" s="212"/>
      <c r="B186" s="237">
        <v>46054</v>
      </c>
      <c r="C186" s="211" t="s">
        <v>395</v>
      </c>
      <c r="D186" s="238" t="s">
        <v>657</v>
      </c>
      <c r="E186" s="211" t="s">
        <v>658</v>
      </c>
      <c r="F186" s="211"/>
      <c r="G186" s="211"/>
      <c r="H186" s="211"/>
      <c r="I186" s="211"/>
      <c r="J186" s="240"/>
      <c r="K186" s="211">
        <v>1</v>
      </c>
      <c r="L186" s="211">
        <v>1</v>
      </c>
      <c r="M186" s="211">
        <v>1</v>
      </c>
      <c r="N186" s="211">
        <v>1</v>
      </c>
      <c r="O186" s="211"/>
      <c r="P186" s="211"/>
      <c r="Q186" s="211"/>
      <c r="R186" s="211"/>
      <c r="S186" s="211"/>
      <c r="T186" s="211"/>
      <c r="U186" s="240"/>
      <c r="V186" s="211">
        <v>1</v>
      </c>
      <c r="W186" s="211">
        <v>1</v>
      </c>
      <c r="X186" s="211">
        <v>1</v>
      </c>
      <c r="Y186" s="211">
        <v>1</v>
      </c>
      <c r="Z186" s="211"/>
      <c r="AA186" s="211">
        <v>1</v>
      </c>
      <c r="AB186" s="211"/>
      <c r="AC186" s="211"/>
      <c r="AD186" s="211"/>
      <c r="AE186" s="211"/>
      <c r="AF186" s="240">
        <v>1</v>
      </c>
      <c r="AG186" s="211">
        <v>1</v>
      </c>
      <c r="AH186" s="211">
        <v>1</v>
      </c>
      <c r="AI186" s="211">
        <v>1</v>
      </c>
      <c r="AJ186" s="211">
        <v>1</v>
      </c>
      <c r="AK186" s="211"/>
      <c r="AL186" s="211">
        <v>1</v>
      </c>
      <c r="AM186" s="211"/>
      <c r="AN186" s="211"/>
      <c r="AO186" s="211"/>
      <c r="AP186" s="211"/>
      <c r="AQ186" s="240"/>
      <c r="AR186" s="240"/>
      <c r="AS186" s="240">
        <v>1</v>
      </c>
      <c r="AT186" s="240">
        <v>1</v>
      </c>
      <c r="AU186" s="240">
        <v>1</v>
      </c>
      <c r="AV186" s="240">
        <v>1</v>
      </c>
      <c r="AW186" s="240">
        <v>1</v>
      </c>
      <c r="AX186" s="240"/>
      <c r="AY186" s="240"/>
      <c r="AZ186" s="242"/>
      <c r="BA186" s="203"/>
      <c r="BB186" s="203"/>
      <c r="BC186" s="203"/>
    </row>
    <row r="187" spans="1:55" ht="21" hidden="1" customHeight="1">
      <c r="A187" s="212"/>
      <c r="B187" s="237">
        <v>46054</v>
      </c>
      <c r="C187" s="211" t="s">
        <v>394</v>
      </c>
      <c r="D187" s="238" t="s">
        <v>659</v>
      </c>
      <c r="E187" s="211" t="s">
        <v>445</v>
      </c>
      <c r="F187" s="211"/>
      <c r="G187" s="211"/>
      <c r="H187" s="211"/>
      <c r="I187" s="211"/>
      <c r="J187" s="240"/>
      <c r="K187" s="211">
        <v>1</v>
      </c>
      <c r="L187" s="211">
        <v>1</v>
      </c>
      <c r="M187" s="211">
        <v>1</v>
      </c>
      <c r="N187" s="211">
        <v>1</v>
      </c>
      <c r="O187" s="211"/>
      <c r="P187" s="211">
        <v>1</v>
      </c>
      <c r="Q187" s="211"/>
      <c r="R187" s="211"/>
      <c r="S187" s="211"/>
      <c r="T187" s="211"/>
      <c r="U187" s="240"/>
      <c r="V187" s="211"/>
      <c r="W187" s="211"/>
      <c r="X187" s="211">
        <v>1</v>
      </c>
      <c r="Y187" s="211"/>
      <c r="Z187" s="211"/>
      <c r="AA187" s="211"/>
      <c r="AB187" s="211"/>
      <c r="AC187" s="211"/>
      <c r="AD187" s="211"/>
      <c r="AE187" s="211"/>
      <c r="AF187" s="240"/>
      <c r="AG187" s="211"/>
      <c r="AH187" s="211"/>
      <c r="AI187" s="211">
        <v>1</v>
      </c>
      <c r="AJ187" s="211"/>
      <c r="AK187" s="211">
        <v>1</v>
      </c>
      <c r="AL187" s="211">
        <v>1</v>
      </c>
      <c r="AM187" s="211"/>
      <c r="AN187" s="211"/>
      <c r="AO187" s="211"/>
      <c r="AP187" s="211"/>
      <c r="AQ187" s="240"/>
      <c r="AR187" s="240"/>
      <c r="AS187" s="240"/>
      <c r="AT187" s="211"/>
      <c r="AU187" s="211"/>
      <c r="AV187" s="242"/>
      <c r="AW187" s="240"/>
      <c r="AX187" s="240"/>
      <c r="AY187" s="240">
        <v>1</v>
      </c>
      <c r="AZ187" s="203">
        <v>1</v>
      </c>
      <c r="BA187" s="203">
        <v>1</v>
      </c>
      <c r="BB187" s="203"/>
      <c r="BC187" s="203"/>
    </row>
    <row r="188" spans="1:55" ht="21" hidden="1" customHeight="1">
      <c r="A188" s="212"/>
      <c r="B188" s="237">
        <v>46054</v>
      </c>
      <c r="C188" s="211" t="s">
        <v>384</v>
      </c>
      <c r="D188" s="238" t="s">
        <v>660</v>
      </c>
      <c r="E188" s="211" t="s">
        <v>661</v>
      </c>
      <c r="F188" s="211"/>
      <c r="G188" s="211"/>
      <c r="H188" s="211">
        <v>1</v>
      </c>
      <c r="I188" s="211">
        <v>1</v>
      </c>
      <c r="J188" s="240">
        <v>1</v>
      </c>
      <c r="K188" s="211">
        <v>1</v>
      </c>
      <c r="L188" s="211">
        <v>1</v>
      </c>
      <c r="M188" s="211">
        <v>1</v>
      </c>
      <c r="N188" s="211">
        <v>1</v>
      </c>
      <c r="O188" s="211">
        <v>1</v>
      </c>
      <c r="P188" s="211">
        <v>1</v>
      </c>
      <c r="Q188" s="211"/>
      <c r="R188" s="211"/>
      <c r="S188" s="211">
        <v>1</v>
      </c>
      <c r="T188" s="211">
        <v>1</v>
      </c>
      <c r="U188" s="240">
        <v>1</v>
      </c>
      <c r="V188" s="211">
        <v>1</v>
      </c>
      <c r="W188" s="211">
        <v>1</v>
      </c>
      <c r="X188" s="211"/>
      <c r="Y188" s="211"/>
      <c r="Z188" s="211">
        <v>1</v>
      </c>
      <c r="AA188" s="211">
        <v>1</v>
      </c>
      <c r="AB188" s="211"/>
      <c r="AC188" s="211"/>
      <c r="AD188" s="211">
        <v>1</v>
      </c>
      <c r="AE188" s="211">
        <v>1</v>
      </c>
      <c r="AF188" s="240">
        <v>1</v>
      </c>
      <c r="AG188" s="211">
        <v>1</v>
      </c>
      <c r="AH188" s="211">
        <v>1</v>
      </c>
      <c r="AI188" s="211">
        <v>1</v>
      </c>
      <c r="AJ188" s="211">
        <v>1</v>
      </c>
      <c r="AK188" s="211">
        <v>1</v>
      </c>
      <c r="AL188" s="211">
        <v>1</v>
      </c>
      <c r="AM188" s="211"/>
      <c r="AN188" s="211"/>
      <c r="AO188" s="211"/>
      <c r="AP188" s="211"/>
      <c r="AQ188" s="240">
        <v>1</v>
      </c>
      <c r="AR188" s="240">
        <v>1</v>
      </c>
      <c r="AS188" s="240">
        <v>1</v>
      </c>
      <c r="AT188" s="211">
        <v>1</v>
      </c>
      <c r="AU188" s="211">
        <v>1</v>
      </c>
      <c r="AV188" s="240">
        <v>1</v>
      </c>
      <c r="AW188" s="240">
        <v>1</v>
      </c>
      <c r="AX188" s="240"/>
      <c r="AY188" s="240"/>
      <c r="AZ188" s="203">
        <v>1</v>
      </c>
      <c r="BA188" s="203">
        <v>1</v>
      </c>
      <c r="BB188" s="203"/>
      <c r="BC188" s="203"/>
    </row>
    <row r="189" spans="1:55" ht="21" hidden="1" customHeight="1">
      <c r="A189" s="212"/>
      <c r="B189" s="237">
        <v>46054</v>
      </c>
      <c r="C189" s="211" t="s">
        <v>384</v>
      </c>
      <c r="D189" s="238" t="s">
        <v>662</v>
      </c>
      <c r="E189" s="211" t="s">
        <v>663</v>
      </c>
      <c r="F189" s="211"/>
      <c r="G189" s="211"/>
      <c r="H189" s="211"/>
      <c r="I189" s="211"/>
      <c r="J189" s="240">
        <v>1</v>
      </c>
      <c r="K189" s="211">
        <v>1</v>
      </c>
      <c r="L189" s="211">
        <v>1</v>
      </c>
      <c r="M189" s="211"/>
      <c r="N189" s="211">
        <v>1</v>
      </c>
      <c r="O189" s="211">
        <v>1</v>
      </c>
      <c r="P189" s="211">
        <v>1</v>
      </c>
      <c r="Q189" s="211"/>
      <c r="R189" s="211"/>
      <c r="S189" s="211"/>
      <c r="T189" s="211"/>
      <c r="U189" s="240">
        <v>1</v>
      </c>
      <c r="V189" s="211">
        <v>1</v>
      </c>
      <c r="W189" s="211">
        <v>1</v>
      </c>
      <c r="X189" s="211"/>
      <c r="Y189" s="211"/>
      <c r="Z189" s="211">
        <v>1</v>
      </c>
      <c r="AA189" s="211">
        <v>1</v>
      </c>
      <c r="AB189" s="211"/>
      <c r="AC189" s="211"/>
      <c r="AD189" s="211"/>
      <c r="AE189" s="211"/>
      <c r="AF189" s="240">
        <v>1</v>
      </c>
      <c r="AG189" s="211"/>
      <c r="AH189" s="211">
        <v>1</v>
      </c>
      <c r="AI189" s="211"/>
      <c r="AJ189" s="211">
        <v>1</v>
      </c>
      <c r="AK189" s="211">
        <v>1</v>
      </c>
      <c r="AL189" s="211">
        <v>1</v>
      </c>
      <c r="AM189" s="211"/>
      <c r="AN189" s="211"/>
      <c r="AO189" s="211"/>
      <c r="AP189" s="211"/>
      <c r="AQ189" s="240"/>
      <c r="AR189" s="240">
        <v>1</v>
      </c>
      <c r="AS189" s="240">
        <v>1</v>
      </c>
      <c r="AT189" s="211">
        <v>1</v>
      </c>
      <c r="AU189" s="211">
        <v>1</v>
      </c>
      <c r="AV189" s="242">
        <v>1</v>
      </c>
      <c r="AW189" s="240">
        <v>1</v>
      </c>
      <c r="AX189" s="240"/>
      <c r="AY189" s="240"/>
      <c r="AZ189" s="242">
        <v>1</v>
      </c>
      <c r="BA189" s="203">
        <v>1</v>
      </c>
      <c r="BB189" s="203"/>
      <c r="BC189" s="203"/>
    </row>
    <row r="190" spans="1:55" ht="21" hidden="1" customHeight="1">
      <c r="A190" s="212"/>
      <c r="B190" s="237">
        <v>46054</v>
      </c>
      <c r="C190" s="211" t="s">
        <v>384</v>
      </c>
      <c r="D190" s="238" t="s">
        <v>664</v>
      </c>
      <c r="E190" s="211" t="s">
        <v>571</v>
      </c>
      <c r="F190" s="211"/>
      <c r="G190" s="211"/>
      <c r="H190" s="211">
        <v>1</v>
      </c>
      <c r="I190" s="211">
        <v>1</v>
      </c>
      <c r="J190" s="240">
        <v>1</v>
      </c>
      <c r="K190" s="211">
        <v>1</v>
      </c>
      <c r="L190" s="211">
        <v>1</v>
      </c>
      <c r="M190" s="211"/>
      <c r="N190" s="211">
        <v>1</v>
      </c>
      <c r="O190" s="211">
        <v>1</v>
      </c>
      <c r="P190" s="211">
        <v>1</v>
      </c>
      <c r="Q190" s="211"/>
      <c r="R190" s="211"/>
      <c r="S190" s="211">
        <v>1</v>
      </c>
      <c r="T190" s="211">
        <v>1</v>
      </c>
      <c r="U190" s="240">
        <v>1</v>
      </c>
      <c r="V190" s="211">
        <v>1</v>
      </c>
      <c r="W190" s="211">
        <v>1</v>
      </c>
      <c r="X190" s="211"/>
      <c r="Y190" s="211">
        <v>1</v>
      </c>
      <c r="Z190" s="211">
        <v>1</v>
      </c>
      <c r="AA190" s="211">
        <v>1</v>
      </c>
      <c r="AB190" s="211"/>
      <c r="AC190" s="211"/>
      <c r="AD190" s="211">
        <v>1</v>
      </c>
      <c r="AE190" s="211">
        <v>1</v>
      </c>
      <c r="AF190" s="240">
        <v>1</v>
      </c>
      <c r="AG190" s="211">
        <v>1</v>
      </c>
      <c r="AH190" s="211">
        <v>1</v>
      </c>
      <c r="AI190" s="211"/>
      <c r="AJ190" s="211">
        <v>1</v>
      </c>
      <c r="AK190" s="211">
        <v>1</v>
      </c>
      <c r="AL190" s="211">
        <v>1</v>
      </c>
      <c r="AM190" s="211"/>
      <c r="AN190" s="211"/>
      <c r="AO190" s="211">
        <v>1</v>
      </c>
      <c r="AP190" s="211">
        <v>1</v>
      </c>
      <c r="AQ190" s="240">
        <v>1</v>
      </c>
      <c r="AR190" s="240">
        <v>1</v>
      </c>
      <c r="AS190" s="240">
        <v>1</v>
      </c>
      <c r="AT190" s="211">
        <v>1</v>
      </c>
      <c r="AU190" s="211">
        <v>1</v>
      </c>
      <c r="AV190" s="240">
        <v>1</v>
      </c>
      <c r="AW190" s="240">
        <v>1</v>
      </c>
      <c r="AX190" s="240"/>
      <c r="AY190" s="240"/>
      <c r="AZ190" s="203">
        <v>1</v>
      </c>
      <c r="BA190" s="203">
        <v>1</v>
      </c>
      <c r="BB190" s="203">
        <v>1</v>
      </c>
      <c r="BC190" s="203">
        <v>1</v>
      </c>
    </row>
    <row r="191" spans="1:55" ht="21" hidden="1" customHeight="1">
      <c r="A191" s="212"/>
      <c r="B191" s="237">
        <v>46054</v>
      </c>
      <c r="C191" s="211" t="s">
        <v>386</v>
      </c>
      <c r="D191" s="238" t="s">
        <v>665</v>
      </c>
      <c r="E191" s="211" t="s">
        <v>620</v>
      </c>
      <c r="F191" s="211"/>
      <c r="G191" s="211"/>
      <c r="H191" s="211"/>
      <c r="I191" s="211"/>
      <c r="J191" s="240">
        <v>1</v>
      </c>
      <c r="K191" s="211">
        <v>1</v>
      </c>
      <c r="L191" s="211">
        <v>1</v>
      </c>
      <c r="M191" s="211"/>
      <c r="N191" s="211">
        <v>1</v>
      </c>
      <c r="O191" s="211">
        <v>1</v>
      </c>
      <c r="P191" s="211">
        <v>1</v>
      </c>
      <c r="Q191" s="211"/>
      <c r="R191" s="211"/>
      <c r="S191" s="211"/>
      <c r="T191" s="211"/>
      <c r="U191" s="240">
        <v>1</v>
      </c>
      <c r="V191" s="211">
        <v>1</v>
      </c>
      <c r="W191" s="211">
        <v>1</v>
      </c>
      <c r="X191" s="211"/>
      <c r="Y191" s="211">
        <v>1</v>
      </c>
      <c r="Z191" s="211">
        <v>1</v>
      </c>
      <c r="AA191" s="211">
        <v>1</v>
      </c>
      <c r="AB191" s="211"/>
      <c r="AC191" s="211"/>
      <c r="AD191" s="211">
        <v>1</v>
      </c>
      <c r="AE191" s="211">
        <v>1</v>
      </c>
      <c r="AF191" s="240">
        <v>1</v>
      </c>
      <c r="AG191" s="211">
        <v>1</v>
      </c>
      <c r="AH191" s="211">
        <v>1</v>
      </c>
      <c r="AI191" s="211"/>
      <c r="AJ191" s="211">
        <v>1</v>
      </c>
      <c r="AK191" s="211">
        <v>1</v>
      </c>
      <c r="AL191" s="211">
        <v>1</v>
      </c>
      <c r="AM191" s="211"/>
      <c r="AN191" s="211"/>
      <c r="AO191" s="211">
        <v>1</v>
      </c>
      <c r="AP191" s="211">
        <v>1</v>
      </c>
      <c r="AQ191" s="240">
        <v>1</v>
      </c>
      <c r="AR191" s="240"/>
      <c r="AS191" s="240">
        <v>1</v>
      </c>
      <c r="AT191" s="211">
        <v>1</v>
      </c>
      <c r="AU191" s="211">
        <v>1</v>
      </c>
      <c r="AV191" s="240">
        <v>1</v>
      </c>
      <c r="AW191" s="240">
        <v>1</v>
      </c>
      <c r="AX191" s="240">
        <v>1</v>
      </c>
      <c r="AY191" s="240">
        <v>1</v>
      </c>
      <c r="AZ191" s="203">
        <v>1</v>
      </c>
      <c r="BA191" s="203">
        <v>1</v>
      </c>
      <c r="BB191" s="203">
        <v>1</v>
      </c>
      <c r="BC191" s="203">
        <v>1</v>
      </c>
    </row>
    <row r="192" spans="1:55" ht="21" hidden="1" customHeight="1">
      <c r="A192" s="212"/>
      <c r="B192" s="237">
        <v>46054</v>
      </c>
      <c r="C192" s="211" t="s">
        <v>386</v>
      </c>
      <c r="D192" s="238" t="s">
        <v>666</v>
      </c>
      <c r="E192" s="203" t="s">
        <v>667</v>
      </c>
      <c r="F192" s="211"/>
      <c r="G192" s="211"/>
      <c r="H192" s="211"/>
      <c r="I192" s="211"/>
      <c r="J192" s="240">
        <v>1</v>
      </c>
      <c r="K192" s="211">
        <v>1</v>
      </c>
      <c r="L192" s="211">
        <v>1</v>
      </c>
      <c r="M192" s="211"/>
      <c r="N192" s="211">
        <v>1</v>
      </c>
      <c r="O192" s="211">
        <v>1</v>
      </c>
      <c r="P192" s="211">
        <v>1</v>
      </c>
      <c r="Q192" s="211"/>
      <c r="R192" s="211"/>
      <c r="S192" s="211">
        <v>1</v>
      </c>
      <c r="T192" s="211">
        <v>1</v>
      </c>
      <c r="U192" s="240">
        <v>1</v>
      </c>
      <c r="V192" s="211">
        <v>1</v>
      </c>
      <c r="W192" s="211">
        <v>1</v>
      </c>
      <c r="X192" s="211"/>
      <c r="Y192" s="211">
        <v>1</v>
      </c>
      <c r="Z192" s="211">
        <v>1</v>
      </c>
      <c r="AA192" s="211">
        <v>1</v>
      </c>
      <c r="AB192" s="211"/>
      <c r="AC192" s="211"/>
      <c r="AD192" s="211">
        <v>1</v>
      </c>
      <c r="AE192" s="211">
        <v>1</v>
      </c>
      <c r="AF192" s="240">
        <v>1</v>
      </c>
      <c r="AG192" s="211">
        <v>1</v>
      </c>
      <c r="AH192" s="211">
        <v>1</v>
      </c>
      <c r="AI192" s="211"/>
      <c r="AJ192" s="211">
        <v>1</v>
      </c>
      <c r="AK192" s="211">
        <v>1</v>
      </c>
      <c r="AL192" s="211">
        <v>1</v>
      </c>
      <c r="AM192" s="211"/>
      <c r="AN192" s="211"/>
      <c r="AO192" s="211">
        <v>1</v>
      </c>
      <c r="AP192" s="211">
        <v>1</v>
      </c>
      <c r="AQ192" s="240">
        <v>1</v>
      </c>
      <c r="AR192" s="240">
        <v>1</v>
      </c>
      <c r="AS192" s="240">
        <v>1</v>
      </c>
      <c r="AT192" s="211">
        <v>1</v>
      </c>
      <c r="AU192" s="211">
        <v>1</v>
      </c>
      <c r="AV192" s="242">
        <v>1</v>
      </c>
      <c r="AW192" s="240">
        <v>1</v>
      </c>
      <c r="AX192" s="240"/>
      <c r="AY192" s="240">
        <v>1</v>
      </c>
      <c r="AZ192" s="203">
        <v>1</v>
      </c>
      <c r="BA192" s="203">
        <v>1</v>
      </c>
      <c r="BB192" s="203">
        <v>1</v>
      </c>
      <c r="BC192" s="203">
        <v>1</v>
      </c>
    </row>
    <row r="193" spans="1:55" ht="21" hidden="1" customHeight="1">
      <c r="A193" s="212"/>
      <c r="B193" s="237">
        <v>46054</v>
      </c>
      <c r="C193" s="211" t="s">
        <v>387</v>
      </c>
      <c r="D193" s="238" t="s">
        <v>668</v>
      </c>
      <c r="E193" s="211" t="s">
        <v>415</v>
      </c>
      <c r="F193" s="211"/>
      <c r="G193" s="211"/>
      <c r="H193" s="211"/>
      <c r="I193" s="211"/>
      <c r="J193" s="240"/>
      <c r="K193" s="211"/>
      <c r="L193" s="211"/>
      <c r="M193" s="211"/>
      <c r="N193" s="211"/>
      <c r="O193" s="211">
        <v>1</v>
      </c>
      <c r="P193" s="211">
        <v>1</v>
      </c>
      <c r="Q193" s="211"/>
      <c r="R193" s="211"/>
      <c r="S193" s="211"/>
      <c r="T193" s="211"/>
      <c r="U193" s="240"/>
      <c r="V193" s="211"/>
      <c r="W193" s="211"/>
      <c r="X193" s="211"/>
      <c r="Y193" s="211"/>
      <c r="Z193" s="211"/>
      <c r="AA193" s="211"/>
      <c r="AB193" s="211"/>
      <c r="AC193" s="211"/>
      <c r="AD193" s="211">
        <v>1</v>
      </c>
      <c r="AE193" s="211">
        <v>1</v>
      </c>
      <c r="AF193" s="240"/>
      <c r="AG193" s="211"/>
      <c r="AH193" s="211">
        <v>1</v>
      </c>
      <c r="AI193" s="211"/>
      <c r="AJ193" s="211"/>
      <c r="AK193" s="211"/>
      <c r="AL193" s="211"/>
      <c r="AM193" s="211"/>
      <c r="AN193" s="211"/>
      <c r="AO193" s="211"/>
      <c r="AP193" s="211"/>
      <c r="AQ193" s="240"/>
      <c r="AR193" s="240"/>
      <c r="AS193" s="240"/>
      <c r="AT193" s="211"/>
      <c r="AU193" s="211"/>
      <c r="AV193" s="242"/>
      <c r="AW193" s="240"/>
      <c r="AX193" s="240"/>
      <c r="AY193" s="240"/>
      <c r="AZ193" s="242"/>
      <c r="BA193" s="203"/>
      <c r="BB193" s="203"/>
      <c r="BC193" s="203"/>
    </row>
    <row r="194" spans="1:55" ht="21" customHeight="1">
      <c r="A194" s="212"/>
      <c r="B194" s="237">
        <v>46054</v>
      </c>
      <c r="C194" s="211" t="s">
        <v>395</v>
      </c>
      <c r="D194" s="238" t="s">
        <v>669</v>
      </c>
      <c r="E194" s="211" t="s">
        <v>426</v>
      </c>
      <c r="F194" s="211"/>
      <c r="G194" s="211"/>
      <c r="H194" s="211">
        <v>1</v>
      </c>
      <c r="I194" s="211">
        <v>1</v>
      </c>
      <c r="J194" s="240">
        <v>1</v>
      </c>
      <c r="K194" s="211">
        <v>1</v>
      </c>
      <c r="L194" s="211">
        <v>1</v>
      </c>
      <c r="M194" s="211"/>
      <c r="N194" s="211">
        <v>1</v>
      </c>
      <c r="O194" s="211">
        <v>1</v>
      </c>
      <c r="P194" s="211"/>
      <c r="Q194" s="211"/>
      <c r="R194" s="211"/>
      <c r="S194" s="211"/>
      <c r="T194" s="211"/>
      <c r="U194" s="240"/>
      <c r="V194" s="211"/>
      <c r="W194" s="211"/>
      <c r="X194" s="211"/>
      <c r="Y194" s="211"/>
      <c r="Z194" s="211">
        <v>1</v>
      </c>
      <c r="AA194" s="211"/>
      <c r="AB194" s="211"/>
      <c r="AC194" s="211"/>
      <c r="AD194" s="211"/>
      <c r="AE194" s="211"/>
      <c r="AF194" s="240">
        <v>1</v>
      </c>
      <c r="AG194" s="211">
        <v>1</v>
      </c>
      <c r="AH194" s="211">
        <v>1</v>
      </c>
      <c r="AI194" s="211"/>
      <c r="AJ194" s="211">
        <v>1</v>
      </c>
      <c r="AK194" s="211"/>
      <c r="AL194" s="211">
        <v>1</v>
      </c>
      <c r="AM194" s="211"/>
      <c r="AN194" s="211"/>
      <c r="AO194" s="211">
        <v>1</v>
      </c>
      <c r="AP194" s="211">
        <v>1</v>
      </c>
      <c r="AQ194" s="240">
        <v>1</v>
      </c>
      <c r="AR194" s="240"/>
      <c r="AS194" s="240">
        <v>1</v>
      </c>
      <c r="AT194" s="240">
        <v>1</v>
      </c>
      <c r="AU194" s="240">
        <v>1</v>
      </c>
      <c r="AV194" s="240">
        <v>1</v>
      </c>
      <c r="AW194" s="240">
        <v>1</v>
      </c>
      <c r="AX194" s="240">
        <v>1</v>
      </c>
      <c r="AY194" s="240">
        <v>1</v>
      </c>
      <c r="AZ194" s="242"/>
      <c r="BA194" s="203"/>
      <c r="BB194" s="203"/>
      <c r="BC194" s="203"/>
    </row>
    <row r="195" spans="1:55" ht="21" hidden="1" customHeight="1">
      <c r="A195" s="212"/>
      <c r="B195" s="237">
        <v>46054</v>
      </c>
      <c r="C195" s="211" t="s">
        <v>384</v>
      </c>
      <c r="D195" s="238" t="s">
        <v>670</v>
      </c>
      <c r="E195" s="211" t="s">
        <v>671</v>
      </c>
      <c r="F195" s="211"/>
      <c r="G195" s="211"/>
      <c r="H195" s="211"/>
      <c r="I195" s="211"/>
      <c r="J195" s="240">
        <v>1</v>
      </c>
      <c r="K195" s="211">
        <v>1</v>
      </c>
      <c r="L195" s="211"/>
      <c r="M195" s="211"/>
      <c r="N195" s="211"/>
      <c r="O195" s="211"/>
      <c r="P195" s="211"/>
      <c r="Q195" s="211"/>
      <c r="R195" s="211"/>
      <c r="S195" s="211"/>
      <c r="T195" s="211"/>
      <c r="U195" s="240"/>
      <c r="V195" s="211">
        <v>1</v>
      </c>
      <c r="W195" s="211">
        <v>1</v>
      </c>
      <c r="X195" s="211"/>
      <c r="Y195" s="211">
        <v>1</v>
      </c>
      <c r="Z195" s="211"/>
      <c r="AA195" s="211"/>
      <c r="AB195" s="211"/>
      <c r="AC195" s="211"/>
      <c r="AD195" s="211">
        <v>1</v>
      </c>
      <c r="AE195" s="211">
        <v>1</v>
      </c>
      <c r="AF195" s="240"/>
      <c r="AG195" s="211"/>
      <c r="AH195" s="211">
        <v>1</v>
      </c>
      <c r="AI195" s="211"/>
      <c r="AJ195" s="211"/>
      <c r="AK195" s="211"/>
      <c r="AL195" s="211"/>
      <c r="AM195" s="211"/>
      <c r="AN195" s="211"/>
      <c r="AO195" s="211"/>
      <c r="AP195" s="211"/>
      <c r="AQ195" s="240"/>
      <c r="AR195" s="240"/>
      <c r="AS195" s="240"/>
      <c r="AT195" s="240"/>
      <c r="AU195" s="240"/>
      <c r="AV195" s="240">
        <v>1</v>
      </c>
      <c r="AW195" s="240">
        <v>1</v>
      </c>
      <c r="AX195" s="240"/>
      <c r="AY195" s="240"/>
      <c r="AZ195" s="203">
        <v>1</v>
      </c>
      <c r="BA195" s="203">
        <v>1</v>
      </c>
      <c r="BB195" s="203"/>
      <c r="BC195" s="203"/>
    </row>
    <row r="196" spans="1:55" ht="21" hidden="1" customHeight="1">
      <c r="A196" s="212"/>
      <c r="B196" s="237">
        <v>46054</v>
      </c>
      <c r="C196" s="211" t="s">
        <v>384</v>
      </c>
      <c r="D196" s="238" t="s">
        <v>672</v>
      </c>
      <c r="E196" s="211" t="s">
        <v>568</v>
      </c>
      <c r="F196" s="211"/>
      <c r="G196" s="211"/>
      <c r="H196" s="211">
        <v>1</v>
      </c>
      <c r="I196" s="211">
        <v>1</v>
      </c>
      <c r="J196" s="240">
        <v>1</v>
      </c>
      <c r="K196" s="211">
        <v>1</v>
      </c>
      <c r="L196" s="211">
        <v>1</v>
      </c>
      <c r="M196" s="211"/>
      <c r="N196" s="211">
        <v>1</v>
      </c>
      <c r="O196" s="211">
        <v>1</v>
      </c>
      <c r="P196" s="211">
        <v>1</v>
      </c>
      <c r="Q196" s="211"/>
      <c r="R196" s="211"/>
      <c r="S196" s="211">
        <v>1</v>
      </c>
      <c r="T196" s="211">
        <v>1</v>
      </c>
      <c r="U196" s="240">
        <v>1</v>
      </c>
      <c r="V196" s="211">
        <v>1</v>
      </c>
      <c r="W196" s="211">
        <v>1</v>
      </c>
      <c r="X196" s="211"/>
      <c r="Y196" s="211">
        <v>1</v>
      </c>
      <c r="Z196" s="211">
        <v>1</v>
      </c>
      <c r="AA196" s="211">
        <v>1</v>
      </c>
      <c r="AB196" s="211"/>
      <c r="AC196" s="211"/>
      <c r="AD196" s="211">
        <v>1</v>
      </c>
      <c r="AE196" s="211">
        <v>1</v>
      </c>
      <c r="AF196" s="240">
        <v>1</v>
      </c>
      <c r="AG196" s="211">
        <v>1</v>
      </c>
      <c r="AH196" s="211">
        <v>1</v>
      </c>
      <c r="AI196" s="211"/>
      <c r="AJ196" s="211">
        <v>1</v>
      </c>
      <c r="AK196" s="211">
        <v>1</v>
      </c>
      <c r="AL196" s="211">
        <v>1</v>
      </c>
      <c r="AM196" s="211"/>
      <c r="AN196" s="211"/>
      <c r="AO196" s="211"/>
      <c r="AP196" s="211"/>
      <c r="AQ196" s="240"/>
      <c r="AR196" s="240">
        <v>1</v>
      </c>
      <c r="AS196" s="240">
        <v>1</v>
      </c>
      <c r="AT196" s="240">
        <v>1</v>
      </c>
      <c r="AU196" s="240">
        <v>1</v>
      </c>
      <c r="AV196" s="242"/>
      <c r="AW196" s="240"/>
      <c r="AX196" s="240"/>
      <c r="AY196" s="240"/>
      <c r="AZ196" s="203">
        <v>1</v>
      </c>
      <c r="BA196" s="203">
        <v>1</v>
      </c>
      <c r="BB196" s="203"/>
      <c r="BC196" s="203"/>
    </row>
    <row r="197" spans="1:55" ht="21" hidden="1" customHeight="1">
      <c r="A197" s="212"/>
      <c r="B197" s="237">
        <v>46054</v>
      </c>
      <c r="C197" s="211" t="s">
        <v>386</v>
      </c>
      <c r="D197" s="238" t="s">
        <v>673</v>
      </c>
      <c r="E197" s="211" t="s">
        <v>587</v>
      </c>
      <c r="F197" s="211"/>
      <c r="G197" s="211"/>
      <c r="H197" s="211"/>
      <c r="I197" s="211"/>
      <c r="J197" s="240"/>
      <c r="K197" s="211">
        <v>1</v>
      </c>
      <c r="L197" s="211"/>
      <c r="M197" s="211"/>
      <c r="N197" s="211"/>
      <c r="O197" s="211"/>
      <c r="P197" s="211">
        <v>1</v>
      </c>
      <c r="Q197" s="211"/>
      <c r="R197" s="211"/>
      <c r="S197" s="211"/>
      <c r="T197" s="211"/>
      <c r="U197" s="240"/>
      <c r="V197" s="211">
        <v>1</v>
      </c>
      <c r="W197" s="211">
        <v>1</v>
      </c>
      <c r="X197" s="211"/>
      <c r="Y197" s="211">
        <v>1</v>
      </c>
      <c r="Z197" s="211"/>
      <c r="AA197" s="211"/>
      <c r="AB197" s="211"/>
      <c r="AC197" s="211"/>
      <c r="AD197" s="211"/>
      <c r="AE197" s="211"/>
      <c r="AF197" s="240"/>
      <c r="AG197" s="211"/>
      <c r="AH197" s="211">
        <v>1</v>
      </c>
      <c r="AI197" s="211"/>
      <c r="AJ197" s="211">
        <v>1</v>
      </c>
      <c r="AK197" s="211">
        <v>1</v>
      </c>
      <c r="AL197" s="211">
        <v>1</v>
      </c>
      <c r="AM197" s="211"/>
      <c r="AN197" s="211"/>
      <c r="AO197" s="211"/>
      <c r="AP197" s="211"/>
      <c r="AQ197" s="240"/>
      <c r="AR197" s="240"/>
      <c r="AS197" s="240"/>
      <c r="AT197" s="240"/>
      <c r="AU197" s="240"/>
      <c r="AV197" s="240">
        <v>1</v>
      </c>
      <c r="AW197" s="240">
        <v>1</v>
      </c>
      <c r="AX197" s="240"/>
      <c r="AY197" s="240"/>
      <c r="AZ197" s="242"/>
      <c r="BA197" s="203"/>
      <c r="BB197" s="203"/>
      <c r="BC197" s="203"/>
    </row>
    <row r="198" spans="1:55" ht="21" hidden="1" customHeight="1">
      <c r="A198" s="212"/>
      <c r="B198" s="237">
        <v>46054</v>
      </c>
      <c r="C198" s="211" t="s">
        <v>386</v>
      </c>
      <c r="D198" s="238" t="s">
        <v>674</v>
      </c>
      <c r="E198" s="211" t="s">
        <v>587</v>
      </c>
      <c r="F198" s="211"/>
      <c r="G198" s="211"/>
      <c r="H198" s="211"/>
      <c r="I198" s="211"/>
      <c r="J198" s="240">
        <v>1</v>
      </c>
      <c r="K198" s="211">
        <v>1</v>
      </c>
      <c r="L198" s="211">
        <v>1</v>
      </c>
      <c r="M198" s="211"/>
      <c r="N198" s="211">
        <v>1</v>
      </c>
      <c r="O198" s="211"/>
      <c r="P198" s="211">
        <v>1</v>
      </c>
      <c r="Q198" s="211"/>
      <c r="R198" s="211"/>
      <c r="S198" s="211"/>
      <c r="T198" s="211"/>
      <c r="U198" s="240">
        <v>1</v>
      </c>
      <c r="V198" s="211"/>
      <c r="W198" s="211"/>
      <c r="X198" s="211"/>
      <c r="Y198" s="211"/>
      <c r="Z198" s="211">
        <v>1</v>
      </c>
      <c r="AA198" s="211"/>
      <c r="AB198" s="211"/>
      <c r="AC198" s="211"/>
      <c r="AD198" s="211"/>
      <c r="AE198" s="211"/>
      <c r="AF198" s="240"/>
      <c r="AG198" s="211">
        <v>1</v>
      </c>
      <c r="AH198" s="211">
        <v>1</v>
      </c>
      <c r="AI198" s="211"/>
      <c r="AJ198" s="211">
        <v>1</v>
      </c>
      <c r="AK198" s="211">
        <v>1</v>
      </c>
      <c r="AL198" s="211">
        <v>1</v>
      </c>
      <c r="AM198" s="211"/>
      <c r="AN198" s="211"/>
      <c r="AO198" s="211"/>
      <c r="AP198" s="211"/>
      <c r="AQ198" s="240"/>
      <c r="AR198" s="240">
        <v>1</v>
      </c>
      <c r="AS198" s="240"/>
      <c r="AT198" s="240"/>
      <c r="AU198" s="240"/>
      <c r="AV198" s="240">
        <v>1</v>
      </c>
      <c r="AW198" s="240">
        <v>1</v>
      </c>
      <c r="AX198" s="240"/>
      <c r="AY198" s="240">
        <v>1</v>
      </c>
      <c r="AZ198" s="203">
        <v>1</v>
      </c>
      <c r="BA198" s="203"/>
      <c r="BB198" s="203">
        <v>1</v>
      </c>
      <c r="BC198" s="203">
        <v>1</v>
      </c>
    </row>
    <row r="199" spans="1:55" ht="21" customHeight="1">
      <c r="A199" s="212"/>
      <c r="B199" s="237">
        <v>46054</v>
      </c>
      <c r="C199" s="211" t="s">
        <v>395</v>
      </c>
      <c r="D199" s="238" t="s">
        <v>675</v>
      </c>
      <c r="E199" s="211" t="s">
        <v>676</v>
      </c>
      <c r="F199" s="211"/>
      <c r="G199" s="211"/>
      <c r="H199" s="211"/>
      <c r="I199" s="211"/>
      <c r="J199" s="240"/>
      <c r="K199" s="211">
        <v>1</v>
      </c>
      <c r="L199" s="211">
        <v>1</v>
      </c>
      <c r="M199" s="211"/>
      <c r="N199" s="211"/>
      <c r="O199" s="211"/>
      <c r="P199" s="211"/>
      <c r="Q199" s="211"/>
      <c r="R199" s="211"/>
      <c r="S199" s="211"/>
      <c r="T199" s="211"/>
      <c r="U199" s="240"/>
      <c r="V199" s="211"/>
      <c r="W199" s="211"/>
      <c r="X199" s="211"/>
      <c r="Y199" s="211"/>
      <c r="Z199" s="211"/>
      <c r="AA199" s="211">
        <v>1</v>
      </c>
      <c r="AB199" s="211"/>
      <c r="AC199" s="211"/>
      <c r="AD199" s="211"/>
      <c r="AE199" s="211"/>
      <c r="AF199" s="240"/>
      <c r="AG199" s="211"/>
      <c r="AH199" s="211"/>
      <c r="AI199" s="211"/>
      <c r="AJ199" s="211">
        <v>1</v>
      </c>
      <c r="AK199" s="211"/>
      <c r="AL199" s="211"/>
      <c r="AM199" s="211"/>
      <c r="AN199" s="211"/>
      <c r="AO199" s="211"/>
      <c r="AP199" s="211"/>
      <c r="AQ199" s="240"/>
      <c r="AR199" s="240"/>
      <c r="AS199" s="240"/>
      <c r="AT199" s="240"/>
      <c r="AU199" s="240"/>
      <c r="AV199" s="242">
        <v>1</v>
      </c>
      <c r="AW199" s="240">
        <v>1</v>
      </c>
      <c r="AX199" s="240">
        <v>1</v>
      </c>
      <c r="AY199" s="240">
        <v>1</v>
      </c>
      <c r="AZ199" s="203">
        <v>1</v>
      </c>
      <c r="BA199" s="203">
        <v>1</v>
      </c>
      <c r="BB199" s="203"/>
      <c r="BC199" s="203"/>
    </row>
    <row r="200" spans="1:55" ht="21" hidden="1" customHeight="1">
      <c r="A200" s="212"/>
      <c r="B200" s="237">
        <v>46054</v>
      </c>
      <c r="C200" s="211" t="s">
        <v>384</v>
      </c>
      <c r="D200" s="238" t="s">
        <v>677</v>
      </c>
      <c r="E200" s="211" t="s">
        <v>678</v>
      </c>
      <c r="F200" s="211"/>
      <c r="G200" s="211"/>
      <c r="H200" s="211">
        <v>1</v>
      </c>
      <c r="I200" s="211">
        <v>1</v>
      </c>
      <c r="J200" s="240">
        <v>1</v>
      </c>
      <c r="K200" s="211">
        <v>1</v>
      </c>
      <c r="L200" s="211">
        <v>1</v>
      </c>
      <c r="M200" s="211"/>
      <c r="N200" s="211">
        <v>1</v>
      </c>
      <c r="O200" s="211">
        <v>1</v>
      </c>
      <c r="P200" s="211">
        <v>1</v>
      </c>
      <c r="Q200" s="211"/>
      <c r="R200" s="211"/>
      <c r="S200" s="211">
        <v>1</v>
      </c>
      <c r="T200" s="211">
        <v>1</v>
      </c>
      <c r="U200" s="240">
        <v>1</v>
      </c>
      <c r="V200" s="211">
        <v>1</v>
      </c>
      <c r="W200" s="211">
        <v>1</v>
      </c>
      <c r="X200" s="211"/>
      <c r="Y200" s="211">
        <v>1</v>
      </c>
      <c r="Z200" s="211">
        <v>1</v>
      </c>
      <c r="AA200" s="211">
        <v>1</v>
      </c>
      <c r="AB200" s="211"/>
      <c r="AC200" s="211"/>
      <c r="AD200" s="211"/>
      <c r="AE200" s="211"/>
      <c r="AF200" s="240">
        <v>1</v>
      </c>
      <c r="AG200" s="211">
        <v>1</v>
      </c>
      <c r="AH200" s="211">
        <v>1</v>
      </c>
      <c r="AI200" s="211"/>
      <c r="AJ200" s="211">
        <v>1</v>
      </c>
      <c r="AK200" s="211">
        <v>1</v>
      </c>
      <c r="AL200" s="211">
        <v>1</v>
      </c>
      <c r="AM200" s="211"/>
      <c r="AN200" s="211"/>
      <c r="AO200" s="211">
        <v>1</v>
      </c>
      <c r="AP200" s="211">
        <v>1</v>
      </c>
      <c r="AQ200" s="240">
        <v>1</v>
      </c>
      <c r="AR200" s="240">
        <v>1</v>
      </c>
      <c r="AS200" s="240">
        <v>1</v>
      </c>
      <c r="AT200" s="240">
        <v>1</v>
      </c>
      <c r="AU200" s="240">
        <v>1</v>
      </c>
      <c r="AV200" s="240">
        <v>1</v>
      </c>
      <c r="AW200" s="240">
        <v>1</v>
      </c>
      <c r="AX200" s="240"/>
      <c r="AY200" s="240"/>
      <c r="AZ200" s="203">
        <v>1</v>
      </c>
      <c r="BA200" s="203">
        <v>1</v>
      </c>
      <c r="BB200" s="203">
        <v>1</v>
      </c>
      <c r="BC200" s="203">
        <v>1</v>
      </c>
    </row>
    <row r="201" spans="1:55" ht="21" hidden="1" customHeight="1">
      <c r="A201" s="212"/>
      <c r="B201" s="237">
        <v>46054</v>
      </c>
      <c r="C201" s="211" t="s">
        <v>384</v>
      </c>
      <c r="D201" s="238" t="s">
        <v>679</v>
      </c>
      <c r="E201" s="211" t="s">
        <v>680</v>
      </c>
      <c r="F201" s="211"/>
      <c r="G201" s="211"/>
      <c r="H201" s="211"/>
      <c r="I201" s="211"/>
      <c r="J201" s="240">
        <v>1</v>
      </c>
      <c r="K201" s="211">
        <v>1</v>
      </c>
      <c r="L201" s="211">
        <v>1</v>
      </c>
      <c r="M201" s="211"/>
      <c r="N201" s="211">
        <v>1</v>
      </c>
      <c r="O201" s="211">
        <v>1</v>
      </c>
      <c r="P201" s="211">
        <v>1</v>
      </c>
      <c r="Q201" s="211"/>
      <c r="R201" s="211"/>
      <c r="S201" s="211"/>
      <c r="T201" s="211"/>
      <c r="U201" s="240">
        <v>1</v>
      </c>
      <c r="V201" s="211">
        <v>1</v>
      </c>
      <c r="W201" s="211">
        <v>1</v>
      </c>
      <c r="X201" s="211"/>
      <c r="Y201" s="211">
        <v>1</v>
      </c>
      <c r="Z201" s="211">
        <v>1</v>
      </c>
      <c r="AA201" s="211">
        <v>1</v>
      </c>
      <c r="AB201" s="211"/>
      <c r="AC201" s="211"/>
      <c r="AD201" s="211">
        <v>1</v>
      </c>
      <c r="AE201" s="211">
        <v>1</v>
      </c>
      <c r="AF201" s="240">
        <v>1</v>
      </c>
      <c r="AG201" s="211">
        <v>1</v>
      </c>
      <c r="AH201" s="211">
        <v>1</v>
      </c>
      <c r="AI201" s="211"/>
      <c r="AJ201" s="211">
        <v>1</v>
      </c>
      <c r="AK201" s="211">
        <v>1</v>
      </c>
      <c r="AL201" s="211">
        <v>1</v>
      </c>
      <c r="AM201" s="211"/>
      <c r="AN201" s="211"/>
      <c r="AO201" s="211">
        <v>1</v>
      </c>
      <c r="AP201" s="211">
        <v>1</v>
      </c>
      <c r="AQ201" s="240">
        <v>1</v>
      </c>
      <c r="AR201" s="240">
        <v>1</v>
      </c>
      <c r="AS201" s="240">
        <v>1</v>
      </c>
      <c r="AT201" s="240">
        <v>1</v>
      </c>
      <c r="AU201" s="240">
        <v>1</v>
      </c>
      <c r="AV201" s="242"/>
      <c r="AW201" s="240"/>
      <c r="AX201" s="240"/>
      <c r="AY201" s="240"/>
      <c r="AZ201" s="203">
        <v>1</v>
      </c>
      <c r="BA201" s="203">
        <v>1</v>
      </c>
      <c r="BB201" s="203"/>
      <c r="BC201" s="203"/>
    </row>
    <row r="202" spans="1:55" ht="21" hidden="1" customHeight="1">
      <c r="A202" s="212"/>
      <c r="B202" s="237">
        <v>46054</v>
      </c>
      <c r="C202" s="211" t="s">
        <v>384</v>
      </c>
      <c r="D202" s="238" t="s">
        <v>681</v>
      </c>
      <c r="E202" s="211" t="s">
        <v>682</v>
      </c>
      <c r="F202" s="211"/>
      <c r="G202" s="211"/>
      <c r="H202" s="211">
        <v>1</v>
      </c>
      <c r="I202" s="211">
        <v>1</v>
      </c>
      <c r="J202" s="240">
        <v>1</v>
      </c>
      <c r="K202" s="211">
        <v>1</v>
      </c>
      <c r="L202" s="211">
        <v>1</v>
      </c>
      <c r="M202" s="211"/>
      <c r="N202" s="211">
        <v>1</v>
      </c>
      <c r="O202" s="211">
        <v>1</v>
      </c>
      <c r="P202" s="211">
        <v>1</v>
      </c>
      <c r="Q202" s="211"/>
      <c r="R202" s="211"/>
      <c r="S202" s="211">
        <v>1</v>
      </c>
      <c r="T202" s="211">
        <v>1</v>
      </c>
      <c r="U202" s="240">
        <v>1</v>
      </c>
      <c r="V202" s="211">
        <v>1</v>
      </c>
      <c r="W202" s="211">
        <v>1</v>
      </c>
      <c r="X202" s="211"/>
      <c r="Y202" s="211">
        <v>1</v>
      </c>
      <c r="Z202" s="211">
        <v>1</v>
      </c>
      <c r="AA202" s="211">
        <v>1</v>
      </c>
      <c r="AB202" s="211"/>
      <c r="AC202" s="211"/>
      <c r="AD202" s="211">
        <v>1</v>
      </c>
      <c r="AE202" s="211">
        <v>1</v>
      </c>
      <c r="AF202" s="240">
        <v>1</v>
      </c>
      <c r="AG202" s="211">
        <v>1</v>
      </c>
      <c r="AH202" s="211">
        <v>1</v>
      </c>
      <c r="AI202" s="211"/>
      <c r="AJ202" s="211">
        <v>1</v>
      </c>
      <c r="AK202" s="211">
        <v>1</v>
      </c>
      <c r="AL202" s="211">
        <v>1</v>
      </c>
      <c r="AM202" s="211"/>
      <c r="AN202" s="211"/>
      <c r="AO202" s="211">
        <v>1</v>
      </c>
      <c r="AP202" s="211">
        <v>1</v>
      </c>
      <c r="AQ202" s="211">
        <v>1</v>
      </c>
      <c r="AR202" s="211">
        <v>1</v>
      </c>
      <c r="AS202" s="240">
        <v>1</v>
      </c>
      <c r="AT202" s="240">
        <v>1</v>
      </c>
      <c r="AU202" s="240">
        <v>1</v>
      </c>
      <c r="AV202" s="242"/>
      <c r="AW202" s="240"/>
      <c r="AX202" s="240"/>
      <c r="AY202" s="240"/>
      <c r="AZ202" s="203">
        <v>1</v>
      </c>
      <c r="BA202" s="203">
        <v>1</v>
      </c>
      <c r="BB202" s="203">
        <v>1</v>
      </c>
      <c r="BC202" s="203">
        <v>1</v>
      </c>
    </row>
    <row r="203" spans="1:55" ht="21" hidden="1" customHeight="1">
      <c r="A203" s="212"/>
      <c r="B203" s="237">
        <v>46054</v>
      </c>
      <c r="C203" s="211" t="s">
        <v>389</v>
      </c>
      <c r="D203" s="238" t="s">
        <v>683</v>
      </c>
      <c r="E203" s="203" t="s">
        <v>684</v>
      </c>
      <c r="F203" s="211"/>
      <c r="G203" s="211"/>
      <c r="H203" s="211"/>
      <c r="I203" s="211"/>
      <c r="J203" s="240">
        <v>1</v>
      </c>
      <c r="K203" s="211">
        <v>1</v>
      </c>
      <c r="L203" s="211">
        <v>1</v>
      </c>
      <c r="M203" s="211">
        <v>1</v>
      </c>
      <c r="N203" s="211"/>
      <c r="O203" s="211">
        <v>1</v>
      </c>
      <c r="P203" s="211">
        <v>1</v>
      </c>
      <c r="Q203" s="211"/>
      <c r="R203" s="211"/>
      <c r="S203" s="211"/>
      <c r="T203" s="211"/>
      <c r="U203" s="240"/>
      <c r="V203" s="211"/>
      <c r="W203" s="211"/>
      <c r="X203" s="211"/>
      <c r="Y203" s="211"/>
      <c r="Z203" s="211">
        <v>1</v>
      </c>
      <c r="AA203" s="211">
        <v>1</v>
      </c>
      <c r="AB203" s="211"/>
      <c r="AC203" s="211"/>
      <c r="AD203" s="211">
        <v>1</v>
      </c>
      <c r="AE203" s="211">
        <v>1</v>
      </c>
      <c r="AF203" s="240">
        <v>1</v>
      </c>
      <c r="AG203" s="240">
        <v>1</v>
      </c>
      <c r="AH203" s="240">
        <v>1</v>
      </c>
      <c r="AI203" s="211">
        <v>1</v>
      </c>
      <c r="AJ203" s="211"/>
      <c r="AK203" s="211">
        <v>1</v>
      </c>
      <c r="AL203" s="211">
        <v>1</v>
      </c>
      <c r="AM203" s="211"/>
      <c r="AN203" s="211"/>
      <c r="AO203" s="211"/>
      <c r="AP203" s="211"/>
      <c r="AQ203" s="240"/>
      <c r="AR203" s="240"/>
      <c r="AS203" s="240"/>
      <c r="AT203" s="240"/>
      <c r="AU203" s="240"/>
      <c r="AV203" s="240">
        <v>1</v>
      </c>
      <c r="AW203" s="240"/>
      <c r="AX203" s="240"/>
      <c r="AY203" s="240"/>
      <c r="AZ203" s="203">
        <v>1</v>
      </c>
      <c r="BA203" s="203">
        <v>1</v>
      </c>
      <c r="BB203" s="203">
        <v>1</v>
      </c>
      <c r="BC203" s="203">
        <v>1</v>
      </c>
    </row>
    <row r="204" spans="1:55" ht="21" hidden="1" customHeight="1">
      <c r="A204" s="212"/>
      <c r="B204" s="237">
        <v>46054</v>
      </c>
      <c r="C204" s="211" t="s">
        <v>387</v>
      </c>
      <c r="D204" s="238" t="s">
        <v>685</v>
      </c>
      <c r="E204" s="211" t="s">
        <v>415</v>
      </c>
      <c r="F204" s="211"/>
      <c r="G204" s="211"/>
      <c r="H204" s="211"/>
      <c r="I204" s="211"/>
      <c r="J204" s="240">
        <v>1</v>
      </c>
      <c r="K204" s="211">
        <v>1</v>
      </c>
      <c r="L204" s="211">
        <v>1</v>
      </c>
      <c r="M204" s="211"/>
      <c r="N204" s="211">
        <v>1</v>
      </c>
      <c r="O204" s="211">
        <v>1</v>
      </c>
      <c r="P204" s="211">
        <v>1</v>
      </c>
      <c r="Q204" s="211"/>
      <c r="R204" s="211"/>
      <c r="S204" s="211"/>
      <c r="T204" s="211"/>
      <c r="U204" s="240"/>
      <c r="V204" s="211">
        <v>1</v>
      </c>
      <c r="W204" s="211">
        <v>1</v>
      </c>
      <c r="X204" s="211"/>
      <c r="Y204" s="211">
        <v>1</v>
      </c>
      <c r="Z204" s="211">
        <v>1</v>
      </c>
      <c r="AA204" s="211"/>
      <c r="AB204" s="211"/>
      <c r="AC204" s="211"/>
      <c r="AD204" s="211"/>
      <c r="AE204" s="211"/>
      <c r="AF204" s="240">
        <v>1</v>
      </c>
      <c r="AG204" s="211">
        <v>1</v>
      </c>
      <c r="AH204" s="211">
        <v>1</v>
      </c>
      <c r="AI204" s="211"/>
      <c r="AJ204" s="211">
        <v>1</v>
      </c>
      <c r="AK204" s="211">
        <v>1</v>
      </c>
      <c r="AL204" s="211">
        <v>1</v>
      </c>
      <c r="AM204" s="211"/>
      <c r="AN204" s="211"/>
      <c r="AO204" s="211"/>
      <c r="AP204" s="211"/>
      <c r="AQ204" s="240"/>
      <c r="AR204" s="240"/>
      <c r="AS204" s="240"/>
      <c r="AT204" s="240"/>
      <c r="AU204" s="240"/>
      <c r="AV204" s="242"/>
      <c r="AW204" s="240"/>
      <c r="AX204" s="240">
        <v>1</v>
      </c>
      <c r="AY204" s="240"/>
      <c r="AZ204" s="203">
        <v>1</v>
      </c>
      <c r="BA204" s="203"/>
      <c r="BB204" s="203"/>
      <c r="BC204" s="203"/>
    </row>
    <row r="205" spans="1:55" ht="21" customHeight="1">
      <c r="A205" s="212"/>
      <c r="B205" s="237">
        <v>46054</v>
      </c>
      <c r="C205" s="211" t="s">
        <v>395</v>
      </c>
      <c r="D205" s="238" t="s">
        <v>686</v>
      </c>
      <c r="E205" s="211" t="s">
        <v>511</v>
      </c>
      <c r="F205" s="211"/>
      <c r="G205" s="211"/>
      <c r="H205" s="211"/>
      <c r="I205" s="211"/>
      <c r="J205" s="240"/>
      <c r="K205" s="211"/>
      <c r="L205" s="211"/>
      <c r="M205" s="211"/>
      <c r="N205" s="211"/>
      <c r="O205" s="211"/>
      <c r="P205" s="211"/>
      <c r="Q205" s="211"/>
      <c r="R205" s="211"/>
      <c r="S205" s="211"/>
      <c r="T205" s="211"/>
      <c r="U205" s="240"/>
      <c r="V205" s="211"/>
      <c r="W205" s="211"/>
      <c r="X205" s="211"/>
      <c r="Y205" s="211"/>
      <c r="Z205" s="211"/>
      <c r="AA205" s="211"/>
      <c r="AB205" s="211"/>
      <c r="AC205" s="211"/>
      <c r="AD205" s="211"/>
      <c r="AE205" s="211"/>
      <c r="AF205" s="240"/>
      <c r="AG205" s="211"/>
      <c r="AH205" s="211"/>
      <c r="AI205" s="211"/>
      <c r="AJ205" s="211"/>
      <c r="AK205" s="211"/>
      <c r="AL205" s="211"/>
      <c r="AM205" s="211"/>
      <c r="AN205" s="211"/>
      <c r="AO205" s="211"/>
      <c r="AP205" s="211"/>
      <c r="AQ205" s="240"/>
      <c r="AR205" s="240"/>
      <c r="AS205" s="240"/>
      <c r="AT205" s="240"/>
      <c r="AU205" s="240"/>
      <c r="AV205" s="242"/>
      <c r="AW205" s="240"/>
      <c r="AX205" s="240"/>
      <c r="AY205" s="240"/>
      <c r="AZ205" s="242"/>
      <c r="BA205" s="203"/>
      <c r="BB205" s="203"/>
      <c r="BC205" s="203"/>
    </row>
    <row r="206" spans="1:55" ht="21" customHeight="1">
      <c r="A206" s="212"/>
      <c r="B206" s="237">
        <v>46054</v>
      </c>
      <c r="C206" s="211" t="s">
        <v>395</v>
      </c>
      <c r="D206" s="238" t="s">
        <v>687</v>
      </c>
      <c r="E206" s="211" t="s">
        <v>426</v>
      </c>
      <c r="F206" s="211"/>
      <c r="G206" s="211"/>
      <c r="H206" s="211"/>
      <c r="I206" s="211"/>
      <c r="J206" s="240"/>
      <c r="K206" s="211">
        <v>1</v>
      </c>
      <c r="L206" s="211">
        <v>1</v>
      </c>
      <c r="M206" s="211"/>
      <c r="N206" s="211">
        <v>1</v>
      </c>
      <c r="O206" s="211"/>
      <c r="P206" s="211">
        <v>1</v>
      </c>
      <c r="Q206" s="211"/>
      <c r="R206" s="211"/>
      <c r="S206" s="211"/>
      <c r="T206" s="211"/>
      <c r="U206" s="240">
        <v>1</v>
      </c>
      <c r="V206" s="211">
        <v>1</v>
      </c>
      <c r="W206" s="211">
        <v>1</v>
      </c>
      <c r="X206" s="211"/>
      <c r="Y206" s="211">
        <v>1</v>
      </c>
      <c r="Z206" s="211">
        <v>1</v>
      </c>
      <c r="AA206" s="211"/>
      <c r="AB206" s="211"/>
      <c r="AC206" s="211"/>
      <c r="AD206" s="211"/>
      <c r="AE206" s="211"/>
      <c r="AF206" s="240"/>
      <c r="AG206" s="211"/>
      <c r="AH206" s="211"/>
      <c r="AI206" s="211"/>
      <c r="AJ206" s="211">
        <v>1</v>
      </c>
      <c r="AK206" s="211"/>
      <c r="AL206" s="211">
        <v>1</v>
      </c>
      <c r="AM206" s="211"/>
      <c r="AN206" s="211"/>
      <c r="AO206" s="211"/>
      <c r="AP206" s="211"/>
      <c r="AQ206" s="240"/>
      <c r="AR206" s="240">
        <v>1</v>
      </c>
      <c r="AS206" s="240">
        <v>1</v>
      </c>
      <c r="AT206" s="240">
        <v>1</v>
      </c>
      <c r="AU206" s="240">
        <v>1</v>
      </c>
      <c r="AV206" s="242">
        <v>1</v>
      </c>
      <c r="AW206" s="240">
        <v>1</v>
      </c>
      <c r="AX206" s="240">
        <v>1</v>
      </c>
      <c r="AY206" s="240">
        <v>1</v>
      </c>
      <c r="AZ206" s="242"/>
      <c r="BA206" s="203"/>
      <c r="BB206" s="203">
        <v>1</v>
      </c>
      <c r="BC206" s="203">
        <v>1</v>
      </c>
    </row>
    <row r="207" spans="1:55" ht="21" hidden="1" customHeight="1">
      <c r="A207" s="212"/>
      <c r="B207" s="237">
        <v>46054</v>
      </c>
      <c r="C207" s="211" t="s">
        <v>387</v>
      </c>
      <c r="D207" s="238" t="s">
        <v>688</v>
      </c>
      <c r="E207" s="211" t="s">
        <v>415</v>
      </c>
      <c r="F207" s="211"/>
      <c r="G207" s="211"/>
      <c r="H207" s="211"/>
      <c r="I207" s="211"/>
      <c r="J207" s="240"/>
      <c r="K207" s="211"/>
      <c r="L207" s="211"/>
      <c r="M207" s="211"/>
      <c r="N207" s="211"/>
      <c r="O207" s="211"/>
      <c r="P207" s="211"/>
      <c r="Q207" s="211"/>
      <c r="R207" s="211"/>
      <c r="S207" s="211"/>
      <c r="T207" s="211"/>
      <c r="U207" s="240"/>
      <c r="V207" s="211"/>
      <c r="W207" s="211"/>
      <c r="X207" s="211"/>
      <c r="Y207" s="211"/>
      <c r="Z207" s="211"/>
      <c r="AA207" s="211">
        <v>1</v>
      </c>
      <c r="AB207" s="211"/>
      <c r="AC207" s="211"/>
      <c r="AD207" s="211"/>
      <c r="AE207" s="211"/>
      <c r="AF207" s="240"/>
      <c r="AG207" s="211"/>
      <c r="AH207" s="211"/>
      <c r="AI207" s="211"/>
      <c r="AJ207" s="211"/>
      <c r="AK207" s="211"/>
      <c r="AL207" s="211"/>
      <c r="AM207" s="211"/>
      <c r="AN207" s="211"/>
      <c r="AO207" s="211"/>
      <c r="AP207" s="211"/>
      <c r="AQ207" s="240"/>
      <c r="AR207" s="240"/>
      <c r="AS207" s="240"/>
      <c r="AT207" s="240"/>
      <c r="AU207" s="240"/>
      <c r="AV207" s="242"/>
      <c r="AW207" s="240"/>
      <c r="AX207" s="240"/>
      <c r="AY207" s="240"/>
      <c r="AZ207" s="242"/>
      <c r="BA207" s="203"/>
      <c r="BB207" s="203"/>
      <c r="BC207" s="203"/>
    </row>
    <row r="208" spans="1:55" ht="21" customHeight="1">
      <c r="A208" s="212"/>
      <c r="B208" s="237">
        <v>46054</v>
      </c>
      <c r="C208" s="211" t="s">
        <v>395</v>
      </c>
      <c r="D208" s="238" t="s">
        <v>689</v>
      </c>
      <c r="E208" s="211" t="s">
        <v>690</v>
      </c>
      <c r="F208" s="211"/>
      <c r="G208" s="211"/>
      <c r="H208" s="211"/>
      <c r="I208" s="211"/>
      <c r="J208" s="240">
        <v>1</v>
      </c>
      <c r="K208" s="211"/>
      <c r="L208" s="211">
        <v>1</v>
      </c>
      <c r="M208" s="211"/>
      <c r="N208" s="211"/>
      <c r="O208" s="211">
        <v>1</v>
      </c>
      <c r="P208" s="211">
        <v>1</v>
      </c>
      <c r="Q208" s="211"/>
      <c r="R208" s="211">
        <v>1</v>
      </c>
      <c r="S208" s="211">
        <v>1</v>
      </c>
      <c r="T208" s="211">
        <v>1</v>
      </c>
      <c r="U208" s="240">
        <v>1</v>
      </c>
      <c r="V208" s="211">
        <v>1</v>
      </c>
      <c r="W208" s="211">
        <v>1</v>
      </c>
      <c r="X208" s="211">
        <v>1</v>
      </c>
      <c r="Y208" s="211">
        <v>1</v>
      </c>
      <c r="Z208" s="211">
        <v>1</v>
      </c>
      <c r="AA208" s="211">
        <v>1</v>
      </c>
      <c r="AB208" s="211"/>
      <c r="AC208" s="211"/>
      <c r="AD208" s="211"/>
      <c r="AE208" s="211"/>
      <c r="AF208" s="240"/>
      <c r="AG208" s="211"/>
      <c r="AH208" s="211"/>
      <c r="AI208" s="211"/>
      <c r="AJ208" s="211">
        <v>1</v>
      </c>
      <c r="AK208" s="211">
        <v>1</v>
      </c>
      <c r="AL208" s="211">
        <v>1</v>
      </c>
      <c r="AM208" s="211"/>
      <c r="AN208" s="211"/>
      <c r="AO208" s="211"/>
      <c r="AP208" s="211"/>
      <c r="AQ208" s="240"/>
      <c r="AR208" s="240"/>
      <c r="AS208" s="240"/>
      <c r="AT208" s="240"/>
      <c r="AU208" s="240"/>
      <c r="AV208" s="242"/>
      <c r="AW208" s="240"/>
      <c r="AX208" s="240">
        <v>1</v>
      </c>
      <c r="AY208" s="240"/>
      <c r="AZ208" s="203">
        <v>1</v>
      </c>
      <c r="BA208" s="203">
        <v>1</v>
      </c>
      <c r="BB208" s="203"/>
      <c r="BC208" s="203"/>
    </row>
    <row r="209" spans="1:55" ht="21" customHeight="1">
      <c r="A209" s="212"/>
      <c r="B209" s="237">
        <v>46054</v>
      </c>
      <c r="C209" s="211" t="s">
        <v>395</v>
      </c>
      <c r="D209" s="238" t="s">
        <v>691</v>
      </c>
      <c r="E209" s="211" t="s">
        <v>408</v>
      </c>
      <c r="F209" s="211"/>
      <c r="G209" s="211"/>
      <c r="H209" s="211">
        <v>1</v>
      </c>
      <c r="I209" s="211">
        <v>1</v>
      </c>
      <c r="J209" s="240">
        <v>1</v>
      </c>
      <c r="K209" s="211">
        <v>1</v>
      </c>
      <c r="L209" s="211">
        <v>1</v>
      </c>
      <c r="M209" s="211"/>
      <c r="N209" s="211">
        <v>1</v>
      </c>
      <c r="O209" s="211">
        <v>1</v>
      </c>
      <c r="P209" s="211">
        <v>1</v>
      </c>
      <c r="Q209" s="211"/>
      <c r="R209" s="211"/>
      <c r="S209" s="211"/>
      <c r="T209" s="211"/>
      <c r="U209" s="240">
        <v>1</v>
      </c>
      <c r="V209" s="211">
        <v>1</v>
      </c>
      <c r="W209" s="211">
        <v>1</v>
      </c>
      <c r="X209" s="211">
        <v>1</v>
      </c>
      <c r="Y209" s="211"/>
      <c r="Z209" s="211">
        <v>1</v>
      </c>
      <c r="AA209" s="211">
        <v>1</v>
      </c>
      <c r="AB209" s="211"/>
      <c r="AC209" s="211">
        <v>1</v>
      </c>
      <c r="AD209" s="211">
        <v>1</v>
      </c>
      <c r="AE209" s="211">
        <v>1</v>
      </c>
      <c r="AF209" s="240">
        <v>1</v>
      </c>
      <c r="AG209" s="211">
        <v>1</v>
      </c>
      <c r="AH209" s="211">
        <v>1</v>
      </c>
      <c r="AI209" s="211"/>
      <c r="AJ209" s="211">
        <v>1</v>
      </c>
      <c r="AK209" s="211">
        <v>1</v>
      </c>
      <c r="AL209" s="211">
        <v>1</v>
      </c>
      <c r="AM209" s="211"/>
      <c r="AN209" s="211"/>
      <c r="AO209" s="211">
        <v>1</v>
      </c>
      <c r="AP209" s="211">
        <v>1</v>
      </c>
      <c r="AQ209" s="240">
        <v>1</v>
      </c>
      <c r="AR209" s="240">
        <v>1</v>
      </c>
      <c r="AS209" s="240">
        <v>1</v>
      </c>
      <c r="AT209" s="240">
        <v>1</v>
      </c>
      <c r="AU209" s="240">
        <v>1</v>
      </c>
      <c r="AV209" s="242"/>
      <c r="AW209" s="240"/>
      <c r="AX209" s="240">
        <v>1</v>
      </c>
      <c r="AY209" s="240">
        <v>1</v>
      </c>
      <c r="AZ209" s="203">
        <v>1</v>
      </c>
      <c r="BA209" s="203">
        <v>1</v>
      </c>
      <c r="BB209" s="203">
        <v>1</v>
      </c>
      <c r="BC209" s="203">
        <v>1</v>
      </c>
    </row>
    <row r="210" spans="1:55" ht="21" customHeight="1">
      <c r="A210" s="212"/>
      <c r="B210" s="237">
        <v>46054</v>
      </c>
      <c r="C210" s="211" t="s">
        <v>395</v>
      </c>
      <c r="D210" s="238" t="s">
        <v>692</v>
      </c>
      <c r="E210" s="211" t="s">
        <v>528</v>
      </c>
      <c r="F210" s="211"/>
      <c r="G210" s="211"/>
      <c r="H210" s="211"/>
      <c r="I210" s="211"/>
      <c r="J210" s="240">
        <v>1</v>
      </c>
      <c r="K210" s="211">
        <v>1</v>
      </c>
      <c r="L210" s="211">
        <v>1</v>
      </c>
      <c r="M210" s="211"/>
      <c r="N210" s="211">
        <v>1</v>
      </c>
      <c r="O210" s="211">
        <v>1</v>
      </c>
      <c r="P210" s="211">
        <v>1</v>
      </c>
      <c r="Q210" s="211"/>
      <c r="R210" s="211">
        <v>1</v>
      </c>
      <c r="S210" s="211">
        <v>1</v>
      </c>
      <c r="T210" s="211">
        <v>1</v>
      </c>
      <c r="U210" s="240">
        <v>1</v>
      </c>
      <c r="V210" s="211">
        <v>1</v>
      </c>
      <c r="W210" s="211">
        <v>1</v>
      </c>
      <c r="X210" s="211">
        <v>1</v>
      </c>
      <c r="Y210" s="211"/>
      <c r="Z210" s="211">
        <v>1</v>
      </c>
      <c r="AA210" s="211">
        <v>1</v>
      </c>
      <c r="AB210" s="211"/>
      <c r="AC210" s="211"/>
      <c r="AD210" s="211">
        <v>1</v>
      </c>
      <c r="AE210" s="211">
        <v>1</v>
      </c>
      <c r="AF210" s="240"/>
      <c r="AG210" s="211">
        <v>1</v>
      </c>
      <c r="AH210" s="211">
        <v>1</v>
      </c>
      <c r="AI210" s="211"/>
      <c r="AJ210" s="211">
        <v>1</v>
      </c>
      <c r="AK210" s="211">
        <v>1</v>
      </c>
      <c r="AL210" s="211">
        <v>1</v>
      </c>
      <c r="AM210" s="211"/>
      <c r="AN210" s="211"/>
      <c r="AO210" s="211"/>
      <c r="AP210" s="211"/>
      <c r="AQ210" s="240">
        <v>1</v>
      </c>
      <c r="AR210" s="240">
        <v>1</v>
      </c>
      <c r="AS210" s="240">
        <v>1</v>
      </c>
      <c r="AT210" s="240">
        <v>1</v>
      </c>
      <c r="AU210" s="240">
        <v>1</v>
      </c>
      <c r="AV210" s="240">
        <v>1</v>
      </c>
      <c r="AW210" s="240">
        <v>1</v>
      </c>
      <c r="AX210" s="240"/>
      <c r="AY210" s="240"/>
      <c r="AZ210" s="203">
        <v>1</v>
      </c>
      <c r="BA210" s="203">
        <v>1</v>
      </c>
      <c r="BB210" s="203">
        <v>1</v>
      </c>
      <c r="BC210" s="203">
        <v>1</v>
      </c>
    </row>
    <row r="211" spans="1:55" ht="21" customHeight="1">
      <c r="A211" s="212"/>
      <c r="B211" s="237">
        <v>46054</v>
      </c>
      <c r="C211" s="211" t="s">
        <v>395</v>
      </c>
      <c r="D211" s="238" t="s">
        <v>693</v>
      </c>
      <c r="E211" s="211" t="s">
        <v>694</v>
      </c>
      <c r="F211" s="211"/>
      <c r="G211" s="211">
        <v>1</v>
      </c>
      <c r="H211" s="211">
        <v>1</v>
      </c>
      <c r="I211" s="211">
        <v>1</v>
      </c>
      <c r="J211" s="240">
        <v>1</v>
      </c>
      <c r="K211" s="211">
        <v>1</v>
      </c>
      <c r="L211" s="211">
        <v>1</v>
      </c>
      <c r="M211" s="211">
        <v>1</v>
      </c>
      <c r="N211" s="211">
        <v>1</v>
      </c>
      <c r="O211" s="211">
        <v>1</v>
      </c>
      <c r="P211" s="211">
        <v>1</v>
      </c>
      <c r="Q211" s="211"/>
      <c r="R211" s="211"/>
      <c r="S211" s="211"/>
      <c r="T211" s="211"/>
      <c r="U211" s="240">
        <v>1</v>
      </c>
      <c r="V211" s="211">
        <v>1</v>
      </c>
      <c r="W211" s="211">
        <v>1</v>
      </c>
      <c r="X211" s="211">
        <v>1</v>
      </c>
      <c r="Y211" s="211">
        <v>1</v>
      </c>
      <c r="Z211" s="211">
        <v>1</v>
      </c>
      <c r="AA211" s="211">
        <v>1</v>
      </c>
      <c r="AB211" s="211"/>
      <c r="AC211" s="211"/>
      <c r="AD211" s="211">
        <v>1</v>
      </c>
      <c r="AE211" s="211">
        <v>1</v>
      </c>
      <c r="AF211" s="240">
        <v>1</v>
      </c>
      <c r="AG211" s="211">
        <v>1</v>
      </c>
      <c r="AH211" s="211">
        <v>1</v>
      </c>
      <c r="AI211" s="211">
        <v>1</v>
      </c>
      <c r="AJ211" s="211">
        <v>1</v>
      </c>
      <c r="AK211" s="211">
        <v>1</v>
      </c>
      <c r="AL211" s="211">
        <v>1</v>
      </c>
      <c r="AM211" s="211"/>
      <c r="AN211" s="211"/>
      <c r="AO211" s="211">
        <v>1</v>
      </c>
      <c r="AP211" s="211">
        <v>1</v>
      </c>
      <c r="AQ211" s="240">
        <v>1</v>
      </c>
      <c r="AR211" s="240">
        <v>1</v>
      </c>
      <c r="AS211" s="240">
        <v>1</v>
      </c>
      <c r="AT211" s="240">
        <v>1</v>
      </c>
      <c r="AU211" s="240">
        <v>1</v>
      </c>
      <c r="AV211" s="242">
        <v>1</v>
      </c>
      <c r="AW211" s="240">
        <v>1</v>
      </c>
      <c r="AX211" s="240">
        <v>1</v>
      </c>
      <c r="AY211" s="240">
        <v>1</v>
      </c>
      <c r="AZ211" s="203">
        <v>1</v>
      </c>
      <c r="BA211" s="203">
        <v>1</v>
      </c>
      <c r="BB211" s="203">
        <v>1</v>
      </c>
      <c r="BC211" s="203">
        <v>1</v>
      </c>
    </row>
    <row r="212" spans="1:55" ht="21" customHeight="1">
      <c r="A212" s="212"/>
      <c r="B212" s="237">
        <v>46054</v>
      </c>
      <c r="C212" s="211" t="s">
        <v>395</v>
      </c>
      <c r="D212" s="238" t="s">
        <v>695</v>
      </c>
      <c r="E212" s="211" t="s">
        <v>571</v>
      </c>
      <c r="F212" s="211"/>
      <c r="G212" s="211"/>
      <c r="H212" s="211">
        <v>1</v>
      </c>
      <c r="I212" s="211">
        <v>1</v>
      </c>
      <c r="J212" s="240">
        <v>1</v>
      </c>
      <c r="K212" s="211">
        <v>1</v>
      </c>
      <c r="L212" s="211">
        <v>1</v>
      </c>
      <c r="M212" s="211">
        <v>1</v>
      </c>
      <c r="N212" s="211">
        <v>1</v>
      </c>
      <c r="O212" s="211">
        <v>1</v>
      </c>
      <c r="P212" s="211">
        <v>1</v>
      </c>
      <c r="Q212" s="211"/>
      <c r="R212" s="211"/>
      <c r="S212" s="211"/>
      <c r="T212" s="211"/>
      <c r="U212" s="240">
        <v>1</v>
      </c>
      <c r="V212" s="211"/>
      <c r="W212" s="211"/>
      <c r="X212" s="211">
        <v>1</v>
      </c>
      <c r="Y212" s="211">
        <v>1</v>
      </c>
      <c r="Z212" s="211"/>
      <c r="AA212" s="211"/>
      <c r="AB212" s="211"/>
      <c r="AC212" s="211">
        <v>1</v>
      </c>
      <c r="AD212" s="211">
        <v>1</v>
      </c>
      <c r="AE212" s="211">
        <v>1</v>
      </c>
      <c r="AF212" s="240">
        <v>1</v>
      </c>
      <c r="AG212" s="211">
        <v>1</v>
      </c>
      <c r="AH212" s="211">
        <v>1</v>
      </c>
      <c r="AI212" s="211">
        <v>1</v>
      </c>
      <c r="AJ212" s="211">
        <v>1</v>
      </c>
      <c r="AK212" s="211">
        <v>1</v>
      </c>
      <c r="AL212" s="211">
        <v>1</v>
      </c>
      <c r="AM212" s="211"/>
      <c r="AN212" s="211"/>
      <c r="AO212" s="211">
        <v>1</v>
      </c>
      <c r="AP212" s="211">
        <v>1</v>
      </c>
      <c r="AQ212" s="240">
        <v>1</v>
      </c>
      <c r="AR212" s="240">
        <v>1</v>
      </c>
      <c r="AS212" s="240">
        <v>1</v>
      </c>
      <c r="AT212" s="240">
        <v>1</v>
      </c>
      <c r="AU212" s="240">
        <v>1</v>
      </c>
      <c r="AV212" s="240">
        <v>1</v>
      </c>
      <c r="AW212" s="240">
        <v>1</v>
      </c>
      <c r="AX212" s="240">
        <v>1</v>
      </c>
      <c r="AY212" s="240"/>
      <c r="AZ212" s="203">
        <v>1</v>
      </c>
      <c r="BA212" s="203">
        <v>1</v>
      </c>
      <c r="BB212" s="203"/>
      <c r="BC212" s="203"/>
    </row>
    <row r="213" spans="1:55" ht="21" customHeight="1">
      <c r="A213" s="212"/>
      <c r="B213" s="237">
        <v>46054</v>
      </c>
      <c r="C213" s="211" t="s">
        <v>395</v>
      </c>
      <c r="D213" s="238" t="s">
        <v>696</v>
      </c>
      <c r="E213" s="211" t="s">
        <v>565</v>
      </c>
      <c r="F213" s="211"/>
      <c r="G213" s="211"/>
      <c r="H213" s="211">
        <v>1</v>
      </c>
      <c r="I213" s="211">
        <v>1</v>
      </c>
      <c r="J213" s="240">
        <v>1</v>
      </c>
      <c r="K213" s="211">
        <v>1</v>
      </c>
      <c r="L213" s="211">
        <v>1</v>
      </c>
      <c r="M213" s="211">
        <v>1</v>
      </c>
      <c r="N213" s="211">
        <v>1</v>
      </c>
      <c r="O213" s="211">
        <v>1</v>
      </c>
      <c r="P213" s="211">
        <v>1</v>
      </c>
      <c r="Q213" s="211"/>
      <c r="R213" s="211">
        <v>1</v>
      </c>
      <c r="S213" s="211">
        <v>1</v>
      </c>
      <c r="T213" s="211">
        <v>1</v>
      </c>
      <c r="U213" s="240">
        <v>1</v>
      </c>
      <c r="V213" s="211">
        <v>1</v>
      </c>
      <c r="W213" s="211">
        <v>1</v>
      </c>
      <c r="X213" s="211">
        <v>1</v>
      </c>
      <c r="Y213" s="211">
        <v>1</v>
      </c>
      <c r="Z213" s="211">
        <v>1</v>
      </c>
      <c r="AA213" s="211">
        <v>1</v>
      </c>
      <c r="AB213" s="211"/>
      <c r="AC213" s="211"/>
      <c r="AD213" s="211"/>
      <c r="AE213" s="211"/>
      <c r="AF213" s="240">
        <v>1</v>
      </c>
      <c r="AG213" s="240">
        <v>1</v>
      </c>
      <c r="AH213" s="211">
        <v>1</v>
      </c>
      <c r="AI213" s="211">
        <v>1</v>
      </c>
      <c r="AJ213" s="211">
        <v>1</v>
      </c>
      <c r="AK213" s="211">
        <v>1</v>
      </c>
      <c r="AL213" s="211">
        <v>1</v>
      </c>
      <c r="AM213" s="211"/>
      <c r="AN213" s="211"/>
      <c r="AO213" s="211"/>
      <c r="AP213" s="211"/>
      <c r="AQ213" s="240">
        <v>1</v>
      </c>
      <c r="AR213" s="240">
        <v>1</v>
      </c>
      <c r="AS213" s="240">
        <v>1</v>
      </c>
      <c r="AT213" s="240">
        <v>1</v>
      </c>
      <c r="AU213" s="240">
        <v>1</v>
      </c>
      <c r="AV213" s="242">
        <v>1</v>
      </c>
      <c r="AW213" s="240">
        <v>1</v>
      </c>
      <c r="AX213" s="240">
        <v>1</v>
      </c>
      <c r="AY213" s="240">
        <v>1</v>
      </c>
      <c r="AZ213" s="242"/>
      <c r="BA213" s="203">
        <v>1</v>
      </c>
      <c r="BB213" s="203">
        <v>1</v>
      </c>
      <c r="BC213" s="203">
        <v>1</v>
      </c>
    </row>
    <row r="214" spans="1:55" ht="21" customHeight="1">
      <c r="A214" s="212"/>
      <c r="B214" s="237">
        <v>46054</v>
      </c>
      <c r="C214" s="211" t="s">
        <v>395</v>
      </c>
      <c r="D214" s="238" t="s">
        <v>697</v>
      </c>
      <c r="E214" s="211" t="s">
        <v>539</v>
      </c>
      <c r="F214" s="211"/>
      <c r="G214" s="211">
        <v>1</v>
      </c>
      <c r="H214" s="211">
        <v>1</v>
      </c>
      <c r="I214" s="211">
        <v>1</v>
      </c>
      <c r="J214" s="240">
        <v>1</v>
      </c>
      <c r="K214" s="211">
        <v>1</v>
      </c>
      <c r="L214" s="211">
        <v>1</v>
      </c>
      <c r="M214" s="211">
        <v>1</v>
      </c>
      <c r="N214" s="211">
        <v>1</v>
      </c>
      <c r="O214" s="211">
        <v>1</v>
      </c>
      <c r="P214" s="211">
        <v>1</v>
      </c>
      <c r="Q214" s="211"/>
      <c r="R214" s="211"/>
      <c r="S214" s="211">
        <v>1</v>
      </c>
      <c r="T214" s="211">
        <v>1</v>
      </c>
      <c r="U214" s="240">
        <v>1</v>
      </c>
      <c r="V214" s="211">
        <v>1</v>
      </c>
      <c r="W214" s="211">
        <v>1</v>
      </c>
      <c r="X214" s="211"/>
      <c r="Y214" s="211">
        <v>1</v>
      </c>
      <c r="Z214" s="211">
        <v>1</v>
      </c>
      <c r="AA214" s="211">
        <v>1</v>
      </c>
      <c r="AB214" s="211"/>
      <c r="AC214" s="211"/>
      <c r="AD214" s="211"/>
      <c r="AE214" s="211"/>
      <c r="AF214" s="240">
        <v>1</v>
      </c>
      <c r="AG214" s="211">
        <v>1</v>
      </c>
      <c r="AH214" s="211">
        <v>1</v>
      </c>
      <c r="AI214" s="211">
        <v>1</v>
      </c>
      <c r="AJ214" s="211">
        <v>1</v>
      </c>
      <c r="AK214" s="211"/>
      <c r="AL214" s="211">
        <v>1</v>
      </c>
      <c r="AM214" s="211"/>
      <c r="AN214" s="211"/>
      <c r="AO214" s="211">
        <v>1</v>
      </c>
      <c r="AP214" s="211">
        <v>1</v>
      </c>
      <c r="AQ214" s="240">
        <v>1</v>
      </c>
      <c r="AR214" s="240">
        <v>1</v>
      </c>
      <c r="AS214" s="240">
        <v>1</v>
      </c>
      <c r="AT214" s="240">
        <v>1</v>
      </c>
      <c r="AU214" s="240">
        <v>1</v>
      </c>
      <c r="AV214" s="240">
        <v>1</v>
      </c>
      <c r="AW214" s="240">
        <v>1</v>
      </c>
      <c r="AX214" s="240">
        <v>1</v>
      </c>
      <c r="AY214" s="240">
        <v>1</v>
      </c>
      <c r="AZ214" s="203">
        <v>1</v>
      </c>
      <c r="BA214" s="203">
        <v>1</v>
      </c>
      <c r="BB214" s="203">
        <v>1</v>
      </c>
      <c r="BC214" s="203">
        <v>1</v>
      </c>
    </row>
    <row r="215" spans="1:55" ht="21" customHeight="1">
      <c r="A215" s="212"/>
      <c r="B215" s="237">
        <v>46054</v>
      </c>
      <c r="C215" s="211" t="s">
        <v>395</v>
      </c>
      <c r="D215" s="238" t="s">
        <v>698</v>
      </c>
      <c r="E215" s="211" t="s">
        <v>690</v>
      </c>
      <c r="F215" s="211"/>
      <c r="G215" s="211"/>
      <c r="H215" s="211"/>
      <c r="I215" s="211"/>
      <c r="J215" s="240">
        <v>1</v>
      </c>
      <c r="K215" s="211">
        <v>1</v>
      </c>
      <c r="L215" s="211">
        <v>1</v>
      </c>
      <c r="M215" s="211">
        <v>1</v>
      </c>
      <c r="N215" s="211">
        <v>1</v>
      </c>
      <c r="O215" s="211">
        <v>1</v>
      </c>
      <c r="P215" s="211">
        <v>1</v>
      </c>
      <c r="Q215" s="211"/>
      <c r="R215" s="211">
        <v>1</v>
      </c>
      <c r="S215" s="211">
        <v>1</v>
      </c>
      <c r="T215" s="211">
        <v>1</v>
      </c>
      <c r="U215" s="240">
        <v>1</v>
      </c>
      <c r="V215" s="211">
        <v>1</v>
      </c>
      <c r="W215" s="211">
        <v>1</v>
      </c>
      <c r="X215" s="211"/>
      <c r="Y215" s="211">
        <v>1</v>
      </c>
      <c r="Z215" s="211"/>
      <c r="AA215" s="211">
        <v>1</v>
      </c>
      <c r="AB215" s="211"/>
      <c r="AC215" s="211"/>
      <c r="AD215" s="211"/>
      <c r="AE215" s="211"/>
      <c r="AF215" s="240">
        <v>1</v>
      </c>
      <c r="AG215" s="211">
        <v>1</v>
      </c>
      <c r="AH215" s="211">
        <v>1</v>
      </c>
      <c r="AI215" s="211">
        <v>1</v>
      </c>
      <c r="AJ215" s="211">
        <v>1</v>
      </c>
      <c r="AK215" s="211">
        <v>1</v>
      </c>
      <c r="AL215" s="211">
        <v>1</v>
      </c>
      <c r="AM215" s="211"/>
      <c r="AN215" s="211"/>
      <c r="AO215" s="211"/>
      <c r="AP215" s="211"/>
      <c r="AQ215" s="240"/>
      <c r="AR215" s="240"/>
      <c r="AS215" s="240"/>
      <c r="AT215" s="240">
        <v>1</v>
      </c>
      <c r="AU215" s="240">
        <v>1</v>
      </c>
      <c r="AV215" s="242"/>
      <c r="AW215" s="240"/>
      <c r="AX215" s="240"/>
      <c r="AY215" s="240"/>
      <c r="AZ215" s="203">
        <v>1</v>
      </c>
      <c r="BA215" s="203">
        <v>1</v>
      </c>
      <c r="BB215" s="203"/>
      <c r="BC215" s="203"/>
    </row>
    <row r="216" spans="1:55" ht="21" hidden="1" customHeight="1">
      <c r="A216" s="212"/>
      <c r="B216" s="237">
        <v>46054</v>
      </c>
      <c r="C216" s="211" t="s">
        <v>384</v>
      </c>
      <c r="D216" s="238" t="s">
        <v>699</v>
      </c>
      <c r="E216" s="211" t="s">
        <v>700</v>
      </c>
      <c r="F216" s="211"/>
      <c r="G216" s="211"/>
      <c r="H216" s="211"/>
      <c r="I216" s="211"/>
      <c r="J216" s="240"/>
      <c r="K216" s="211">
        <v>1</v>
      </c>
      <c r="L216" s="211">
        <v>1</v>
      </c>
      <c r="M216" s="211">
        <v>1</v>
      </c>
      <c r="N216" s="211">
        <v>1</v>
      </c>
      <c r="O216" s="211">
        <v>1</v>
      </c>
      <c r="P216" s="211">
        <v>1</v>
      </c>
      <c r="Q216" s="211"/>
      <c r="R216" s="211"/>
      <c r="S216" s="211">
        <v>1</v>
      </c>
      <c r="T216" s="211">
        <v>1</v>
      </c>
      <c r="U216" s="240">
        <v>1</v>
      </c>
      <c r="V216" s="211">
        <v>1</v>
      </c>
      <c r="W216" s="211">
        <v>1</v>
      </c>
      <c r="X216" s="211">
        <v>1</v>
      </c>
      <c r="Y216" s="211"/>
      <c r="Z216" s="211">
        <v>1</v>
      </c>
      <c r="AA216" s="211">
        <v>1</v>
      </c>
      <c r="AB216" s="211"/>
      <c r="AC216" s="211">
        <v>1</v>
      </c>
      <c r="AD216" s="211">
        <v>1</v>
      </c>
      <c r="AE216" s="211">
        <v>1</v>
      </c>
      <c r="AF216" s="240">
        <v>1</v>
      </c>
      <c r="AG216" s="211">
        <v>1</v>
      </c>
      <c r="AH216" s="211"/>
      <c r="AI216" s="211">
        <v>1</v>
      </c>
      <c r="AJ216" s="211">
        <v>1</v>
      </c>
      <c r="AK216" s="211">
        <v>1</v>
      </c>
      <c r="AL216" s="211">
        <v>1</v>
      </c>
      <c r="AM216" s="211"/>
      <c r="AN216" s="211"/>
      <c r="AO216" s="211"/>
      <c r="AP216" s="211"/>
      <c r="AQ216" s="240"/>
      <c r="AR216" s="240"/>
      <c r="AS216" s="240"/>
      <c r="AT216" s="240"/>
      <c r="AU216" s="240"/>
      <c r="AV216" s="242"/>
      <c r="AW216" s="240"/>
      <c r="AX216" s="240"/>
      <c r="AY216" s="240"/>
      <c r="AZ216" s="242"/>
      <c r="BA216" s="203">
        <v>1</v>
      </c>
      <c r="BB216" s="203"/>
      <c r="BC216" s="203"/>
    </row>
    <row r="217" spans="1:55" ht="21" hidden="1" customHeight="1">
      <c r="A217" s="212"/>
      <c r="B217" s="237">
        <v>46054</v>
      </c>
      <c r="C217" s="211" t="s">
        <v>384</v>
      </c>
      <c r="D217" s="238" t="s">
        <v>701</v>
      </c>
      <c r="E217" s="211" t="s">
        <v>702</v>
      </c>
      <c r="F217" s="211"/>
      <c r="G217" s="211"/>
      <c r="H217" s="211"/>
      <c r="I217" s="211"/>
      <c r="J217" s="240"/>
      <c r="K217" s="211"/>
      <c r="L217" s="211">
        <v>1</v>
      </c>
      <c r="M217" s="211"/>
      <c r="N217" s="211"/>
      <c r="O217" s="211"/>
      <c r="P217" s="211"/>
      <c r="Q217" s="211"/>
      <c r="R217" s="211">
        <v>1</v>
      </c>
      <c r="S217" s="211">
        <v>1</v>
      </c>
      <c r="T217" s="211">
        <v>1</v>
      </c>
      <c r="U217" s="211">
        <v>1</v>
      </c>
      <c r="V217" s="211">
        <v>1</v>
      </c>
      <c r="W217" s="211">
        <v>1</v>
      </c>
      <c r="X217" s="211"/>
      <c r="Y217" s="211">
        <v>1</v>
      </c>
      <c r="Z217" s="211"/>
      <c r="AA217" s="211"/>
      <c r="AB217" s="211"/>
      <c r="AC217" s="211"/>
      <c r="AD217" s="211"/>
      <c r="AE217" s="211"/>
      <c r="AF217" s="240"/>
      <c r="AG217" s="211"/>
      <c r="AH217" s="211"/>
      <c r="AI217" s="211"/>
      <c r="AJ217" s="211"/>
      <c r="AK217" s="211"/>
      <c r="AL217" s="211"/>
      <c r="AM217" s="211"/>
      <c r="AN217" s="211"/>
      <c r="AO217" s="211"/>
      <c r="AP217" s="211"/>
      <c r="AQ217" s="240"/>
      <c r="AR217" s="240"/>
      <c r="AS217" s="240"/>
      <c r="AT217" s="240"/>
      <c r="AU217" s="240"/>
      <c r="AV217" s="242"/>
      <c r="AW217" s="240"/>
      <c r="AX217" s="240"/>
      <c r="AY217" s="240"/>
      <c r="AZ217" s="203">
        <v>1</v>
      </c>
      <c r="BA217" s="203">
        <v>1</v>
      </c>
      <c r="BB217" s="203"/>
      <c r="BC217" s="203"/>
    </row>
    <row r="218" spans="1:55" ht="21" hidden="1" customHeight="1">
      <c r="A218" s="212"/>
      <c r="B218" s="237">
        <v>46054</v>
      </c>
      <c r="C218" s="211" t="s">
        <v>386</v>
      </c>
      <c r="D218" s="238" t="s">
        <v>703</v>
      </c>
      <c r="E218" s="203" t="s">
        <v>704</v>
      </c>
      <c r="F218" s="211"/>
      <c r="G218" s="211"/>
      <c r="H218" s="211">
        <v>1</v>
      </c>
      <c r="I218" s="211">
        <v>1</v>
      </c>
      <c r="J218" s="240">
        <v>1</v>
      </c>
      <c r="K218" s="211">
        <v>1</v>
      </c>
      <c r="L218" s="211">
        <v>1</v>
      </c>
      <c r="M218" s="211">
        <v>1</v>
      </c>
      <c r="N218" s="211">
        <v>1</v>
      </c>
      <c r="O218" s="211">
        <v>1</v>
      </c>
      <c r="P218" s="211">
        <v>1</v>
      </c>
      <c r="Q218" s="211"/>
      <c r="R218" s="211"/>
      <c r="S218" s="211"/>
      <c r="T218" s="211"/>
      <c r="U218" s="240">
        <v>1</v>
      </c>
      <c r="V218" s="211">
        <v>1</v>
      </c>
      <c r="W218" s="211">
        <v>1</v>
      </c>
      <c r="X218" s="211">
        <v>1</v>
      </c>
      <c r="Y218" s="211"/>
      <c r="Z218" s="211">
        <v>1</v>
      </c>
      <c r="AA218" s="211">
        <v>1</v>
      </c>
      <c r="AB218" s="211"/>
      <c r="AC218" s="211">
        <v>1</v>
      </c>
      <c r="AD218" s="211">
        <v>1</v>
      </c>
      <c r="AE218" s="211">
        <v>1</v>
      </c>
      <c r="AF218" s="240">
        <v>1</v>
      </c>
      <c r="AG218" s="211">
        <v>1</v>
      </c>
      <c r="AH218" s="211">
        <v>1</v>
      </c>
      <c r="AI218" s="211">
        <v>1</v>
      </c>
      <c r="AJ218" s="211">
        <v>1</v>
      </c>
      <c r="AK218" s="211">
        <v>1</v>
      </c>
      <c r="AL218" s="211">
        <v>1</v>
      </c>
      <c r="AM218" s="211"/>
      <c r="AN218" s="211"/>
      <c r="AO218" s="211"/>
      <c r="AP218" s="211"/>
      <c r="AQ218" s="240"/>
      <c r="AR218" s="240">
        <v>1</v>
      </c>
      <c r="AS218" s="240">
        <v>1</v>
      </c>
      <c r="AT218" s="240">
        <v>1</v>
      </c>
      <c r="AU218" s="240">
        <v>1</v>
      </c>
      <c r="AV218" s="242">
        <v>1</v>
      </c>
      <c r="AW218" s="240">
        <v>1</v>
      </c>
      <c r="AX218" s="240">
        <v>1</v>
      </c>
      <c r="AY218" s="240">
        <v>1</v>
      </c>
      <c r="AZ218" s="203">
        <v>1</v>
      </c>
      <c r="BA218" s="203">
        <v>1</v>
      </c>
      <c r="BB218" s="203">
        <v>1</v>
      </c>
      <c r="BC218" s="203">
        <v>1</v>
      </c>
    </row>
    <row r="219" spans="1:55" ht="21" hidden="1" customHeight="1">
      <c r="A219" s="212"/>
      <c r="B219" s="237">
        <v>46054</v>
      </c>
      <c r="C219" s="211" t="s">
        <v>389</v>
      </c>
      <c r="D219" s="238" t="s">
        <v>705</v>
      </c>
      <c r="E219" s="211" t="s">
        <v>587</v>
      </c>
      <c r="F219" s="211"/>
      <c r="G219" s="211"/>
      <c r="H219" s="211">
        <v>1</v>
      </c>
      <c r="I219" s="211">
        <v>1</v>
      </c>
      <c r="J219" s="240">
        <v>1</v>
      </c>
      <c r="K219" s="211">
        <v>1</v>
      </c>
      <c r="L219" s="211">
        <v>1</v>
      </c>
      <c r="M219" s="211">
        <v>1</v>
      </c>
      <c r="N219" s="211">
        <v>1</v>
      </c>
      <c r="O219" s="211">
        <v>1</v>
      </c>
      <c r="P219" s="211">
        <v>1</v>
      </c>
      <c r="Q219" s="211"/>
      <c r="R219" s="211"/>
      <c r="S219" s="211">
        <v>1</v>
      </c>
      <c r="T219" s="211">
        <v>1</v>
      </c>
      <c r="U219" s="240">
        <v>1</v>
      </c>
      <c r="V219" s="211">
        <v>1</v>
      </c>
      <c r="W219" s="211">
        <v>1</v>
      </c>
      <c r="X219" s="211"/>
      <c r="Y219" s="211"/>
      <c r="Z219" s="211">
        <v>1</v>
      </c>
      <c r="AA219" s="211">
        <v>1</v>
      </c>
      <c r="AB219" s="211"/>
      <c r="AC219" s="211">
        <v>1</v>
      </c>
      <c r="AD219" s="211">
        <v>1</v>
      </c>
      <c r="AE219" s="211">
        <v>1</v>
      </c>
      <c r="AF219" s="240">
        <v>1</v>
      </c>
      <c r="AG219" s="240">
        <v>1</v>
      </c>
      <c r="AH219" s="211">
        <v>1</v>
      </c>
      <c r="AI219" s="211">
        <v>1</v>
      </c>
      <c r="AJ219" s="211">
        <v>1</v>
      </c>
      <c r="AK219" s="211">
        <v>1</v>
      </c>
      <c r="AL219" s="211">
        <v>1</v>
      </c>
      <c r="AM219" s="211"/>
      <c r="AN219" s="211"/>
      <c r="AO219" s="211">
        <v>1</v>
      </c>
      <c r="AP219" s="211">
        <v>1</v>
      </c>
      <c r="AQ219" s="240"/>
      <c r="AR219" s="240">
        <v>1</v>
      </c>
      <c r="AS219" s="240">
        <v>1</v>
      </c>
      <c r="AT219" s="240">
        <v>1</v>
      </c>
      <c r="AU219" s="240">
        <v>1</v>
      </c>
      <c r="AV219" s="240">
        <v>1</v>
      </c>
      <c r="AW219" s="240"/>
      <c r="AX219" s="240">
        <v>1</v>
      </c>
      <c r="AY219" s="240"/>
      <c r="AZ219" s="203">
        <v>1</v>
      </c>
      <c r="BA219" s="203">
        <v>1</v>
      </c>
      <c r="BB219" s="203">
        <v>1</v>
      </c>
      <c r="BC219" s="203">
        <v>1</v>
      </c>
    </row>
    <row r="220" spans="1:55" ht="21" hidden="1" customHeight="1">
      <c r="A220" s="212"/>
      <c r="B220" s="237">
        <v>46054</v>
      </c>
      <c r="C220" s="211" t="s">
        <v>386</v>
      </c>
      <c r="D220" s="238" t="s">
        <v>706</v>
      </c>
      <c r="E220" s="203" t="s">
        <v>707</v>
      </c>
      <c r="F220" s="211"/>
      <c r="G220" s="211"/>
      <c r="H220" s="211">
        <v>1</v>
      </c>
      <c r="I220" s="211">
        <v>1</v>
      </c>
      <c r="J220" s="240">
        <v>1</v>
      </c>
      <c r="K220" s="211">
        <v>1</v>
      </c>
      <c r="L220" s="211">
        <v>1</v>
      </c>
      <c r="M220" s="211"/>
      <c r="N220" s="211">
        <v>1</v>
      </c>
      <c r="O220" s="211">
        <v>1</v>
      </c>
      <c r="P220" s="211">
        <v>1</v>
      </c>
      <c r="Q220" s="211"/>
      <c r="R220" s="211"/>
      <c r="S220" s="211">
        <v>1</v>
      </c>
      <c r="T220" s="211">
        <v>1</v>
      </c>
      <c r="U220" s="240"/>
      <c r="V220" s="211">
        <v>1</v>
      </c>
      <c r="W220" s="211">
        <v>1</v>
      </c>
      <c r="X220" s="211"/>
      <c r="Y220" s="211">
        <v>1</v>
      </c>
      <c r="Z220" s="211">
        <v>1</v>
      </c>
      <c r="AA220" s="211"/>
      <c r="AB220" s="211"/>
      <c r="AC220" s="211">
        <v>1</v>
      </c>
      <c r="AD220" s="211">
        <v>1</v>
      </c>
      <c r="AE220" s="211">
        <v>1</v>
      </c>
      <c r="AF220" s="240">
        <v>1</v>
      </c>
      <c r="AG220" s="211">
        <v>1</v>
      </c>
      <c r="AH220" s="211">
        <v>1</v>
      </c>
      <c r="AI220" s="211"/>
      <c r="AJ220" s="211">
        <v>1</v>
      </c>
      <c r="AK220" s="211">
        <v>1</v>
      </c>
      <c r="AL220" s="211">
        <v>1</v>
      </c>
      <c r="AM220" s="211"/>
      <c r="AN220" s="211"/>
      <c r="AO220" s="211">
        <v>1</v>
      </c>
      <c r="AP220" s="211">
        <v>1</v>
      </c>
      <c r="AQ220" s="240">
        <v>1</v>
      </c>
      <c r="AR220" s="240">
        <v>1</v>
      </c>
      <c r="AS220" s="240">
        <v>1</v>
      </c>
      <c r="AT220" s="240">
        <v>1</v>
      </c>
      <c r="AU220" s="240">
        <v>1</v>
      </c>
      <c r="AV220" s="242"/>
      <c r="AW220" s="240"/>
      <c r="AX220" s="240">
        <v>1</v>
      </c>
      <c r="AY220" s="240">
        <v>1</v>
      </c>
      <c r="AZ220" s="203">
        <v>1</v>
      </c>
      <c r="BA220" s="203">
        <v>1</v>
      </c>
      <c r="BB220" s="203">
        <v>1</v>
      </c>
      <c r="BC220" s="203">
        <v>1</v>
      </c>
    </row>
    <row r="221" spans="1:55" ht="21" hidden="1" customHeight="1">
      <c r="A221" s="212"/>
      <c r="B221" s="237">
        <v>46054</v>
      </c>
      <c r="C221" s="211" t="s">
        <v>386</v>
      </c>
      <c r="D221" s="238" t="s">
        <v>708</v>
      </c>
      <c r="E221" s="203" t="s">
        <v>709</v>
      </c>
      <c r="F221" s="211"/>
      <c r="G221" s="211"/>
      <c r="H221" s="211">
        <v>1</v>
      </c>
      <c r="I221" s="211">
        <v>1</v>
      </c>
      <c r="J221" s="240">
        <v>1</v>
      </c>
      <c r="K221" s="211">
        <v>1</v>
      </c>
      <c r="L221" s="211">
        <v>1</v>
      </c>
      <c r="M221" s="211">
        <v>1</v>
      </c>
      <c r="N221" s="211">
        <v>1</v>
      </c>
      <c r="O221" s="211">
        <v>1</v>
      </c>
      <c r="P221" s="211">
        <v>1</v>
      </c>
      <c r="Q221" s="211"/>
      <c r="R221" s="211"/>
      <c r="S221" s="211">
        <v>1</v>
      </c>
      <c r="T221" s="211">
        <v>1</v>
      </c>
      <c r="U221" s="240">
        <v>1</v>
      </c>
      <c r="V221" s="211">
        <v>1</v>
      </c>
      <c r="W221" s="211">
        <v>1</v>
      </c>
      <c r="X221" s="211">
        <v>1</v>
      </c>
      <c r="Y221" s="211">
        <v>1</v>
      </c>
      <c r="Z221" s="211">
        <v>1</v>
      </c>
      <c r="AA221" s="211">
        <v>1</v>
      </c>
      <c r="AB221" s="211"/>
      <c r="AC221" s="211">
        <v>1</v>
      </c>
      <c r="AD221" s="211">
        <v>1</v>
      </c>
      <c r="AE221" s="211">
        <v>1</v>
      </c>
      <c r="AF221" s="240">
        <v>1</v>
      </c>
      <c r="AG221" s="211">
        <v>1</v>
      </c>
      <c r="AH221" s="211">
        <v>1</v>
      </c>
      <c r="AI221" s="211">
        <v>1</v>
      </c>
      <c r="AJ221" s="211">
        <v>1</v>
      </c>
      <c r="AK221" s="211">
        <v>1</v>
      </c>
      <c r="AL221" s="211">
        <v>1</v>
      </c>
      <c r="AM221" s="211"/>
      <c r="AN221" s="211"/>
      <c r="AO221" s="211"/>
      <c r="AP221" s="211"/>
      <c r="AQ221" s="240"/>
      <c r="AR221" s="240"/>
      <c r="AS221" s="240"/>
      <c r="AT221" s="240"/>
      <c r="AU221" s="240"/>
      <c r="AV221" s="240">
        <v>1</v>
      </c>
      <c r="AW221" s="240">
        <v>1</v>
      </c>
      <c r="AX221" s="240">
        <v>1</v>
      </c>
      <c r="AY221" s="240">
        <v>1</v>
      </c>
      <c r="AZ221" s="203">
        <v>1</v>
      </c>
      <c r="BA221" s="203">
        <v>1</v>
      </c>
      <c r="BB221" s="203"/>
      <c r="BC221" s="203"/>
    </row>
    <row r="222" spans="1:55" ht="21" hidden="1" customHeight="1">
      <c r="A222" s="212"/>
      <c r="B222" s="237">
        <v>46054</v>
      </c>
      <c r="C222" s="211" t="s">
        <v>386</v>
      </c>
      <c r="D222" s="238" t="s">
        <v>710</v>
      </c>
      <c r="E222" s="203" t="s">
        <v>711</v>
      </c>
      <c r="F222" s="211"/>
      <c r="G222" s="211"/>
      <c r="H222" s="211">
        <v>1</v>
      </c>
      <c r="I222" s="211">
        <v>1</v>
      </c>
      <c r="J222" s="240">
        <v>1</v>
      </c>
      <c r="K222" s="211">
        <v>1</v>
      </c>
      <c r="L222" s="211">
        <v>1</v>
      </c>
      <c r="M222" s="211">
        <v>1</v>
      </c>
      <c r="N222" s="211">
        <v>1</v>
      </c>
      <c r="O222" s="211">
        <v>1</v>
      </c>
      <c r="P222" s="211">
        <v>1</v>
      </c>
      <c r="Q222" s="211"/>
      <c r="R222" s="211"/>
      <c r="S222" s="211">
        <v>1</v>
      </c>
      <c r="T222" s="211">
        <v>1</v>
      </c>
      <c r="U222" s="240">
        <v>1</v>
      </c>
      <c r="V222" s="211">
        <v>1</v>
      </c>
      <c r="W222" s="211">
        <v>1</v>
      </c>
      <c r="X222" s="211"/>
      <c r="Y222" s="211">
        <v>1</v>
      </c>
      <c r="Z222" s="211">
        <v>1</v>
      </c>
      <c r="AA222" s="211">
        <v>1</v>
      </c>
      <c r="AB222" s="211"/>
      <c r="AC222" s="211">
        <v>1</v>
      </c>
      <c r="AD222" s="211">
        <v>1</v>
      </c>
      <c r="AE222" s="211">
        <v>1</v>
      </c>
      <c r="AF222" s="240">
        <v>1</v>
      </c>
      <c r="AG222" s="240">
        <v>1</v>
      </c>
      <c r="AH222" s="211">
        <v>1</v>
      </c>
      <c r="AI222" s="211"/>
      <c r="AJ222" s="211">
        <v>1</v>
      </c>
      <c r="AK222" s="211">
        <v>1</v>
      </c>
      <c r="AL222" s="211">
        <v>1</v>
      </c>
      <c r="AM222" s="211"/>
      <c r="AN222" s="211"/>
      <c r="AO222" s="211">
        <v>1</v>
      </c>
      <c r="AP222" s="211">
        <v>1</v>
      </c>
      <c r="AQ222" s="240">
        <v>1</v>
      </c>
      <c r="AR222" s="240">
        <v>1</v>
      </c>
      <c r="AS222" s="240">
        <v>1</v>
      </c>
      <c r="AT222" s="240">
        <v>1</v>
      </c>
      <c r="AU222" s="240">
        <v>1</v>
      </c>
      <c r="AV222" s="242"/>
      <c r="AW222" s="240"/>
      <c r="AX222" s="240">
        <v>1</v>
      </c>
      <c r="AY222" s="240">
        <v>1</v>
      </c>
      <c r="AZ222" s="203">
        <v>1</v>
      </c>
      <c r="BA222" s="203">
        <v>1</v>
      </c>
      <c r="BB222" s="203">
        <v>1</v>
      </c>
      <c r="BC222" s="203">
        <v>1</v>
      </c>
    </row>
    <row r="223" spans="1:55" ht="21" hidden="1" customHeight="1">
      <c r="A223" s="212"/>
      <c r="B223" s="237">
        <v>46054</v>
      </c>
      <c r="C223" s="211" t="s">
        <v>386</v>
      </c>
      <c r="D223" s="238" t="s">
        <v>712</v>
      </c>
      <c r="E223" s="203" t="s">
        <v>713</v>
      </c>
      <c r="F223" s="211"/>
      <c r="G223" s="211"/>
      <c r="H223" s="211">
        <v>1</v>
      </c>
      <c r="I223" s="211">
        <v>1</v>
      </c>
      <c r="J223" s="240">
        <v>1</v>
      </c>
      <c r="K223" s="211">
        <v>1</v>
      </c>
      <c r="L223" s="211">
        <v>1</v>
      </c>
      <c r="M223" s="211"/>
      <c r="N223" s="211">
        <v>1</v>
      </c>
      <c r="O223" s="211">
        <v>1</v>
      </c>
      <c r="P223" s="211">
        <v>1</v>
      </c>
      <c r="Q223" s="211"/>
      <c r="R223" s="211"/>
      <c r="S223" s="211">
        <v>1</v>
      </c>
      <c r="T223" s="211">
        <v>1</v>
      </c>
      <c r="U223" s="240">
        <v>1</v>
      </c>
      <c r="V223" s="211">
        <v>1</v>
      </c>
      <c r="W223" s="211">
        <v>1</v>
      </c>
      <c r="X223" s="211">
        <v>1</v>
      </c>
      <c r="Y223" s="211">
        <v>1</v>
      </c>
      <c r="Z223" s="211">
        <v>1</v>
      </c>
      <c r="AA223" s="211">
        <v>1</v>
      </c>
      <c r="AB223" s="211"/>
      <c r="AC223" s="211"/>
      <c r="AD223" s="211">
        <v>1</v>
      </c>
      <c r="AE223" s="211">
        <v>1</v>
      </c>
      <c r="AF223" s="240">
        <v>1</v>
      </c>
      <c r="AG223" s="240">
        <v>1</v>
      </c>
      <c r="AH223" s="211">
        <v>1</v>
      </c>
      <c r="AI223" s="211"/>
      <c r="AJ223" s="211">
        <v>1</v>
      </c>
      <c r="AK223" s="211">
        <v>1</v>
      </c>
      <c r="AL223" s="211">
        <v>1</v>
      </c>
      <c r="AM223" s="211"/>
      <c r="AN223" s="211">
        <v>1</v>
      </c>
      <c r="AO223" s="211">
        <v>1</v>
      </c>
      <c r="AP223" s="211">
        <v>1</v>
      </c>
      <c r="AQ223" s="211">
        <v>1</v>
      </c>
      <c r="AR223" s="211">
        <v>1</v>
      </c>
      <c r="AS223" s="211">
        <v>1</v>
      </c>
      <c r="AT223" s="211">
        <v>1</v>
      </c>
      <c r="AU223" s="211">
        <v>1</v>
      </c>
      <c r="AV223" s="242"/>
      <c r="AW223" s="240"/>
      <c r="AX223" s="240">
        <v>1</v>
      </c>
      <c r="AY223" s="240">
        <v>1</v>
      </c>
      <c r="AZ223" s="203">
        <v>1</v>
      </c>
      <c r="BA223" s="203">
        <v>1</v>
      </c>
      <c r="BB223" s="203">
        <v>1</v>
      </c>
      <c r="BC223" s="203">
        <v>1</v>
      </c>
    </row>
    <row r="224" spans="1:55" ht="21" hidden="1" customHeight="1">
      <c r="A224" s="212"/>
      <c r="B224" s="237">
        <v>46054</v>
      </c>
      <c r="C224" s="211" t="s">
        <v>386</v>
      </c>
      <c r="D224" s="238" t="s">
        <v>714</v>
      </c>
      <c r="E224" s="211" t="s">
        <v>415</v>
      </c>
      <c r="F224" s="211"/>
      <c r="G224" s="211">
        <v>1</v>
      </c>
      <c r="H224" s="211">
        <v>1</v>
      </c>
      <c r="I224" s="211">
        <v>1</v>
      </c>
      <c r="J224" s="240">
        <v>1</v>
      </c>
      <c r="K224" s="211">
        <v>1</v>
      </c>
      <c r="L224" s="211">
        <v>1</v>
      </c>
      <c r="M224" s="211">
        <v>1</v>
      </c>
      <c r="N224" s="211">
        <v>1</v>
      </c>
      <c r="O224" s="211">
        <v>1</v>
      </c>
      <c r="P224" s="211">
        <v>1</v>
      </c>
      <c r="Q224" s="211"/>
      <c r="R224" s="211"/>
      <c r="S224" s="211">
        <v>1</v>
      </c>
      <c r="T224" s="211">
        <v>1</v>
      </c>
      <c r="U224" s="240">
        <v>1</v>
      </c>
      <c r="V224" s="211">
        <v>1</v>
      </c>
      <c r="W224" s="211">
        <v>1</v>
      </c>
      <c r="X224" s="211">
        <v>1</v>
      </c>
      <c r="Y224" s="211">
        <v>1</v>
      </c>
      <c r="Z224" s="211">
        <v>1</v>
      </c>
      <c r="AA224" s="211">
        <v>1</v>
      </c>
      <c r="AB224" s="211"/>
      <c r="AC224" s="211"/>
      <c r="AD224" s="211">
        <v>1</v>
      </c>
      <c r="AE224" s="211">
        <v>1</v>
      </c>
      <c r="AF224" s="240">
        <v>1</v>
      </c>
      <c r="AG224" s="240">
        <v>1</v>
      </c>
      <c r="AH224" s="211">
        <v>1</v>
      </c>
      <c r="AI224" s="211">
        <v>1</v>
      </c>
      <c r="AJ224" s="211">
        <v>1</v>
      </c>
      <c r="AK224" s="211">
        <v>1</v>
      </c>
      <c r="AL224" s="211">
        <v>1</v>
      </c>
      <c r="AM224" s="211"/>
      <c r="AN224" s="211"/>
      <c r="AO224" s="211"/>
      <c r="AP224" s="211"/>
      <c r="AQ224" s="240">
        <v>1</v>
      </c>
      <c r="AR224" s="240"/>
      <c r="AS224" s="240">
        <v>1</v>
      </c>
      <c r="AT224" s="240">
        <v>1</v>
      </c>
      <c r="AU224" s="240">
        <v>1</v>
      </c>
      <c r="AV224" s="242"/>
      <c r="AW224" s="240"/>
      <c r="AX224" s="240">
        <v>1</v>
      </c>
      <c r="AY224" s="240">
        <v>1</v>
      </c>
      <c r="AZ224" s="203">
        <v>1</v>
      </c>
      <c r="BA224" s="203">
        <v>1</v>
      </c>
      <c r="BB224" s="203">
        <v>1</v>
      </c>
      <c r="BC224" s="203">
        <v>1</v>
      </c>
    </row>
    <row r="225" spans="1:55" ht="21" hidden="1" customHeight="1">
      <c r="A225" s="212"/>
      <c r="B225" s="237">
        <v>46054</v>
      </c>
      <c r="C225" s="211" t="s">
        <v>386</v>
      </c>
      <c r="D225" s="238" t="s">
        <v>715</v>
      </c>
      <c r="E225" s="203" t="s">
        <v>716</v>
      </c>
      <c r="F225" s="211"/>
      <c r="G225" s="211"/>
      <c r="H225" s="211">
        <v>1</v>
      </c>
      <c r="I225" s="211">
        <v>1</v>
      </c>
      <c r="J225" s="240">
        <v>1</v>
      </c>
      <c r="K225" s="211">
        <v>1</v>
      </c>
      <c r="L225" s="211">
        <v>1</v>
      </c>
      <c r="M225" s="211">
        <v>1</v>
      </c>
      <c r="N225" s="211">
        <v>1</v>
      </c>
      <c r="O225" s="211">
        <v>1</v>
      </c>
      <c r="P225" s="211">
        <v>1</v>
      </c>
      <c r="Q225" s="211"/>
      <c r="R225" s="211"/>
      <c r="S225" s="211"/>
      <c r="T225" s="211"/>
      <c r="U225" s="240">
        <v>1</v>
      </c>
      <c r="V225" s="211">
        <v>1</v>
      </c>
      <c r="W225" s="211">
        <v>1</v>
      </c>
      <c r="X225" s="211"/>
      <c r="Y225" s="211">
        <v>1</v>
      </c>
      <c r="Z225" s="211">
        <v>1</v>
      </c>
      <c r="AA225" s="211">
        <v>1</v>
      </c>
      <c r="AB225" s="211"/>
      <c r="AC225" s="211">
        <v>1</v>
      </c>
      <c r="AD225" s="211">
        <v>1</v>
      </c>
      <c r="AE225" s="211">
        <v>1</v>
      </c>
      <c r="AF225" s="240">
        <v>1</v>
      </c>
      <c r="AG225" s="240">
        <v>1</v>
      </c>
      <c r="AH225" s="211">
        <v>1</v>
      </c>
      <c r="AI225" s="211">
        <v>1</v>
      </c>
      <c r="AJ225" s="211">
        <v>1</v>
      </c>
      <c r="AK225" s="211">
        <v>1</v>
      </c>
      <c r="AL225" s="211">
        <v>1</v>
      </c>
      <c r="AM225" s="211"/>
      <c r="AN225" s="211"/>
      <c r="AO225" s="211"/>
      <c r="AP225" s="211"/>
      <c r="AQ225" s="240">
        <v>1</v>
      </c>
      <c r="AR225" s="240"/>
      <c r="AS225" s="240">
        <v>1</v>
      </c>
      <c r="AT225" s="240">
        <v>1</v>
      </c>
      <c r="AU225" s="240">
        <v>1</v>
      </c>
      <c r="AV225" s="242"/>
      <c r="AW225" s="240"/>
      <c r="AX225" s="240"/>
      <c r="AY225" s="240">
        <v>1</v>
      </c>
      <c r="AZ225" s="203">
        <v>1</v>
      </c>
      <c r="BA225" s="203">
        <v>1</v>
      </c>
      <c r="BB225" s="203"/>
      <c r="BC225" s="203"/>
    </row>
    <row r="226" spans="1:55" ht="21" hidden="1" customHeight="1">
      <c r="A226" s="212"/>
      <c r="B226" s="237">
        <v>46054</v>
      </c>
      <c r="C226" s="211" t="s">
        <v>384</v>
      </c>
      <c r="D226" s="238" t="s">
        <v>717</v>
      </c>
      <c r="E226" s="211" t="s">
        <v>718</v>
      </c>
      <c r="F226" s="211"/>
      <c r="G226" s="211"/>
      <c r="H226" s="211"/>
      <c r="I226" s="211"/>
      <c r="J226" s="240"/>
      <c r="K226" s="211"/>
      <c r="L226" s="211"/>
      <c r="M226" s="211">
        <v>1</v>
      </c>
      <c r="N226" s="211">
        <v>1</v>
      </c>
      <c r="O226" s="211"/>
      <c r="P226" s="211"/>
      <c r="Q226" s="211"/>
      <c r="R226" s="211">
        <v>1</v>
      </c>
      <c r="S226" s="211">
        <v>1</v>
      </c>
      <c r="T226" s="211">
        <v>1</v>
      </c>
      <c r="U226" s="211">
        <v>1</v>
      </c>
      <c r="V226" s="211"/>
      <c r="W226" s="211"/>
      <c r="X226" s="211">
        <v>1</v>
      </c>
      <c r="Y226" s="211">
        <v>1</v>
      </c>
      <c r="Z226" s="211">
        <v>1</v>
      </c>
      <c r="AA226" s="211">
        <v>1</v>
      </c>
      <c r="AB226" s="211"/>
      <c r="AC226" s="211"/>
      <c r="AD226" s="211"/>
      <c r="AE226" s="211"/>
      <c r="AF226" s="240">
        <v>1</v>
      </c>
      <c r="AG226" s="211">
        <v>1</v>
      </c>
      <c r="AH226" s="211"/>
      <c r="AI226" s="211"/>
      <c r="AJ226" s="211"/>
      <c r="AK226" s="211"/>
      <c r="AL226" s="211"/>
      <c r="AM226" s="211"/>
      <c r="AN226" s="211"/>
      <c r="AO226" s="211"/>
      <c r="AP226" s="211"/>
      <c r="AQ226" s="240"/>
      <c r="AR226" s="240"/>
      <c r="AS226" s="240"/>
      <c r="AT226" s="240"/>
      <c r="AU226" s="240"/>
      <c r="AV226" s="242"/>
      <c r="AW226" s="240"/>
      <c r="AX226" s="240"/>
      <c r="AY226" s="240"/>
      <c r="AZ226" s="203">
        <v>1</v>
      </c>
      <c r="BA226" s="203">
        <v>1</v>
      </c>
      <c r="BB226" s="203">
        <v>1</v>
      </c>
      <c r="BC226" s="203">
        <v>1</v>
      </c>
    </row>
    <row r="227" spans="1:55" ht="21" hidden="1" customHeight="1">
      <c r="A227" s="212"/>
      <c r="B227" s="237">
        <v>46054</v>
      </c>
      <c r="C227" s="211" t="s">
        <v>386</v>
      </c>
      <c r="D227" s="238" t="s">
        <v>719</v>
      </c>
      <c r="E227" s="203" t="s">
        <v>720</v>
      </c>
      <c r="F227" s="211"/>
      <c r="G227" s="211">
        <v>1</v>
      </c>
      <c r="H227" s="211">
        <v>1</v>
      </c>
      <c r="I227" s="211">
        <v>1</v>
      </c>
      <c r="J227" s="240">
        <v>1</v>
      </c>
      <c r="K227" s="211">
        <v>1</v>
      </c>
      <c r="L227" s="211">
        <v>1</v>
      </c>
      <c r="M227" s="211">
        <v>1</v>
      </c>
      <c r="N227" s="211">
        <v>1</v>
      </c>
      <c r="O227" s="211">
        <v>1</v>
      </c>
      <c r="P227" s="211">
        <v>1</v>
      </c>
      <c r="Q227" s="211"/>
      <c r="R227" s="211"/>
      <c r="S227" s="211"/>
      <c r="T227" s="211"/>
      <c r="U227" s="240">
        <v>1</v>
      </c>
      <c r="V227" s="211">
        <v>1</v>
      </c>
      <c r="W227" s="211">
        <v>1</v>
      </c>
      <c r="X227" s="211">
        <v>1</v>
      </c>
      <c r="Y227" s="211">
        <v>1</v>
      </c>
      <c r="Z227" s="211">
        <v>1</v>
      </c>
      <c r="AA227" s="211">
        <v>1</v>
      </c>
      <c r="AB227" s="211"/>
      <c r="AC227" s="211"/>
      <c r="AD227" s="211">
        <v>1</v>
      </c>
      <c r="AE227" s="211">
        <v>1</v>
      </c>
      <c r="AF227" s="240">
        <v>1</v>
      </c>
      <c r="AG227" s="211">
        <v>1</v>
      </c>
      <c r="AH227" s="211">
        <v>1</v>
      </c>
      <c r="AI227" s="211"/>
      <c r="AJ227" s="211">
        <v>1</v>
      </c>
      <c r="AK227" s="211">
        <v>1</v>
      </c>
      <c r="AL227" s="211">
        <v>1</v>
      </c>
      <c r="AM227" s="211"/>
      <c r="AN227" s="211"/>
      <c r="AO227" s="211">
        <v>1</v>
      </c>
      <c r="AP227" s="211">
        <v>1</v>
      </c>
      <c r="AQ227" s="240">
        <v>1</v>
      </c>
      <c r="AR227" s="240"/>
      <c r="AS227" s="240"/>
      <c r="AT227" s="240"/>
      <c r="AU227" s="240"/>
      <c r="AV227" s="242"/>
      <c r="AW227" s="240"/>
      <c r="AX227" s="240">
        <v>1</v>
      </c>
      <c r="AY227" s="240">
        <v>1</v>
      </c>
      <c r="AZ227" s="203">
        <v>1</v>
      </c>
      <c r="BA227" s="203">
        <v>1</v>
      </c>
      <c r="BB227" s="203">
        <v>1</v>
      </c>
      <c r="BC227" s="203">
        <v>1</v>
      </c>
    </row>
    <row r="228" spans="1:55" ht="21" hidden="1" customHeight="1">
      <c r="A228" s="212"/>
      <c r="B228" s="237">
        <v>46054</v>
      </c>
      <c r="C228" s="211" t="s">
        <v>384</v>
      </c>
      <c r="D228" s="238" t="s">
        <v>721</v>
      </c>
      <c r="E228" s="211" t="s">
        <v>722</v>
      </c>
      <c r="F228" s="211"/>
      <c r="G228" s="211"/>
      <c r="H228" s="211"/>
      <c r="I228" s="211"/>
      <c r="J228" s="240">
        <v>1</v>
      </c>
      <c r="K228" s="211">
        <v>1</v>
      </c>
      <c r="L228" s="211"/>
      <c r="M228" s="211">
        <v>1</v>
      </c>
      <c r="N228" s="211">
        <v>1</v>
      </c>
      <c r="O228" s="211"/>
      <c r="P228" s="211">
        <v>1</v>
      </c>
      <c r="Q228" s="211"/>
      <c r="R228" s="211"/>
      <c r="S228" s="211"/>
      <c r="T228" s="211"/>
      <c r="U228" s="240">
        <v>1</v>
      </c>
      <c r="V228" s="211">
        <v>1</v>
      </c>
      <c r="W228" s="211">
        <v>1</v>
      </c>
      <c r="X228" s="211"/>
      <c r="Y228" s="211">
        <v>1</v>
      </c>
      <c r="Z228" s="211"/>
      <c r="AA228" s="211">
        <v>1</v>
      </c>
      <c r="AB228" s="211"/>
      <c r="AC228" s="211">
        <v>1</v>
      </c>
      <c r="AD228" s="211">
        <v>1</v>
      </c>
      <c r="AE228" s="211">
        <v>1</v>
      </c>
      <c r="AF228" s="211">
        <v>1</v>
      </c>
      <c r="AG228" s="211">
        <v>1</v>
      </c>
      <c r="AH228" s="211">
        <v>1</v>
      </c>
      <c r="AI228" s="211">
        <v>1</v>
      </c>
      <c r="AJ228" s="211">
        <v>1</v>
      </c>
      <c r="AK228" s="211">
        <v>1</v>
      </c>
      <c r="AL228" s="211">
        <v>1</v>
      </c>
      <c r="AM228" s="211"/>
      <c r="AN228" s="211"/>
      <c r="AO228" s="211"/>
      <c r="AP228" s="211"/>
      <c r="AQ228" s="240"/>
      <c r="AR228" s="240"/>
      <c r="AS228" s="240"/>
      <c r="AT228" s="240"/>
      <c r="AU228" s="240"/>
      <c r="AV228" s="242"/>
      <c r="AW228" s="240"/>
      <c r="AX228" s="240"/>
      <c r="AY228" s="240"/>
      <c r="AZ228" s="203">
        <v>1</v>
      </c>
      <c r="BA228" s="203">
        <v>1</v>
      </c>
      <c r="BB228" s="203"/>
      <c r="BC228" s="203"/>
    </row>
    <row r="229" spans="1:55" ht="21" customHeight="1">
      <c r="A229" s="212"/>
      <c r="B229" s="237">
        <v>46054</v>
      </c>
      <c r="C229" s="211" t="s">
        <v>395</v>
      </c>
      <c r="D229" s="238" t="s">
        <v>723</v>
      </c>
      <c r="E229" s="211" t="s">
        <v>724</v>
      </c>
      <c r="F229" s="211"/>
      <c r="G229" s="211"/>
      <c r="H229" s="211"/>
      <c r="I229" s="211"/>
      <c r="J229" s="240"/>
      <c r="K229" s="211">
        <v>1</v>
      </c>
      <c r="L229" s="211">
        <v>1</v>
      </c>
      <c r="M229" s="211">
        <v>1</v>
      </c>
      <c r="N229" s="211">
        <v>1</v>
      </c>
      <c r="O229" s="211">
        <v>1</v>
      </c>
      <c r="P229" s="211">
        <v>1</v>
      </c>
      <c r="Q229" s="211"/>
      <c r="R229" s="211"/>
      <c r="S229" s="211"/>
      <c r="T229" s="211"/>
      <c r="U229" s="240">
        <v>1</v>
      </c>
      <c r="V229" s="211"/>
      <c r="W229" s="211"/>
      <c r="X229" s="211"/>
      <c r="Y229" s="211"/>
      <c r="Z229" s="211">
        <v>1</v>
      </c>
      <c r="AA229" s="211">
        <v>1</v>
      </c>
      <c r="AB229" s="211"/>
      <c r="AC229" s="211"/>
      <c r="AD229" s="211">
        <v>1</v>
      </c>
      <c r="AE229" s="211">
        <v>1</v>
      </c>
      <c r="AF229" s="240">
        <v>1</v>
      </c>
      <c r="AG229" s="240">
        <v>1</v>
      </c>
      <c r="AH229" s="211">
        <v>1</v>
      </c>
      <c r="AI229" s="211">
        <v>1</v>
      </c>
      <c r="AJ229" s="211">
        <v>1</v>
      </c>
      <c r="AK229" s="211">
        <v>1</v>
      </c>
      <c r="AL229" s="211">
        <v>1</v>
      </c>
      <c r="AM229" s="211"/>
      <c r="AN229" s="211">
        <v>1</v>
      </c>
      <c r="AO229" s="211">
        <v>1</v>
      </c>
      <c r="AP229" s="211">
        <v>1</v>
      </c>
      <c r="AQ229" s="240">
        <v>1</v>
      </c>
      <c r="AR229" s="240"/>
      <c r="AS229" s="240">
        <v>1</v>
      </c>
      <c r="AT229" s="240">
        <v>1</v>
      </c>
      <c r="AU229" s="240">
        <v>1</v>
      </c>
      <c r="AV229" s="242">
        <v>1</v>
      </c>
      <c r="AW229" s="240">
        <v>1</v>
      </c>
      <c r="AX229" s="240">
        <v>1</v>
      </c>
      <c r="AY229" s="240">
        <v>1</v>
      </c>
      <c r="AZ229" s="203">
        <v>1</v>
      </c>
      <c r="BA229" s="203">
        <v>1</v>
      </c>
      <c r="BB229" s="203"/>
      <c r="BC229" s="203"/>
    </row>
    <row r="230" spans="1:55" ht="21" customHeight="1">
      <c r="A230" s="212"/>
      <c r="B230" s="237">
        <v>46054</v>
      </c>
      <c r="C230" s="211" t="s">
        <v>395</v>
      </c>
      <c r="D230" s="238" t="s">
        <v>725</v>
      </c>
      <c r="E230" s="211" t="s">
        <v>408</v>
      </c>
      <c r="F230" s="211"/>
      <c r="G230" s="211"/>
      <c r="H230" s="211">
        <v>1</v>
      </c>
      <c r="I230" s="211">
        <v>1</v>
      </c>
      <c r="J230" s="240">
        <v>1</v>
      </c>
      <c r="K230" s="211">
        <v>1</v>
      </c>
      <c r="L230" s="211">
        <v>1</v>
      </c>
      <c r="M230" s="211">
        <v>1</v>
      </c>
      <c r="N230" s="211">
        <v>1</v>
      </c>
      <c r="O230" s="211">
        <v>1</v>
      </c>
      <c r="P230" s="211">
        <v>1</v>
      </c>
      <c r="Q230" s="211"/>
      <c r="R230" s="211"/>
      <c r="S230" s="211"/>
      <c r="T230" s="211"/>
      <c r="U230" s="240">
        <v>1</v>
      </c>
      <c r="V230" s="211">
        <v>1</v>
      </c>
      <c r="W230" s="211">
        <v>1</v>
      </c>
      <c r="X230" s="211"/>
      <c r="Y230" s="211">
        <v>1</v>
      </c>
      <c r="Z230" s="211">
        <v>1</v>
      </c>
      <c r="AA230" s="211">
        <v>1</v>
      </c>
      <c r="AB230" s="211"/>
      <c r="AC230" s="211">
        <v>1</v>
      </c>
      <c r="AD230" s="211">
        <v>1</v>
      </c>
      <c r="AE230" s="211">
        <v>1</v>
      </c>
      <c r="AF230" s="240">
        <v>1</v>
      </c>
      <c r="AG230" s="211">
        <v>1</v>
      </c>
      <c r="AH230" s="211">
        <v>1</v>
      </c>
      <c r="AI230" s="211">
        <v>1</v>
      </c>
      <c r="AJ230" s="211">
        <v>1</v>
      </c>
      <c r="AK230" s="211">
        <v>1</v>
      </c>
      <c r="AL230" s="211">
        <v>1</v>
      </c>
      <c r="AM230" s="211"/>
      <c r="AN230" s="211"/>
      <c r="AO230" s="211">
        <v>1</v>
      </c>
      <c r="AP230" s="211">
        <v>1</v>
      </c>
      <c r="AQ230" s="240">
        <v>1</v>
      </c>
      <c r="AR230" s="240">
        <v>1</v>
      </c>
      <c r="AS230" s="240">
        <v>1</v>
      </c>
      <c r="AT230" s="240">
        <v>1</v>
      </c>
      <c r="AU230" s="240">
        <v>1</v>
      </c>
      <c r="AV230" s="242">
        <v>1</v>
      </c>
      <c r="AW230" s="240">
        <v>1</v>
      </c>
      <c r="AX230" s="240">
        <v>1</v>
      </c>
      <c r="AY230" s="240">
        <v>1</v>
      </c>
      <c r="AZ230" s="203">
        <v>1</v>
      </c>
      <c r="BA230" s="203">
        <v>1</v>
      </c>
      <c r="BB230" s="203">
        <v>1</v>
      </c>
      <c r="BC230" s="203">
        <v>1</v>
      </c>
    </row>
    <row r="231" spans="1:55" ht="21" customHeight="1">
      <c r="A231" s="212"/>
      <c r="B231" s="237">
        <v>46054</v>
      </c>
      <c r="C231" s="211" t="s">
        <v>395</v>
      </c>
      <c r="D231" s="238" t="s">
        <v>726</v>
      </c>
      <c r="E231" s="211" t="s">
        <v>541</v>
      </c>
      <c r="F231" s="211"/>
      <c r="G231" s="211"/>
      <c r="H231" s="211">
        <v>1</v>
      </c>
      <c r="I231" s="211">
        <v>1</v>
      </c>
      <c r="J231" s="240">
        <v>1</v>
      </c>
      <c r="K231" s="211">
        <v>1</v>
      </c>
      <c r="L231" s="211">
        <v>1</v>
      </c>
      <c r="M231" s="211"/>
      <c r="N231" s="211"/>
      <c r="O231" s="211">
        <v>1</v>
      </c>
      <c r="P231" s="211">
        <v>1</v>
      </c>
      <c r="Q231" s="211"/>
      <c r="R231" s="211"/>
      <c r="S231" s="211">
        <v>1</v>
      </c>
      <c r="T231" s="211">
        <v>1</v>
      </c>
      <c r="U231" s="240">
        <v>1</v>
      </c>
      <c r="V231" s="211">
        <v>1</v>
      </c>
      <c r="W231" s="211">
        <v>1</v>
      </c>
      <c r="X231" s="211"/>
      <c r="Y231" s="211">
        <v>1</v>
      </c>
      <c r="Z231" s="211">
        <v>1</v>
      </c>
      <c r="AA231" s="211">
        <v>1</v>
      </c>
      <c r="AB231" s="211"/>
      <c r="AC231" s="211">
        <v>1</v>
      </c>
      <c r="AD231" s="211">
        <v>1</v>
      </c>
      <c r="AE231" s="211">
        <v>1</v>
      </c>
      <c r="AF231" s="240">
        <v>1</v>
      </c>
      <c r="AG231" s="240">
        <v>1</v>
      </c>
      <c r="AH231" s="211">
        <v>1</v>
      </c>
      <c r="AI231" s="211"/>
      <c r="AJ231" s="211">
        <v>1</v>
      </c>
      <c r="AK231" s="211">
        <v>1</v>
      </c>
      <c r="AL231" s="211">
        <v>1</v>
      </c>
      <c r="AM231" s="211"/>
      <c r="AN231" s="211"/>
      <c r="AO231" s="211">
        <v>1</v>
      </c>
      <c r="AP231" s="211">
        <v>1</v>
      </c>
      <c r="AQ231" s="240">
        <v>1</v>
      </c>
      <c r="AR231" s="240">
        <v>1</v>
      </c>
      <c r="AS231" s="240">
        <v>1</v>
      </c>
      <c r="AT231" s="240">
        <v>1</v>
      </c>
      <c r="AU231" s="240">
        <v>1</v>
      </c>
      <c r="AV231" s="242"/>
      <c r="AW231" s="240"/>
      <c r="AX231" s="240"/>
      <c r="AY231" s="240"/>
      <c r="AZ231" s="203">
        <v>1</v>
      </c>
      <c r="BA231" s="203">
        <v>1</v>
      </c>
      <c r="BB231" s="203"/>
      <c r="BC231" s="203"/>
    </row>
    <row r="232" spans="1:55" ht="21" customHeight="1">
      <c r="A232" s="212"/>
      <c r="B232" s="237">
        <v>46054</v>
      </c>
      <c r="C232" s="211" t="s">
        <v>395</v>
      </c>
      <c r="D232" s="238" t="s">
        <v>727</v>
      </c>
      <c r="E232" s="211" t="s">
        <v>408</v>
      </c>
      <c r="F232" s="211"/>
      <c r="G232" s="211">
        <v>1</v>
      </c>
      <c r="H232" s="211">
        <v>1</v>
      </c>
      <c r="I232" s="211">
        <v>1</v>
      </c>
      <c r="J232" s="240">
        <v>1</v>
      </c>
      <c r="K232" s="211">
        <v>1</v>
      </c>
      <c r="L232" s="211">
        <v>1</v>
      </c>
      <c r="M232" s="211"/>
      <c r="N232" s="211">
        <v>1</v>
      </c>
      <c r="O232" s="211">
        <v>1</v>
      </c>
      <c r="P232" s="211">
        <v>1</v>
      </c>
      <c r="Q232" s="211"/>
      <c r="R232" s="211"/>
      <c r="S232" s="211">
        <v>1</v>
      </c>
      <c r="T232" s="211">
        <v>1</v>
      </c>
      <c r="U232" s="240">
        <v>1</v>
      </c>
      <c r="V232" s="211">
        <v>1</v>
      </c>
      <c r="W232" s="211">
        <v>1</v>
      </c>
      <c r="X232" s="211"/>
      <c r="Y232" s="211">
        <v>1</v>
      </c>
      <c r="Z232" s="211">
        <v>1</v>
      </c>
      <c r="AA232" s="211">
        <v>1</v>
      </c>
      <c r="AB232" s="211"/>
      <c r="AC232" s="211"/>
      <c r="AD232" s="211">
        <v>1</v>
      </c>
      <c r="AE232" s="211">
        <v>1</v>
      </c>
      <c r="AF232" s="240">
        <v>1</v>
      </c>
      <c r="AG232" s="211">
        <v>1</v>
      </c>
      <c r="AH232" s="211">
        <v>1</v>
      </c>
      <c r="AI232" s="211"/>
      <c r="AJ232" s="211">
        <v>1</v>
      </c>
      <c r="AK232" s="211">
        <v>1</v>
      </c>
      <c r="AL232" s="211">
        <v>1</v>
      </c>
      <c r="AM232" s="211"/>
      <c r="AN232" s="211"/>
      <c r="AO232" s="211">
        <v>1</v>
      </c>
      <c r="AP232" s="211">
        <v>1</v>
      </c>
      <c r="AQ232" s="240">
        <v>1</v>
      </c>
      <c r="AR232" s="240">
        <v>1</v>
      </c>
      <c r="AS232" s="240">
        <v>1</v>
      </c>
      <c r="AT232" s="240">
        <v>1</v>
      </c>
      <c r="AU232" s="240">
        <v>1</v>
      </c>
      <c r="AV232" s="240">
        <v>1</v>
      </c>
      <c r="AW232" s="240">
        <v>1</v>
      </c>
      <c r="AX232" s="240"/>
      <c r="AY232" s="240">
        <v>1</v>
      </c>
      <c r="AZ232" s="203">
        <v>1</v>
      </c>
      <c r="BA232" s="203">
        <v>1</v>
      </c>
      <c r="BB232" s="203">
        <v>1</v>
      </c>
      <c r="BC232" s="203">
        <v>1</v>
      </c>
    </row>
    <row r="233" spans="1:55" ht="21" customHeight="1">
      <c r="A233" s="212"/>
      <c r="B233" s="237">
        <v>46054</v>
      </c>
      <c r="C233" s="211" t="s">
        <v>395</v>
      </c>
      <c r="D233" s="238" t="s">
        <v>728</v>
      </c>
      <c r="E233" s="211" t="s">
        <v>631</v>
      </c>
      <c r="F233" s="211"/>
      <c r="G233" s="211"/>
      <c r="H233" s="211">
        <v>1</v>
      </c>
      <c r="I233" s="211">
        <v>1</v>
      </c>
      <c r="J233" s="240">
        <v>1</v>
      </c>
      <c r="K233" s="211">
        <v>1</v>
      </c>
      <c r="L233" s="211">
        <v>1</v>
      </c>
      <c r="M233" s="211">
        <v>1</v>
      </c>
      <c r="N233" s="211">
        <v>1</v>
      </c>
      <c r="O233" s="211">
        <v>1</v>
      </c>
      <c r="P233" s="211">
        <v>1</v>
      </c>
      <c r="Q233" s="211"/>
      <c r="R233" s="211"/>
      <c r="S233" s="211">
        <v>1</v>
      </c>
      <c r="T233" s="211">
        <v>1</v>
      </c>
      <c r="U233" s="240">
        <v>1</v>
      </c>
      <c r="V233" s="211">
        <v>1</v>
      </c>
      <c r="W233" s="211">
        <v>1</v>
      </c>
      <c r="X233" s="211"/>
      <c r="Y233" s="211">
        <v>1</v>
      </c>
      <c r="Z233" s="211">
        <v>1</v>
      </c>
      <c r="AA233" s="211">
        <v>1</v>
      </c>
      <c r="AB233" s="211"/>
      <c r="AC233" s="211"/>
      <c r="AD233" s="211">
        <v>1</v>
      </c>
      <c r="AE233" s="211">
        <v>1</v>
      </c>
      <c r="AF233" s="240">
        <v>1</v>
      </c>
      <c r="AG233" s="211">
        <v>1</v>
      </c>
      <c r="AH233" s="211">
        <v>1</v>
      </c>
      <c r="AI233" s="211">
        <v>1</v>
      </c>
      <c r="AJ233" s="211">
        <v>1</v>
      </c>
      <c r="AK233" s="211">
        <v>1</v>
      </c>
      <c r="AL233" s="211">
        <v>1</v>
      </c>
      <c r="AM233" s="211"/>
      <c r="AN233" s="211">
        <v>1</v>
      </c>
      <c r="AO233" s="211">
        <v>1</v>
      </c>
      <c r="AP233" s="211">
        <v>1</v>
      </c>
      <c r="AQ233" s="240">
        <v>1</v>
      </c>
      <c r="AR233" s="240">
        <v>1</v>
      </c>
      <c r="AS233" s="240">
        <v>1</v>
      </c>
      <c r="AT233" s="240">
        <v>1</v>
      </c>
      <c r="AU233" s="240">
        <v>1</v>
      </c>
      <c r="AV233" s="240">
        <v>1</v>
      </c>
      <c r="AW233" s="240">
        <v>1</v>
      </c>
      <c r="AX233" s="240"/>
      <c r="AY233" s="240"/>
      <c r="AZ233" s="203">
        <v>1</v>
      </c>
      <c r="BA233" s="203">
        <v>1</v>
      </c>
      <c r="BB233" s="203"/>
      <c r="BC233" s="203"/>
    </row>
    <row r="234" spans="1:55" ht="21" customHeight="1">
      <c r="A234" s="212"/>
      <c r="B234" s="237">
        <v>46054</v>
      </c>
      <c r="C234" s="211" t="s">
        <v>395</v>
      </c>
      <c r="D234" s="238" t="s">
        <v>729</v>
      </c>
      <c r="E234" s="211" t="s">
        <v>730</v>
      </c>
      <c r="F234" s="211"/>
      <c r="G234" s="211"/>
      <c r="H234" s="211">
        <v>1</v>
      </c>
      <c r="I234" s="211">
        <v>1</v>
      </c>
      <c r="J234" s="240">
        <v>1</v>
      </c>
      <c r="K234" s="211">
        <v>1</v>
      </c>
      <c r="L234" s="211">
        <v>1</v>
      </c>
      <c r="M234" s="211">
        <v>1</v>
      </c>
      <c r="N234" s="211">
        <v>1</v>
      </c>
      <c r="O234" s="211">
        <v>1</v>
      </c>
      <c r="P234" s="211">
        <v>1</v>
      </c>
      <c r="Q234" s="211"/>
      <c r="R234" s="211"/>
      <c r="S234" s="211">
        <v>1</v>
      </c>
      <c r="T234" s="211">
        <v>1</v>
      </c>
      <c r="U234" s="240"/>
      <c r="V234" s="211">
        <v>1</v>
      </c>
      <c r="W234" s="211">
        <v>1</v>
      </c>
      <c r="X234" s="211">
        <v>1</v>
      </c>
      <c r="Y234" s="211">
        <v>1</v>
      </c>
      <c r="Z234" s="211">
        <v>1</v>
      </c>
      <c r="AA234" s="211">
        <v>1</v>
      </c>
      <c r="AB234" s="211"/>
      <c r="AC234" s="211"/>
      <c r="AD234" s="211">
        <v>1</v>
      </c>
      <c r="AE234" s="211">
        <v>1</v>
      </c>
      <c r="AF234" s="240">
        <v>1</v>
      </c>
      <c r="AG234" s="211">
        <v>1</v>
      </c>
      <c r="AH234" s="211">
        <v>1</v>
      </c>
      <c r="AI234" s="211">
        <v>1</v>
      </c>
      <c r="AJ234" s="211">
        <v>1</v>
      </c>
      <c r="AK234" s="211"/>
      <c r="AL234" s="211">
        <v>1</v>
      </c>
      <c r="AM234" s="211"/>
      <c r="AN234" s="211">
        <v>1</v>
      </c>
      <c r="AO234" s="211">
        <v>1</v>
      </c>
      <c r="AP234" s="211">
        <v>1</v>
      </c>
      <c r="AQ234" s="240">
        <v>1</v>
      </c>
      <c r="AR234" s="240">
        <v>1</v>
      </c>
      <c r="AS234" s="240">
        <v>1</v>
      </c>
      <c r="AT234" s="240">
        <v>1</v>
      </c>
      <c r="AU234" s="240">
        <v>1</v>
      </c>
      <c r="AV234" s="240">
        <v>1</v>
      </c>
      <c r="AW234" s="240">
        <v>1</v>
      </c>
      <c r="AX234" s="240">
        <v>1</v>
      </c>
      <c r="AY234" s="240">
        <v>1</v>
      </c>
      <c r="AZ234" s="242">
        <v>1</v>
      </c>
      <c r="BA234" s="203"/>
      <c r="BB234" s="203"/>
      <c r="BC234" s="203"/>
    </row>
    <row r="235" spans="1:55" ht="21" hidden="1" customHeight="1">
      <c r="A235" s="212"/>
      <c r="B235" s="237">
        <v>46054</v>
      </c>
      <c r="C235" s="211" t="s">
        <v>384</v>
      </c>
      <c r="D235" s="238" t="s">
        <v>731</v>
      </c>
      <c r="E235" s="203" t="s">
        <v>732</v>
      </c>
      <c r="F235" s="211"/>
      <c r="G235" s="211"/>
      <c r="H235" s="211">
        <v>1</v>
      </c>
      <c r="I235" s="211">
        <v>1</v>
      </c>
      <c r="J235" s="240">
        <v>1</v>
      </c>
      <c r="K235" s="211">
        <v>1</v>
      </c>
      <c r="L235" s="211">
        <v>1</v>
      </c>
      <c r="M235" s="211">
        <v>1</v>
      </c>
      <c r="N235" s="211">
        <v>1</v>
      </c>
      <c r="O235" s="211">
        <v>1</v>
      </c>
      <c r="P235" s="211">
        <v>1</v>
      </c>
      <c r="Q235" s="211"/>
      <c r="R235" s="211"/>
      <c r="S235" s="211">
        <v>1</v>
      </c>
      <c r="T235" s="211">
        <v>1</v>
      </c>
      <c r="U235" s="240">
        <v>1</v>
      </c>
      <c r="V235" s="211">
        <v>1</v>
      </c>
      <c r="W235" s="211">
        <v>1</v>
      </c>
      <c r="X235" s="211">
        <v>1</v>
      </c>
      <c r="Y235" s="211"/>
      <c r="Z235" s="211">
        <v>1</v>
      </c>
      <c r="AA235" s="211">
        <v>1</v>
      </c>
      <c r="AB235" s="211"/>
      <c r="AC235" s="211">
        <v>1</v>
      </c>
      <c r="AD235" s="211">
        <v>1</v>
      </c>
      <c r="AE235" s="211">
        <v>1</v>
      </c>
      <c r="AF235" s="240">
        <v>1</v>
      </c>
      <c r="AG235" s="240">
        <v>1</v>
      </c>
      <c r="AH235" s="211">
        <v>1</v>
      </c>
      <c r="AI235" s="211">
        <v>1</v>
      </c>
      <c r="AJ235" s="211">
        <v>1</v>
      </c>
      <c r="AK235" s="211">
        <v>1</v>
      </c>
      <c r="AL235" s="211">
        <v>1</v>
      </c>
      <c r="AM235" s="211"/>
      <c r="AN235" s="211"/>
      <c r="AO235" s="211">
        <v>1</v>
      </c>
      <c r="AP235" s="211">
        <v>1</v>
      </c>
      <c r="AQ235" s="240">
        <v>1</v>
      </c>
      <c r="AR235" s="240">
        <v>1</v>
      </c>
      <c r="AS235" s="240">
        <v>1</v>
      </c>
      <c r="AT235" s="211">
        <v>1</v>
      </c>
      <c r="AU235" s="211">
        <v>1</v>
      </c>
      <c r="AV235" s="242"/>
      <c r="AW235" s="240"/>
      <c r="AX235" s="240">
        <v>1</v>
      </c>
      <c r="AY235" s="240"/>
      <c r="AZ235" s="203">
        <v>1</v>
      </c>
      <c r="BA235" s="203">
        <v>1</v>
      </c>
      <c r="BB235" s="203">
        <v>1</v>
      </c>
      <c r="BC235" s="203">
        <v>1</v>
      </c>
    </row>
    <row r="236" spans="1:55" ht="21" hidden="1" customHeight="1">
      <c r="A236" s="212"/>
      <c r="B236" s="237">
        <v>46054</v>
      </c>
      <c r="C236" s="211" t="s">
        <v>384</v>
      </c>
      <c r="D236" s="238" t="s">
        <v>733</v>
      </c>
      <c r="E236" s="211" t="s">
        <v>568</v>
      </c>
      <c r="F236" s="211"/>
      <c r="G236" s="211"/>
      <c r="H236" s="211">
        <v>1</v>
      </c>
      <c r="I236" s="211">
        <v>1</v>
      </c>
      <c r="J236" s="240">
        <v>1</v>
      </c>
      <c r="K236" s="211"/>
      <c r="L236" s="211">
        <v>1</v>
      </c>
      <c r="M236" s="211"/>
      <c r="N236" s="211"/>
      <c r="O236" s="211"/>
      <c r="P236" s="211">
        <v>1</v>
      </c>
      <c r="Q236" s="211"/>
      <c r="R236" s="211"/>
      <c r="S236" s="211">
        <v>1</v>
      </c>
      <c r="T236" s="211">
        <v>1</v>
      </c>
      <c r="U236" s="240">
        <v>1</v>
      </c>
      <c r="V236" s="211">
        <v>1</v>
      </c>
      <c r="W236" s="211">
        <v>1</v>
      </c>
      <c r="X236" s="211"/>
      <c r="Y236" s="211"/>
      <c r="Z236" s="211">
        <v>1</v>
      </c>
      <c r="AA236" s="211">
        <v>1</v>
      </c>
      <c r="AB236" s="211"/>
      <c r="AC236" s="211">
        <v>1</v>
      </c>
      <c r="AD236" s="211">
        <v>1</v>
      </c>
      <c r="AE236" s="211">
        <v>1</v>
      </c>
      <c r="AF236" s="240">
        <v>1</v>
      </c>
      <c r="AG236" s="240">
        <v>1</v>
      </c>
      <c r="AH236" s="211">
        <v>1</v>
      </c>
      <c r="AI236" s="211"/>
      <c r="AJ236" s="211">
        <v>1</v>
      </c>
      <c r="AK236" s="211">
        <v>1</v>
      </c>
      <c r="AL236" s="211">
        <v>1</v>
      </c>
      <c r="AM236" s="211"/>
      <c r="AN236" s="211"/>
      <c r="AO236" s="211"/>
      <c r="AP236" s="211"/>
      <c r="AQ236" s="240"/>
      <c r="AR236" s="240">
        <v>1</v>
      </c>
      <c r="AS236" s="240">
        <v>1</v>
      </c>
      <c r="AT236" s="211">
        <v>1</v>
      </c>
      <c r="AU236" s="211">
        <v>1</v>
      </c>
      <c r="AV236" s="242"/>
      <c r="AW236" s="240"/>
      <c r="AX236" s="240"/>
      <c r="AY236" s="240"/>
      <c r="AZ236" s="242"/>
      <c r="BA236" s="203"/>
      <c r="BB236" s="203"/>
      <c r="BC236" s="203"/>
    </row>
    <row r="237" spans="1:55" ht="21" customHeight="1">
      <c r="A237" s="212"/>
      <c r="B237" s="237">
        <v>46054</v>
      </c>
      <c r="C237" s="211" t="s">
        <v>395</v>
      </c>
      <c r="D237" s="238" t="s">
        <v>734</v>
      </c>
      <c r="E237" s="203" t="s">
        <v>735</v>
      </c>
      <c r="F237" s="211"/>
      <c r="G237" s="211"/>
      <c r="H237" s="211"/>
      <c r="I237" s="211"/>
      <c r="J237" s="240">
        <v>1</v>
      </c>
      <c r="K237" s="211">
        <v>1</v>
      </c>
      <c r="L237" s="211">
        <v>1</v>
      </c>
      <c r="M237" s="211">
        <v>1</v>
      </c>
      <c r="N237" s="211">
        <v>1</v>
      </c>
      <c r="O237" s="211">
        <v>1</v>
      </c>
      <c r="P237" s="211">
        <v>1</v>
      </c>
      <c r="Q237" s="211"/>
      <c r="R237" s="211"/>
      <c r="S237" s="211">
        <v>1</v>
      </c>
      <c r="T237" s="211">
        <v>1</v>
      </c>
      <c r="U237" s="240">
        <v>1</v>
      </c>
      <c r="V237" s="211"/>
      <c r="W237" s="211">
        <v>1</v>
      </c>
      <c r="X237" s="211"/>
      <c r="Y237" s="211">
        <v>1</v>
      </c>
      <c r="Z237" s="211">
        <v>1</v>
      </c>
      <c r="AA237" s="211"/>
      <c r="AB237" s="211"/>
      <c r="AC237" s="211"/>
      <c r="AD237" s="211"/>
      <c r="AE237" s="211"/>
      <c r="AF237" s="240">
        <v>1</v>
      </c>
      <c r="AG237" s="240">
        <v>1</v>
      </c>
      <c r="AH237" s="211">
        <v>1</v>
      </c>
      <c r="AI237" s="211">
        <v>1</v>
      </c>
      <c r="AJ237" s="211">
        <v>1</v>
      </c>
      <c r="AK237" s="211">
        <v>1</v>
      </c>
      <c r="AL237" s="211">
        <v>1</v>
      </c>
      <c r="AM237" s="211"/>
      <c r="AN237" s="211">
        <v>1</v>
      </c>
      <c r="AO237" s="211">
        <v>1</v>
      </c>
      <c r="AP237" s="211">
        <v>1</v>
      </c>
      <c r="AQ237" s="240"/>
      <c r="AR237" s="240"/>
      <c r="AS237" s="240"/>
      <c r="AT237" s="211"/>
      <c r="AU237" s="211"/>
      <c r="AV237" s="242">
        <v>1</v>
      </c>
      <c r="AW237" s="240">
        <v>1</v>
      </c>
      <c r="AX237" s="240">
        <v>1</v>
      </c>
      <c r="AY237" s="240">
        <v>1</v>
      </c>
      <c r="AZ237" s="242">
        <v>1</v>
      </c>
      <c r="BA237" s="203">
        <v>1</v>
      </c>
      <c r="BB237" s="203"/>
      <c r="BC237" s="203"/>
    </row>
    <row r="238" spans="1:55" ht="21" customHeight="1">
      <c r="A238" s="212"/>
      <c r="B238" s="237">
        <v>46054</v>
      </c>
      <c r="C238" s="211" t="s">
        <v>395</v>
      </c>
      <c r="D238" s="238" t="s">
        <v>736</v>
      </c>
      <c r="E238" s="211" t="s">
        <v>541</v>
      </c>
      <c r="F238" s="211"/>
      <c r="G238" s="211"/>
      <c r="H238" s="211">
        <v>1</v>
      </c>
      <c r="I238" s="211">
        <v>1</v>
      </c>
      <c r="J238" s="240">
        <v>1</v>
      </c>
      <c r="K238" s="211">
        <v>1</v>
      </c>
      <c r="L238" s="211">
        <v>1</v>
      </c>
      <c r="M238" s="211">
        <v>1</v>
      </c>
      <c r="N238" s="211">
        <v>1</v>
      </c>
      <c r="O238" s="211">
        <v>1</v>
      </c>
      <c r="P238" s="211">
        <v>1</v>
      </c>
      <c r="Q238" s="211"/>
      <c r="R238" s="211"/>
      <c r="S238" s="211">
        <v>1</v>
      </c>
      <c r="T238" s="211">
        <v>1</v>
      </c>
      <c r="U238" s="240">
        <v>1</v>
      </c>
      <c r="V238" s="211">
        <v>1</v>
      </c>
      <c r="W238" s="211">
        <v>1</v>
      </c>
      <c r="X238" s="211"/>
      <c r="Y238" s="211">
        <v>1</v>
      </c>
      <c r="Z238" s="211">
        <v>1</v>
      </c>
      <c r="AA238" s="211">
        <v>1</v>
      </c>
      <c r="AB238" s="211"/>
      <c r="AC238" s="211">
        <v>1</v>
      </c>
      <c r="AD238" s="211">
        <v>1</v>
      </c>
      <c r="AE238" s="211">
        <v>1</v>
      </c>
      <c r="AF238" s="240">
        <v>1</v>
      </c>
      <c r="AG238" s="211">
        <v>1</v>
      </c>
      <c r="AH238" s="211">
        <v>1</v>
      </c>
      <c r="AI238" s="211">
        <v>1</v>
      </c>
      <c r="AJ238" s="211">
        <v>1</v>
      </c>
      <c r="AK238" s="211">
        <v>1</v>
      </c>
      <c r="AL238" s="211">
        <v>1</v>
      </c>
      <c r="AM238" s="211"/>
      <c r="AN238" s="211"/>
      <c r="AO238" s="211">
        <v>1</v>
      </c>
      <c r="AP238" s="211">
        <v>1</v>
      </c>
      <c r="AQ238" s="240"/>
      <c r="AR238" s="240">
        <v>1</v>
      </c>
      <c r="AS238" s="240">
        <v>1</v>
      </c>
      <c r="AT238" s="211">
        <v>1</v>
      </c>
      <c r="AU238" s="211">
        <v>1</v>
      </c>
      <c r="AV238" s="242">
        <v>1</v>
      </c>
      <c r="AW238" s="240">
        <v>1</v>
      </c>
      <c r="AX238" s="240">
        <v>1</v>
      </c>
      <c r="AY238" s="240">
        <v>1</v>
      </c>
      <c r="AZ238" s="242"/>
      <c r="BA238" s="203"/>
      <c r="BB238" s="203">
        <v>1</v>
      </c>
      <c r="BC238" s="203">
        <v>1</v>
      </c>
    </row>
    <row r="239" spans="1:55" ht="21" customHeight="1">
      <c r="A239" s="212"/>
      <c r="B239" s="237">
        <v>46054</v>
      </c>
      <c r="C239" s="211" t="s">
        <v>395</v>
      </c>
      <c r="D239" s="238" t="s">
        <v>737</v>
      </c>
      <c r="E239" s="211" t="s">
        <v>426</v>
      </c>
      <c r="F239" s="211"/>
      <c r="G239" s="211"/>
      <c r="H239" s="211">
        <v>1</v>
      </c>
      <c r="I239" s="211">
        <v>1</v>
      </c>
      <c r="J239" s="240"/>
      <c r="K239" s="211"/>
      <c r="L239" s="211">
        <v>1</v>
      </c>
      <c r="M239" s="211">
        <v>1</v>
      </c>
      <c r="N239" s="211"/>
      <c r="O239" s="211">
        <v>1</v>
      </c>
      <c r="P239" s="211">
        <v>1</v>
      </c>
      <c r="Q239" s="211"/>
      <c r="R239" s="211"/>
      <c r="S239" s="211">
        <v>1</v>
      </c>
      <c r="T239" s="211">
        <v>1</v>
      </c>
      <c r="U239" s="240"/>
      <c r="V239" s="211"/>
      <c r="W239" s="211"/>
      <c r="X239" s="211"/>
      <c r="Y239" s="211">
        <v>1</v>
      </c>
      <c r="Z239" s="211"/>
      <c r="AA239" s="211">
        <v>1</v>
      </c>
      <c r="AB239" s="211"/>
      <c r="AC239" s="211"/>
      <c r="AD239" s="211">
        <v>1</v>
      </c>
      <c r="AE239" s="211">
        <v>1</v>
      </c>
      <c r="AF239" s="240">
        <v>1</v>
      </c>
      <c r="AG239" s="211">
        <v>1</v>
      </c>
      <c r="AH239" s="211">
        <v>1</v>
      </c>
      <c r="AI239" s="211">
        <v>1</v>
      </c>
      <c r="AJ239" s="211">
        <v>1</v>
      </c>
      <c r="AK239" s="211">
        <v>1</v>
      </c>
      <c r="AL239" s="211">
        <v>1</v>
      </c>
      <c r="AM239" s="211"/>
      <c r="AN239" s="211">
        <v>1</v>
      </c>
      <c r="AO239" s="211">
        <v>1</v>
      </c>
      <c r="AP239" s="211">
        <v>1</v>
      </c>
      <c r="AQ239" s="240"/>
      <c r="AR239" s="240"/>
      <c r="AS239" s="240">
        <v>1</v>
      </c>
      <c r="AT239" s="211">
        <v>1</v>
      </c>
      <c r="AU239" s="211">
        <v>1</v>
      </c>
      <c r="AV239" s="242">
        <v>1</v>
      </c>
      <c r="AW239" s="240">
        <v>1</v>
      </c>
      <c r="AX239" s="240">
        <v>1</v>
      </c>
      <c r="AY239" s="240">
        <v>1</v>
      </c>
      <c r="AZ239" s="242"/>
      <c r="BA239" s="203"/>
      <c r="BB239" s="203"/>
      <c r="BC239" s="203"/>
    </row>
    <row r="240" spans="1:55" ht="21" hidden="1" customHeight="1">
      <c r="A240" s="212"/>
      <c r="B240" s="237">
        <v>46054</v>
      </c>
      <c r="C240" s="211" t="s">
        <v>384</v>
      </c>
      <c r="D240" s="238" t="s">
        <v>738</v>
      </c>
      <c r="E240" s="203" t="s">
        <v>739</v>
      </c>
      <c r="F240" s="211"/>
      <c r="G240" s="211"/>
      <c r="H240" s="211"/>
      <c r="I240" s="211"/>
      <c r="J240" s="240">
        <v>1</v>
      </c>
      <c r="K240" s="211">
        <v>1</v>
      </c>
      <c r="L240" s="211">
        <v>1</v>
      </c>
      <c r="M240" s="211"/>
      <c r="N240" s="211">
        <v>1</v>
      </c>
      <c r="O240" s="211">
        <v>1</v>
      </c>
      <c r="P240" s="211">
        <v>1</v>
      </c>
      <c r="Q240" s="211"/>
      <c r="R240" s="211"/>
      <c r="S240" s="211">
        <v>1</v>
      </c>
      <c r="T240" s="211">
        <v>1</v>
      </c>
      <c r="U240" s="240">
        <v>1</v>
      </c>
      <c r="V240" s="211">
        <v>1</v>
      </c>
      <c r="W240" s="211">
        <v>1</v>
      </c>
      <c r="X240" s="211"/>
      <c r="Y240" s="211"/>
      <c r="Z240" s="211">
        <v>1</v>
      </c>
      <c r="AA240" s="211">
        <v>1</v>
      </c>
      <c r="AB240" s="211"/>
      <c r="AC240" s="211">
        <v>1</v>
      </c>
      <c r="AD240" s="211">
        <v>1</v>
      </c>
      <c r="AE240" s="211">
        <v>1</v>
      </c>
      <c r="AF240" s="240">
        <v>1</v>
      </c>
      <c r="AG240" s="211"/>
      <c r="AH240" s="211">
        <v>1</v>
      </c>
      <c r="AI240" s="211"/>
      <c r="AJ240" s="211">
        <v>1</v>
      </c>
      <c r="AK240" s="211">
        <v>1</v>
      </c>
      <c r="AL240" s="211">
        <v>1</v>
      </c>
      <c r="AM240" s="211"/>
      <c r="AN240" s="211"/>
      <c r="AO240" s="211">
        <v>1</v>
      </c>
      <c r="AP240" s="211">
        <v>1</v>
      </c>
      <c r="AQ240" s="240">
        <v>1</v>
      </c>
      <c r="AR240" s="240">
        <v>1</v>
      </c>
      <c r="AS240" s="240">
        <v>1</v>
      </c>
      <c r="AT240" s="211">
        <v>1</v>
      </c>
      <c r="AU240" s="211">
        <v>1</v>
      </c>
      <c r="AV240" s="242">
        <v>1</v>
      </c>
      <c r="AW240" s="240">
        <v>1</v>
      </c>
      <c r="AX240" s="240"/>
      <c r="AY240" s="240"/>
      <c r="AZ240" s="203">
        <v>1</v>
      </c>
      <c r="BA240" s="203">
        <v>1</v>
      </c>
      <c r="BB240" s="203"/>
      <c r="BC240" s="203"/>
    </row>
    <row r="241" spans="1:55" ht="21" hidden="1" customHeight="1">
      <c r="A241" s="212"/>
      <c r="B241" s="237">
        <v>46054</v>
      </c>
      <c r="C241" s="211" t="s">
        <v>384</v>
      </c>
      <c r="D241" s="238" t="s">
        <v>740</v>
      </c>
      <c r="E241" s="211" t="s">
        <v>607</v>
      </c>
      <c r="F241" s="211"/>
      <c r="G241" s="211"/>
      <c r="H241" s="211">
        <v>1</v>
      </c>
      <c r="I241" s="211">
        <v>1</v>
      </c>
      <c r="J241" s="240">
        <v>1</v>
      </c>
      <c r="K241" s="211">
        <v>1</v>
      </c>
      <c r="L241" s="211">
        <v>1</v>
      </c>
      <c r="M241" s="211"/>
      <c r="N241" s="211">
        <v>1</v>
      </c>
      <c r="O241" s="211">
        <v>1</v>
      </c>
      <c r="P241" s="211">
        <v>1</v>
      </c>
      <c r="Q241" s="211"/>
      <c r="R241" s="211"/>
      <c r="S241" s="211">
        <v>1</v>
      </c>
      <c r="T241" s="211">
        <v>1</v>
      </c>
      <c r="U241" s="240">
        <v>1</v>
      </c>
      <c r="V241" s="211">
        <v>1</v>
      </c>
      <c r="W241" s="211">
        <v>1</v>
      </c>
      <c r="X241" s="211">
        <v>1</v>
      </c>
      <c r="Y241" s="211">
        <v>1</v>
      </c>
      <c r="Z241" s="211">
        <v>1</v>
      </c>
      <c r="AA241" s="211">
        <v>1</v>
      </c>
      <c r="AB241" s="211"/>
      <c r="AC241" s="211">
        <v>1</v>
      </c>
      <c r="AD241" s="211">
        <v>1</v>
      </c>
      <c r="AE241" s="211">
        <v>1</v>
      </c>
      <c r="AF241" s="240">
        <v>1</v>
      </c>
      <c r="AG241" s="211">
        <v>1</v>
      </c>
      <c r="AH241" s="211">
        <v>1</v>
      </c>
      <c r="AI241" s="211"/>
      <c r="AJ241" s="211">
        <v>1</v>
      </c>
      <c r="AK241" s="211">
        <v>1</v>
      </c>
      <c r="AL241" s="211">
        <v>1</v>
      </c>
      <c r="AM241" s="211"/>
      <c r="AN241" s="211"/>
      <c r="AO241" s="211">
        <v>1</v>
      </c>
      <c r="AP241" s="211">
        <v>1</v>
      </c>
      <c r="AQ241" s="240">
        <v>1</v>
      </c>
      <c r="AR241" s="240">
        <v>1</v>
      </c>
      <c r="AS241" s="240">
        <v>1</v>
      </c>
      <c r="AT241" s="211">
        <v>1</v>
      </c>
      <c r="AU241" s="211">
        <v>1</v>
      </c>
      <c r="AV241" s="242">
        <v>1</v>
      </c>
      <c r="AW241" s="240">
        <v>1</v>
      </c>
      <c r="AX241" s="240"/>
      <c r="AY241" s="240"/>
      <c r="AZ241" s="203">
        <v>1</v>
      </c>
      <c r="BA241" s="203">
        <v>1</v>
      </c>
      <c r="BB241" s="203">
        <v>1</v>
      </c>
      <c r="BC241" s="203">
        <v>1</v>
      </c>
    </row>
    <row r="242" spans="1:55" ht="21" customHeight="1">
      <c r="A242" s="212"/>
      <c r="B242" s="237">
        <v>46054</v>
      </c>
      <c r="C242" s="211" t="s">
        <v>395</v>
      </c>
      <c r="D242" s="238" t="s">
        <v>741</v>
      </c>
      <c r="E242" s="211" t="s">
        <v>528</v>
      </c>
      <c r="F242" s="211"/>
      <c r="G242" s="211"/>
      <c r="H242" s="211"/>
      <c r="I242" s="211"/>
      <c r="J242" s="240">
        <v>1</v>
      </c>
      <c r="K242" s="211">
        <v>1</v>
      </c>
      <c r="L242" s="211">
        <v>1</v>
      </c>
      <c r="M242" s="211">
        <v>1</v>
      </c>
      <c r="N242" s="211">
        <v>1</v>
      </c>
      <c r="O242" s="211">
        <v>1</v>
      </c>
      <c r="P242" s="211">
        <v>1</v>
      </c>
      <c r="Q242" s="211"/>
      <c r="R242" s="211">
        <v>1</v>
      </c>
      <c r="S242" s="211">
        <v>1</v>
      </c>
      <c r="T242" s="211">
        <v>1</v>
      </c>
      <c r="U242" s="240">
        <v>1</v>
      </c>
      <c r="V242" s="211"/>
      <c r="W242" s="211"/>
      <c r="X242" s="211">
        <v>1</v>
      </c>
      <c r="Y242" s="211">
        <v>1</v>
      </c>
      <c r="Z242" s="211">
        <v>1</v>
      </c>
      <c r="AA242" s="211">
        <v>1</v>
      </c>
      <c r="AB242" s="211"/>
      <c r="AC242" s="211">
        <v>1</v>
      </c>
      <c r="AD242" s="211">
        <v>1</v>
      </c>
      <c r="AE242" s="211">
        <v>1</v>
      </c>
      <c r="AF242" s="240">
        <v>1</v>
      </c>
      <c r="AG242" s="211">
        <v>1</v>
      </c>
      <c r="AH242" s="211">
        <v>1</v>
      </c>
      <c r="AI242" s="211">
        <v>1</v>
      </c>
      <c r="AJ242" s="211">
        <v>1</v>
      </c>
      <c r="AK242" s="211">
        <v>1</v>
      </c>
      <c r="AL242" s="211">
        <v>1</v>
      </c>
      <c r="AM242" s="211"/>
      <c r="AN242" s="211"/>
      <c r="AO242" s="211"/>
      <c r="AP242" s="211"/>
      <c r="AQ242" s="240">
        <v>1</v>
      </c>
      <c r="AR242" s="240">
        <v>1</v>
      </c>
      <c r="AS242" s="240"/>
      <c r="AT242" s="211"/>
      <c r="AU242" s="211"/>
      <c r="AV242" s="242"/>
      <c r="AW242" s="240"/>
      <c r="AX242" s="240">
        <v>1</v>
      </c>
      <c r="AY242" s="240"/>
      <c r="AZ242" s="203">
        <v>1</v>
      </c>
      <c r="BA242" s="203">
        <v>1</v>
      </c>
      <c r="BB242" s="203">
        <v>1</v>
      </c>
      <c r="BC242" s="203">
        <v>1</v>
      </c>
    </row>
    <row r="243" spans="1:55" ht="21" customHeight="1">
      <c r="A243" s="212"/>
      <c r="B243" s="237">
        <v>46054</v>
      </c>
      <c r="C243" s="211" t="s">
        <v>395</v>
      </c>
      <c r="D243" s="238" t="s">
        <v>742</v>
      </c>
      <c r="E243" s="211" t="s">
        <v>528</v>
      </c>
      <c r="F243" s="211"/>
      <c r="G243" s="211">
        <v>1</v>
      </c>
      <c r="H243" s="211">
        <v>1</v>
      </c>
      <c r="I243" s="211">
        <v>1</v>
      </c>
      <c r="J243" s="240">
        <v>1</v>
      </c>
      <c r="K243" s="211">
        <v>1</v>
      </c>
      <c r="L243" s="211">
        <v>1</v>
      </c>
      <c r="M243" s="211"/>
      <c r="N243" s="211"/>
      <c r="O243" s="211">
        <v>1</v>
      </c>
      <c r="P243" s="211">
        <v>1</v>
      </c>
      <c r="Q243" s="211"/>
      <c r="R243" s="211"/>
      <c r="S243" s="211">
        <v>1</v>
      </c>
      <c r="T243" s="211">
        <v>1</v>
      </c>
      <c r="U243" s="240">
        <v>1</v>
      </c>
      <c r="V243" s="211">
        <v>1</v>
      </c>
      <c r="W243" s="211">
        <v>1</v>
      </c>
      <c r="X243" s="211">
        <v>1</v>
      </c>
      <c r="Y243" s="211">
        <v>1</v>
      </c>
      <c r="Z243" s="211">
        <v>1</v>
      </c>
      <c r="AA243" s="211"/>
      <c r="AB243" s="211"/>
      <c r="AC243" s="211">
        <v>1</v>
      </c>
      <c r="AD243" s="211">
        <v>1</v>
      </c>
      <c r="AE243" s="211">
        <v>1</v>
      </c>
      <c r="AF243" s="240">
        <v>1</v>
      </c>
      <c r="AG243" s="211">
        <v>1</v>
      </c>
      <c r="AH243" s="211">
        <v>1</v>
      </c>
      <c r="AI243" s="211">
        <v>1</v>
      </c>
      <c r="AJ243" s="211">
        <v>1</v>
      </c>
      <c r="AK243" s="211">
        <v>1</v>
      </c>
      <c r="AL243" s="211">
        <v>1</v>
      </c>
      <c r="AM243" s="211"/>
      <c r="AN243" s="211"/>
      <c r="AO243" s="211"/>
      <c r="AP243" s="211"/>
      <c r="AQ243" s="240">
        <v>1</v>
      </c>
      <c r="AR243" s="240">
        <v>1</v>
      </c>
      <c r="AS243" s="240">
        <v>1</v>
      </c>
      <c r="AT243" s="211"/>
      <c r="AU243" s="211"/>
      <c r="AV243" s="242"/>
      <c r="AW243" s="240"/>
      <c r="AX243" s="240"/>
      <c r="AY243" s="240"/>
      <c r="AZ243" s="203">
        <v>1</v>
      </c>
      <c r="BA243" s="203">
        <v>1</v>
      </c>
      <c r="BB243" s="203"/>
      <c r="BC243" s="203"/>
    </row>
    <row r="244" spans="1:55" ht="21" customHeight="1">
      <c r="A244" s="212"/>
      <c r="B244" s="237">
        <v>46054</v>
      </c>
      <c r="C244" s="211" t="s">
        <v>395</v>
      </c>
      <c r="D244" s="238" t="s">
        <v>743</v>
      </c>
      <c r="E244" s="211" t="s">
        <v>744</v>
      </c>
      <c r="F244" s="211"/>
      <c r="G244" s="211">
        <v>1</v>
      </c>
      <c r="H244" s="211">
        <v>1</v>
      </c>
      <c r="I244" s="211">
        <v>1</v>
      </c>
      <c r="J244" s="240">
        <v>1</v>
      </c>
      <c r="K244" s="211">
        <v>1</v>
      </c>
      <c r="L244" s="211">
        <v>1</v>
      </c>
      <c r="M244" s="211">
        <v>1</v>
      </c>
      <c r="N244" s="211">
        <v>1</v>
      </c>
      <c r="O244" s="211">
        <v>1</v>
      </c>
      <c r="P244" s="211">
        <v>1</v>
      </c>
      <c r="Q244" s="211"/>
      <c r="R244" s="211">
        <v>1</v>
      </c>
      <c r="S244" s="211">
        <v>1</v>
      </c>
      <c r="T244" s="211">
        <v>1</v>
      </c>
      <c r="U244" s="240">
        <v>1</v>
      </c>
      <c r="V244" s="211">
        <v>1</v>
      </c>
      <c r="W244" s="211">
        <v>1</v>
      </c>
      <c r="X244" s="211">
        <v>1</v>
      </c>
      <c r="Y244" s="211">
        <v>1</v>
      </c>
      <c r="Z244" s="211"/>
      <c r="AA244" s="211"/>
      <c r="AB244" s="211"/>
      <c r="AC244" s="211"/>
      <c r="AD244" s="211">
        <v>1</v>
      </c>
      <c r="AE244" s="211">
        <v>1</v>
      </c>
      <c r="AF244" s="240">
        <v>1</v>
      </c>
      <c r="AG244" s="211">
        <v>1</v>
      </c>
      <c r="AH244" s="211"/>
      <c r="AI244" s="211">
        <v>1</v>
      </c>
      <c r="AJ244" s="211">
        <v>1</v>
      </c>
      <c r="AK244" s="211">
        <v>1</v>
      </c>
      <c r="AL244" s="211">
        <v>1</v>
      </c>
      <c r="AM244" s="211"/>
      <c r="AN244" s="211"/>
      <c r="AO244" s="211"/>
      <c r="AP244" s="211"/>
      <c r="AQ244" s="240"/>
      <c r="AR244" s="240"/>
      <c r="AS244" s="240"/>
      <c r="AT244" s="211"/>
      <c r="AU244" s="211"/>
      <c r="AV244" s="242"/>
      <c r="AW244" s="240"/>
      <c r="AX244" s="240">
        <v>1</v>
      </c>
      <c r="AY244" s="240"/>
      <c r="AZ244" s="203">
        <v>1</v>
      </c>
      <c r="BA244" s="203">
        <v>1</v>
      </c>
      <c r="BB244" s="203"/>
      <c r="BC244" s="203"/>
    </row>
    <row r="245" spans="1:55" ht="21" customHeight="1">
      <c r="A245" s="212"/>
      <c r="B245" s="237">
        <v>46054</v>
      </c>
      <c r="C245" s="211" t="s">
        <v>395</v>
      </c>
      <c r="D245" s="238" t="s">
        <v>745</v>
      </c>
      <c r="E245" s="211" t="s">
        <v>528</v>
      </c>
      <c r="F245" s="211"/>
      <c r="G245" s="211"/>
      <c r="H245" s="211"/>
      <c r="I245" s="211"/>
      <c r="J245" s="240">
        <v>1</v>
      </c>
      <c r="K245" s="211">
        <v>1</v>
      </c>
      <c r="L245" s="211">
        <v>1</v>
      </c>
      <c r="M245" s="211"/>
      <c r="N245" s="211">
        <v>1</v>
      </c>
      <c r="O245" s="211">
        <v>1</v>
      </c>
      <c r="P245" s="211">
        <v>1</v>
      </c>
      <c r="Q245" s="211"/>
      <c r="R245" s="211">
        <v>1</v>
      </c>
      <c r="S245" s="211">
        <v>1</v>
      </c>
      <c r="T245" s="211">
        <v>1</v>
      </c>
      <c r="U245" s="240">
        <v>1</v>
      </c>
      <c r="V245" s="211">
        <v>1</v>
      </c>
      <c r="W245" s="211">
        <v>1</v>
      </c>
      <c r="X245" s="211">
        <v>1</v>
      </c>
      <c r="Y245" s="211">
        <v>1</v>
      </c>
      <c r="Z245" s="211">
        <v>1</v>
      </c>
      <c r="AA245" s="211">
        <v>1</v>
      </c>
      <c r="AB245" s="211"/>
      <c r="AC245" s="211">
        <v>1</v>
      </c>
      <c r="AD245" s="211">
        <v>1</v>
      </c>
      <c r="AE245" s="211">
        <v>1</v>
      </c>
      <c r="AF245" s="240">
        <v>1</v>
      </c>
      <c r="AG245" s="211">
        <v>1</v>
      </c>
      <c r="AH245" s="211">
        <v>1</v>
      </c>
      <c r="AI245" s="211">
        <v>1</v>
      </c>
      <c r="AJ245" s="211">
        <v>1</v>
      </c>
      <c r="AK245" s="211">
        <v>1</v>
      </c>
      <c r="AL245" s="211">
        <v>1</v>
      </c>
      <c r="AM245" s="211"/>
      <c r="AN245" s="211"/>
      <c r="AO245" s="211"/>
      <c r="AP245" s="211"/>
      <c r="AQ245" s="240"/>
      <c r="AR245" s="240">
        <v>1</v>
      </c>
      <c r="AS245" s="240">
        <v>1</v>
      </c>
      <c r="AT245" s="211"/>
      <c r="AU245" s="211"/>
      <c r="AV245" s="242"/>
      <c r="AW245" s="240"/>
      <c r="AX245" s="240">
        <v>1</v>
      </c>
      <c r="AY245" s="240"/>
      <c r="AZ245" s="203">
        <v>1</v>
      </c>
      <c r="BA245" s="203">
        <v>1</v>
      </c>
      <c r="BB245" s="203">
        <v>1</v>
      </c>
      <c r="BC245" s="203">
        <v>1</v>
      </c>
    </row>
    <row r="246" spans="1:55" ht="21" customHeight="1">
      <c r="A246" s="212"/>
      <c r="B246" s="237">
        <v>46054</v>
      </c>
      <c r="C246" s="211" t="s">
        <v>395</v>
      </c>
      <c r="D246" s="238" t="s">
        <v>746</v>
      </c>
      <c r="E246" s="211" t="s">
        <v>747</v>
      </c>
      <c r="F246" s="211"/>
      <c r="G246" s="211">
        <v>1</v>
      </c>
      <c r="H246" s="211">
        <v>1</v>
      </c>
      <c r="I246" s="211">
        <v>1</v>
      </c>
      <c r="J246" s="240">
        <v>1</v>
      </c>
      <c r="K246" s="211">
        <v>1</v>
      </c>
      <c r="L246" s="211">
        <v>1</v>
      </c>
      <c r="M246" s="211">
        <v>1</v>
      </c>
      <c r="N246" s="211">
        <v>1</v>
      </c>
      <c r="O246" s="211">
        <v>1</v>
      </c>
      <c r="P246" s="211">
        <v>1</v>
      </c>
      <c r="Q246" s="211"/>
      <c r="R246" s="211"/>
      <c r="S246" s="211"/>
      <c r="T246" s="211"/>
      <c r="U246" s="240">
        <v>1</v>
      </c>
      <c r="V246" s="211">
        <v>1</v>
      </c>
      <c r="W246" s="211">
        <v>1</v>
      </c>
      <c r="X246" s="211">
        <v>1</v>
      </c>
      <c r="Y246" s="211">
        <v>1</v>
      </c>
      <c r="Z246" s="211"/>
      <c r="AA246" s="211">
        <v>1</v>
      </c>
      <c r="AB246" s="211"/>
      <c r="AC246" s="211">
        <v>1</v>
      </c>
      <c r="AD246" s="211">
        <v>1</v>
      </c>
      <c r="AE246" s="211">
        <v>1</v>
      </c>
      <c r="AF246" s="240">
        <v>1</v>
      </c>
      <c r="AG246" s="211">
        <v>1</v>
      </c>
      <c r="AH246" s="211">
        <v>1</v>
      </c>
      <c r="AI246" s="211"/>
      <c r="AJ246" s="211">
        <v>1</v>
      </c>
      <c r="AK246" s="211">
        <v>1</v>
      </c>
      <c r="AL246" s="211">
        <v>1</v>
      </c>
      <c r="AM246" s="211"/>
      <c r="AN246" s="211"/>
      <c r="AO246" s="211"/>
      <c r="AP246" s="211"/>
      <c r="AQ246" s="240">
        <v>1</v>
      </c>
      <c r="AR246" s="240">
        <v>1</v>
      </c>
      <c r="AS246" s="240">
        <v>1</v>
      </c>
      <c r="AT246" s="211"/>
      <c r="AU246" s="211"/>
      <c r="AV246" s="242"/>
      <c r="AW246" s="240"/>
      <c r="AX246" s="240"/>
      <c r="AY246" s="240"/>
      <c r="AZ246" s="203">
        <v>1</v>
      </c>
      <c r="BA246" s="203">
        <v>1</v>
      </c>
      <c r="BB246" s="203">
        <v>1</v>
      </c>
      <c r="BC246" s="203">
        <v>1</v>
      </c>
    </row>
    <row r="247" spans="1:55" ht="21" customHeight="1">
      <c r="A247" s="212"/>
      <c r="B247" s="237">
        <v>46054</v>
      </c>
      <c r="C247" s="211" t="s">
        <v>395</v>
      </c>
      <c r="D247" s="238" t="s">
        <v>748</v>
      </c>
      <c r="E247" s="211" t="s">
        <v>575</v>
      </c>
      <c r="F247" s="211"/>
      <c r="G247" s="211">
        <v>1</v>
      </c>
      <c r="H247" s="211">
        <v>1</v>
      </c>
      <c r="I247" s="211">
        <v>1</v>
      </c>
      <c r="J247" s="240">
        <v>1</v>
      </c>
      <c r="K247" s="211"/>
      <c r="L247" s="211">
        <v>1</v>
      </c>
      <c r="M247" s="211">
        <v>1</v>
      </c>
      <c r="N247" s="211">
        <v>1</v>
      </c>
      <c r="O247" s="211">
        <v>1</v>
      </c>
      <c r="P247" s="211">
        <v>1</v>
      </c>
      <c r="Q247" s="211"/>
      <c r="R247" s="211"/>
      <c r="S247" s="211"/>
      <c r="T247" s="211"/>
      <c r="U247" s="240">
        <v>1</v>
      </c>
      <c r="V247" s="211"/>
      <c r="W247" s="211"/>
      <c r="X247" s="211"/>
      <c r="Y247" s="211">
        <v>1</v>
      </c>
      <c r="Z247" s="211"/>
      <c r="AA247" s="211">
        <v>1</v>
      </c>
      <c r="AB247" s="211"/>
      <c r="AC247" s="211">
        <v>1</v>
      </c>
      <c r="AD247" s="211">
        <v>1</v>
      </c>
      <c r="AE247" s="211">
        <v>1</v>
      </c>
      <c r="AF247" s="240">
        <v>1</v>
      </c>
      <c r="AG247" s="240">
        <v>1</v>
      </c>
      <c r="AH247" s="211">
        <v>1</v>
      </c>
      <c r="AI247" s="211"/>
      <c r="AJ247" s="211">
        <v>1</v>
      </c>
      <c r="AK247" s="211">
        <v>1</v>
      </c>
      <c r="AL247" s="211">
        <v>1</v>
      </c>
      <c r="AM247" s="211"/>
      <c r="AN247" s="211"/>
      <c r="AO247" s="211"/>
      <c r="AP247" s="211"/>
      <c r="AQ247" s="240">
        <v>1</v>
      </c>
      <c r="AR247" s="240">
        <v>1</v>
      </c>
      <c r="AS247" s="240">
        <v>1</v>
      </c>
      <c r="AT247" s="211"/>
      <c r="AU247" s="211"/>
      <c r="AV247" s="240">
        <v>1</v>
      </c>
      <c r="AW247" s="240">
        <v>1</v>
      </c>
      <c r="AX247" s="240"/>
      <c r="AY247" s="240">
        <v>1</v>
      </c>
      <c r="AZ247" s="203">
        <v>1</v>
      </c>
      <c r="BA247" s="203">
        <v>1</v>
      </c>
      <c r="BB247" s="203">
        <v>1</v>
      </c>
      <c r="BC247" s="203">
        <v>1</v>
      </c>
    </row>
    <row r="248" spans="1:55" ht="21" customHeight="1">
      <c r="A248" s="212"/>
      <c r="B248" s="237">
        <v>46054</v>
      </c>
      <c r="C248" s="211" t="s">
        <v>395</v>
      </c>
      <c r="D248" s="238" t="s">
        <v>749</v>
      </c>
      <c r="E248" s="211" t="s">
        <v>575</v>
      </c>
      <c r="F248" s="211"/>
      <c r="G248" s="211">
        <v>1</v>
      </c>
      <c r="H248" s="211">
        <v>1</v>
      </c>
      <c r="I248" s="211">
        <v>1</v>
      </c>
      <c r="J248" s="240">
        <v>1</v>
      </c>
      <c r="K248" s="211">
        <v>1</v>
      </c>
      <c r="L248" s="211">
        <v>1</v>
      </c>
      <c r="M248" s="211">
        <v>1</v>
      </c>
      <c r="N248" s="211">
        <v>1</v>
      </c>
      <c r="O248" s="211">
        <v>1</v>
      </c>
      <c r="P248" s="211">
        <v>1</v>
      </c>
      <c r="Q248" s="211"/>
      <c r="R248" s="211"/>
      <c r="S248" s="211">
        <v>1</v>
      </c>
      <c r="T248" s="211">
        <v>1</v>
      </c>
      <c r="U248" s="240">
        <v>1</v>
      </c>
      <c r="V248" s="211">
        <v>1</v>
      </c>
      <c r="W248" s="211">
        <v>1</v>
      </c>
      <c r="X248" s="211">
        <v>1</v>
      </c>
      <c r="Y248" s="211"/>
      <c r="Z248" s="211">
        <v>1</v>
      </c>
      <c r="AA248" s="211">
        <v>1</v>
      </c>
      <c r="AB248" s="211"/>
      <c r="AC248" s="211">
        <v>1</v>
      </c>
      <c r="AD248" s="211">
        <v>1</v>
      </c>
      <c r="AE248" s="211">
        <v>1</v>
      </c>
      <c r="AF248" s="240">
        <v>1</v>
      </c>
      <c r="AG248" s="240">
        <v>1</v>
      </c>
      <c r="AH248" s="211">
        <v>1</v>
      </c>
      <c r="AI248" s="211">
        <v>1</v>
      </c>
      <c r="AJ248" s="211">
        <v>1</v>
      </c>
      <c r="AK248" s="211">
        <v>1</v>
      </c>
      <c r="AL248" s="211">
        <v>1</v>
      </c>
      <c r="AM248" s="211"/>
      <c r="AN248" s="211"/>
      <c r="AO248" s="211"/>
      <c r="AP248" s="211"/>
      <c r="AQ248" s="240"/>
      <c r="AR248" s="240">
        <v>1</v>
      </c>
      <c r="AS248" s="240">
        <v>1</v>
      </c>
      <c r="AT248" s="211"/>
      <c r="AU248" s="211"/>
      <c r="AV248" s="240">
        <v>1</v>
      </c>
      <c r="AW248" s="240">
        <v>1</v>
      </c>
      <c r="AX248" s="240">
        <v>1</v>
      </c>
      <c r="AY248" s="240">
        <v>1</v>
      </c>
      <c r="AZ248" s="203">
        <v>1</v>
      </c>
      <c r="BA248" s="203">
        <v>1</v>
      </c>
      <c r="BB248" s="203">
        <v>1</v>
      </c>
      <c r="BC248" s="203">
        <v>1</v>
      </c>
    </row>
    <row r="249" spans="1:55" ht="21" hidden="1" customHeight="1">
      <c r="A249" s="212"/>
      <c r="B249" s="237">
        <v>46054</v>
      </c>
      <c r="C249" s="211" t="s">
        <v>386</v>
      </c>
      <c r="D249" s="238" t="s">
        <v>750</v>
      </c>
      <c r="E249" s="211" t="s">
        <v>415</v>
      </c>
      <c r="F249" s="211"/>
      <c r="G249" s="211">
        <v>1</v>
      </c>
      <c r="H249" s="211">
        <v>1</v>
      </c>
      <c r="I249" s="211">
        <v>1</v>
      </c>
      <c r="J249" s="240">
        <v>1</v>
      </c>
      <c r="K249" s="211">
        <v>1</v>
      </c>
      <c r="L249" s="211">
        <v>1</v>
      </c>
      <c r="M249" s="211">
        <v>1</v>
      </c>
      <c r="N249" s="211">
        <v>1</v>
      </c>
      <c r="O249" s="211">
        <v>1</v>
      </c>
      <c r="P249" s="211">
        <v>1</v>
      </c>
      <c r="Q249" s="211"/>
      <c r="R249" s="211">
        <v>1</v>
      </c>
      <c r="S249" s="211">
        <v>1</v>
      </c>
      <c r="T249" s="211">
        <v>1</v>
      </c>
      <c r="U249" s="240">
        <v>1</v>
      </c>
      <c r="V249" s="211">
        <v>1</v>
      </c>
      <c r="W249" s="211">
        <v>1</v>
      </c>
      <c r="X249" s="211">
        <v>1</v>
      </c>
      <c r="Y249" s="211"/>
      <c r="Z249" s="211">
        <v>1</v>
      </c>
      <c r="AA249" s="211">
        <v>1</v>
      </c>
      <c r="AB249" s="211"/>
      <c r="AC249" s="211"/>
      <c r="AD249" s="211">
        <v>1</v>
      </c>
      <c r="AE249" s="211">
        <v>1</v>
      </c>
      <c r="AF249" s="240">
        <v>1</v>
      </c>
      <c r="AG249" s="211">
        <v>1</v>
      </c>
      <c r="AH249" s="211"/>
      <c r="AI249" s="211">
        <v>1</v>
      </c>
      <c r="AJ249" s="211">
        <v>1</v>
      </c>
      <c r="AK249" s="211">
        <v>1</v>
      </c>
      <c r="AL249" s="211">
        <v>1</v>
      </c>
      <c r="AM249" s="211"/>
      <c r="AN249" s="211"/>
      <c r="AO249" s="211">
        <v>1</v>
      </c>
      <c r="AP249" s="211">
        <v>1</v>
      </c>
      <c r="AQ249" s="240">
        <v>1</v>
      </c>
      <c r="AR249" s="240"/>
      <c r="AS249" s="240"/>
      <c r="AT249" s="211"/>
      <c r="AU249" s="211"/>
      <c r="AV249" s="242"/>
      <c r="AW249" s="240"/>
      <c r="AX249" s="240">
        <v>1</v>
      </c>
      <c r="AY249" s="240"/>
      <c r="AZ249" s="203">
        <v>1</v>
      </c>
      <c r="BA249" s="203">
        <v>1</v>
      </c>
      <c r="BB249" s="203">
        <v>1</v>
      </c>
      <c r="BC249" s="203">
        <v>1</v>
      </c>
    </row>
    <row r="250" spans="1:55" ht="21" hidden="1" customHeight="1">
      <c r="A250" s="212"/>
      <c r="B250" s="237">
        <v>46054</v>
      </c>
      <c r="C250" s="211" t="s">
        <v>386</v>
      </c>
      <c r="D250" s="238" t="s">
        <v>751</v>
      </c>
      <c r="E250" s="211" t="s">
        <v>415</v>
      </c>
      <c r="F250" s="211"/>
      <c r="G250" s="211">
        <v>1</v>
      </c>
      <c r="H250" s="211">
        <v>1</v>
      </c>
      <c r="I250" s="211">
        <v>1</v>
      </c>
      <c r="J250" s="240">
        <v>1</v>
      </c>
      <c r="K250" s="211">
        <v>1</v>
      </c>
      <c r="L250" s="211">
        <v>1</v>
      </c>
      <c r="M250" s="211">
        <v>1</v>
      </c>
      <c r="N250" s="211">
        <v>1</v>
      </c>
      <c r="O250" s="211">
        <v>1</v>
      </c>
      <c r="P250" s="211">
        <v>1</v>
      </c>
      <c r="Q250" s="211"/>
      <c r="R250" s="211"/>
      <c r="S250" s="211"/>
      <c r="T250" s="211"/>
      <c r="U250" s="240">
        <v>1</v>
      </c>
      <c r="V250" s="211">
        <v>1</v>
      </c>
      <c r="W250" s="211">
        <v>1</v>
      </c>
      <c r="X250" s="211">
        <v>1</v>
      </c>
      <c r="Y250" s="211">
        <v>1</v>
      </c>
      <c r="Z250" s="211">
        <v>1</v>
      </c>
      <c r="AA250" s="211">
        <v>1</v>
      </c>
      <c r="AB250" s="211"/>
      <c r="AC250" s="211">
        <v>1</v>
      </c>
      <c r="AD250" s="211">
        <v>1</v>
      </c>
      <c r="AE250" s="211">
        <v>1</v>
      </c>
      <c r="AF250" s="240">
        <v>1</v>
      </c>
      <c r="AG250" s="211">
        <v>1</v>
      </c>
      <c r="AH250" s="211">
        <v>1</v>
      </c>
      <c r="AI250" s="211"/>
      <c r="AJ250" s="211">
        <v>1</v>
      </c>
      <c r="AK250" s="211">
        <v>1</v>
      </c>
      <c r="AL250" s="211">
        <v>1</v>
      </c>
      <c r="AM250" s="211"/>
      <c r="AN250" s="211"/>
      <c r="AO250" s="211">
        <v>1</v>
      </c>
      <c r="AP250" s="211">
        <v>1</v>
      </c>
      <c r="AQ250" s="240">
        <v>1</v>
      </c>
      <c r="AR250" s="240"/>
      <c r="AS250" s="240"/>
      <c r="AT250" s="211"/>
      <c r="AU250" s="211"/>
      <c r="AV250" s="242"/>
      <c r="AW250" s="240"/>
      <c r="AX250" s="240"/>
      <c r="AY250" s="240">
        <v>1</v>
      </c>
      <c r="AZ250" s="203">
        <v>1</v>
      </c>
      <c r="BA250" s="203">
        <v>1</v>
      </c>
      <c r="BB250" s="203">
        <v>1</v>
      </c>
      <c r="BC250" s="203">
        <v>1</v>
      </c>
    </row>
    <row r="251" spans="1:55" ht="21" hidden="1" customHeight="1">
      <c r="A251" s="212"/>
      <c r="B251" s="237">
        <v>46054</v>
      </c>
      <c r="C251" s="211" t="s">
        <v>386</v>
      </c>
      <c r="D251" s="238" t="s">
        <v>752</v>
      </c>
      <c r="E251" s="211" t="s">
        <v>415</v>
      </c>
      <c r="F251" s="211"/>
      <c r="G251" s="211"/>
      <c r="H251" s="211">
        <v>1</v>
      </c>
      <c r="I251" s="211">
        <v>1</v>
      </c>
      <c r="J251" s="240">
        <v>1</v>
      </c>
      <c r="K251" s="211">
        <v>1</v>
      </c>
      <c r="L251" s="211">
        <v>1</v>
      </c>
      <c r="M251" s="211">
        <v>1</v>
      </c>
      <c r="N251" s="211">
        <v>1</v>
      </c>
      <c r="O251" s="211">
        <v>1</v>
      </c>
      <c r="P251" s="211">
        <v>1</v>
      </c>
      <c r="Q251" s="211"/>
      <c r="R251" s="211">
        <v>1</v>
      </c>
      <c r="S251" s="211">
        <v>1</v>
      </c>
      <c r="T251" s="211">
        <v>1</v>
      </c>
      <c r="U251" s="240">
        <v>1</v>
      </c>
      <c r="V251" s="211">
        <v>1</v>
      </c>
      <c r="W251" s="211">
        <v>1</v>
      </c>
      <c r="X251" s="211"/>
      <c r="Y251" s="211">
        <v>1</v>
      </c>
      <c r="Z251" s="211">
        <v>1</v>
      </c>
      <c r="AA251" s="211">
        <v>1</v>
      </c>
      <c r="AB251" s="211"/>
      <c r="AC251" s="211">
        <v>1</v>
      </c>
      <c r="AD251" s="211">
        <v>1</v>
      </c>
      <c r="AE251" s="211">
        <v>1</v>
      </c>
      <c r="AF251" s="240">
        <v>1</v>
      </c>
      <c r="AG251" s="240">
        <v>1</v>
      </c>
      <c r="AH251" s="211">
        <v>1</v>
      </c>
      <c r="AI251" s="211">
        <v>1</v>
      </c>
      <c r="AJ251" s="211">
        <v>1</v>
      </c>
      <c r="AK251" s="211">
        <v>1</v>
      </c>
      <c r="AL251" s="211">
        <v>1</v>
      </c>
      <c r="AM251" s="211"/>
      <c r="AN251" s="211"/>
      <c r="AO251" s="211">
        <v>1</v>
      </c>
      <c r="AP251" s="211">
        <v>1</v>
      </c>
      <c r="AQ251" s="240">
        <v>1</v>
      </c>
      <c r="AR251" s="240"/>
      <c r="AS251" s="240"/>
      <c r="AT251" s="211"/>
      <c r="AU251" s="211"/>
      <c r="AV251" s="242"/>
      <c r="AW251" s="240"/>
      <c r="AX251" s="240">
        <v>1</v>
      </c>
      <c r="AY251" s="240">
        <v>1</v>
      </c>
      <c r="AZ251" s="203">
        <v>1</v>
      </c>
      <c r="BA251" s="203">
        <v>1</v>
      </c>
      <c r="BB251" s="203"/>
      <c r="BC251" s="203"/>
    </row>
    <row r="252" spans="1:55" ht="21" hidden="1" customHeight="1">
      <c r="A252" s="212"/>
      <c r="B252" s="237">
        <v>46054</v>
      </c>
      <c r="C252" s="211" t="s">
        <v>386</v>
      </c>
      <c r="D252" s="238" t="s">
        <v>753</v>
      </c>
      <c r="E252" s="211" t="s">
        <v>415</v>
      </c>
      <c r="F252" s="211"/>
      <c r="G252" s="211">
        <v>1</v>
      </c>
      <c r="H252" s="211">
        <v>1</v>
      </c>
      <c r="I252" s="211">
        <v>1</v>
      </c>
      <c r="J252" s="240">
        <v>1</v>
      </c>
      <c r="K252" s="211">
        <v>1</v>
      </c>
      <c r="L252" s="211">
        <v>1</v>
      </c>
      <c r="M252" s="211">
        <v>1</v>
      </c>
      <c r="N252" s="211">
        <v>1</v>
      </c>
      <c r="O252" s="211">
        <v>1</v>
      </c>
      <c r="P252" s="211">
        <v>1</v>
      </c>
      <c r="Q252" s="211"/>
      <c r="R252" s="211"/>
      <c r="S252" s="211"/>
      <c r="T252" s="211"/>
      <c r="U252" s="240">
        <v>1</v>
      </c>
      <c r="V252" s="211">
        <v>1</v>
      </c>
      <c r="W252" s="211">
        <v>1</v>
      </c>
      <c r="X252" s="211"/>
      <c r="Y252" s="211">
        <v>1</v>
      </c>
      <c r="Z252" s="211">
        <v>1</v>
      </c>
      <c r="AA252" s="211">
        <v>1</v>
      </c>
      <c r="AB252" s="211"/>
      <c r="AC252" s="211">
        <v>1</v>
      </c>
      <c r="AD252" s="211">
        <v>1</v>
      </c>
      <c r="AE252" s="211">
        <v>1</v>
      </c>
      <c r="AF252" s="240">
        <v>1</v>
      </c>
      <c r="AG252" s="211">
        <v>1</v>
      </c>
      <c r="AH252" s="211">
        <v>1</v>
      </c>
      <c r="AI252" s="211">
        <v>1</v>
      </c>
      <c r="AJ252" s="211">
        <v>1</v>
      </c>
      <c r="AK252" s="211">
        <v>1</v>
      </c>
      <c r="AL252" s="211">
        <v>1</v>
      </c>
      <c r="AM252" s="211"/>
      <c r="AN252" s="211"/>
      <c r="AO252" s="211">
        <v>1</v>
      </c>
      <c r="AP252" s="211">
        <v>1</v>
      </c>
      <c r="AQ252" s="240">
        <v>1</v>
      </c>
      <c r="AR252" s="240"/>
      <c r="AS252" s="240"/>
      <c r="AT252" s="211"/>
      <c r="AU252" s="211"/>
      <c r="AV252" s="242"/>
      <c r="AW252" s="240"/>
      <c r="AX252" s="240">
        <v>1</v>
      </c>
      <c r="AY252" s="240">
        <v>1</v>
      </c>
      <c r="AZ252" s="203">
        <v>1</v>
      </c>
      <c r="BA252" s="203">
        <v>1</v>
      </c>
      <c r="BB252" s="203">
        <v>1</v>
      </c>
      <c r="BC252" s="203">
        <v>1</v>
      </c>
    </row>
    <row r="253" spans="1:55" ht="21" hidden="1" customHeight="1">
      <c r="A253" s="212"/>
      <c r="B253" s="237">
        <v>46054</v>
      </c>
      <c r="C253" s="211" t="s">
        <v>386</v>
      </c>
      <c r="D253" s="238" t="s">
        <v>754</v>
      </c>
      <c r="E253" s="211" t="s">
        <v>545</v>
      </c>
      <c r="F253" s="211"/>
      <c r="G253" s="211">
        <v>1</v>
      </c>
      <c r="H253" s="211">
        <v>1</v>
      </c>
      <c r="I253" s="211">
        <v>1</v>
      </c>
      <c r="J253" s="240">
        <v>1</v>
      </c>
      <c r="K253" s="211">
        <v>1</v>
      </c>
      <c r="L253" s="211">
        <v>1</v>
      </c>
      <c r="M253" s="211">
        <v>1</v>
      </c>
      <c r="N253" s="211">
        <v>1</v>
      </c>
      <c r="O253" s="211">
        <v>1</v>
      </c>
      <c r="P253" s="211">
        <v>1</v>
      </c>
      <c r="Q253" s="211"/>
      <c r="R253" s="211"/>
      <c r="S253" s="211"/>
      <c r="T253" s="211"/>
      <c r="U253" s="240">
        <v>1</v>
      </c>
      <c r="V253" s="211">
        <v>1</v>
      </c>
      <c r="W253" s="211">
        <v>1</v>
      </c>
      <c r="X253" s="211">
        <v>1</v>
      </c>
      <c r="Y253" s="211">
        <v>1</v>
      </c>
      <c r="Z253" s="211">
        <v>1</v>
      </c>
      <c r="AA253" s="211">
        <v>1</v>
      </c>
      <c r="AB253" s="211"/>
      <c r="AC253" s="211">
        <v>1</v>
      </c>
      <c r="AD253" s="211">
        <v>1</v>
      </c>
      <c r="AE253" s="211">
        <v>1</v>
      </c>
      <c r="AF253" s="240">
        <v>1</v>
      </c>
      <c r="AG253" s="211">
        <v>1</v>
      </c>
      <c r="AH253" s="211">
        <v>1</v>
      </c>
      <c r="AI253" s="211">
        <v>1</v>
      </c>
      <c r="AJ253" s="211">
        <v>1</v>
      </c>
      <c r="AK253" s="211">
        <v>1</v>
      </c>
      <c r="AL253" s="211">
        <v>1</v>
      </c>
      <c r="AM253" s="211"/>
      <c r="AN253" s="211"/>
      <c r="AO253" s="211">
        <v>1</v>
      </c>
      <c r="AP253" s="211">
        <v>1</v>
      </c>
      <c r="AQ253" s="240">
        <v>1</v>
      </c>
      <c r="AR253" s="240">
        <v>1</v>
      </c>
      <c r="AS253" s="240"/>
      <c r="AT253" s="211"/>
      <c r="AU253" s="211"/>
      <c r="AV253" s="240">
        <v>1</v>
      </c>
      <c r="AW253" s="240">
        <v>1</v>
      </c>
      <c r="AX253" s="240">
        <v>1</v>
      </c>
      <c r="AY253" s="240">
        <v>1</v>
      </c>
      <c r="AZ253" s="203">
        <v>1</v>
      </c>
      <c r="BA253" s="203">
        <v>1</v>
      </c>
      <c r="BB253" s="203"/>
      <c r="BC253" s="203"/>
    </row>
    <row r="254" spans="1:55" ht="21" hidden="1" customHeight="1">
      <c r="A254" s="212"/>
      <c r="B254" s="237">
        <v>46054</v>
      </c>
      <c r="C254" s="211" t="s">
        <v>386</v>
      </c>
      <c r="D254" s="238" t="s">
        <v>755</v>
      </c>
      <c r="E254" s="211" t="s">
        <v>545</v>
      </c>
      <c r="F254" s="211"/>
      <c r="G254" s="211">
        <v>1</v>
      </c>
      <c r="H254" s="211">
        <v>1</v>
      </c>
      <c r="I254" s="211">
        <v>1</v>
      </c>
      <c r="J254" s="240">
        <v>1</v>
      </c>
      <c r="K254" s="211">
        <v>1</v>
      </c>
      <c r="L254" s="211">
        <v>1</v>
      </c>
      <c r="M254" s="211"/>
      <c r="N254" s="211">
        <v>1</v>
      </c>
      <c r="O254" s="211">
        <v>1</v>
      </c>
      <c r="P254" s="211">
        <v>1</v>
      </c>
      <c r="Q254" s="211"/>
      <c r="R254" s="211"/>
      <c r="S254" s="211"/>
      <c r="T254" s="211"/>
      <c r="U254" s="240">
        <v>1</v>
      </c>
      <c r="V254" s="211">
        <v>1</v>
      </c>
      <c r="W254" s="211">
        <v>1</v>
      </c>
      <c r="X254" s="211"/>
      <c r="Y254" s="211">
        <v>1</v>
      </c>
      <c r="Z254" s="211">
        <v>1</v>
      </c>
      <c r="AA254" s="211">
        <v>1</v>
      </c>
      <c r="AB254" s="211"/>
      <c r="AC254" s="211">
        <v>1</v>
      </c>
      <c r="AD254" s="211">
        <v>1</v>
      </c>
      <c r="AE254" s="211">
        <v>1</v>
      </c>
      <c r="AF254" s="240">
        <v>1</v>
      </c>
      <c r="AG254" s="240">
        <v>1</v>
      </c>
      <c r="AH254" s="211">
        <v>1</v>
      </c>
      <c r="AI254" s="211"/>
      <c r="AJ254" s="211">
        <v>1</v>
      </c>
      <c r="AK254" s="211">
        <v>1</v>
      </c>
      <c r="AL254" s="211">
        <v>1</v>
      </c>
      <c r="AM254" s="211"/>
      <c r="AN254" s="211"/>
      <c r="AO254" s="211"/>
      <c r="AP254" s="211"/>
      <c r="AQ254" s="240"/>
      <c r="AR254" s="240"/>
      <c r="AS254" s="240"/>
      <c r="AT254" s="211"/>
      <c r="AU254" s="211"/>
      <c r="AV254" s="240">
        <v>1</v>
      </c>
      <c r="AW254" s="240">
        <v>1</v>
      </c>
      <c r="AX254" s="240">
        <v>1</v>
      </c>
      <c r="AY254" s="240">
        <v>1</v>
      </c>
      <c r="AZ254" s="203">
        <v>1</v>
      </c>
      <c r="BA254" s="203">
        <v>1</v>
      </c>
      <c r="BB254" s="203"/>
      <c r="BC254" s="203"/>
    </row>
    <row r="255" spans="1:55" ht="21" hidden="1" customHeight="1">
      <c r="A255" s="212"/>
      <c r="B255" s="237">
        <v>46054</v>
      </c>
      <c r="C255" s="211" t="s">
        <v>386</v>
      </c>
      <c r="D255" s="238" t="s">
        <v>756</v>
      </c>
      <c r="E255" s="211" t="s">
        <v>415</v>
      </c>
      <c r="F255" s="211"/>
      <c r="G255" s="211">
        <v>1</v>
      </c>
      <c r="H255" s="211"/>
      <c r="I255" s="211"/>
      <c r="J255" s="240">
        <v>1</v>
      </c>
      <c r="K255" s="211">
        <v>1</v>
      </c>
      <c r="L255" s="211">
        <v>1</v>
      </c>
      <c r="M255" s="211">
        <v>1</v>
      </c>
      <c r="N255" s="211">
        <v>1</v>
      </c>
      <c r="O255" s="211">
        <v>1</v>
      </c>
      <c r="P255" s="211">
        <v>1</v>
      </c>
      <c r="Q255" s="211"/>
      <c r="R255" s="211"/>
      <c r="S255" s="211"/>
      <c r="T255" s="211"/>
      <c r="U255" s="240">
        <v>1</v>
      </c>
      <c r="V255" s="211">
        <v>1</v>
      </c>
      <c r="W255" s="211">
        <v>1</v>
      </c>
      <c r="X255" s="211"/>
      <c r="Y255" s="211">
        <v>1</v>
      </c>
      <c r="Z255" s="211">
        <v>1</v>
      </c>
      <c r="AA255" s="211">
        <v>1</v>
      </c>
      <c r="AB255" s="211"/>
      <c r="AC255" s="211">
        <v>1</v>
      </c>
      <c r="AD255" s="211">
        <v>1</v>
      </c>
      <c r="AE255" s="211">
        <v>1</v>
      </c>
      <c r="AF255" s="240">
        <v>1</v>
      </c>
      <c r="AG255" s="211">
        <v>1</v>
      </c>
      <c r="AH255" s="211">
        <v>1</v>
      </c>
      <c r="AI255" s="211"/>
      <c r="AJ255" s="211">
        <v>1</v>
      </c>
      <c r="AK255" s="211">
        <v>1</v>
      </c>
      <c r="AL255" s="211">
        <v>1</v>
      </c>
      <c r="AM255" s="211"/>
      <c r="AN255" s="211"/>
      <c r="AO255" s="211"/>
      <c r="AP255" s="211"/>
      <c r="AQ255" s="240"/>
      <c r="AR255" s="240"/>
      <c r="AS255" s="240"/>
      <c r="AT255" s="211"/>
      <c r="AU255" s="211"/>
      <c r="AV255" s="240">
        <v>1</v>
      </c>
      <c r="AW255" s="240">
        <v>1</v>
      </c>
      <c r="AX255" s="240">
        <v>1</v>
      </c>
      <c r="AY255" s="240">
        <v>1</v>
      </c>
      <c r="AZ255" s="203">
        <v>1</v>
      </c>
      <c r="BA255" s="203">
        <v>1</v>
      </c>
      <c r="BB255" s="203"/>
      <c r="BC255" s="203"/>
    </row>
    <row r="256" spans="1:55" ht="21" hidden="1" customHeight="1">
      <c r="A256" s="212"/>
      <c r="B256" s="237">
        <v>46054</v>
      </c>
      <c r="C256" s="211" t="s">
        <v>386</v>
      </c>
      <c r="D256" s="238" t="s">
        <v>757</v>
      </c>
      <c r="E256" s="211" t="s">
        <v>758</v>
      </c>
      <c r="F256" s="211"/>
      <c r="G256" s="211">
        <v>1</v>
      </c>
      <c r="H256" s="211">
        <v>1</v>
      </c>
      <c r="I256" s="211">
        <v>1</v>
      </c>
      <c r="J256" s="240">
        <v>1</v>
      </c>
      <c r="K256" s="211">
        <v>1</v>
      </c>
      <c r="L256" s="211">
        <v>1</v>
      </c>
      <c r="M256" s="211">
        <v>1</v>
      </c>
      <c r="N256" s="211">
        <v>1</v>
      </c>
      <c r="O256" s="211">
        <v>1</v>
      </c>
      <c r="P256" s="211">
        <v>1</v>
      </c>
      <c r="Q256" s="211"/>
      <c r="R256" s="211"/>
      <c r="S256" s="211"/>
      <c r="T256" s="211"/>
      <c r="U256" s="240"/>
      <c r="V256" s="211"/>
      <c r="W256" s="211"/>
      <c r="X256" s="211">
        <v>1</v>
      </c>
      <c r="Y256" s="211">
        <v>1</v>
      </c>
      <c r="Z256" s="211">
        <v>1</v>
      </c>
      <c r="AA256" s="211">
        <v>1</v>
      </c>
      <c r="AB256" s="211"/>
      <c r="AC256" s="211">
        <v>1</v>
      </c>
      <c r="AD256" s="211">
        <v>1</v>
      </c>
      <c r="AE256" s="211">
        <v>1</v>
      </c>
      <c r="AF256" s="240">
        <v>1</v>
      </c>
      <c r="AG256" s="211">
        <v>1</v>
      </c>
      <c r="AH256" s="211">
        <v>1</v>
      </c>
      <c r="AI256" s="211">
        <v>1</v>
      </c>
      <c r="AJ256" s="211">
        <v>1</v>
      </c>
      <c r="AK256" s="211">
        <v>1</v>
      </c>
      <c r="AL256" s="211">
        <v>1</v>
      </c>
      <c r="AM256" s="211"/>
      <c r="AN256" s="211"/>
      <c r="AO256" s="211"/>
      <c r="AP256" s="211"/>
      <c r="AQ256" s="240"/>
      <c r="AR256" s="240"/>
      <c r="AS256" s="240"/>
      <c r="AT256" s="211">
        <v>1</v>
      </c>
      <c r="AU256" s="211">
        <v>1</v>
      </c>
      <c r="AV256" s="242"/>
      <c r="AW256" s="240"/>
      <c r="AX256" s="240"/>
      <c r="AY256" s="240"/>
      <c r="AZ256" s="203">
        <v>1</v>
      </c>
      <c r="BA256" s="203">
        <v>1</v>
      </c>
      <c r="BB256" s="203">
        <v>1</v>
      </c>
      <c r="BC256" s="203">
        <v>1</v>
      </c>
    </row>
    <row r="257" spans="1:55" ht="21" hidden="1" customHeight="1">
      <c r="A257" s="212"/>
      <c r="B257" s="237">
        <v>46054</v>
      </c>
      <c r="C257" s="211" t="s">
        <v>386</v>
      </c>
      <c r="D257" s="238" t="s">
        <v>759</v>
      </c>
      <c r="E257" s="211" t="s">
        <v>760</v>
      </c>
      <c r="F257" s="211"/>
      <c r="G257" s="211"/>
      <c r="H257" s="211">
        <v>1</v>
      </c>
      <c r="I257" s="211">
        <v>1</v>
      </c>
      <c r="J257" s="240">
        <v>1</v>
      </c>
      <c r="K257" s="211">
        <v>1</v>
      </c>
      <c r="L257" s="211">
        <v>1</v>
      </c>
      <c r="M257" s="211"/>
      <c r="N257" s="211">
        <v>1</v>
      </c>
      <c r="O257" s="211">
        <v>1</v>
      </c>
      <c r="P257" s="211">
        <v>1</v>
      </c>
      <c r="Q257" s="211"/>
      <c r="R257" s="211"/>
      <c r="S257" s="211"/>
      <c r="T257" s="211"/>
      <c r="U257" s="240">
        <v>1</v>
      </c>
      <c r="V257" s="211">
        <v>1</v>
      </c>
      <c r="W257" s="211">
        <v>1</v>
      </c>
      <c r="X257" s="211">
        <v>1</v>
      </c>
      <c r="Y257" s="211">
        <v>1</v>
      </c>
      <c r="Z257" s="211">
        <v>1</v>
      </c>
      <c r="AA257" s="211">
        <v>1</v>
      </c>
      <c r="AB257" s="211"/>
      <c r="AC257" s="211">
        <v>1</v>
      </c>
      <c r="AD257" s="211">
        <v>1</v>
      </c>
      <c r="AE257" s="211">
        <v>1</v>
      </c>
      <c r="AF257" s="240">
        <v>1</v>
      </c>
      <c r="AG257" s="211">
        <v>1</v>
      </c>
      <c r="AH257" s="211">
        <v>1</v>
      </c>
      <c r="AI257" s="211"/>
      <c r="AJ257" s="211">
        <v>1</v>
      </c>
      <c r="AK257" s="211">
        <v>1</v>
      </c>
      <c r="AL257" s="211">
        <v>1</v>
      </c>
      <c r="AM257" s="211"/>
      <c r="AN257" s="211">
        <v>1</v>
      </c>
      <c r="AO257" s="211">
        <v>1</v>
      </c>
      <c r="AP257" s="211">
        <v>1</v>
      </c>
      <c r="AQ257" s="240"/>
      <c r="AR257" s="240"/>
      <c r="AS257" s="240"/>
      <c r="AT257" s="211"/>
      <c r="AU257" s="211"/>
      <c r="AV257" s="242"/>
      <c r="AW257" s="240"/>
      <c r="AX257" s="240">
        <v>1</v>
      </c>
      <c r="AY257" s="240">
        <v>1</v>
      </c>
      <c r="AZ257" s="203">
        <v>1</v>
      </c>
      <c r="BA257" s="203">
        <v>1</v>
      </c>
      <c r="BB257" s="203">
        <v>1</v>
      </c>
      <c r="BC257" s="203">
        <v>1</v>
      </c>
    </row>
    <row r="258" spans="1:55" ht="21" hidden="1" customHeight="1">
      <c r="A258" s="212"/>
      <c r="B258" s="237">
        <v>46054</v>
      </c>
      <c r="C258" s="211" t="s">
        <v>386</v>
      </c>
      <c r="D258" s="238" t="s">
        <v>761</v>
      </c>
      <c r="E258" s="211" t="s">
        <v>758</v>
      </c>
      <c r="F258" s="211"/>
      <c r="G258" s="211">
        <v>1</v>
      </c>
      <c r="H258" s="211">
        <v>1</v>
      </c>
      <c r="I258" s="211">
        <v>1</v>
      </c>
      <c r="J258" s="240">
        <v>1</v>
      </c>
      <c r="K258" s="211">
        <v>1</v>
      </c>
      <c r="L258" s="211">
        <v>1</v>
      </c>
      <c r="M258" s="211">
        <v>1</v>
      </c>
      <c r="N258" s="211">
        <v>1</v>
      </c>
      <c r="O258" s="211">
        <v>1</v>
      </c>
      <c r="P258" s="211">
        <v>1</v>
      </c>
      <c r="Q258" s="211"/>
      <c r="R258" s="211"/>
      <c r="S258" s="211"/>
      <c r="T258" s="211"/>
      <c r="U258" s="240">
        <v>1</v>
      </c>
      <c r="V258" s="211">
        <v>1</v>
      </c>
      <c r="W258" s="211">
        <v>1</v>
      </c>
      <c r="X258" s="211"/>
      <c r="Y258" s="211">
        <v>1</v>
      </c>
      <c r="Z258" s="211">
        <v>1</v>
      </c>
      <c r="AA258" s="211">
        <v>1</v>
      </c>
      <c r="AB258" s="211"/>
      <c r="AC258" s="211">
        <v>1</v>
      </c>
      <c r="AD258" s="211">
        <v>1</v>
      </c>
      <c r="AE258" s="211">
        <v>1</v>
      </c>
      <c r="AF258" s="240">
        <v>1</v>
      </c>
      <c r="AG258" s="240">
        <v>1</v>
      </c>
      <c r="AH258" s="211">
        <v>1</v>
      </c>
      <c r="AI258" s="211">
        <v>1</v>
      </c>
      <c r="AJ258" s="211">
        <v>1</v>
      </c>
      <c r="AK258" s="211">
        <v>1</v>
      </c>
      <c r="AL258" s="211">
        <v>1</v>
      </c>
      <c r="AM258" s="211"/>
      <c r="AN258" s="211"/>
      <c r="AO258" s="211">
        <v>1</v>
      </c>
      <c r="AP258" s="211">
        <v>1</v>
      </c>
      <c r="AQ258" s="240">
        <v>1</v>
      </c>
      <c r="AR258" s="240"/>
      <c r="AS258" s="240">
        <v>1</v>
      </c>
      <c r="AT258" s="211"/>
      <c r="AU258" s="211"/>
      <c r="AV258" s="242"/>
      <c r="AW258" s="240"/>
      <c r="AX258" s="240">
        <v>1</v>
      </c>
      <c r="AY258" s="240">
        <v>1</v>
      </c>
      <c r="AZ258" s="203">
        <v>1</v>
      </c>
      <c r="BA258" s="203">
        <v>1</v>
      </c>
      <c r="BB258" s="203">
        <v>1</v>
      </c>
      <c r="BC258" s="203">
        <v>1</v>
      </c>
    </row>
    <row r="259" spans="1:55" ht="21" hidden="1" customHeight="1">
      <c r="A259" s="212"/>
      <c r="B259" s="237">
        <v>46054</v>
      </c>
      <c r="C259" s="211" t="s">
        <v>386</v>
      </c>
      <c r="D259" s="238" t="s">
        <v>762</v>
      </c>
      <c r="E259" s="211" t="s">
        <v>587</v>
      </c>
      <c r="F259" s="211"/>
      <c r="G259" s="211">
        <v>1</v>
      </c>
      <c r="H259" s="211">
        <v>1</v>
      </c>
      <c r="I259" s="211">
        <v>1</v>
      </c>
      <c r="J259" s="240">
        <v>1</v>
      </c>
      <c r="K259" s="211">
        <v>1</v>
      </c>
      <c r="L259" s="211">
        <v>1</v>
      </c>
      <c r="M259" s="211">
        <v>1</v>
      </c>
      <c r="N259" s="211">
        <v>1</v>
      </c>
      <c r="O259" s="211">
        <v>1</v>
      </c>
      <c r="P259" s="211">
        <v>1</v>
      </c>
      <c r="Q259" s="211"/>
      <c r="R259" s="211"/>
      <c r="S259" s="211"/>
      <c r="T259" s="211"/>
      <c r="U259" s="240">
        <v>1</v>
      </c>
      <c r="V259" s="211">
        <v>1</v>
      </c>
      <c r="W259" s="211">
        <v>1</v>
      </c>
      <c r="X259" s="211"/>
      <c r="Y259" s="211">
        <v>1</v>
      </c>
      <c r="Z259" s="211"/>
      <c r="AA259" s="211">
        <v>1</v>
      </c>
      <c r="AB259" s="211"/>
      <c r="AC259" s="211">
        <v>1</v>
      </c>
      <c r="AD259" s="211">
        <v>1</v>
      </c>
      <c r="AE259" s="211">
        <v>1</v>
      </c>
      <c r="AF259" s="240">
        <v>1</v>
      </c>
      <c r="AG259" s="211">
        <v>1</v>
      </c>
      <c r="AH259" s="211">
        <v>1</v>
      </c>
      <c r="AI259" s="211">
        <v>1</v>
      </c>
      <c r="AJ259" s="211">
        <v>1</v>
      </c>
      <c r="AK259" s="211">
        <v>1</v>
      </c>
      <c r="AL259" s="211">
        <v>1</v>
      </c>
      <c r="AM259" s="211"/>
      <c r="AN259" s="211"/>
      <c r="AO259" s="211">
        <v>1</v>
      </c>
      <c r="AP259" s="211">
        <v>1</v>
      </c>
      <c r="AQ259" s="211">
        <v>1</v>
      </c>
      <c r="AR259" s="240"/>
      <c r="AS259" s="211">
        <v>1</v>
      </c>
      <c r="AT259" s="211">
        <v>1</v>
      </c>
      <c r="AU259" s="211">
        <v>1</v>
      </c>
      <c r="AV259" s="242"/>
      <c r="AW259" s="240"/>
      <c r="AX259" s="240">
        <v>1</v>
      </c>
      <c r="AY259" s="240">
        <v>1</v>
      </c>
      <c r="AZ259" s="242"/>
      <c r="BA259" s="203">
        <v>1</v>
      </c>
      <c r="BB259" s="203">
        <v>1</v>
      </c>
      <c r="BC259" s="203">
        <v>1</v>
      </c>
    </row>
    <row r="260" spans="1:55" ht="21" hidden="1" customHeight="1">
      <c r="A260" s="212"/>
      <c r="B260" s="237">
        <v>46054</v>
      </c>
      <c r="C260" s="211" t="s">
        <v>386</v>
      </c>
      <c r="D260" s="238" t="s">
        <v>763</v>
      </c>
      <c r="E260" s="211" t="s">
        <v>587</v>
      </c>
      <c r="F260" s="211"/>
      <c r="G260" s="211">
        <v>1</v>
      </c>
      <c r="H260" s="211"/>
      <c r="I260" s="211"/>
      <c r="J260" s="240">
        <v>1</v>
      </c>
      <c r="K260" s="211"/>
      <c r="L260" s="211">
        <v>1</v>
      </c>
      <c r="M260" s="211">
        <v>1</v>
      </c>
      <c r="N260" s="211">
        <v>1</v>
      </c>
      <c r="O260" s="211">
        <v>1</v>
      </c>
      <c r="P260" s="211">
        <v>1</v>
      </c>
      <c r="Q260" s="211"/>
      <c r="R260" s="211">
        <v>1</v>
      </c>
      <c r="S260" s="211"/>
      <c r="T260" s="211">
        <v>1</v>
      </c>
      <c r="U260" s="240"/>
      <c r="V260" s="211"/>
      <c r="W260" s="211"/>
      <c r="X260" s="211"/>
      <c r="Y260" s="211"/>
      <c r="Z260" s="211">
        <v>1</v>
      </c>
      <c r="AA260" s="211">
        <v>1</v>
      </c>
      <c r="AB260" s="211"/>
      <c r="AC260" s="211"/>
      <c r="AD260" s="211"/>
      <c r="AE260" s="211"/>
      <c r="AF260" s="240">
        <v>1</v>
      </c>
      <c r="AG260" s="240">
        <v>1</v>
      </c>
      <c r="AH260" s="211">
        <v>1</v>
      </c>
      <c r="AI260" s="211">
        <v>1</v>
      </c>
      <c r="AJ260" s="211"/>
      <c r="AK260" s="211">
        <v>1</v>
      </c>
      <c r="AL260" s="211">
        <v>1</v>
      </c>
      <c r="AM260" s="211"/>
      <c r="AN260" s="211"/>
      <c r="AO260" s="211"/>
      <c r="AP260" s="211"/>
      <c r="AQ260" s="211"/>
      <c r="AR260" s="240"/>
      <c r="AS260" s="211"/>
      <c r="AT260" s="211"/>
      <c r="AU260" s="211"/>
      <c r="AV260" s="242"/>
      <c r="AW260" s="240"/>
      <c r="AX260" s="240"/>
      <c r="AY260" s="240"/>
      <c r="AZ260" s="203">
        <v>1</v>
      </c>
      <c r="BA260" s="203">
        <v>1</v>
      </c>
      <c r="BB260" s="203"/>
      <c r="BC260" s="203"/>
    </row>
    <row r="261" spans="1:55" ht="21" hidden="1" customHeight="1">
      <c r="A261" s="212"/>
      <c r="B261" s="237">
        <v>46054</v>
      </c>
      <c r="C261" s="211" t="s">
        <v>386</v>
      </c>
      <c r="D261" s="238" t="s">
        <v>764</v>
      </c>
      <c r="E261" s="211" t="s">
        <v>415</v>
      </c>
      <c r="F261" s="211"/>
      <c r="G261" s="211">
        <v>1</v>
      </c>
      <c r="H261" s="211">
        <v>1</v>
      </c>
      <c r="I261" s="211">
        <v>1</v>
      </c>
      <c r="J261" s="240">
        <v>1</v>
      </c>
      <c r="K261" s="211">
        <v>1</v>
      </c>
      <c r="L261" s="211">
        <v>1</v>
      </c>
      <c r="M261" s="211"/>
      <c r="N261" s="211">
        <v>1</v>
      </c>
      <c r="O261" s="211">
        <v>1</v>
      </c>
      <c r="P261" s="211">
        <v>1</v>
      </c>
      <c r="Q261" s="211"/>
      <c r="R261" s="211"/>
      <c r="S261" s="211">
        <v>1</v>
      </c>
      <c r="T261" s="211">
        <v>1</v>
      </c>
      <c r="U261" s="240">
        <v>1</v>
      </c>
      <c r="V261" s="211">
        <v>1</v>
      </c>
      <c r="W261" s="211">
        <v>1</v>
      </c>
      <c r="X261" s="211"/>
      <c r="Y261" s="211">
        <v>1</v>
      </c>
      <c r="Z261" s="211">
        <v>1</v>
      </c>
      <c r="AA261" s="211">
        <v>1</v>
      </c>
      <c r="AB261" s="211"/>
      <c r="AC261" s="211"/>
      <c r="AD261" s="211">
        <v>1</v>
      </c>
      <c r="AE261" s="211">
        <v>1</v>
      </c>
      <c r="AF261" s="240">
        <v>1</v>
      </c>
      <c r="AG261" s="211">
        <v>1</v>
      </c>
      <c r="AH261" s="211">
        <v>1</v>
      </c>
      <c r="AI261" s="211"/>
      <c r="AJ261" s="211">
        <v>1</v>
      </c>
      <c r="AK261" s="211">
        <v>1</v>
      </c>
      <c r="AL261" s="211">
        <v>1</v>
      </c>
      <c r="AM261" s="211"/>
      <c r="AN261" s="211">
        <v>1</v>
      </c>
      <c r="AO261" s="211"/>
      <c r="AP261" s="211"/>
      <c r="AQ261" s="211"/>
      <c r="AR261" s="240"/>
      <c r="AS261" s="211"/>
      <c r="AT261" s="211"/>
      <c r="AU261" s="211"/>
      <c r="AV261" s="242"/>
      <c r="AW261" s="240"/>
      <c r="AX261" s="240">
        <v>1</v>
      </c>
      <c r="AY261" s="240">
        <v>1</v>
      </c>
      <c r="AZ261" s="203">
        <v>1</v>
      </c>
      <c r="BA261" s="203">
        <v>1</v>
      </c>
      <c r="BB261" s="203">
        <v>1</v>
      </c>
      <c r="BC261" s="203">
        <v>1</v>
      </c>
    </row>
    <row r="262" spans="1:55" ht="21" hidden="1" customHeight="1">
      <c r="A262" s="212"/>
      <c r="B262" s="237">
        <v>46054</v>
      </c>
      <c r="C262" s="211" t="s">
        <v>384</v>
      </c>
      <c r="D262" s="238" t="s">
        <v>765</v>
      </c>
      <c r="E262" s="211" t="s">
        <v>565</v>
      </c>
      <c r="F262" s="211"/>
      <c r="G262" s="211">
        <v>1</v>
      </c>
      <c r="H262" s="211"/>
      <c r="I262" s="211"/>
      <c r="J262" s="240"/>
      <c r="K262" s="211"/>
      <c r="L262" s="211">
        <v>1</v>
      </c>
      <c r="M262" s="211"/>
      <c r="N262" s="211"/>
      <c r="O262" s="211">
        <v>1</v>
      </c>
      <c r="P262" s="211">
        <v>1</v>
      </c>
      <c r="Q262" s="211"/>
      <c r="R262" s="211">
        <v>1</v>
      </c>
      <c r="S262" s="211">
        <v>1</v>
      </c>
      <c r="T262" s="211">
        <v>1</v>
      </c>
      <c r="U262" s="240"/>
      <c r="V262" s="211">
        <v>1</v>
      </c>
      <c r="W262" s="211">
        <v>1</v>
      </c>
      <c r="X262" s="211">
        <v>1</v>
      </c>
      <c r="Y262" s="211"/>
      <c r="Z262" s="211">
        <v>1</v>
      </c>
      <c r="AA262" s="211"/>
      <c r="AB262" s="211"/>
      <c r="AC262" s="211"/>
      <c r="AD262" s="211"/>
      <c r="AE262" s="211"/>
      <c r="AF262" s="240">
        <v>1</v>
      </c>
      <c r="AG262" s="240">
        <v>1</v>
      </c>
      <c r="AH262" s="211">
        <v>1</v>
      </c>
      <c r="AI262" s="211"/>
      <c r="AJ262" s="211">
        <v>1</v>
      </c>
      <c r="AK262" s="211">
        <v>1</v>
      </c>
      <c r="AL262" s="211">
        <v>1</v>
      </c>
      <c r="AM262" s="211"/>
      <c r="AN262" s="211"/>
      <c r="AO262" s="211"/>
      <c r="AP262" s="211"/>
      <c r="AQ262" s="240"/>
      <c r="AR262" s="240">
        <v>1</v>
      </c>
      <c r="AS262" s="240">
        <v>1</v>
      </c>
      <c r="AT262" s="211"/>
      <c r="AU262" s="211"/>
      <c r="AV262" s="242"/>
      <c r="AW262" s="240"/>
      <c r="AX262" s="240"/>
      <c r="AY262" s="240"/>
      <c r="AZ262" s="203">
        <v>1</v>
      </c>
      <c r="BA262" s="203"/>
      <c r="BB262" s="203">
        <v>1</v>
      </c>
      <c r="BC262" s="203">
        <v>1</v>
      </c>
    </row>
    <row r="263" spans="1:55" ht="21" hidden="1" customHeight="1">
      <c r="A263" s="212"/>
      <c r="B263" s="237">
        <v>46054</v>
      </c>
      <c r="C263" s="211" t="s">
        <v>386</v>
      </c>
      <c r="D263" s="238" t="s">
        <v>766</v>
      </c>
      <c r="E263" s="211" t="s">
        <v>415</v>
      </c>
      <c r="F263" s="211"/>
      <c r="G263" s="211"/>
      <c r="H263" s="211">
        <v>1</v>
      </c>
      <c r="I263" s="211">
        <v>1</v>
      </c>
      <c r="J263" s="240">
        <v>1</v>
      </c>
      <c r="K263" s="211">
        <v>1</v>
      </c>
      <c r="L263" s="211">
        <v>1</v>
      </c>
      <c r="M263" s="211"/>
      <c r="N263" s="211">
        <v>1</v>
      </c>
      <c r="O263" s="211"/>
      <c r="P263" s="211">
        <v>1</v>
      </c>
      <c r="Q263" s="211"/>
      <c r="R263" s="211">
        <v>1</v>
      </c>
      <c r="S263" s="211">
        <v>1</v>
      </c>
      <c r="T263" s="211">
        <v>1</v>
      </c>
      <c r="U263" s="240">
        <v>1</v>
      </c>
      <c r="V263" s="211">
        <v>1</v>
      </c>
      <c r="W263" s="211">
        <v>1</v>
      </c>
      <c r="X263" s="211">
        <v>1</v>
      </c>
      <c r="Y263" s="211">
        <v>1</v>
      </c>
      <c r="Z263" s="211">
        <v>1</v>
      </c>
      <c r="AA263" s="211">
        <v>1</v>
      </c>
      <c r="AB263" s="211"/>
      <c r="AC263" s="211">
        <v>1</v>
      </c>
      <c r="AD263" s="211">
        <v>1</v>
      </c>
      <c r="AE263" s="211">
        <v>1</v>
      </c>
      <c r="AF263" s="240">
        <v>1</v>
      </c>
      <c r="AG263" s="211">
        <v>1</v>
      </c>
      <c r="AH263" s="211">
        <v>1</v>
      </c>
      <c r="AI263" s="211"/>
      <c r="AJ263" s="211">
        <v>1</v>
      </c>
      <c r="AK263" s="211">
        <v>1</v>
      </c>
      <c r="AL263" s="211">
        <v>1</v>
      </c>
      <c r="AM263" s="211"/>
      <c r="AN263" s="211"/>
      <c r="AO263" s="211">
        <v>1</v>
      </c>
      <c r="AP263" s="211">
        <v>1</v>
      </c>
      <c r="AQ263" s="211">
        <v>1</v>
      </c>
      <c r="AR263" s="240"/>
      <c r="AS263" s="211">
        <v>1</v>
      </c>
      <c r="AT263" s="211">
        <v>1</v>
      </c>
      <c r="AU263" s="211">
        <v>1</v>
      </c>
      <c r="AV263" s="242"/>
      <c r="AW263" s="240"/>
      <c r="AX263" s="240">
        <v>1</v>
      </c>
      <c r="AY263" s="240"/>
      <c r="AZ263" s="203">
        <v>1</v>
      </c>
      <c r="BA263" s="203">
        <v>1</v>
      </c>
      <c r="BB263" s="203"/>
      <c r="BC263" s="203"/>
    </row>
    <row r="264" spans="1:55" ht="21" hidden="1" customHeight="1">
      <c r="A264" s="212"/>
      <c r="B264" s="237">
        <v>46054</v>
      </c>
      <c r="C264" s="211" t="s">
        <v>384</v>
      </c>
      <c r="D264" s="238" t="s">
        <v>767</v>
      </c>
      <c r="E264" s="211" t="s">
        <v>575</v>
      </c>
      <c r="F264" s="211"/>
      <c r="G264" s="211"/>
      <c r="H264" s="211">
        <v>1</v>
      </c>
      <c r="I264" s="211">
        <v>1</v>
      </c>
      <c r="J264" s="240">
        <v>1</v>
      </c>
      <c r="K264" s="211">
        <v>1</v>
      </c>
      <c r="L264" s="211">
        <v>1</v>
      </c>
      <c r="M264" s="211"/>
      <c r="N264" s="211">
        <v>1</v>
      </c>
      <c r="O264" s="211">
        <v>1</v>
      </c>
      <c r="P264" s="211">
        <v>1</v>
      </c>
      <c r="Q264" s="211"/>
      <c r="R264" s="211">
        <v>1</v>
      </c>
      <c r="S264" s="211">
        <v>1</v>
      </c>
      <c r="T264" s="211">
        <v>1</v>
      </c>
      <c r="U264" s="240">
        <v>1</v>
      </c>
      <c r="V264" s="211">
        <v>1</v>
      </c>
      <c r="W264" s="211">
        <v>1</v>
      </c>
      <c r="X264" s="211">
        <v>1</v>
      </c>
      <c r="Y264" s="211">
        <v>1</v>
      </c>
      <c r="Z264" s="211">
        <v>1</v>
      </c>
      <c r="AA264" s="211">
        <v>1</v>
      </c>
      <c r="AB264" s="211"/>
      <c r="AC264" s="211">
        <v>1</v>
      </c>
      <c r="AD264" s="211">
        <v>1</v>
      </c>
      <c r="AE264" s="211">
        <v>1</v>
      </c>
      <c r="AF264" s="240">
        <v>1</v>
      </c>
      <c r="AG264" s="211">
        <v>1</v>
      </c>
      <c r="AH264" s="211">
        <v>1</v>
      </c>
      <c r="AI264" s="211"/>
      <c r="AJ264" s="211">
        <v>1</v>
      </c>
      <c r="AK264" s="211">
        <v>1</v>
      </c>
      <c r="AL264" s="211">
        <v>1</v>
      </c>
      <c r="AM264" s="211"/>
      <c r="AN264" s="211"/>
      <c r="AO264" s="211"/>
      <c r="AP264" s="211"/>
      <c r="AQ264" s="240"/>
      <c r="AR264" s="240">
        <v>1</v>
      </c>
      <c r="AS264" s="240"/>
      <c r="AT264" s="240"/>
      <c r="AU264" s="240"/>
      <c r="AV264" s="242"/>
      <c r="AW264" s="240"/>
      <c r="AX264" s="240"/>
      <c r="AY264" s="240"/>
      <c r="AZ264" s="203">
        <v>1</v>
      </c>
      <c r="BA264" s="203">
        <v>1</v>
      </c>
      <c r="BB264" s="203"/>
      <c r="BC264" s="203"/>
    </row>
    <row r="265" spans="1:55" ht="21" hidden="1" customHeight="1">
      <c r="A265" s="212"/>
      <c r="B265" s="237">
        <v>46054</v>
      </c>
      <c r="C265" s="211" t="s">
        <v>384</v>
      </c>
      <c r="D265" s="238" t="s">
        <v>768</v>
      </c>
      <c r="E265" s="211" t="s">
        <v>575</v>
      </c>
      <c r="F265" s="211"/>
      <c r="G265" s="211"/>
      <c r="H265" s="211"/>
      <c r="I265" s="211"/>
      <c r="J265" s="240">
        <v>1</v>
      </c>
      <c r="K265" s="211">
        <v>1</v>
      </c>
      <c r="L265" s="211">
        <v>1</v>
      </c>
      <c r="M265" s="211">
        <v>1</v>
      </c>
      <c r="N265" s="211">
        <v>1</v>
      </c>
      <c r="O265" s="211">
        <v>1</v>
      </c>
      <c r="P265" s="211">
        <v>1</v>
      </c>
      <c r="Q265" s="211"/>
      <c r="R265" s="211">
        <v>1</v>
      </c>
      <c r="S265" s="211"/>
      <c r="T265" s="211"/>
      <c r="U265" s="240"/>
      <c r="V265" s="211">
        <v>1</v>
      </c>
      <c r="W265" s="211">
        <v>1</v>
      </c>
      <c r="X265" s="211"/>
      <c r="Y265" s="211">
        <v>1</v>
      </c>
      <c r="Z265" s="211"/>
      <c r="AA265" s="211">
        <v>1</v>
      </c>
      <c r="AB265" s="211"/>
      <c r="AC265" s="211">
        <v>1</v>
      </c>
      <c r="AD265" s="211">
        <v>1</v>
      </c>
      <c r="AE265" s="211">
        <v>1</v>
      </c>
      <c r="AF265" s="240">
        <v>1</v>
      </c>
      <c r="AG265" s="240">
        <v>1</v>
      </c>
      <c r="AH265" s="211">
        <v>1</v>
      </c>
      <c r="AI265" s="211">
        <v>1</v>
      </c>
      <c r="AJ265" s="211">
        <v>1</v>
      </c>
      <c r="AK265" s="211">
        <v>1</v>
      </c>
      <c r="AL265" s="211">
        <v>1</v>
      </c>
      <c r="AM265" s="211"/>
      <c r="AN265" s="211"/>
      <c r="AO265" s="211">
        <v>1</v>
      </c>
      <c r="AP265" s="211">
        <v>1</v>
      </c>
      <c r="AQ265" s="211">
        <v>1</v>
      </c>
      <c r="AR265" s="240"/>
      <c r="AS265" s="211">
        <v>1</v>
      </c>
      <c r="AT265" s="211">
        <v>1</v>
      </c>
      <c r="AU265" s="211">
        <v>1</v>
      </c>
      <c r="AV265" s="240">
        <v>1</v>
      </c>
      <c r="AW265" s="240">
        <v>1</v>
      </c>
      <c r="AX265" s="240">
        <v>1</v>
      </c>
      <c r="AY265" s="240"/>
      <c r="AZ265" s="242"/>
      <c r="BA265" s="203">
        <v>1</v>
      </c>
      <c r="BB265" s="203">
        <v>1</v>
      </c>
      <c r="BC265" s="203">
        <v>1</v>
      </c>
    </row>
    <row r="266" spans="1:55" ht="21" hidden="1" customHeight="1">
      <c r="A266" s="212"/>
      <c r="B266" s="237">
        <v>46054</v>
      </c>
      <c r="C266" s="211" t="s">
        <v>386</v>
      </c>
      <c r="D266" s="238" t="s">
        <v>769</v>
      </c>
      <c r="E266" s="211" t="s">
        <v>770</v>
      </c>
      <c r="F266" s="211"/>
      <c r="G266" s="211">
        <v>1</v>
      </c>
      <c r="H266" s="211"/>
      <c r="I266" s="211">
        <v>1</v>
      </c>
      <c r="J266" s="240">
        <v>1</v>
      </c>
      <c r="K266" s="211">
        <v>1</v>
      </c>
      <c r="L266" s="211">
        <v>1</v>
      </c>
      <c r="M266" s="211">
        <v>1</v>
      </c>
      <c r="N266" s="211">
        <v>1</v>
      </c>
      <c r="O266" s="211">
        <v>1</v>
      </c>
      <c r="P266" s="211">
        <v>1</v>
      </c>
      <c r="Q266" s="211"/>
      <c r="R266" s="211"/>
      <c r="S266" s="211">
        <v>1</v>
      </c>
      <c r="T266" s="211">
        <v>1</v>
      </c>
      <c r="U266" s="240">
        <v>1</v>
      </c>
      <c r="V266" s="211">
        <v>1</v>
      </c>
      <c r="W266" s="211">
        <v>1</v>
      </c>
      <c r="X266" s="211">
        <v>1</v>
      </c>
      <c r="Y266" s="211">
        <v>1</v>
      </c>
      <c r="Z266" s="211">
        <v>1</v>
      </c>
      <c r="AA266" s="211">
        <v>1</v>
      </c>
      <c r="AB266" s="211"/>
      <c r="AC266" s="211">
        <v>1</v>
      </c>
      <c r="AD266" s="211">
        <v>1</v>
      </c>
      <c r="AE266" s="211">
        <v>1</v>
      </c>
      <c r="AF266" s="240">
        <v>1</v>
      </c>
      <c r="AG266" s="240">
        <v>1</v>
      </c>
      <c r="AH266" s="211">
        <v>1</v>
      </c>
      <c r="AI266" s="211">
        <v>1</v>
      </c>
      <c r="AJ266" s="211">
        <v>1</v>
      </c>
      <c r="AK266" s="211">
        <v>1</v>
      </c>
      <c r="AL266" s="211">
        <v>1</v>
      </c>
      <c r="AM266" s="211"/>
      <c r="AN266" s="211"/>
      <c r="AO266" s="211">
        <v>1</v>
      </c>
      <c r="AP266" s="211">
        <v>1</v>
      </c>
      <c r="AQ266" s="211">
        <v>1</v>
      </c>
      <c r="AR266" s="240"/>
      <c r="AS266" s="211">
        <v>1</v>
      </c>
      <c r="AT266" s="211">
        <v>1</v>
      </c>
      <c r="AU266" s="211">
        <v>1</v>
      </c>
      <c r="AV266" s="242"/>
      <c r="AW266" s="240"/>
      <c r="AX266" s="240">
        <v>1</v>
      </c>
      <c r="AY266" s="240">
        <v>1</v>
      </c>
      <c r="AZ266" s="203">
        <v>1</v>
      </c>
      <c r="BA266" s="203">
        <v>1</v>
      </c>
      <c r="BB266" s="203">
        <v>1</v>
      </c>
      <c r="BC266" s="203">
        <v>1</v>
      </c>
    </row>
    <row r="267" spans="1:55" ht="21" customHeight="1">
      <c r="A267" s="212"/>
      <c r="B267" s="237">
        <v>46054</v>
      </c>
      <c r="C267" s="211" t="s">
        <v>395</v>
      </c>
      <c r="D267" s="238" t="s">
        <v>771</v>
      </c>
      <c r="E267" s="211" t="s">
        <v>415</v>
      </c>
      <c r="F267" s="211"/>
      <c r="G267" s="211">
        <v>1</v>
      </c>
      <c r="H267" s="211"/>
      <c r="I267" s="211">
        <v>1</v>
      </c>
      <c r="J267" s="240">
        <v>1</v>
      </c>
      <c r="K267" s="211">
        <v>1</v>
      </c>
      <c r="L267" s="211">
        <v>1</v>
      </c>
      <c r="M267" s="211">
        <v>1</v>
      </c>
      <c r="N267" s="211">
        <v>1</v>
      </c>
      <c r="O267" s="211">
        <v>1</v>
      </c>
      <c r="P267" s="211">
        <v>1</v>
      </c>
      <c r="Q267" s="211"/>
      <c r="R267" s="211"/>
      <c r="S267" s="211"/>
      <c r="T267" s="211"/>
      <c r="U267" s="240">
        <v>1</v>
      </c>
      <c r="V267" s="211">
        <v>1</v>
      </c>
      <c r="W267" s="211">
        <v>1</v>
      </c>
      <c r="X267" s="211">
        <v>1</v>
      </c>
      <c r="Y267" s="211">
        <v>1</v>
      </c>
      <c r="Z267" s="211">
        <v>1</v>
      </c>
      <c r="AA267" s="211">
        <v>1</v>
      </c>
      <c r="AB267" s="211"/>
      <c r="AC267" s="211">
        <v>1</v>
      </c>
      <c r="AD267" s="211">
        <v>1</v>
      </c>
      <c r="AE267" s="211">
        <v>1</v>
      </c>
      <c r="AF267" s="240">
        <v>1</v>
      </c>
      <c r="AG267" s="211">
        <v>1</v>
      </c>
      <c r="AH267" s="211">
        <v>1</v>
      </c>
      <c r="AI267" s="211">
        <v>1</v>
      </c>
      <c r="AJ267" s="211">
        <v>1</v>
      </c>
      <c r="AK267" s="211">
        <v>1</v>
      </c>
      <c r="AL267" s="211">
        <v>1</v>
      </c>
      <c r="AM267" s="211"/>
      <c r="AN267" s="211"/>
      <c r="AO267" s="211">
        <v>1</v>
      </c>
      <c r="AP267" s="211">
        <v>1</v>
      </c>
      <c r="AQ267" s="211">
        <v>1</v>
      </c>
      <c r="AR267" s="240"/>
      <c r="AS267" s="211">
        <v>1</v>
      </c>
      <c r="AT267" s="211">
        <v>1</v>
      </c>
      <c r="AU267" s="211">
        <v>1</v>
      </c>
      <c r="AV267" s="242">
        <v>1</v>
      </c>
      <c r="AW267" s="240">
        <v>1</v>
      </c>
      <c r="AX267" s="240">
        <v>1</v>
      </c>
      <c r="AY267" s="240">
        <v>1</v>
      </c>
      <c r="AZ267" s="203">
        <v>1</v>
      </c>
      <c r="BA267" s="203">
        <v>1</v>
      </c>
      <c r="BB267" s="203">
        <v>1</v>
      </c>
      <c r="BC267" s="203">
        <v>1</v>
      </c>
    </row>
    <row r="268" spans="1:55" ht="21" customHeight="1">
      <c r="A268" s="212"/>
      <c r="B268" s="237">
        <v>46054</v>
      </c>
      <c r="C268" s="211" t="s">
        <v>395</v>
      </c>
      <c r="D268" s="238" t="s">
        <v>772</v>
      </c>
      <c r="E268" s="211" t="s">
        <v>773</v>
      </c>
      <c r="F268" s="211"/>
      <c r="G268" s="211"/>
      <c r="H268" s="211">
        <v>1</v>
      </c>
      <c r="I268" s="211">
        <v>1</v>
      </c>
      <c r="J268" s="240"/>
      <c r="K268" s="211">
        <v>1</v>
      </c>
      <c r="L268" s="211">
        <v>1</v>
      </c>
      <c r="M268" s="211">
        <v>1</v>
      </c>
      <c r="N268" s="211"/>
      <c r="O268" s="211">
        <v>1</v>
      </c>
      <c r="P268" s="211">
        <v>1</v>
      </c>
      <c r="Q268" s="211"/>
      <c r="R268" s="211">
        <v>1</v>
      </c>
      <c r="S268" s="211">
        <v>1</v>
      </c>
      <c r="T268" s="211">
        <v>1</v>
      </c>
      <c r="U268" s="240"/>
      <c r="V268" s="211">
        <v>1</v>
      </c>
      <c r="W268" s="211">
        <v>1</v>
      </c>
      <c r="X268" s="211"/>
      <c r="Y268" s="211">
        <v>1</v>
      </c>
      <c r="Z268" s="211"/>
      <c r="AA268" s="211"/>
      <c r="AB268" s="211"/>
      <c r="AC268" s="211">
        <v>1</v>
      </c>
      <c r="AD268" s="211">
        <v>1</v>
      </c>
      <c r="AE268" s="211">
        <v>1</v>
      </c>
      <c r="AF268" s="240">
        <v>1</v>
      </c>
      <c r="AG268" s="240">
        <v>1</v>
      </c>
      <c r="AH268" s="211">
        <v>1</v>
      </c>
      <c r="AI268" s="211">
        <v>1</v>
      </c>
      <c r="AJ268" s="211">
        <v>1</v>
      </c>
      <c r="AK268" s="211">
        <v>1</v>
      </c>
      <c r="AL268" s="211">
        <v>1</v>
      </c>
      <c r="AM268" s="211"/>
      <c r="AN268" s="211"/>
      <c r="AO268" s="211"/>
      <c r="AP268" s="211"/>
      <c r="AQ268" s="240"/>
      <c r="AR268" s="240">
        <v>1</v>
      </c>
      <c r="AS268" s="240"/>
      <c r="AT268" s="240"/>
      <c r="AU268" s="240"/>
      <c r="AV268" s="242"/>
      <c r="AW268" s="240"/>
      <c r="AX268" s="240"/>
      <c r="AY268" s="240"/>
      <c r="AZ268" s="203">
        <v>1</v>
      </c>
      <c r="BA268" s="203">
        <v>1</v>
      </c>
      <c r="BB268" s="203"/>
      <c r="BC268" s="203"/>
    </row>
    <row r="269" spans="1:55" ht="21" customHeight="1">
      <c r="A269" s="212"/>
      <c r="B269" s="237">
        <v>46054</v>
      </c>
      <c r="C269" s="211" t="s">
        <v>395</v>
      </c>
      <c r="D269" s="238" t="s">
        <v>774</v>
      </c>
      <c r="E269" s="211" t="s">
        <v>775</v>
      </c>
      <c r="F269" s="211"/>
      <c r="G269" s="211"/>
      <c r="H269" s="211"/>
      <c r="I269" s="211"/>
      <c r="J269" s="240">
        <v>1</v>
      </c>
      <c r="K269" s="211">
        <v>1</v>
      </c>
      <c r="L269" s="211">
        <v>1</v>
      </c>
      <c r="M269" s="211">
        <v>1</v>
      </c>
      <c r="N269" s="211">
        <v>1</v>
      </c>
      <c r="O269" s="211">
        <v>1</v>
      </c>
      <c r="P269" s="211">
        <v>1</v>
      </c>
      <c r="Q269" s="211"/>
      <c r="R269" s="211">
        <v>1</v>
      </c>
      <c r="S269" s="211">
        <v>1</v>
      </c>
      <c r="T269" s="211">
        <v>1</v>
      </c>
      <c r="U269" s="240">
        <v>1</v>
      </c>
      <c r="V269" s="211"/>
      <c r="W269" s="211"/>
      <c r="X269" s="211"/>
      <c r="Y269" s="211"/>
      <c r="Z269" s="211">
        <v>1</v>
      </c>
      <c r="AA269" s="211">
        <v>1</v>
      </c>
      <c r="AB269" s="211"/>
      <c r="AC269" s="211">
        <v>1</v>
      </c>
      <c r="AD269" s="211">
        <v>1</v>
      </c>
      <c r="AE269" s="211">
        <v>1</v>
      </c>
      <c r="AF269" s="240">
        <v>1</v>
      </c>
      <c r="AG269" s="240">
        <v>1</v>
      </c>
      <c r="AH269" s="211"/>
      <c r="AI269" s="211">
        <v>1</v>
      </c>
      <c r="AJ269" s="211">
        <v>1</v>
      </c>
      <c r="AK269" s="211">
        <v>1</v>
      </c>
      <c r="AL269" s="211">
        <v>1</v>
      </c>
      <c r="AM269" s="211"/>
      <c r="AN269" s="211"/>
      <c r="AO269" s="211"/>
      <c r="AP269" s="211"/>
      <c r="AQ269" s="240">
        <v>1</v>
      </c>
      <c r="AR269" s="240">
        <v>1</v>
      </c>
      <c r="AS269" s="240">
        <v>1</v>
      </c>
      <c r="AT269" s="240">
        <v>1</v>
      </c>
      <c r="AU269" s="240">
        <v>1</v>
      </c>
      <c r="AV269" s="242"/>
      <c r="AW269" s="240"/>
      <c r="AX269" s="240">
        <v>1</v>
      </c>
      <c r="AY269" s="240"/>
      <c r="AZ269" s="242"/>
      <c r="BA269" s="203">
        <v>1</v>
      </c>
      <c r="BB269" s="203"/>
      <c r="BC269" s="203"/>
    </row>
    <row r="270" spans="1:55" ht="21" customHeight="1">
      <c r="A270" s="212"/>
      <c r="B270" s="237">
        <v>46054</v>
      </c>
      <c r="C270" s="211" t="s">
        <v>395</v>
      </c>
      <c r="D270" s="238" t="s">
        <v>776</v>
      </c>
      <c r="E270" s="211" t="s">
        <v>575</v>
      </c>
      <c r="F270" s="211"/>
      <c r="G270" s="211">
        <v>1</v>
      </c>
      <c r="H270" s="211">
        <v>1</v>
      </c>
      <c r="I270" s="211">
        <v>1</v>
      </c>
      <c r="J270" s="240">
        <v>1</v>
      </c>
      <c r="K270" s="211">
        <v>1</v>
      </c>
      <c r="L270" s="211">
        <v>1</v>
      </c>
      <c r="M270" s="211">
        <v>1</v>
      </c>
      <c r="N270" s="211">
        <v>1</v>
      </c>
      <c r="O270" s="211">
        <v>1</v>
      </c>
      <c r="P270" s="211">
        <v>1</v>
      </c>
      <c r="Q270" s="211"/>
      <c r="R270" s="211">
        <v>1</v>
      </c>
      <c r="S270" s="211">
        <v>1</v>
      </c>
      <c r="T270" s="211">
        <v>1</v>
      </c>
      <c r="U270" s="240">
        <v>1</v>
      </c>
      <c r="V270" s="211">
        <v>1</v>
      </c>
      <c r="W270" s="211">
        <v>1</v>
      </c>
      <c r="X270" s="211"/>
      <c r="Y270" s="211">
        <v>1</v>
      </c>
      <c r="Z270" s="211">
        <v>1</v>
      </c>
      <c r="AA270" s="211">
        <v>1</v>
      </c>
      <c r="AB270" s="211"/>
      <c r="AC270" s="211"/>
      <c r="AD270" s="211">
        <v>1</v>
      </c>
      <c r="AE270" s="211">
        <v>1</v>
      </c>
      <c r="AF270" s="240">
        <v>1</v>
      </c>
      <c r="AG270" s="211">
        <v>1</v>
      </c>
      <c r="AH270" s="211">
        <v>1</v>
      </c>
      <c r="AI270" s="211">
        <v>1</v>
      </c>
      <c r="AJ270" s="211">
        <v>1</v>
      </c>
      <c r="AK270" s="211">
        <v>1</v>
      </c>
      <c r="AL270" s="211">
        <v>1</v>
      </c>
      <c r="AM270" s="211"/>
      <c r="AN270" s="211"/>
      <c r="AO270" s="211"/>
      <c r="AP270" s="211"/>
      <c r="AQ270" s="240">
        <v>1</v>
      </c>
      <c r="AR270" s="240">
        <v>1</v>
      </c>
      <c r="AS270" s="240">
        <v>1</v>
      </c>
      <c r="AT270" s="240">
        <v>1</v>
      </c>
      <c r="AU270" s="240">
        <v>1</v>
      </c>
      <c r="AV270" s="240">
        <v>1</v>
      </c>
      <c r="AW270" s="240">
        <v>1</v>
      </c>
      <c r="AX270" s="240"/>
      <c r="AY270" s="240"/>
      <c r="AZ270" s="203">
        <v>1</v>
      </c>
      <c r="BA270" s="203">
        <v>1</v>
      </c>
      <c r="BB270" s="203">
        <v>1</v>
      </c>
      <c r="BC270" s="203">
        <v>1</v>
      </c>
    </row>
    <row r="271" spans="1:55" ht="21" customHeight="1">
      <c r="A271" s="212"/>
      <c r="B271" s="237">
        <v>46054</v>
      </c>
      <c r="C271" s="211" t="s">
        <v>395</v>
      </c>
      <c r="D271" s="238" t="s">
        <v>777</v>
      </c>
      <c r="E271" s="211" t="s">
        <v>408</v>
      </c>
      <c r="F271" s="211"/>
      <c r="G271" s="211">
        <v>1</v>
      </c>
      <c r="H271" s="211">
        <v>1</v>
      </c>
      <c r="I271" s="211">
        <v>1</v>
      </c>
      <c r="J271" s="240">
        <v>1</v>
      </c>
      <c r="K271" s="211">
        <v>1</v>
      </c>
      <c r="L271" s="211"/>
      <c r="M271" s="211"/>
      <c r="N271" s="211">
        <v>1</v>
      </c>
      <c r="O271" s="211"/>
      <c r="P271" s="211">
        <v>1</v>
      </c>
      <c r="Q271" s="211"/>
      <c r="R271" s="211"/>
      <c r="S271" s="211">
        <v>1</v>
      </c>
      <c r="T271" s="211">
        <v>1</v>
      </c>
      <c r="U271" s="240">
        <v>1</v>
      </c>
      <c r="V271" s="211"/>
      <c r="W271" s="211"/>
      <c r="X271" s="211">
        <v>1</v>
      </c>
      <c r="Y271" s="211">
        <v>1</v>
      </c>
      <c r="Z271" s="211">
        <v>1</v>
      </c>
      <c r="AA271" s="211">
        <v>1</v>
      </c>
      <c r="AB271" s="211"/>
      <c r="AC271" s="211">
        <v>1</v>
      </c>
      <c r="AD271" s="211">
        <v>1</v>
      </c>
      <c r="AE271" s="211">
        <v>1</v>
      </c>
      <c r="AF271" s="240">
        <v>1</v>
      </c>
      <c r="AG271" s="211">
        <v>1</v>
      </c>
      <c r="AH271" s="211">
        <v>1</v>
      </c>
      <c r="AI271" s="211">
        <v>1</v>
      </c>
      <c r="AJ271" s="211">
        <v>1</v>
      </c>
      <c r="AK271" s="211">
        <v>1</v>
      </c>
      <c r="AL271" s="211">
        <v>1</v>
      </c>
      <c r="AM271" s="211"/>
      <c r="AN271" s="211"/>
      <c r="AO271" s="211">
        <v>1</v>
      </c>
      <c r="AP271" s="211">
        <v>1</v>
      </c>
      <c r="AQ271" s="240">
        <v>1</v>
      </c>
      <c r="AR271" s="240"/>
      <c r="AS271" s="240"/>
      <c r="AT271" s="240"/>
      <c r="AU271" s="240"/>
      <c r="AV271" s="240">
        <v>1</v>
      </c>
      <c r="AW271" s="240">
        <v>1</v>
      </c>
      <c r="AX271" s="240">
        <v>1</v>
      </c>
      <c r="AY271" s="240">
        <v>1</v>
      </c>
      <c r="AZ271" s="203">
        <v>1</v>
      </c>
      <c r="BA271" s="203">
        <v>1</v>
      </c>
      <c r="BB271" s="203">
        <v>1</v>
      </c>
      <c r="BC271" s="203">
        <v>1</v>
      </c>
    </row>
    <row r="272" spans="1:55" ht="21" customHeight="1">
      <c r="A272" s="212"/>
      <c r="B272" s="237">
        <v>46054</v>
      </c>
      <c r="C272" s="211" t="s">
        <v>395</v>
      </c>
      <c r="D272" s="238" t="s">
        <v>778</v>
      </c>
      <c r="E272" s="211" t="s">
        <v>568</v>
      </c>
      <c r="F272" s="211"/>
      <c r="G272" s="211"/>
      <c r="H272" s="211"/>
      <c r="I272" s="211"/>
      <c r="J272" s="240">
        <v>1</v>
      </c>
      <c r="K272" s="211">
        <v>1</v>
      </c>
      <c r="L272" s="211">
        <v>1</v>
      </c>
      <c r="M272" s="211">
        <v>1</v>
      </c>
      <c r="N272" s="211">
        <v>1</v>
      </c>
      <c r="O272" s="211">
        <v>1</v>
      </c>
      <c r="P272" s="211">
        <v>1</v>
      </c>
      <c r="Q272" s="211"/>
      <c r="R272" s="211">
        <v>1</v>
      </c>
      <c r="S272" s="211">
        <v>1</v>
      </c>
      <c r="T272" s="211">
        <v>1</v>
      </c>
      <c r="U272" s="240">
        <v>1</v>
      </c>
      <c r="V272" s="211"/>
      <c r="W272" s="211"/>
      <c r="X272" s="211">
        <v>1</v>
      </c>
      <c r="Y272" s="211">
        <v>1</v>
      </c>
      <c r="Z272" s="211">
        <v>1</v>
      </c>
      <c r="AA272" s="211">
        <v>1</v>
      </c>
      <c r="AB272" s="211"/>
      <c r="AC272" s="211">
        <v>1</v>
      </c>
      <c r="AD272" s="211">
        <v>1</v>
      </c>
      <c r="AE272" s="211">
        <v>1</v>
      </c>
      <c r="AF272" s="240">
        <v>1</v>
      </c>
      <c r="AG272" s="211">
        <v>1</v>
      </c>
      <c r="AH272" s="211"/>
      <c r="AI272" s="211">
        <v>1</v>
      </c>
      <c r="AJ272" s="211">
        <v>1</v>
      </c>
      <c r="AK272" s="211">
        <v>1</v>
      </c>
      <c r="AL272" s="211">
        <v>1</v>
      </c>
      <c r="AM272" s="211"/>
      <c r="AN272" s="211"/>
      <c r="AO272" s="211"/>
      <c r="AP272" s="211"/>
      <c r="AQ272" s="240">
        <v>1</v>
      </c>
      <c r="AR272" s="240">
        <v>1</v>
      </c>
      <c r="AS272" s="240"/>
      <c r="AT272" s="240"/>
      <c r="AU272" s="240"/>
      <c r="AV272" s="240">
        <v>1</v>
      </c>
      <c r="AW272" s="240">
        <v>1</v>
      </c>
      <c r="AX272" s="240">
        <v>1</v>
      </c>
      <c r="AY272" s="240"/>
      <c r="AZ272" s="203">
        <v>1</v>
      </c>
      <c r="BA272" s="203">
        <v>1</v>
      </c>
      <c r="BB272" s="203">
        <v>1</v>
      </c>
      <c r="BC272" s="203">
        <v>1</v>
      </c>
    </row>
    <row r="273" spans="1:55" ht="21" customHeight="1">
      <c r="A273" s="212"/>
      <c r="B273" s="237">
        <v>46054</v>
      </c>
      <c r="C273" s="211" t="s">
        <v>395</v>
      </c>
      <c r="D273" s="238" t="s">
        <v>779</v>
      </c>
      <c r="E273" s="211" t="s">
        <v>780</v>
      </c>
      <c r="F273" s="211"/>
      <c r="G273" s="211"/>
      <c r="H273" s="211">
        <v>1</v>
      </c>
      <c r="I273" s="211">
        <v>1</v>
      </c>
      <c r="J273" s="240">
        <v>1</v>
      </c>
      <c r="K273" s="211">
        <v>1</v>
      </c>
      <c r="L273" s="211">
        <v>1</v>
      </c>
      <c r="M273" s="211"/>
      <c r="N273" s="211">
        <v>1</v>
      </c>
      <c r="O273" s="211">
        <v>1</v>
      </c>
      <c r="P273" s="211">
        <v>1</v>
      </c>
      <c r="Q273" s="211"/>
      <c r="R273" s="211">
        <v>1</v>
      </c>
      <c r="S273" s="211">
        <v>1</v>
      </c>
      <c r="T273" s="211">
        <v>1</v>
      </c>
      <c r="U273" s="240">
        <v>1</v>
      </c>
      <c r="V273" s="211">
        <v>1</v>
      </c>
      <c r="W273" s="211">
        <v>1</v>
      </c>
      <c r="X273" s="211"/>
      <c r="Y273" s="211">
        <v>1</v>
      </c>
      <c r="Z273" s="211">
        <v>1</v>
      </c>
      <c r="AA273" s="211">
        <v>1</v>
      </c>
      <c r="AB273" s="211"/>
      <c r="AC273" s="211"/>
      <c r="AD273" s="211">
        <v>1</v>
      </c>
      <c r="AE273" s="211">
        <v>1</v>
      </c>
      <c r="AF273" s="240">
        <v>1</v>
      </c>
      <c r="AG273" s="240">
        <v>1</v>
      </c>
      <c r="AH273" s="211">
        <v>1</v>
      </c>
      <c r="AI273" s="211">
        <v>1</v>
      </c>
      <c r="AJ273" s="211">
        <v>1</v>
      </c>
      <c r="AK273" s="211"/>
      <c r="AL273" s="211"/>
      <c r="AM273" s="211"/>
      <c r="AN273" s="211">
        <v>1</v>
      </c>
      <c r="AO273" s="211">
        <v>1</v>
      </c>
      <c r="AP273" s="211">
        <v>1</v>
      </c>
      <c r="AQ273" s="240">
        <v>1</v>
      </c>
      <c r="AR273" s="240">
        <v>1</v>
      </c>
      <c r="AS273" s="240">
        <v>1</v>
      </c>
      <c r="AT273" s="240">
        <v>1</v>
      </c>
      <c r="AU273" s="240">
        <v>1</v>
      </c>
      <c r="AV273" s="240">
        <v>1</v>
      </c>
      <c r="AW273" s="240">
        <v>1</v>
      </c>
      <c r="AX273" s="240">
        <v>1</v>
      </c>
      <c r="AY273" s="240">
        <v>1</v>
      </c>
      <c r="AZ273" s="203">
        <v>1</v>
      </c>
      <c r="BA273" s="203">
        <v>1</v>
      </c>
      <c r="BB273" s="203">
        <v>1</v>
      </c>
      <c r="BC273" s="203">
        <v>1</v>
      </c>
    </row>
    <row r="274" spans="1:55" ht="21" customHeight="1">
      <c r="A274" s="212"/>
      <c r="B274" s="237">
        <v>46054</v>
      </c>
      <c r="C274" s="211" t="s">
        <v>395</v>
      </c>
      <c r="D274" s="238" t="s">
        <v>781</v>
      </c>
      <c r="E274" s="211" t="s">
        <v>782</v>
      </c>
      <c r="F274" s="211"/>
      <c r="G274" s="211">
        <v>1</v>
      </c>
      <c r="H274" s="211">
        <v>1</v>
      </c>
      <c r="I274" s="211">
        <v>1</v>
      </c>
      <c r="J274" s="240">
        <v>1</v>
      </c>
      <c r="K274" s="211">
        <v>1</v>
      </c>
      <c r="L274" s="211">
        <v>1</v>
      </c>
      <c r="M274" s="211">
        <v>1</v>
      </c>
      <c r="N274" s="211">
        <v>1</v>
      </c>
      <c r="O274" s="211">
        <v>1</v>
      </c>
      <c r="P274" s="211">
        <v>1</v>
      </c>
      <c r="Q274" s="211"/>
      <c r="R274" s="211"/>
      <c r="S274" s="211"/>
      <c r="T274" s="211"/>
      <c r="U274" s="240">
        <v>1</v>
      </c>
      <c r="V274" s="211">
        <v>1</v>
      </c>
      <c r="W274" s="211">
        <v>1</v>
      </c>
      <c r="X274" s="211">
        <v>1</v>
      </c>
      <c r="Y274" s="211">
        <v>1</v>
      </c>
      <c r="Z274" s="211"/>
      <c r="AA274" s="211">
        <v>1</v>
      </c>
      <c r="AB274" s="211"/>
      <c r="AC274" s="211">
        <v>1</v>
      </c>
      <c r="AD274" s="211">
        <v>1</v>
      </c>
      <c r="AE274" s="211">
        <v>1</v>
      </c>
      <c r="AF274" s="240">
        <v>1</v>
      </c>
      <c r="AG274" s="240">
        <v>1</v>
      </c>
      <c r="AH274" s="211">
        <v>1</v>
      </c>
      <c r="AI274" s="211">
        <v>1</v>
      </c>
      <c r="AJ274" s="211">
        <v>1</v>
      </c>
      <c r="AK274" s="211">
        <v>1</v>
      </c>
      <c r="AL274" s="211">
        <v>1</v>
      </c>
      <c r="AM274" s="211"/>
      <c r="AN274" s="211"/>
      <c r="AO274" s="211">
        <v>1</v>
      </c>
      <c r="AP274" s="211">
        <v>1</v>
      </c>
      <c r="AQ274" s="240"/>
      <c r="AR274" s="240">
        <v>1</v>
      </c>
      <c r="AS274" s="240">
        <v>1</v>
      </c>
      <c r="AT274" s="240">
        <v>1</v>
      </c>
      <c r="AU274" s="240">
        <v>1</v>
      </c>
      <c r="AV274" s="242">
        <v>1</v>
      </c>
      <c r="AW274" s="240">
        <v>1</v>
      </c>
      <c r="AX274" s="240"/>
      <c r="AY274" s="240">
        <v>1</v>
      </c>
      <c r="AZ274" s="203">
        <v>1</v>
      </c>
      <c r="BA274" s="203">
        <v>1</v>
      </c>
      <c r="BB274" s="203"/>
      <c r="BC274" s="203"/>
    </row>
    <row r="275" spans="1:55" ht="21" customHeight="1">
      <c r="A275" s="212"/>
      <c r="B275" s="237">
        <v>46054</v>
      </c>
      <c r="C275" s="211" t="s">
        <v>395</v>
      </c>
      <c r="D275" s="238" t="s">
        <v>783</v>
      </c>
      <c r="E275" s="211" t="s">
        <v>565</v>
      </c>
      <c r="F275" s="211"/>
      <c r="G275" s="211"/>
      <c r="H275" s="211">
        <v>1</v>
      </c>
      <c r="I275" s="211">
        <v>1</v>
      </c>
      <c r="J275" s="240">
        <v>1</v>
      </c>
      <c r="K275" s="211">
        <v>1</v>
      </c>
      <c r="L275" s="211">
        <v>1</v>
      </c>
      <c r="M275" s="211">
        <v>1</v>
      </c>
      <c r="N275" s="211">
        <v>1</v>
      </c>
      <c r="O275" s="211">
        <v>1</v>
      </c>
      <c r="P275" s="211">
        <v>1</v>
      </c>
      <c r="Q275" s="211"/>
      <c r="R275" s="211">
        <v>1</v>
      </c>
      <c r="S275" s="211">
        <v>1</v>
      </c>
      <c r="T275" s="211">
        <v>1</v>
      </c>
      <c r="U275" s="240">
        <v>1</v>
      </c>
      <c r="V275" s="211">
        <v>1</v>
      </c>
      <c r="W275" s="211">
        <v>1</v>
      </c>
      <c r="X275" s="211">
        <v>1</v>
      </c>
      <c r="Y275" s="211">
        <v>1</v>
      </c>
      <c r="Z275" s="211">
        <v>1</v>
      </c>
      <c r="AA275" s="211">
        <v>1</v>
      </c>
      <c r="AB275" s="211"/>
      <c r="AC275" s="211">
        <v>1</v>
      </c>
      <c r="AD275" s="211">
        <v>1</v>
      </c>
      <c r="AE275" s="211">
        <v>1</v>
      </c>
      <c r="AF275" s="240">
        <v>1</v>
      </c>
      <c r="AG275" s="240">
        <v>1</v>
      </c>
      <c r="AH275" s="211"/>
      <c r="AI275" s="211">
        <v>1</v>
      </c>
      <c r="AJ275" s="211">
        <v>1</v>
      </c>
      <c r="AK275" s="211">
        <v>1</v>
      </c>
      <c r="AL275" s="211">
        <v>1</v>
      </c>
      <c r="AM275" s="211"/>
      <c r="AN275" s="211"/>
      <c r="AO275" s="211">
        <v>1</v>
      </c>
      <c r="AP275" s="211">
        <v>1</v>
      </c>
      <c r="AQ275" s="240">
        <v>1</v>
      </c>
      <c r="AR275" s="240"/>
      <c r="AS275" s="240"/>
      <c r="AT275" s="240"/>
      <c r="AU275" s="240"/>
      <c r="AV275" s="240">
        <v>1</v>
      </c>
      <c r="AW275" s="240">
        <v>1</v>
      </c>
      <c r="AX275" s="240">
        <v>1</v>
      </c>
      <c r="AY275" s="240">
        <v>1</v>
      </c>
      <c r="AZ275" s="203">
        <v>1</v>
      </c>
      <c r="BA275" s="203">
        <v>1</v>
      </c>
      <c r="BB275" s="203">
        <v>1</v>
      </c>
      <c r="BC275" s="203">
        <v>1</v>
      </c>
    </row>
    <row r="276" spans="1:55" ht="21" customHeight="1">
      <c r="A276" s="212"/>
      <c r="B276" s="237">
        <v>46054</v>
      </c>
      <c r="C276" s="211" t="s">
        <v>395</v>
      </c>
      <c r="D276" s="238" t="s">
        <v>784</v>
      </c>
      <c r="E276" s="211" t="s">
        <v>575</v>
      </c>
      <c r="F276" s="211"/>
      <c r="G276" s="211">
        <v>1</v>
      </c>
      <c r="H276" s="211"/>
      <c r="I276" s="211">
        <v>1</v>
      </c>
      <c r="J276" s="240">
        <v>1</v>
      </c>
      <c r="K276" s="211">
        <v>1</v>
      </c>
      <c r="L276" s="211">
        <v>1</v>
      </c>
      <c r="M276" s="211"/>
      <c r="N276" s="211">
        <v>1</v>
      </c>
      <c r="O276" s="211">
        <v>1</v>
      </c>
      <c r="P276" s="211">
        <v>1</v>
      </c>
      <c r="Q276" s="211"/>
      <c r="R276" s="211"/>
      <c r="S276" s="211"/>
      <c r="T276" s="211"/>
      <c r="U276" s="240">
        <v>1</v>
      </c>
      <c r="V276" s="211">
        <v>1</v>
      </c>
      <c r="W276" s="211">
        <v>1</v>
      </c>
      <c r="X276" s="211">
        <v>1</v>
      </c>
      <c r="Y276" s="211"/>
      <c r="Z276" s="211">
        <v>1</v>
      </c>
      <c r="AA276" s="211">
        <v>1</v>
      </c>
      <c r="AB276" s="211"/>
      <c r="AC276" s="211">
        <v>1</v>
      </c>
      <c r="AD276" s="211">
        <v>1</v>
      </c>
      <c r="AE276" s="211">
        <v>1</v>
      </c>
      <c r="AF276" s="240">
        <v>1</v>
      </c>
      <c r="AG276" s="211">
        <v>1</v>
      </c>
      <c r="AH276" s="211">
        <v>1</v>
      </c>
      <c r="AI276" s="211"/>
      <c r="AJ276" s="211">
        <v>1</v>
      </c>
      <c r="AK276" s="211">
        <v>1</v>
      </c>
      <c r="AL276" s="211">
        <v>1</v>
      </c>
      <c r="AM276" s="211"/>
      <c r="AN276" s="211"/>
      <c r="AO276" s="211">
        <v>1</v>
      </c>
      <c r="AP276" s="211">
        <v>1</v>
      </c>
      <c r="AQ276" s="240"/>
      <c r="AR276" s="240">
        <v>1</v>
      </c>
      <c r="AS276" s="240">
        <v>1</v>
      </c>
      <c r="AT276" s="240">
        <v>1</v>
      </c>
      <c r="AU276" s="240">
        <v>1</v>
      </c>
      <c r="AV276" s="240">
        <v>1</v>
      </c>
      <c r="AW276" s="240">
        <v>1</v>
      </c>
      <c r="AX276" s="240">
        <v>1</v>
      </c>
      <c r="AY276" s="240">
        <v>1</v>
      </c>
      <c r="AZ276" s="203">
        <v>1</v>
      </c>
      <c r="BA276" s="203">
        <v>1</v>
      </c>
      <c r="BB276" s="203">
        <v>1</v>
      </c>
      <c r="BC276" s="203">
        <v>1</v>
      </c>
    </row>
    <row r="277" spans="1:55" ht="21" hidden="1" customHeight="1">
      <c r="A277" s="212"/>
      <c r="B277" s="237">
        <v>46054</v>
      </c>
      <c r="C277" s="211" t="s">
        <v>386</v>
      </c>
      <c r="D277" s="238" t="s">
        <v>785</v>
      </c>
      <c r="E277" s="211" t="s">
        <v>528</v>
      </c>
      <c r="F277" s="211"/>
      <c r="G277" s="211">
        <v>1</v>
      </c>
      <c r="H277" s="211"/>
      <c r="I277" s="211">
        <v>1</v>
      </c>
      <c r="J277" s="240">
        <v>1</v>
      </c>
      <c r="K277" s="211">
        <v>1</v>
      </c>
      <c r="L277" s="211">
        <v>1</v>
      </c>
      <c r="M277" s="211">
        <v>1</v>
      </c>
      <c r="N277" s="211">
        <v>1</v>
      </c>
      <c r="O277" s="211"/>
      <c r="P277" s="211">
        <v>1</v>
      </c>
      <c r="Q277" s="211"/>
      <c r="R277" s="211">
        <v>1</v>
      </c>
      <c r="S277" s="211">
        <v>1</v>
      </c>
      <c r="T277" s="211">
        <v>1</v>
      </c>
      <c r="U277" s="240">
        <v>1</v>
      </c>
      <c r="V277" s="211">
        <v>1</v>
      </c>
      <c r="W277" s="211">
        <v>1</v>
      </c>
      <c r="X277" s="211">
        <v>1</v>
      </c>
      <c r="Y277" s="211">
        <v>1</v>
      </c>
      <c r="Z277" s="211">
        <v>1</v>
      </c>
      <c r="AA277" s="211">
        <v>1</v>
      </c>
      <c r="AB277" s="211"/>
      <c r="AC277" s="211"/>
      <c r="AD277" s="211">
        <v>1</v>
      </c>
      <c r="AE277" s="211">
        <v>1</v>
      </c>
      <c r="AF277" s="240">
        <v>1</v>
      </c>
      <c r="AG277" s="240">
        <v>1</v>
      </c>
      <c r="AH277" s="211">
        <v>1</v>
      </c>
      <c r="AI277" s="211">
        <v>1</v>
      </c>
      <c r="AJ277" s="211">
        <v>1</v>
      </c>
      <c r="AK277" s="211">
        <v>1</v>
      </c>
      <c r="AL277" s="211">
        <v>1</v>
      </c>
      <c r="AM277" s="211"/>
      <c r="AN277" s="211"/>
      <c r="AO277" s="211"/>
      <c r="AP277" s="211"/>
      <c r="AQ277" s="240"/>
      <c r="AR277" s="240"/>
      <c r="AS277" s="240"/>
      <c r="AT277" s="211"/>
      <c r="AU277" s="211"/>
      <c r="AV277" s="242"/>
      <c r="AW277" s="240"/>
      <c r="AX277" s="240"/>
      <c r="AY277" s="240"/>
      <c r="AZ277" s="203">
        <v>1</v>
      </c>
      <c r="BA277" s="203">
        <v>1</v>
      </c>
      <c r="BB277" s="203"/>
      <c r="BC277" s="203"/>
    </row>
    <row r="278" spans="1:55" ht="21" hidden="1" customHeight="1">
      <c r="A278" s="212"/>
      <c r="B278" s="237">
        <v>46054</v>
      </c>
      <c r="C278" s="211" t="s">
        <v>386</v>
      </c>
      <c r="D278" s="238" t="s">
        <v>786</v>
      </c>
      <c r="E278" s="211" t="s">
        <v>571</v>
      </c>
      <c r="F278" s="211"/>
      <c r="G278" s="211"/>
      <c r="H278" s="211">
        <v>1</v>
      </c>
      <c r="I278" s="211">
        <v>1</v>
      </c>
      <c r="J278" s="240">
        <v>1</v>
      </c>
      <c r="K278" s="211">
        <v>1</v>
      </c>
      <c r="L278" s="211">
        <v>1</v>
      </c>
      <c r="M278" s="211">
        <v>1</v>
      </c>
      <c r="N278" s="211">
        <v>1</v>
      </c>
      <c r="O278" s="211">
        <v>1</v>
      </c>
      <c r="P278" s="211">
        <v>1</v>
      </c>
      <c r="Q278" s="211"/>
      <c r="R278" s="211">
        <v>1</v>
      </c>
      <c r="S278" s="211">
        <v>1</v>
      </c>
      <c r="T278" s="211">
        <v>1</v>
      </c>
      <c r="U278" s="240">
        <v>1</v>
      </c>
      <c r="V278" s="211">
        <v>1</v>
      </c>
      <c r="W278" s="211">
        <v>1</v>
      </c>
      <c r="X278" s="211"/>
      <c r="Y278" s="211">
        <v>1</v>
      </c>
      <c r="Z278" s="211">
        <v>1</v>
      </c>
      <c r="AA278" s="211">
        <v>1</v>
      </c>
      <c r="AB278" s="211"/>
      <c r="AC278" s="211">
        <v>1</v>
      </c>
      <c r="AD278" s="211">
        <v>1</v>
      </c>
      <c r="AE278" s="211">
        <v>1</v>
      </c>
      <c r="AF278" s="240">
        <v>1</v>
      </c>
      <c r="AG278" s="211">
        <v>1</v>
      </c>
      <c r="AH278" s="211">
        <v>1</v>
      </c>
      <c r="AI278" s="211">
        <v>1</v>
      </c>
      <c r="AJ278" s="211">
        <v>1</v>
      </c>
      <c r="AK278" s="211">
        <v>1</v>
      </c>
      <c r="AL278" s="211">
        <v>1</v>
      </c>
      <c r="AM278" s="211"/>
      <c r="AN278" s="211"/>
      <c r="AO278" s="211"/>
      <c r="AP278" s="211"/>
      <c r="AQ278" s="240"/>
      <c r="AR278" s="240">
        <v>1</v>
      </c>
      <c r="AS278" s="240"/>
      <c r="AT278" s="211"/>
      <c r="AU278" s="211"/>
      <c r="AV278" s="242"/>
      <c r="AW278" s="240"/>
      <c r="AX278" s="240">
        <v>1</v>
      </c>
      <c r="AY278" s="240"/>
      <c r="AZ278" s="203">
        <v>1</v>
      </c>
      <c r="BA278" s="203">
        <v>1</v>
      </c>
      <c r="BB278" s="203"/>
      <c r="BC278" s="203"/>
    </row>
    <row r="279" spans="1:55" ht="21" hidden="1" customHeight="1">
      <c r="A279" s="212"/>
      <c r="B279" s="237">
        <v>46054</v>
      </c>
      <c r="C279" s="211" t="s">
        <v>386</v>
      </c>
      <c r="D279" s="238" t="s">
        <v>787</v>
      </c>
      <c r="E279" s="211" t="s">
        <v>575</v>
      </c>
      <c r="F279" s="211"/>
      <c r="G279" s="211"/>
      <c r="H279" s="211">
        <v>1</v>
      </c>
      <c r="I279" s="211">
        <v>1</v>
      </c>
      <c r="J279" s="240">
        <v>1</v>
      </c>
      <c r="K279" s="211">
        <v>1</v>
      </c>
      <c r="L279" s="211">
        <v>1</v>
      </c>
      <c r="M279" s="211">
        <v>1</v>
      </c>
      <c r="N279" s="211">
        <v>1</v>
      </c>
      <c r="O279" s="211">
        <v>1</v>
      </c>
      <c r="P279" s="211">
        <v>1</v>
      </c>
      <c r="Q279" s="211"/>
      <c r="R279" s="211">
        <v>1</v>
      </c>
      <c r="S279" s="211">
        <v>1</v>
      </c>
      <c r="T279" s="211">
        <v>1</v>
      </c>
      <c r="U279" s="240">
        <v>1</v>
      </c>
      <c r="V279" s="211">
        <v>1</v>
      </c>
      <c r="W279" s="211">
        <v>1</v>
      </c>
      <c r="X279" s="211"/>
      <c r="Y279" s="211">
        <v>1</v>
      </c>
      <c r="Z279" s="211">
        <v>1</v>
      </c>
      <c r="AA279" s="211">
        <v>1</v>
      </c>
      <c r="AB279" s="211"/>
      <c r="AC279" s="211">
        <v>1</v>
      </c>
      <c r="AD279" s="211">
        <v>1</v>
      </c>
      <c r="AE279" s="211">
        <v>1</v>
      </c>
      <c r="AF279" s="240">
        <v>1</v>
      </c>
      <c r="AG279" s="211">
        <v>1</v>
      </c>
      <c r="AH279" s="211">
        <v>1</v>
      </c>
      <c r="AI279" s="211">
        <v>1</v>
      </c>
      <c r="AJ279" s="211">
        <v>1</v>
      </c>
      <c r="AK279" s="211">
        <v>1</v>
      </c>
      <c r="AL279" s="211">
        <v>1</v>
      </c>
      <c r="AM279" s="211"/>
      <c r="AN279" s="211"/>
      <c r="AO279" s="211"/>
      <c r="AP279" s="211"/>
      <c r="AQ279" s="240"/>
      <c r="AR279" s="240">
        <v>1</v>
      </c>
      <c r="AS279" s="240">
        <v>1</v>
      </c>
      <c r="AT279" s="211">
        <v>1</v>
      </c>
      <c r="AU279" s="211">
        <v>1</v>
      </c>
      <c r="AV279" s="242">
        <v>1</v>
      </c>
      <c r="AW279" s="240">
        <v>1</v>
      </c>
      <c r="AX279" s="240">
        <v>1</v>
      </c>
      <c r="AY279" s="240"/>
      <c r="AZ279" s="203">
        <v>1</v>
      </c>
      <c r="BA279" s="203">
        <v>1</v>
      </c>
      <c r="BB279" s="203"/>
      <c r="BC279" s="203"/>
    </row>
    <row r="280" spans="1:55" ht="21" hidden="1" customHeight="1">
      <c r="A280" s="212"/>
      <c r="B280" s="237">
        <v>46054</v>
      </c>
      <c r="C280" s="211" t="s">
        <v>386</v>
      </c>
      <c r="D280" s="238" t="s">
        <v>788</v>
      </c>
      <c r="E280" s="211" t="s">
        <v>565</v>
      </c>
      <c r="F280" s="211"/>
      <c r="G280" s="211"/>
      <c r="H280" s="211"/>
      <c r="I280" s="211"/>
      <c r="J280" s="240"/>
      <c r="K280" s="211">
        <v>1</v>
      </c>
      <c r="L280" s="211">
        <v>1</v>
      </c>
      <c r="M280" s="211">
        <v>1</v>
      </c>
      <c r="N280" s="211">
        <v>1</v>
      </c>
      <c r="O280" s="211"/>
      <c r="P280" s="211">
        <v>1</v>
      </c>
      <c r="Q280" s="211"/>
      <c r="R280" s="211">
        <v>1</v>
      </c>
      <c r="S280" s="211">
        <v>1</v>
      </c>
      <c r="T280" s="211">
        <v>1</v>
      </c>
      <c r="U280" s="240">
        <v>1</v>
      </c>
      <c r="V280" s="211">
        <v>1</v>
      </c>
      <c r="W280" s="211">
        <v>1</v>
      </c>
      <c r="X280" s="211"/>
      <c r="Y280" s="211"/>
      <c r="Z280" s="211">
        <v>1</v>
      </c>
      <c r="AA280" s="211">
        <v>1</v>
      </c>
      <c r="AB280" s="211"/>
      <c r="AC280" s="211">
        <v>1</v>
      </c>
      <c r="AD280" s="211"/>
      <c r="AE280" s="211"/>
      <c r="AF280" s="240">
        <v>1</v>
      </c>
      <c r="AG280" s="240">
        <v>1</v>
      </c>
      <c r="AH280" s="211">
        <v>1</v>
      </c>
      <c r="AI280" s="211">
        <v>1</v>
      </c>
      <c r="AJ280" s="211">
        <v>1</v>
      </c>
      <c r="AK280" s="211">
        <v>1</v>
      </c>
      <c r="AL280" s="211">
        <v>1</v>
      </c>
      <c r="AM280" s="211"/>
      <c r="AN280" s="211"/>
      <c r="AO280" s="211">
        <v>1</v>
      </c>
      <c r="AP280" s="211">
        <v>1</v>
      </c>
      <c r="AQ280" s="211">
        <v>1</v>
      </c>
      <c r="AR280" s="240"/>
      <c r="AS280" s="240"/>
      <c r="AT280" s="211">
        <v>1</v>
      </c>
      <c r="AU280" s="211">
        <v>1</v>
      </c>
      <c r="AV280" s="242"/>
      <c r="AW280" s="240"/>
      <c r="AX280" s="240">
        <v>1</v>
      </c>
      <c r="AY280" s="240"/>
      <c r="AZ280" s="203">
        <v>1</v>
      </c>
      <c r="BA280" s="203">
        <v>1</v>
      </c>
      <c r="BB280" s="203"/>
      <c r="BC280" s="203"/>
    </row>
    <row r="281" spans="1:55" ht="21" hidden="1" customHeight="1">
      <c r="A281" s="212"/>
      <c r="B281" s="237">
        <v>46054</v>
      </c>
      <c r="C281" s="211" t="s">
        <v>386</v>
      </c>
      <c r="D281" s="238" t="s">
        <v>789</v>
      </c>
      <c r="E281" s="211" t="s">
        <v>575</v>
      </c>
      <c r="F281" s="211"/>
      <c r="G281" s="211"/>
      <c r="H281" s="211">
        <v>1</v>
      </c>
      <c r="I281" s="211">
        <v>1</v>
      </c>
      <c r="J281" s="240">
        <v>1</v>
      </c>
      <c r="K281" s="211">
        <v>1</v>
      </c>
      <c r="L281" s="211">
        <v>1</v>
      </c>
      <c r="M281" s="211"/>
      <c r="N281" s="211"/>
      <c r="O281" s="211">
        <v>1</v>
      </c>
      <c r="P281" s="211">
        <v>1</v>
      </c>
      <c r="Q281" s="211"/>
      <c r="R281" s="211">
        <v>1</v>
      </c>
      <c r="S281" s="211">
        <v>1</v>
      </c>
      <c r="T281" s="211">
        <v>1</v>
      </c>
      <c r="U281" s="240">
        <v>1</v>
      </c>
      <c r="V281" s="211">
        <v>1</v>
      </c>
      <c r="W281" s="211">
        <v>1</v>
      </c>
      <c r="X281" s="211"/>
      <c r="Y281" s="211">
        <v>1</v>
      </c>
      <c r="Z281" s="211">
        <v>1</v>
      </c>
      <c r="AA281" s="211">
        <v>1</v>
      </c>
      <c r="AB281" s="211"/>
      <c r="AC281" s="211">
        <v>1</v>
      </c>
      <c r="AD281" s="211">
        <v>1</v>
      </c>
      <c r="AE281" s="211">
        <v>1</v>
      </c>
      <c r="AF281" s="211">
        <v>1</v>
      </c>
      <c r="AG281" s="211">
        <v>1</v>
      </c>
      <c r="AH281" s="211">
        <v>1</v>
      </c>
      <c r="AI281" s="211"/>
      <c r="AJ281" s="211">
        <v>1</v>
      </c>
      <c r="AK281" s="211"/>
      <c r="AL281" s="211"/>
      <c r="AM281" s="211"/>
      <c r="AN281" s="211"/>
      <c r="AO281" s="211"/>
      <c r="AP281" s="211"/>
      <c r="AQ281" s="240"/>
      <c r="AR281" s="240">
        <v>1</v>
      </c>
      <c r="AS281" s="240">
        <v>1</v>
      </c>
      <c r="AT281" s="211"/>
      <c r="AU281" s="211"/>
      <c r="AV281" s="242"/>
      <c r="AW281" s="240"/>
      <c r="AX281" s="240"/>
      <c r="AY281" s="240"/>
      <c r="AZ281" s="242"/>
      <c r="BA281" s="203">
        <v>1</v>
      </c>
      <c r="BB281" s="203"/>
      <c r="BC281" s="203"/>
    </row>
    <row r="282" spans="1:55" ht="21" hidden="1" customHeight="1">
      <c r="A282" s="212"/>
      <c r="B282" s="237">
        <v>46054</v>
      </c>
      <c r="C282" s="211" t="s">
        <v>386</v>
      </c>
      <c r="D282" s="238" t="s">
        <v>790</v>
      </c>
      <c r="E282" s="211" t="s">
        <v>571</v>
      </c>
      <c r="F282" s="211"/>
      <c r="G282" s="211">
        <v>1</v>
      </c>
      <c r="H282" s="211">
        <v>1</v>
      </c>
      <c r="I282" s="211">
        <v>1</v>
      </c>
      <c r="J282" s="240">
        <v>1</v>
      </c>
      <c r="K282" s="211">
        <v>1</v>
      </c>
      <c r="L282" s="211">
        <v>1</v>
      </c>
      <c r="M282" s="211">
        <v>1</v>
      </c>
      <c r="N282" s="211">
        <v>1</v>
      </c>
      <c r="O282" s="211">
        <v>1</v>
      </c>
      <c r="P282" s="211">
        <v>1</v>
      </c>
      <c r="Q282" s="211"/>
      <c r="R282" s="211">
        <v>1</v>
      </c>
      <c r="S282" s="211">
        <v>1</v>
      </c>
      <c r="T282" s="211">
        <v>1</v>
      </c>
      <c r="U282" s="240">
        <v>1</v>
      </c>
      <c r="V282" s="211">
        <v>1</v>
      </c>
      <c r="W282" s="211">
        <v>1</v>
      </c>
      <c r="X282" s="211"/>
      <c r="Y282" s="211"/>
      <c r="Z282" s="211">
        <v>1</v>
      </c>
      <c r="AA282" s="211">
        <v>1</v>
      </c>
      <c r="AB282" s="211"/>
      <c r="AC282" s="211"/>
      <c r="AD282" s="211">
        <v>1</v>
      </c>
      <c r="AE282" s="211">
        <v>1</v>
      </c>
      <c r="AF282" s="240">
        <v>1</v>
      </c>
      <c r="AG282" s="240">
        <v>1</v>
      </c>
      <c r="AH282" s="211">
        <v>1</v>
      </c>
      <c r="AI282" s="211"/>
      <c r="AJ282" s="211">
        <v>1</v>
      </c>
      <c r="AK282" s="211">
        <v>1</v>
      </c>
      <c r="AL282" s="211">
        <v>1</v>
      </c>
      <c r="AM282" s="211"/>
      <c r="AN282" s="211"/>
      <c r="AO282" s="211">
        <v>1</v>
      </c>
      <c r="AP282" s="211">
        <v>1</v>
      </c>
      <c r="AQ282" s="240">
        <v>1</v>
      </c>
      <c r="AR282" s="240">
        <v>1</v>
      </c>
      <c r="AS282" s="240"/>
      <c r="AT282" s="211"/>
      <c r="AU282" s="211"/>
      <c r="AV282" s="242"/>
      <c r="AW282" s="240"/>
      <c r="AX282" s="240"/>
      <c r="AY282" s="240"/>
      <c r="AZ282" s="203">
        <v>1</v>
      </c>
      <c r="BA282" s="203">
        <v>1</v>
      </c>
      <c r="BB282" s="203"/>
      <c r="BC282" s="203"/>
    </row>
    <row r="283" spans="1:55" ht="21" customHeight="1">
      <c r="A283" s="212"/>
      <c r="B283" s="237">
        <v>46054</v>
      </c>
      <c r="C283" s="211" t="s">
        <v>395</v>
      </c>
      <c r="D283" s="238" t="s">
        <v>791</v>
      </c>
      <c r="E283" s="211" t="s">
        <v>408</v>
      </c>
      <c r="F283" s="211"/>
      <c r="G283" s="211"/>
      <c r="H283" s="211">
        <v>1</v>
      </c>
      <c r="I283" s="211">
        <v>1</v>
      </c>
      <c r="J283" s="240">
        <v>1</v>
      </c>
      <c r="K283" s="211">
        <v>1</v>
      </c>
      <c r="L283" s="211">
        <v>1</v>
      </c>
      <c r="M283" s="211"/>
      <c r="N283" s="211">
        <v>1</v>
      </c>
      <c r="O283" s="211">
        <v>1</v>
      </c>
      <c r="P283" s="211">
        <v>1</v>
      </c>
      <c r="Q283" s="211"/>
      <c r="R283" s="211"/>
      <c r="S283" s="211">
        <v>1</v>
      </c>
      <c r="T283" s="211">
        <v>1</v>
      </c>
      <c r="U283" s="240">
        <v>1</v>
      </c>
      <c r="V283" s="211">
        <v>1</v>
      </c>
      <c r="W283" s="211">
        <v>1</v>
      </c>
      <c r="X283" s="211"/>
      <c r="Y283" s="211"/>
      <c r="Z283" s="211"/>
      <c r="AA283" s="211">
        <v>1</v>
      </c>
      <c r="AB283" s="211"/>
      <c r="AC283" s="211">
        <v>1</v>
      </c>
      <c r="AD283" s="211">
        <v>1</v>
      </c>
      <c r="AE283" s="211">
        <v>1</v>
      </c>
      <c r="AF283" s="240">
        <v>1</v>
      </c>
      <c r="AG283" s="211">
        <v>1</v>
      </c>
      <c r="AH283" s="211">
        <v>1</v>
      </c>
      <c r="AI283" s="211"/>
      <c r="AJ283" s="211">
        <v>1</v>
      </c>
      <c r="AK283" s="211">
        <v>1</v>
      </c>
      <c r="AL283" s="211">
        <v>1</v>
      </c>
      <c r="AM283" s="211"/>
      <c r="AN283" s="211">
        <v>1</v>
      </c>
      <c r="AO283" s="211">
        <v>1</v>
      </c>
      <c r="AP283" s="211">
        <v>1</v>
      </c>
      <c r="AQ283" s="240">
        <v>1</v>
      </c>
      <c r="AR283" s="240">
        <v>1</v>
      </c>
      <c r="AS283" s="240"/>
      <c r="AT283" s="211"/>
      <c r="AU283" s="211"/>
      <c r="AV283" s="242"/>
      <c r="AW283" s="240"/>
      <c r="AX283" s="240">
        <v>1</v>
      </c>
      <c r="AY283" s="240"/>
      <c r="AZ283" s="203">
        <v>1</v>
      </c>
      <c r="BA283" s="203">
        <v>1</v>
      </c>
      <c r="BB283" s="203">
        <v>1</v>
      </c>
      <c r="BC283" s="203">
        <v>1</v>
      </c>
    </row>
    <row r="284" spans="1:55" ht="21" customHeight="1">
      <c r="A284" s="212"/>
      <c r="B284" s="237">
        <v>46054</v>
      </c>
      <c r="C284" s="211" t="s">
        <v>395</v>
      </c>
      <c r="D284" s="238" t="s">
        <v>792</v>
      </c>
      <c r="E284" s="211" t="s">
        <v>408</v>
      </c>
      <c r="F284" s="211"/>
      <c r="G284" s="211">
        <v>1</v>
      </c>
      <c r="H284" s="211">
        <v>1</v>
      </c>
      <c r="I284" s="211">
        <v>1</v>
      </c>
      <c r="J284" s="240">
        <v>1</v>
      </c>
      <c r="K284" s="211">
        <v>1</v>
      </c>
      <c r="L284" s="211">
        <v>1</v>
      </c>
      <c r="M284" s="211"/>
      <c r="N284" s="211">
        <v>1</v>
      </c>
      <c r="O284" s="211">
        <v>1</v>
      </c>
      <c r="P284" s="211">
        <v>1</v>
      </c>
      <c r="Q284" s="211"/>
      <c r="R284" s="211"/>
      <c r="S284" s="211">
        <v>1</v>
      </c>
      <c r="T284" s="211">
        <v>1</v>
      </c>
      <c r="U284" s="240">
        <v>1</v>
      </c>
      <c r="V284" s="211">
        <v>1</v>
      </c>
      <c r="W284" s="211">
        <v>1</v>
      </c>
      <c r="X284" s="211">
        <v>1</v>
      </c>
      <c r="Y284" s="211"/>
      <c r="Z284" s="211">
        <v>1</v>
      </c>
      <c r="AA284" s="211">
        <v>1</v>
      </c>
      <c r="AB284" s="211"/>
      <c r="AC284" s="211">
        <v>1</v>
      </c>
      <c r="AD284" s="211">
        <v>1</v>
      </c>
      <c r="AE284" s="211">
        <v>1</v>
      </c>
      <c r="AF284" s="240">
        <v>1</v>
      </c>
      <c r="AG284" s="211">
        <v>1</v>
      </c>
      <c r="AH284" s="211">
        <v>1</v>
      </c>
      <c r="AI284" s="211"/>
      <c r="AJ284" s="211">
        <v>1</v>
      </c>
      <c r="AK284" s="211">
        <v>1</v>
      </c>
      <c r="AL284" s="211">
        <v>1</v>
      </c>
      <c r="AM284" s="211"/>
      <c r="AN284" s="211"/>
      <c r="AO284" s="211">
        <v>1</v>
      </c>
      <c r="AP284" s="211">
        <v>1</v>
      </c>
      <c r="AQ284" s="240">
        <v>1</v>
      </c>
      <c r="AR284" s="240">
        <v>1</v>
      </c>
      <c r="AS284" s="240">
        <v>1</v>
      </c>
      <c r="AT284" s="211">
        <v>1</v>
      </c>
      <c r="AU284" s="211">
        <v>1</v>
      </c>
      <c r="AV284" s="242">
        <v>1</v>
      </c>
      <c r="AW284" s="240">
        <v>1</v>
      </c>
      <c r="AX284" s="240">
        <v>1</v>
      </c>
      <c r="AY284" s="240"/>
      <c r="AZ284" s="203">
        <v>1</v>
      </c>
      <c r="BA284" s="203">
        <v>1</v>
      </c>
      <c r="BB284" s="203">
        <v>1</v>
      </c>
      <c r="BC284" s="203">
        <v>1</v>
      </c>
    </row>
    <row r="285" spans="1:55" ht="21" customHeight="1">
      <c r="A285" s="212"/>
      <c r="B285" s="237">
        <v>46054</v>
      </c>
      <c r="C285" s="211" t="s">
        <v>395</v>
      </c>
      <c r="D285" s="238" t="s">
        <v>793</v>
      </c>
      <c r="E285" s="211" t="s">
        <v>565</v>
      </c>
      <c r="F285" s="211"/>
      <c r="G285" s="211">
        <v>1</v>
      </c>
      <c r="H285" s="211">
        <v>1</v>
      </c>
      <c r="I285" s="211">
        <v>1</v>
      </c>
      <c r="J285" s="240">
        <v>1</v>
      </c>
      <c r="K285" s="211">
        <v>1</v>
      </c>
      <c r="L285" s="211">
        <v>1</v>
      </c>
      <c r="M285" s="211">
        <v>1</v>
      </c>
      <c r="N285" s="211">
        <v>1</v>
      </c>
      <c r="O285" s="211">
        <v>1</v>
      </c>
      <c r="P285" s="211">
        <v>1</v>
      </c>
      <c r="Q285" s="211"/>
      <c r="R285" s="211"/>
      <c r="S285" s="211">
        <v>1</v>
      </c>
      <c r="T285" s="211">
        <v>1</v>
      </c>
      <c r="U285" s="240">
        <v>1</v>
      </c>
      <c r="V285" s="211">
        <v>1</v>
      </c>
      <c r="W285" s="211">
        <v>1</v>
      </c>
      <c r="X285" s="211"/>
      <c r="Y285" s="211">
        <v>1</v>
      </c>
      <c r="Z285" s="211"/>
      <c r="AA285" s="211">
        <v>1</v>
      </c>
      <c r="AB285" s="211"/>
      <c r="AC285" s="211"/>
      <c r="AD285" s="211">
        <v>1</v>
      </c>
      <c r="AE285" s="211">
        <v>1</v>
      </c>
      <c r="AF285" s="240">
        <v>1</v>
      </c>
      <c r="AG285" s="240">
        <v>1</v>
      </c>
      <c r="AH285" s="211"/>
      <c r="AI285" s="211">
        <v>1</v>
      </c>
      <c r="AJ285" s="211">
        <v>1</v>
      </c>
      <c r="AK285" s="211">
        <v>1</v>
      </c>
      <c r="AL285" s="211">
        <v>1</v>
      </c>
      <c r="AM285" s="211"/>
      <c r="AN285" s="211">
        <v>1</v>
      </c>
      <c r="AO285" s="211">
        <v>1</v>
      </c>
      <c r="AP285" s="211">
        <v>1</v>
      </c>
      <c r="AQ285" s="240">
        <v>1</v>
      </c>
      <c r="AR285" s="240">
        <v>1</v>
      </c>
      <c r="AS285" s="240">
        <v>1</v>
      </c>
      <c r="AT285" s="211">
        <v>1</v>
      </c>
      <c r="AU285" s="211">
        <v>1</v>
      </c>
      <c r="AV285" s="242"/>
      <c r="AW285" s="240"/>
      <c r="AX285" s="240">
        <v>1</v>
      </c>
      <c r="AY285" s="240"/>
      <c r="AZ285" s="203">
        <v>1</v>
      </c>
      <c r="BA285" s="203">
        <v>1</v>
      </c>
      <c r="BB285" s="203">
        <v>1</v>
      </c>
      <c r="BC285" s="203">
        <v>1</v>
      </c>
    </row>
    <row r="286" spans="1:55" ht="21" customHeight="1">
      <c r="A286" s="212"/>
      <c r="B286" s="237">
        <v>46054</v>
      </c>
      <c r="C286" s="211" t="s">
        <v>395</v>
      </c>
      <c r="D286" s="238" t="s">
        <v>794</v>
      </c>
      <c r="E286" s="211" t="s">
        <v>631</v>
      </c>
      <c r="F286" s="211"/>
      <c r="G286" s="211"/>
      <c r="H286" s="211">
        <v>1</v>
      </c>
      <c r="I286" s="211">
        <v>1</v>
      </c>
      <c r="J286" s="240">
        <v>1</v>
      </c>
      <c r="K286" s="211">
        <v>1</v>
      </c>
      <c r="L286" s="211">
        <v>1</v>
      </c>
      <c r="M286" s="211">
        <v>1</v>
      </c>
      <c r="N286" s="211">
        <v>1</v>
      </c>
      <c r="O286" s="211">
        <v>1</v>
      </c>
      <c r="P286" s="211">
        <v>1</v>
      </c>
      <c r="Q286" s="211"/>
      <c r="R286" s="211">
        <v>1</v>
      </c>
      <c r="S286" s="211">
        <v>1</v>
      </c>
      <c r="T286" s="211">
        <v>1</v>
      </c>
      <c r="U286" s="240">
        <v>1</v>
      </c>
      <c r="V286" s="211">
        <v>1</v>
      </c>
      <c r="W286" s="211">
        <v>1</v>
      </c>
      <c r="X286" s="211"/>
      <c r="Y286" s="211">
        <v>1</v>
      </c>
      <c r="Z286" s="211">
        <v>1</v>
      </c>
      <c r="AA286" s="211">
        <v>1</v>
      </c>
      <c r="AB286" s="211"/>
      <c r="AC286" s="211"/>
      <c r="AD286" s="211">
        <v>1</v>
      </c>
      <c r="AE286" s="211">
        <v>1</v>
      </c>
      <c r="AF286" s="240">
        <v>1</v>
      </c>
      <c r="AG286" s="211">
        <v>1</v>
      </c>
      <c r="AH286" s="211">
        <v>1</v>
      </c>
      <c r="AI286" s="211">
        <v>1</v>
      </c>
      <c r="AJ286" s="211">
        <v>1</v>
      </c>
      <c r="AK286" s="211">
        <v>1</v>
      </c>
      <c r="AL286" s="211">
        <v>1</v>
      </c>
      <c r="AM286" s="211"/>
      <c r="AN286" s="211">
        <v>1</v>
      </c>
      <c r="AO286" s="211">
        <v>1</v>
      </c>
      <c r="AP286" s="211">
        <v>1</v>
      </c>
      <c r="AQ286" s="240">
        <v>1</v>
      </c>
      <c r="AR286" s="240">
        <v>1</v>
      </c>
      <c r="AS286" s="240"/>
      <c r="AT286" s="211"/>
      <c r="AU286" s="211"/>
      <c r="AV286" s="242">
        <v>1</v>
      </c>
      <c r="AW286" s="240">
        <v>1</v>
      </c>
      <c r="AX286" s="240">
        <v>1</v>
      </c>
      <c r="AY286" s="240">
        <v>1</v>
      </c>
      <c r="AZ286" s="203">
        <v>1</v>
      </c>
      <c r="BA286" s="203">
        <v>1</v>
      </c>
      <c r="BB286" s="203"/>
      <c r="BC286" s="203"/>
    </row>
    <row r="287" spans="1:55" ht="21" hidden="1" customHeight="1">
      <c r="A287" s="212"/>
      <c r="B287" s="237">
        <v>46054</v>
      </c>
      <c r="C287" s="211" t="s">
        <v>386</v>
      </c>
      <c r="D287" s="238" t="s">
        <v>795</v>
      </c>
      <c r="E287" s="211" t="s">
        <v>571</v>
      </c>
      <c r="F287" s="211"/>
      <c r="G287" s="211">
        <v>1</v>
      </c>
      <c r="H287" s="211">
        <v>1</v>
      </c>
      <c r="I287" s="211">
        <v>1</v>
      </c>
      <c r="J287" s="240">
        <v>1</v>
      </c>
      <c r="K287" s="211">
        <v>1</v>
      </c>
      <c r="L287" s="211">
        <v>1</v>
      </c>
      <c r="M287" s="211">
        <v>1</v>
      </c>
      <c r="N287" s="211">
        <v>1</v>
      </c>
      <c r="O287" s="211"/>
      <c r="P287" s="211">
        <v>1</v>
      </c>
      <c r="Q287" s="211"/>
      <c r="R287" s="211">
        <v>1</v>
      </c>
      <c r="S287" s="211">
        <v>1</v>
      </c>
      <c r="T287" s="211">
        <v>1</v>
      </c>
      <c r="U287" s="240">
        <v>1</v>
      </c>
      <c r="V287" s="211">
        <v>1</v>
      </c>
      <c r="W287" s="211">
        <v>1</v>
      </c>
      <c r="X287" s="211">
        <v>1</v>
      </c>
      <c r="Y287" s="211">
        <v>1</v>
      </c>
      <c r="Z287" s="211">
        <v>1</v>
      </c>
      <c r="AA287" s="211">
        <v>1</v>
      </c>
      <c r="AB287" s="211"/>
      <c r="AC287" s="211"/>
      <c r="AD287" s="211">
        <v>1</v>
      </c>
      <c r="AE287" s="211">
        <v>1</v>
      </c>
      <c r="AF287" s="240">
        <v>1</v>
      </c>
      <c r="AG287" s="211">
        <v>1</v>
      </c>
      <c r="AH287" s="211">
        <v>1</v>
      </c>
      <c r="AI287" s="211">
        <v>1</v>
      </c>
      <c r="AJ287" s="211"/>
      <c r="AK287" s="211">
        <v>1</v>
      </c>
      <c r="AL287" s="211">
        <v>1</v>
      </c>
      <c r="AM287" s="211"/>
      <c r="AN287" s="211"/>
      <c r="AO287" s="211"/>
      <c r="AP287" s="211"/>
      <c r="AQ287" s="240"/>
      <c r="AR287" s="240"/>
      <c r="AS287" s="240">
        <v>1</v>
      </c>
      <c r="AT287" s="211">
        <v>1</v>
      </c>
      <c r="AU287" s="211">
        <v>1</v>
      </c>
      <c r="AV287" s="242"/>
      <c r="AW287" s="240"/>
      <c r="AX287" s="240"/>
      <c r="AY287" s="240"/>
      <c r="AZ287" s="203">
        <v>1</v>
      </c>
      <c r="BA287" s="203">
        <v>1</v>
      </c>
      <c r="BB287" s="203"/>
      <c r="BC287" s="203"/>
    </row>
    <row r="288" spans="1:55" ht="21" hidden="1" customHeight="1">
      <c r="A288" s="212"/>
      <c r="B288" s="237">
        <v>46054</v>
      </c>
      <c r="C288" s="211" t="s">
        <v>386</v>
      </c>
      <c r="D288" s="238" t="s">
        <v>796</v>
      </c>
      <c r="E288" s="211" t="s">
        <v>541</v>
      </c>
      <c r="F288" s="211"/>
      <c r="G288" s="211"/>
      <c r="H288" s="211">
        <v>1</v>
      </c>
      <c r="I288" s="211">
        <v>1</v>
      </c>
      <c r="J288" s="240">
        <v>1</v>
      </c>
      <c r="K288" s="211">
        <v>1</v>
      </c>
      <c r="L288" s="211">
        <v>1</v>
      </c>
      <c r="M288" s="211"/>
      <c r="N288" s="211">
        <v>1</v>
      </c>
      <c r="O288" s="211">
        <v>1</v>
      </c>
      <c r="P288" s="211">
        <v>1</v>
      </c>
      <c r="Q288" s="211"/>
      <c r="R288" s="211">
        <v>1</v>
      </c>
      <c r="S288" s="211">
        <v>1</v>
      </c>
      <c r="T288" s="211">
        <v>1</v>
      </c>
      <c r="U288" s="240">
        <v>1</v>
      </c>
      <c r="V288" s="211">
        <v>1</v>
      </c>
      <c r="W288" s="211">
        <v>1</v>
      </c>
      <c r="X288" s="211">
        <v>1</v>
      </c>
      <c r="Y288" s="211"/>
      <c r="Z288" s="211">
        <v>1</v>
      </c>
      <c r="AA288" s="211">
        <v>1</v>
      </c>
      <c r="AB288" s="211"/>
      <c r="AC288" s="211">
        <v>1</v>
      </c>
      <c r="AD288" s="211">
        <v>1</v>
      </c>
      <c r="AE288" s="211">
        <v>1</v>
      </c>
      <c r="AF288" s="240">
        <v>1</v>
      </c>
      <c r="AG288" s="211">
        <v>1</v>
      </c>
      <c r="AH288" s="211">
        <v>1</v>
      </c>
      <c r="AI288" s="211">
        <v>1</v>
      </c>
      <c r="AJ288" s="211">
        <v>1</v>
      </c>
      <c r="AK288" s="211">
        <v>1</v>
      </c>
      <c r="AL288" s="211">
        <v>1</v>
      </c>
      <c r="AM288" s="211"/>
      <c r="AN288" s="211"/>
      <c r="AO288" s="211"/>
      <c r="AP288" s="211"/>
      <c r="AQ288" s="240"/>
      <c r="AR288" s="240">
        <v>1</v>
      </c>
      <c r="AS288" s="240"/>
      <c r="AT288" s="211"/>
      <c r="AU288" s="211"/>
      <c r="AV288" s="242"/>
      <c r="AW288" s="240"/>
      <c r="AX288" s="240"/>
      <c r="AY288" s="240"/>
      <c r="AZ288" s="203">
        <v>1</v>
      </c>
      <c r="BA288" s="203">
        <v>1</v>
      </c>
      <c r="BB288" s="203"/>
      <c r="BC288" s="203"/>
    </row>
    <row r="289" spans="1:55" ht="21" hidden="1" customHeight="1">
      <c r="A289" s="212"/>
      <c r="B289" s="237">
        <v>46054</v>
      </c>
      <c r="C289" s="211" t="s">
        <v>386</v>
      </c>
      <c r="D289" s="238" t="s">
        <v>797</v>
      </c>
      <c r="E289" s="211" t="s">
        <v>408</v>
      </c>
      <c r="F289" s="211"/>
      <c r="G289" s="211"/>
      <c r="H289" s="211"/>
      <c r="I289" s="211"/>
      <c r="J289" s="240">
        <v>1</v>
      </c>
      <c r="K289" s="211">
        <v>1</v>
      </c>
      <c r="L289" s="211">
        <v>1</v>
      </c>
      <c r="M289" s="211">
        <v>1</v>
      </c>
      <c r="N289" s="211">
        <v>1</v>
      </c>
      <c r="O289" s="211">
        <v>1</v>
      </c>
      <c r="P289" s="211">
        <v>1</v>
      </c>
      <c r="Q289" s="211"/>
      <c r="R289" s="211">
        <v>1</v>
      </c>
      <c r="S289" s="211">
        <v>1</v>
      </c>
      <c r="T289" s="211">
        <v>1</v>
      </c>
      <c r="U289" s="240">
        <v>1</v>
      </c>
      <c r="V289" s="211">
        <v>1</v>
      </c>
      <c r="W289" s="211">
        <v>1</v>
      </c>
      <c r="X289" s="211">
        <v>1</v>
      </c>
      <c r="Y289" s="211"/>
      <c r="Z289" s="211">
        <v>1</v>
      </c>
      <c r="AA289" s="211">
        <v>1</v>
      </c>
      <c r="AB289" s="211"/>
      <c r="AC289" s="211">
        <v>1</v>
      </c>
      <c r="AD289" s="211">
        <v>1</v>
      </c>
      <c r="AE289" s="211">
        <v>1</v>
      </c>
      <c r="AF289" s="211">
        <v>1</v>
      </c>
      <c r="AG289" s="211">
        <v>1</v>
      </c>
      <c r="AH289" s="211">
        <v>1</v>
      </c>
      <c r="AI289" s="211">
        <v>1</v>
      </c>
      <c r="AJ289" s="211">
        <v>1</v>
      </c>
      <c r="AK289" s="211">
        <v>1</v>
      </c>
      <c r="AL289" s="211">
        <v>1</v>
      </c>
      <c r="AM289" s="211"/>
      <c r="AN289" s="211"/>
      <c r="AO289" s="211">
        <v>1</v>
      </c>
      <c r="AP289" s="211">
        <v>1</v>
      </c>
      <c r="AQ289" s="240">
        <v>1</v>
      </c>
      <c r="AR289" s="240">
        <v>1</v>
      </c>
      <c r="AS289" s="240"/>
      <c r="AT289" s="211"/>
      <c r="AU289" s="211"/>
      <c r="AV289" s="242"/>
      <c r="AW289" s="240"/>
      <c r="AX289" s="240">
        <v>1</v>
      </c>
      <c r="AY289" s="240"/>
      <c r="AZ289" s="203">
        <v>1</v>
      </c>
      <c r="BA289" s="203">
        <v>1</v>
      </c>
      <c r="BB289" s="203"/>
      <c r="BC289" s="203"/>
    </row>
    <row r="290" spans="1:55" ht="21" hidden="1" customHeight="1">
      <c r="A290" s="212"/>
      <c r="B290" s="237">
        <v>46054</v>
      </c>
      <c r="C290" s="211" t="s">
        <v>386</v>
      </c>
      <c r="D290" s="238" t="s">
        <v>798</v>
      </c>
      <c r="E290" s="211" t="s">
        <v>541</v>
      </c>
      <c r="F290" s="211"/>
      <c r="G290" s="211"/>
      <c r="H290" s="211"/>
      <c r="I290" s="211"/>
      <c r="J290" s="240">
        <v>1</v>
      </c>
      <c r="K290" s="211">
        <v>1</v>
      </c>
      <c r="L290" s="211">
        <v>1</v>
      </c>
      <c r="M290" s="211">
        <v>1</v>
      </c>
      <c r="N290" s="211">
        <v>1</v>
      </c>
      <c r="O290" s="211"/>
      <c r="P290" s="211">
        <v>1</v>
      </c>
      <c r="Q290" s="211"/>
      <c r="R290" s="211">
        <v>1</v>
      </c>
      <c r="S290" s="211">
        <v>1</v>
      </c>
      <c r="T290" s="211">
        <v>1</v>
      </c>
      <c r="U290" s="240">
        <v>1</v>
      </c>
      <c r="V290" s="211">
        <v>1</v>
      </c>
      <c r="W290" s="211">
        <v>1</v>
      </c>
      <c r="X290" s="211">
        <v>1</v>
      </c>
      <c r="Y290" s="211">
        <v>1</v>
      </c>
      <c r="Z290" s="211">
        <v>1</v>
      </c>
      <c r="AA290" s="211">
        <v>1</v>
      </c>
      <c r="AB290" s="211"/>
      <c r="AC290" s="211">
        <v>1</v>
      </c>
      <c r="AD290" s="211">
        <v>1</v>
      </c>
      <c r="AE290" s="211">
        <v>1</v>
      </c>
      <c r="AF290" s="240">
        <v>1</v>
      </c>
      <c r="AG290" s="240">
        <v>1</v>
      </c>
      <c r="AH290" s="211">
        <v>1</v>
      </c>
      <c r="AI290" s="211">
        <v>1</v>
      </c>
      <c r="AJ290" s="211">
        <v>1</v>
      </c>
      <c r="AK290" s="211">
        <v>1</v>
      </c>
      <c r="AL290" s="211">
        <v>1</v>
      </c>
      <c r="AM290" s="211"/>
      <c r="AN290" s="211"/>
      <c r="AO290" s="211"/>
      <c r="AP290" s="211"/>
      <c r="AQ290" s="240"/>
      <c r="AR290" s="240">
        <v>1</v>
      </c>
      <c r="AS290" s="240"/>
      <c r="AT290" s="211"/>
      <c r="AU290" s="211"/>
      <c r="AV290" s="242"/>
      <c r="AW290" s="240"/>
      <c r="AX290" s="240">
        <v>1</v>
      </c>
      <c r="AY290" s="240"/>
      <c r="AZ290" s="203">
        <v>1</v>
      </c>
      <c r="BA290" s="203">
        <v>1</v>
      </c>
      <c r="BB290" s="203"/>
      <c r="BC290" s="203"/>
    </row>
    <row r="291" spans="1:55" ht="21" customHeight="1">
      <c r="A291" s="212"/>
      <c r="B291" s="237">
        <v>46054</v>
      </c>
      <c r="C291" s="211" t="s">
        <v>395</v>
      </c>
      <c r="D291" s="238" t="s">
        <v>799</v>
      </c>
      <c r="E291" s="211" t="s">
        <v>571</v>
      </c>
      <c r="F291" s="211"/>
      <c r="G291" s="211"/>
      <c r="H291" s="211">
        <v>1</v>
      </c>
      <c r="I291" s="211">
        <v>1</v>
      </c>
      <c r="J291" s="240">
        <v>1</v>
      </c>
      <c r="K291" s="211">
        <v>1</v>
      </c>
      <c r="L291" s="211">
        <v>1</v>
      </c>
      <c r="M291" s="211">
        <v>1</v>
      </c>
      <c r="N291" s="211">
        <v>1</v>
      </c>
      <c r="O291" s="211">
        <v>1</v>
      </c>
      <c r="P291" s="211">
        <v>1</v>
      </c>
      <c r="Q291" s="211"/>
      <c r="R291" s="211">
        <v>1</v>
      </c>
      <c r="S291" s="211"/>
      <c r="T291" s="211">
        <v>1</v>
      </c>
      <c r="U291" s="240">
        <v>1</v>
      </c>
      <c r="V291" s="211">
        <v>1</v>
      </c>
      <c r="W291" s="211">
        <v>1</v>
      </c>
      <c r="X291" s="211">
        <v>1</v>
      </c>
      <c r="Y291" s="211">
        <v>1</v>
      </c>
      <c r="Z291" s="211">
        <v>1</v>
      </c>
      <c r="AA291" s="211"/>
      <c r="AB291" s="211"/>
      <c r="AC291" s="211">
        <v>1</v>
      </c>
      <c r="AD291" s="211">
        <v>1</v>
      </c>
      <c r="AE291" s="211">
        <v>1</v>
      </c>
      <c r="AF291" s="240">
        <v>1</v>
      </c>
      <c r="AG291" s="211">
        <v>1</v>
      </c>
      <c r="AH291" s="211">
        <v>1</v>
      </c>
      <c r="AI291" s="211">
        <v>1</v>
      </c>
      <c r="AJ291" s="211">
        <v>1</v>
      </c>
      <c r="AK291" s="211">
        <v>1</v>
      </c>
      <c r="AL291" s="211">
        <v>1</v>
      </c>
      <c r="AM291" s="211"/>
      <c r="AN291" s="211">
        <v>1</v>
      </c>
      <c r="AO291" s="211">
        <v>1</v>
      </c>
      <c r="AP291" s="211">
        <v>1</v>
      </c>
      <c r="AQ291" s="240">
        <v>1</v>
      </c>
      <c r="AR291" s="240">
        <v>1</v>
      </c>
      <c r="AS291" s="240">
        <v>1</v>
      </c>
      <c r="AT291" s="211">
        <v>1</v>
      </c>
      <c r="AU291" s="211">
        <v>1</v>
      </c>
      <c r="AV291" s="240">
        <v>1</v>
      </c>
      <c r="AW291" s="240">
        <v>1</v>
      </c>
      <c r="AX291" s="240"/>
      <c r="AY291" s="240"/>
      <c r="AZ291" s="203">
        <v>1</v>
      </c>
      <c r="BA291" s="203">
        <v>1</v>
      </c>
      <c r="BB291" s="203">
        <v>1</v>
      </c>
      <c r="BC291" s="203">
        <v>1</v>
      </c>
    </row>
    <row r="292" spans="1:55" ht="21" customHeight="1">
      <c r="A292" s="212"/>
      <c r="B292" s="237">
        <v>46054</v>
      </c>
      <c r="C292" s="211" t="s">
        <v>395</v>
      </c>
      <c r="D292" s="238" t="s">
        <v>800</v>
      </c>
      <c r="E292" s="211" t="s">
        <v>565</v>
      </c>
      <c r="F292" s="211"/>
      <c r="G292" s="211">
        <v>1</v>
      </c>
      <c r="H292" s="211">
        <v>1</v>
      </c>
      <c r="I292" s="211">
        <v>1</v>
      </c>
      <c r="J292" s="240">
        <v>1</v>
      </c>
      <c r="K292" s="211">
        <v>1</v>
      </c>
      <c r="L292" s="211">
        <v>1</v>
      </c>
      <c r="M292" s="211">
        <v>1</v>
      </c>
      <c r="N292" s="211">
        <v>1</v>
      </c>
      <c r="O292" s="211">
        <v>1</v>
      </c>
      <c r="P292" s="211">
        <v>1</v>
      </c>
      <c r="Q292" s="211"/>
      <c r="R292" s="211">
        <v>1</v>
      </c>
      <c r="S292" s="211">
        <v>1</v>
      </c>
      <c r="T292" s="211">
        <v>1</v>
      </c>
      <c r="U292" s="240">
        <v>1</v>
      </c>
      <c r="V292" s="211">
        <v>1</v>
      </c>
      <c r="W292" s="211">
        <v>1</v>
      </c>
      <c r="X292" s="211"/>
      <c r="Y292" s="211">
        <v>1</v>
      </c>
      <c r="Z292" s="211">
        <v>1</v>
      </c>
      <c r="AA292" s="211">
        <v>1</v>
      </c>
      <c r="AB292" s="211"/>
      <c r="AC292" s="211">
        <v>1</v>
      </c>
      <c r="AD292" s="211">
        <v>1</v>
      </c>
      <c r="AE292" s="211">
        <v>1</v>
      </c>
      <c r="AF292" s="240">
        <v>1</v>
      </c>
      <c r="AG292" s="211">
        <v>1</v>
      </c>
      <c r="AH292" s="211">
        <v>1</v>
      </c>
      <c r="AI292" s="211">
        <v>1</v>
      </c>
      <c r="AJ292" s="211">
        <v>1</v>
      </c>
      <c r="AK292" s="211">
        <v>1</v>
      </c>
      <c r="AL292" s="211">
        <v>1</v>
      </c>
      <c r="AM292" s="211"/>
      <c r="AN292" s="211"/>
      <c r="AO292" s="211"/>
      <c r="AP292" s="211"/>
      <c r="AQ292" s="240"/>
      <c r="AR292" s="240">
        <v>1</v>
      </c>
      <c r="AS292" s="240"/>
      <c r="AT292" s="211"/>
      <c r="AU292" s="211"/>
      <c r="AV292" s="240">
        <v>1</v>
      </c>
      <c r="AW292" s="240">
        <v>1</v>
      </c>
      <c r="AX292" s="240">
        <v>1</v>
      </c>
      <c r="AY292" s="240">
        <v>1</v>
      </c>
      <c r="AZ292" s="203">
        <v>1</v>
      </c>
      <c r="BA292" s="203">
        <v>1</v>
      </c>
      <c r="BB292" s="203">
        <v>1</v>
      </c>
      <c r="BC292" s="203">
        <v>1</v>
      </c>
    </row>
    <row r="293" spans="1:55" ht="21" customHeight="1">
      <c r="A293" s="212"/>
      <c r="B293" s="237">
        <v>46054</v>
      </c>
      <c r="C293" s="211" t="s">
        <v>395</v>
      </c>
      <c r="D293" s="238" t="s">
        <v>801</v>
      </c>
      <c r="E293" s="211" t="s">
        <v>760</v>
      </c>
      <c r="F293" s="211"/>
      <c r="G293" s="211">
        <v>1</v>
      </c>
      <c r="H293" s="211">
        <v>1</v>
      </c>
      <c r="I293" s="211">
        <v>1</v>
      </c>
      <c r="J293" s="240">
        <v>1</v>
      </c>
      <c r="K293" s="211">
        <v>1</v>
      </c>
      <c r="L293" s="211">
        <v>1</v>
      </c>
      <c r="M293" s="211">
        <v>1</v>
      </c>
      <c r="N293" s="211">
        <v>1</v>
      </c>
      <c r="O293" s="211">
        <v>1</v>
      </c>
      <c r="P293" s="211">
        <v>1</v>
      </c>
      <c r="Q293" s="211"/>
      <c r="R293" s="211">
        <v>1</v>
      </c>
      <c r="S293" s="211">
        <v>1</v>
      </c>
      <c r="T293" s="211">
        <v>1</v>
      </c>
      <c r="U293" s="240">
        <v>1</v>
      </c>
      <c r="V293" s="211">
        <v>1</v>
      </c>
      <c r="W293" s="211">
        <v>1</v>
      </c>
      <c r="X293" s="211"/>
      <c r="Y293" s="211">
        <v>1</v>
      </c>
      <c r="Z293" s="211">
        <v>1</v>
      </c>
      <c r="AA293" s="211">
        <v>1</v>
      </c>
      <c r="AB293" s="211"/>
      <c r="AC293" s="211">
        <v>1</v>
      </c>
      <c r="AD293" s="211">
        <v>1</v>
      </c>
      <c r="AE293" s="211">
        <v>1</v>
      </c>
      <c r="AF293" s="240">
        <v>1</v>
      </c>
      <c r="AG293" s="211">
        <v>1</v>
      </c>
      <c r="AH293" s="211">
        <v>1</v>
      </c>
      <c r="AI293" s="211">
        <v>1</v>
      </c>
      <c r="AJ293" s="211">
        <v>1</v>
      </c>
      <c r="AK293" s="211">
        <v>1</v>
      </c>
      <c r="AL293" s="211">
        <v>1</v>
      </c>
      <c r="AM293" s="211"/>
      <c r="AN293" s="211"/>
      <c r="AO293" s="211"/>
      <c r="AP293" s="211"/>
      <c r="AQ293" s="240">
        <v>1</v>
      </c>
      <c r="AR293" s="240">
        <v>1</v>
      </c>
      <c r="AS293" s="240"/>
      <c r="AT293" s="211">
        <v>1</v>
      </c>
      <c r="AU293" s="211">
        <v>1</v>
      </c>
      <c r="AV293" s="240">
        <v>1</v>
      </c>
      <c r="AW293" s="240">
        <v>1</v>
      </c>
      <c r="AX293" s="240">
        <v>1</v>
      </c>
      <c r="AY293" s="240">
        <v>1</v>
      </c>
      <c r="AZ293" s="203">
        <v>1</v>
      </c>
      <c r="BA293" s="203">
        <v>1</v>
      </c>
      <c r="BB293" s="203">
        <v>1</v>
      </c>
      <c r="BC293" s="203">
        <v>1</v>
      </c>
    </row>
    <row r="294" spans="1:55" ht="21" customHeight="1">
      <c r="A294" s="212"/>
      <c r="B294" s="237">
        <v>46054</v>
      </c>
      <c r="C294" s="211" t="s">
        <v>395</v>
      </c>
      <c r="D294" s="238" t="s">
        <v>802</v>
      </c>
      <c r="E294" s="211" t="s">
        <v>545</v>
      </c>
      <c r="F294" s="211"/>
      <c r="G294" s="211">
        <v>1</v>
      </c>
      <c r="H294" s="211">
        <v>1</v>
      </c>
      <c r="I294" s="211">
        <v>1</v>
      </c>
      <c r="J294" s="240">
        <v>1</v>
      </c>
      <c r="K294" s="211">
        <v>1</v>
      </c>
      <c r="L294" s="211">
        <v>1</v>
      </c>
      <c r="M294" s="211">
        <v>1</v>
      </c>
      <c r="N294" s="211">
        <v>1</v>
      </c>
      <c r="O294" s="211">
        <v>1</v>
      </c>
      <c r="P294" s="211">
        <v>1</v>
      </c>
      <c r="Q294" s="211"/>
      <c r="R294" s="211">
        <v>1</v>
      </c>
      <c r="S294" s="211">
        <v>1</v>
      </c>
      <c r="T294" s="211">
        <v>1</v>
      </c>
      <c r="U294" s="240">
        <v>1</v>
      </c>
      <c r="V294" s="211">
        <v>1</v>
      </c>
      <c r="W294" s="211">
        <v>1</v>
      </c>
      <c r="X294" s="211">
        <v>1</v>
      </c>
      <c r="Y294" s="211">
        <v>1</v>
      </c>
      <c r="Z294" s="211">
        <v>1</v>
      </c>
      <c r="AA294" s="211">
        <v>1</v>
      </c>
      <c r="AB294" s="211"/>
      <c r="AC294" s="211">
        <v>1</v>
      </c>
      <c r="AD294" s="211">
        <v>1</v>
      </c>
      <c r="AE294" s="211">
        <v>1</v>
      </c>
      <c r="AF294" s="240">
        <v>1</v>
      </c>
      <c r="AG294" s="240">
        <v>1</v>
      </c>
      <c r="AH294" s="211">
        <v>1</v>
      </c>
      <c r="AI294" s="211">
        <v>1</v>
      </c>
      <c r="AJ294" s="211">
        <v>1</v>
      </c>
      <c r="AK294" s="211">
        <v>1</v>
      </c>
      <c r="AL294" s="211">
        <v>1</v>
      </c>
      <c r="AM294" s="211"/>
      <c r="AN294" s="211"/>
      <c r="AO294" s="211">
        <v>1</v>
      </c>
      <c r="AP294" s="211">
        <v>1</v>
      </c>
      <c r="AQ294" s="240"/>
      <c r="AR294" s="240">
        <v>1</v>
      </c>
      <c r="AS294" s="240">
        <v>1</v>
      </c>
      <c r="AT294" s="240">
        <v>1</v>
      </c>
      <c r="AU294" s="240">
        <v>1</v>
      </c>
      <c r="AV294" s="240">
        <v>1</v>
      </c>
      <c r="AW294" s="240">
        <v>1</v>
      </c>
      <c r="AX294" s="240">
        <v>1</v>
      </c>
      <c r="AY294" s="240">
        <v>1</v>
      </c>
      <c r="AZ294" s="203">
        <v>1</v>
      </c>
      <c r="BA294" s="203">
        <v>1</v>
      </c>
      <c r="BB294" s="203">
        <v>1</v>
      </c>
      <c r="BC294" s="203">
        <v>1</v>
      </c>
    </row>
    <row r="295" spans="1:55" ht="21" customHeight="1">
      <c r="A295" s="212"/>
      <c r="B295" s="237">
        <v>46054</v>
      </c>
      <c r="C295" s="211" t="s">
        <v>395</v>
      </c>
      <c r="D295" s="238" t="s">
        <v>803</v>
      </c>
      <c r="E295" s="211" t="s">
        <v>545</v>
      </c>
      <c r="F295" s="211"/>
      <c r="G295" s="211">
        <v>1</v>
      </c>
      <c r="H295" s="211">
        <v>1</v>
      </c>
      <c r="I295" s="211">
        <v>1</v>
      </c>
      <c r="J295" s="240">
        <v>1</v>
      </c>
      <c r="K295" s="211">
        <v>1</v>
      </c>
      <c r="L295" s="211">
        <v>1</v>
      </c>
      <c r="M295" s="211">
        <v>1</v>
      </c>
      <c r="N295" s="211">
        <v>1</v>
      </c>
      <c r="O295" s="211">
        <v>1</v>
      </c>
      <c r="P295" s="211">
        <v>1</v>
      </c>
      <c r="Q295" s="211"/>
      <c r="R295" s="211">
        <v>1</v>
      </c>
      <c r="S295" s="211">
        <v>1</v>
      </c>
      <c r="T295" s="211">
        <v>1</v>
      </c>
      <c r="U295" s="240">
        <v>1</v>
      </c>
      <c r="V295" s="211">
        <v>1</v>
      </c>
      <c r="W295" s="211">
        <v>1</v>
      </c>
      <c r="X295" s="211">
        <v>1</v>
      </c>
      <c r="Y295" s="211">
        <v>1</v>
      </c>
      <c r="Z295" s="211">
        <v>1</v>
      </c>
      <c r="AA295" s="211">
        <v>1</v>
      </c>
      <c r="AB295" s="211"/>
      <c r="AC295" s="211">
        <v>1</v>
      </c>
      <c r="AD295" s="211">
        <v>1</v>
      </c>
      <c r="AE295" s="211">
        <v>1</v>
      </c>
      <c r="AF295" s="240">
        <v>1</v>
      </c>
      <c r="AG295" s="211">
        <v>1</v>
      </c>
      <c r="AH295" s="211">
        <v>1</v>
      </c>
      <c r="AI295" s="211"/>
      <c r="AJ295" s="211">
        <v>1</v>
      </c>
      <c r="AK295" s="211">
        <v>1</v>
      </c>
      <c r="AL295" s="211">
        <v>1</v>
      </c>
      <c r="AM295" s="211"/>
      <c r="AN295" s="211"/>
      <c r="AO295" s="211"/>
      <c r="AP295" s="211"/>
      <c r="AQ295" s="240">
        <v>1</v>
      </c>
      <c r="AR295" s="240">
        <v>1</v>
      </c>
      <c r="AS295" s="240">
        <v>1</v>
      </c>
      <c r="AT295" s="240">
        <v>1</v>
      </c>
      <c r="AU295" s="240">
        <v>1</v>
      </c>
      <c r="AV295" s="240">
        <v>1</v>
      </c>
      <c r="AW295" s="240">
        <v>1</v>
      </c>
      <c r="AX295" s="240">
        <v>1</v>
      </c>
      <c r="AY295" s="240"/>
      <c r="AZ295" s="203">
        <v>1</v>
      </c>
      <c r="BA295" s="203">
        <v>1</v>
      </c>
      <c r="BB295" s="203">
        <v>1</v>
      </c>
      <c r="BC295" s="203">
        <v>1</v>
      </c>
    </row>
    <row r="296" spans="1:55" ht="21" hidden="1" customHeight="1">
      <c r="A296" s="212"/>
      <c r="B296" s="237">
        <v>46054</v>
      </c>
      <c r="C296" s="211" t="s">
        <v>386</v>
      </c>
      <c r="D296" s="238" t="s">
        <v>804</v>
      </c>
      <c r="E296" s="211" t="s">
        <v>620</v>
      </c>
      <c r="F296" s="211"/>
      <c r="G296" s="211">
        <v>1</v>
      </c>
      <c r="H296" s="211"/>
      <c r="I296" s="211">
        <v>1</v>
      </c>
      <c r="J296" s="240">
        <v>1</v>
      </c>
      <c r="K296" s="211">
        <v>1</v>
      </c>
      <c r="L296" s="211">
        <v>1</v>
      </c>
      <c r="M296" s="211"/>
      <c r="N296" s="211">
        <v>1</v>
      </c>
      <c r="O296" s="211">
        <v>1</v>
      </c>
      <c r="P296" s="211">
        <v>1</v>
      </c>
      <c r="Q296" s="211"/>
      <c r="R296" s="211">
        <v>1</v>
      </c>
      <c r="S296" s="211"/>
      <c r="T296" s="211"/>
      <c r="U296" s="240">
        <v>1</v>
      </c>
      <c r="V296" s="211">
        <v>1</v>
      </c>
      <c r="W296" s="211">
        <v>1</v>
      </c>
      <c r="X296" s="211">
        <v>1</v>
      </c>
      <c r="Y296" s="211">
        <v>1</v>
      </c>
      <c r="Z296" s="211">
        <v>1</v>
      </c>
      <c r="AA296" s="211">
        <v>1</v>
      </c>
      <c r="AB296" s="211"/>
      <c r="AC296" s="211">
        <v>1</v>
      </c>
      <c r="AD296" s="211">
        <v>1</v>
      </c>
      <c r="AE296" s="211">
        <v>1</v>
      </c>
      <c r="AF296" s="240">
        <v>1</v>
      </c>
      <c r="AG296" s="211">
        <v>1</v>
      </c>
      <c r="AH296" s="211">
        <v>1</v>
      </c>
      <c r="AI296" s="211"/>
      <c r="AJ296" s="211">
        <v>1</v>
      </c>
      <c r="AK296" s="211">
        <v>1</v>
      </c>
      <c r="AL296" s="211">
        <v>1</v>
      </c>
      <c r="AM296" s="211"/>
      <c r="AN296" s="211"/>
      <c r="AO296" s="211"/>
      <c r="AP296" s="211"/>
      <c r="AQ296" s="240"/>
      <c r="AR296" s="240"/>
      <c r="AS296" s="240"/>
      <c r="AT296" s="240"/>
      <c r="AU296" s="240"/>
      <c r="AV296" s="242"/>
      <c r="AW296" s="240"/>
      <c r="AX296" s="240">
        <v>1</v>
      </c>
      <c r="AY296" s="240">
        <v>1</v>
      </c>
      <c r="AZ296" s="203">
        <v>1</v>
      </c>
      <c r="BA296" s="203">
        <v>1</v>
      </c>
      <c r="BB296" s="203">
        <v>1</v>
      </c>
      <c r="BC296" s="203">
        <v>1</v>
      </c>
    </row>
    <row r="297" spans="1:55" ht="21" hidden="1" customHeight="1">
      <c r="A297" s="212"/>
      <c r="B297" s="237">
        <v>46054</v>
      </c>
      <c r="C297" s="211" t="s">
        <v>386</v>
      </c>
      <c r="D297" s="238" t="s">
        <v>805</v>
      </c>
      <c r="E297" s="211" t="s">
        <v>415</v>
      </c>
      <c r="F297" s="211"/>
      <c r="G297" s="211">
        <v>1</v>
      </c>
      <c r="H297" s="211">
        <v>1</v>
      </c>
      <c r="I297" s="211">
        <v>1</v>
      </c>
      <c r="J297" s="240">
        <v>1</v>
      </c>
      <c r="K297" s="211">
        <v>1</v>
      </c>
      <c r="L297" s="211">
        <v>1</v>
      </c>
      <c r="M297" s="211">
        <v>1</v>
      </c>
      <c r="N297" s="211">
        <v>1</v>
      </c>
      <c r="O297" s="211">
        <v>1</v>
      </c>
      <c r="P297" s="211">
        <v>1</v>
      </c>
      <c r="Q297" s="211"/>
      <c r="R297" s="211"/>
      <c r="S297" s="211">
        <v>1</v>
      </c>
      <c r="T297" s="211">
        <v>1</v>
      </c>
      <c r="U297" s="240">
        <v>1</v>
      </c>
      <c r="V297" s="211">
        <v>1</v>
      </c>
      <c r="W297" s="211">
        <v>1</v>
      </c>
      <c r="X297" s="211">
        <v>1</v>
      </c>
      <c r="Y297" s="211"/>
      <c r="Z297" s="211">
        <v>1</v>
      </c>
      <c r="AA297" s="211">
        <v>1</v>
      </c>
      <c r="AB297" s="211"/>
      <c r="AC297" s="211">
        <v>1</v>
      </c>
      <c r="AD297" s="211">
        <v>1</v>
      </c>
      <c r="AE297" s="211">
        <v>1</v>
      </c>
      <c r="AF297" s="240">
        <v>1</v>
      </c>
      <c r="AG297" s="211">
        <v>1</v>
      </c>
      <c r="AH297" s="211">
        <v>1</v>
      </c>
      <c r="AI297" s="211">
        <v>1</v>
      </c>
      <c r="AJ297" s="211">
        <v>1</v>
      </c>
      <c r="AK297" s="211">
        <v>1</v>
      </c>
      <c r="AL297" s="211">
        <v>1</v>
      </c>
      <c r="AM297" s="211"/>
      <c r="AN297" s="211">
        <v>1</v>
      </c>
      <c r="AO297" s="211">
        <v>1</v>
      </c>
      <c r="AP297" s="211">
        <v>1</v>
      </c>
      <c r="AQ297" s="240">
        <v>1</v>
      </c>
      <c r="AR297" s="240"/>
      <c r="AS297" s="240">
        <v>1</v>
      </c>
      <c r="AT297" s="240"/>
      <c r="AU297" s="240"/>
      <c r="AV297" s="242"/>
      <c r="AW297" s="240"/>
      <c r="AX297" s="240">
        <v>1</v>
      </c>
      <c r="AY297" s="240">
        <v>1</v>
      </c>
      <c r="AZ297" s="203">
        <v>1</v>
      </c>
      <c r="BA297" s="203">
        <v>1</v>
      </c>
      <c r="BB297" s="203">
        <v>1</v>
      </c>
      <c r="BC297" s="203">
        <v>1</v>
      </c>
    </row>
    <row r="298" spans="1:55" ht="21" hidden="1" customHeight="1">
      <c r="A298" s="212"/>
      <c r="B298" s="237">
        <v>46054</v>
      </c>
      <c r="C298" s="211" t="s">
        <v>386</v>
      </c>
      <c r="D298" s="238" t="s">
        <v>806</v>
      </c>
      <c r="E298" s="211" t="s">
        <v>415</v>
      </c>
      <c r="F298" s="211"/>
      <c r="G298" s="211">
        <v>1</v>
      </c>
      <c r="H298" s="211"/>
      <c r="I298" s="211">
        <v>1</v>
      </c>
      <c r="J298" s="240">
        <v>1</v>
      </c>
      <c r="K298" s="211">
        <v>1</v>
      </c>
      <c r="L298" s="211">
        <v>1</v>
      </c>
      <c r="M298" s="211">
        <v>1</v>
      </c>
      <c r="N298" s="211">
        <v>1</v>
      </c>
      <c r="O298" s="211">
        <v>1</v>
      </c>
      <c r="P298" s="211">
        <v>1</v>
      </c>
      <c r="Q298" s="211"/>
      <c r="R298" s="211"/>
      <c r="S298" s="211"/>
      <c r="T298" s="211"/>
      <c r="U298" s="240">
        <v>1</v>
      </c>
      <c r="V298" s="211">
        <v>1</v>
      </c>
      <c r="W298" s="211">
        <v>1</v>
      </c>
      <c r="X298" s="211">
        <v>1</v>
      </c>
      <c r="Y298" s="211">
        <v>1</v>
      </c>
      <c r="Z298" s="211">
        <v>1</v>
      </c>
      <c r="AA298" s="211">
        <v>1</v>
      </c>
      <c r="AB298" s="211"/>
      <c r="AC298" s="211">
        <v>1</v>
      </c>
      <c r="AD298" s="211">
        <v>1</v>
      </c>
      <c r="AE298" s="211">
        <v>1</v>
      </c>
      <c r="AF298" s="240">
        <v>1</v>
      </c>
      <c r="AG298" s="211">
        <v>1</v>
      </c>
      <c r="AH298" s="211">
        <v>1</v>
      </c>
      <c r="AI298" s="211">
        <v>1</v>
      </c>
      <c r="AJ298" s="211">
        <v>1</v>
      </c>
      <c r="AK298" s="211">
        <v>1</v>
      </c>
      <c r="AL298" s="211">
        <v>1</v>
      </c>
      <c r="AM298" s="211"/>
      <c r="AN298" s="211">
        <v>1</v>
      </c>
      <c r="AO298" s="211">
        <v>1</v>
      </c>
      <c r="AP298" s="211">
        <v>1</v>
      </c>
      <c r="AQ298" s="240"/>
      <c r="AR298" s="240"/>
      <c r="AS298" s="240"/>
      <c r="AT298" s="240"/>
      <c r="AU298" s="240"/>
      <c r="AV298" s="242"/>
      <c r="AW298" s="240"/>
      <c r="AX298" s="240">
        <v>1</v>
      </c>
      <c r="AY298" s="240">
        <v>1</v>
      </c>
      <c r="AZ298" s="203">
        <v>1</v>
      </c>
      <c r="BA298" s="203">
        <v>1</v>
      </c>
      <c r="BB298" s="203">
        <v>1</v>
      </c>
      <c r="BC298" s="203">
        <v>1</v>
      </c>
    </row>
    <row r="299" spans="1:55" ht="21" hidden="1" customHeight="1">
      <c r="A299" s="212"/>
      <c r="B299" s="237">
        <v>46054</v>
      </c>
      <c r="C299" s="211" t="s">
        <v>386</v>
      </c>
      <c r="D299" s="238" t="s">
        <v>807</v>
      </c>
      <c r="E299" s="211" t="s">
        <v>775</v>
      </c>
      <c r="F299" s="211"/>
      <c r="G299" s="211">
        <v>1</v>
      </c>
      <c r="H299" s="211">
        <v>1</v>
      </c>
      <c r="I299" s="211">
        <v>1</v>
      </c>
      <c r="J299" s="240"/>
      <c r="K299" s="211">
        <v>1</v>
      </c>
      <c r="L299" s="211">
        <v>1</v>
      </c>
      <c r="M299" s="211">
        <v>1</v>
      </c>
      <c r="N299" s="211">
        <v>1</v>
      </c>
      <c r="O299" s="211"/>
      <c r="P299" s="211">
        <v>1</v>
      </c>
      <c r="Q299" s="211"/>
      <c r="R299" s="211">
        <v>1</v>
      </c>
      <c r="S299" s="211">
        <v>1</v>
      </c>
      <c r="T299" s="211">
        <v>1</v>
      </c>
      <c r="U299" s="240"/>
      <c r="V299" s="211">
        <v>1</v>
      </c>
      <c r="W299" s="211">
        <v>1</v>
      </c>
      <c r="X299" s="211">
        <v>1</v>
      </c>
      <c r="Y299" s="211"/>
      <c r="Z299" s="211"/>
      <c r="AA299" s="211">
        <v>1</v>
      </c>
      <c r="AB299" s="211"/>
      <c r="AC299" s="211">
        <v>1</v>
      </c>
      <c r="AD299" s="211">
        <v>1</v>
      </c>
      <c r="AE299" s="211">
        <v>1</v>
      </c>
      <c r="AF299" s="211">
        <v>1</v>
      </c>
      <c r="AG299" s="240">
        <v>1</v>
      </c>
      <c r="AH299" s="211">
        <v>1</v>
      </c>
      <c r="AI299" s="211">
        <v>1</v>
      </c>
      <c r="AJ299" s="211"/>
      <c r="AK299" s="211">
        <v>1</v>
      </c>
      <c r="AL299" s="211">
        <v>1</v>
      </c>
      <c r="AM299" s="211"/>
      <c r="AN299" s="211"/>
      <c r="AO299" s="211">
        <v>1</v>
      </c>
      <c r="AP299" s="211">
        <v>1</v>
      </c>
      <c r="AQ299" s="240">
        <v>1</v>
      </c>
      <c r="AR299" s="240"/>
      <c r="AS299" s="240">
        <v>1</v>
      </c>
      <c r="AT299" s="240">
        <v>1</v>
      </c>
      <c r="AU299" s="240">
        <v>1</v>
      </c>
      <c r="AV299" s="242"/>
      <c r="AW299" s="240"/>
      <c r="AX299" s="240">
        <v>1</v>
      </c>
      <c r="AY299" s="240"/>
      <c r="AZ299" s="203">
        <v>1</v>
      </c>
      <c r="BA299" s="203"/>
      <c r="BB299" s="203"/>
      <c r="BC299" s="203"/>
    </row>
    <row r="300" spans="1:55" ht="21" hidden="1" customHeight="1">
      <c r="A300" s="212"/>
      <c r="B300" s="237">
        <v>46054</v>
      </c>
      <c r="C300" s="211" t="s">
        <v>386</v>
      </c>
      <c r="D300" s="238" t="s">
        <v>808</v>
      </c>
      <c r="E300" s="211" t="s">
        <v>575</v>
      </c>
      <c r="F300" s="211"/>
      <c r="G300" s="211">
        <v>1</v>
      </c>
      <c r="H300" s="211">
        <v>1</v>
      </c>
      <c r="I300" s="211">
        <v>1</v>
      </c>
      <c r="J300" s="240">
        <v>1</v>
      </c>
      <c r="K300" s="211">
        <v>1</v>
      </c>
      <c r="L300" s="211">
        <v>1</v>
      </c>
      <c r="M300" s="211"/>
      <c r="N300" s="211">
        <v>1</v>
      </c>
      <c r="O300" s="211">
        <v>1</v>
      </c>
      <c r="P300" s="211">
        <v>1</v>
      </c>
      <c r="Q300" s="211"/>
      <c r="R300" s="211">
        <v>1</v>
      </c>
      <c r="S300" s="211">
        <v>1</v>
      </c>
      <c r="T300" s="211">
        <v>1</v>
      </c>
      <c r="U300" s="240">
        <v>1</v>
      </c>
      <c r="V300" s="211">
        <v>1</v>
      </c>
      <c r="W300" s="211">
        <v>1</v>
      </c>
      <c r="X300" s="211">
        <v>1</v>
      </c>
      <c r="Y300" s="211">
        <v>1</v>
      </c>
      <c r="Z300" s="211">
        <v>1</v>
      </c>
      <c r="AA300" s="211">
        <v>1</v>
      </c>
      <c r="AB300" s="211"/>
      <c r="AC300" s="211">
        <v>1</v>
      </c>
      <c r="AD300" s="211">
        <v>1</v>
      </c>
      <c r="AE300" s="211">
        <v>1</v>
      </c>
      <c r="AF300" s="240">
        <v>1</v>
      </c>
      <c r="AG300" s="211">
        <v>1</v>
      </c>
      <c r="AH300" s="211">
        <v>1</v>
      </c>
      <c r="AI300" s="211"/>
      <c r="AJ300" s="211">
        <v>1</v>
      </c>
      <c r="AK300" s="211">
        <v>1</v>
      </c>
      <c r="AL300" s="211">
        <v>1</v>
      </c>
      <c r="AM300" s="211"/>
      <c r="AN300" s="211"/>
      <c r="AO300" s="211"/>
      <c r="AP300" s="211"/>
      <c r="AQ300" s="240">
        <v>1</v>
      </c>
      <c r="AR300" s="240">
        <v>1</v>
      </c>
      <c r="AS300" s="240">
        <v>1</v>
      </c>
      <c r="AT300" s="240">
        <v>1</v>
      </c>
      <c r="AU300" s="240">
        <v>1</v>
      </c>
      <c r="AV300" s="240">
        <v>1</v>
      </c>
      <c r="AW300" s="240">
        <v>1</v>
      </c>
      <c r="AX300" s="240">
        <v>1</v>
      </c>
      <c r="AY300" s="240">
        <v>1</v>
      </c>
      <c r="AZ300" s="203">
        <v>1</v>
      </c>
      <c r="BA300" s="203">
        <v>1</v>
      </c>
      <c r="BB300" s="203">
        <v>1</v>
      </c>
      <c r="BC300" s="203">
        <v>1</v>
      </c>
    </row>
    <row r="301" spans="1:55" ht="21" hidden="1" customHeight="1">
      <c r="A301" s="212"/>
      <c r="B301" s="237">
        <v>46054</v>
      </c>
      <c r="C301" s="211" t="s">
        <v>386</v>
      </c>
      <c r="D301" s="238" t="s">
        <v>809</v>
      </c>
      <c r="E301" s="211" t="s">
        <v>810</v>
      </c>
      <c r="F301" s="211"/>
      <c r="G301" s="211">
        <v>1</v>
      </c>
      <c r="H301" s="211">
        <v>1</v>
      </c>
      <c r="I301" s="211">
        <v>1</v>
      </c>
      <c r="J301" s="240">
        <v>1</v>
      </c>
      <c r="K301" s="211">
        <v>1</v>
      </c>
      <c r="L301" s="211">
        <v>1</v>
      </c>
      <c r="M301" s="211">
        <v>1</v>
      </c>
      <c r="N301" s="211">
        <v>1</v>
      </c>
      <c r="O301" s="211">
        <v>1</v>
      </c>
      <c r="P301" s="211">
        <v>1</v>
      </c>
      <c r="Q301" s="211"/>
      <c r="R301" s="211"/>
      <c r="S301" s="211"/>
      <c r="T301" s="211"/>
      <c r="U301" s="240">
        <v>1</v>
      </c>
      <c r="V301" s="211">
        <v>1</v>
      </c>
      <c r="W301" s="211">
        <v>1</v>
      </c>
      <c r="X301" s="211">
        <v>1</v>
      </c>
      <c r="Y301" s="211"/>
      <c r="Z301" s="211">
        <v>1</v>
      </c>
      <c r="AA301" s="211">
        <v>1</v>
      </c>
      <c r="AB301" s="211"/>
      <c r="AC301" s="211">
        <v>1</v>
      </c>
      <c r="AD301" s="211">
        <v>1</v>
      </c>
      <c r="AE301" s="211">
        <v>1</v>
      </c>
      <c r="AF301" s="240">
        <v>1</v>
      </c>
      <c r="AG301" s="211">
        <v>1</v>
      </c>
      <c r="AH301" s="211">
        <v>1</v>
      </c>
      <c r="AI301" s="211">
        <v>1</v>
      </c>
      <c r="AJ301" s="211">
        <v>1</v>
      </c>
      <c r="AK301" s="211">
        <v>1</v>
      </c>
      <c r="AL301" s="211">
        <v>1</v>
      </c>
      <c r="AM301" s="211"/>
      <c r="AN301" s="211">
        <v>1</v>
      </c>
      <c r="AO301" s="211">
        <v>1</v>
      </c>
      <c r="AP301" s="211">
        <v>1</v>
      </c>
      <c r="AQ301" s="240"/>
      <c r="AR301" s="240"/>
      <c r="AS301" s="240">
        <v>1</v>
      </c>
      <c r="AT301" s="240">
        <v>1</v>
      </c>
      <c r="AU301" s="240">
        <v>1</v>
      </c>
      <c r="AV301" s="240">
        <v>1</v>
      </c>
      <c r="AW301" s="240">
        <v>1</v>
      </c>
      <c r="AX301" s="240">
        <v>1</v>
      </c>
      <c r="AY301" s="240">
        <v>1</v>
      </c>
      <c r="AZ301" s="203">
        <v>1</v>
      </c>
      <c r="BA301" s="203">
        <v>1</v>
      </c>
      <c r="BB301" s="203">
        <v>1</v>
      </c>
      <c r="BC301" s="203">
        <v>1</v>
      </c>
    </row>
    <row r="302" spans="1:55" ht="21" customHeight="1">
      <c r="A302" s="212"/>
      <c r="B302" s="237">
        <v>46054</v>
      </c>
      <c r="C302" s="211" t="s">
        <v>395</v>
      </c>
      <c r="D302" s="238" t="s">
        <v>811</v>
      </c>
      <c r="E302" s="211" t="s">
        <v>631</v>
      </c>
      <c r="F302" s="211"/>
      <c r="G302" s="211">
        <v>1</v>
      </c>
      <c r="H302" s="211">
        <v>1</v>
      </c>
      <c r="I302" s="211">
        <v>1</v>
      </c>
      <c r="J302" s="240">
        <v>1</v>
      </c>
      <c r="K302" s="211">
        <v>1</v>
      </c>
      <c r="L302" s="211">
        <v>1</v>
      </c>
      <c r="M302" s="211"/>
      <c r="N302" s="211">
        <v>1</v>
      </c>
      <c r="O302" s="211">
        <v>1</v>
      </c>
      <c r="P302" s="211">
        <v>1</v>
      </c>
      <c r="Q302" s="211"/>
      <c r="R302" s="211"/>
      <c r="S302" s="211">
        <v>1</v>
      </c>
      <c r="T302" s="211">
        <v>1</v>
      </c>
      <c r="U302" s="240">
        <v>1</v>
      </c>
      <c r="V302" s="211">
        <v>1</v>
      </c>
      <c r="W302" s="211">
        <v>1</v>
      </c>
      <c r="X302" s="211">
        <v>1</v>
      </c>
      <c r="Y302" s="211">
        <v>1</v>
      </c>
      <c r="Z302" s="211">
        <v>1</v>
      </c>
      <c r="AA302" s="211">
        <v>1</v>
      </c>
      <c r="AB302" s="211"/>
      <c r="AC302" s="211">
        <v>1</v>
      </c>
      <c r="AD302" s="211">
        <v>1</v>
      </c>
      <c r="AE302" s="211">
        <v>1</v>
      </c>
      <c r="AF302" s="240">
        <v>1</v>
      </c>
      <c r="AG302" s="240">
        <v>1</v>
      </c>
      <c r="AH302" s="211">
        <v>1</v>
      </c>
      <c r="AI302" s="211"/>
      <c r="AJ302" s="211">
        <v>1</v>
      </c>
      <c r="AK302" s="211">
        <v>1</v>
      </c>
      <c r="AL302" s="211">
        <v>1</v>
      </c>
      <c r="AM302" s="211"/>
      <c r="AN302" s="211">
        <v>1</v>
      </c>
      <c r="AO302" s="211">
        <v>1</v>
      </c>
      <c r="AP302" s="211">
        <v>1</v>
      </c>
      <c r="AQ302" s="240">
        <v>1</v>
      </c>
      <c r="AR302" s="240">
        <v>1</v>
      </c>
      <c r="AS302" s="240">
        <v>1</v>
      </c>
      <c r="AT302" s="240"/>
      <c r="AU302" s="240"/>
      <c r="AV302" s="242">
        <v>1</v>
      </c>
      <c r="AW302" s="240">
        <v>1</v>
      </c>
      <c r="AX302" s="240">
        <v>1</v>
      </c>
      <c r="AY302" s="240">
        <v>1</v>
      </c>
      <c r="AZ302" s="203">
        <v>1</v>
      </c>
      <c r="BA302" s="203">
        <v>1</v>
      </c>
      <c r="BB302" s="203">
        <v>1</v>
      </c>
      <c r="BC302" s="203">
        <v>1</v>
      </c>
    </row>
    <row r="303" spans="1:55" ht="21" hidden="1" customHeight="1">
      <c r="A303" s="212"/>
      <c r="B303" s="237">
        <v>46054</v>
      </c>
      <c r="C303" s="211" t="s">
        <v>386</v>
      </c>
      <c r="D303" s="238" t="s">
        <v>812</v>
      </c>
      <c r="E303" s="211" t="s">
        <v>565</v>
      </c>
      <c r="F303" s="211"/>
      <c r="G303" s="211">
        <v>1</v>
      </c>
      <c r="H303" s="211">
        <v>1</v>
      </c>
      <c r="I303" s="211">
        <v>1</v>
      </c>
      <c r="J303" s="240">
        <v>1</v>
      </c>
      <c r="K303" s="211">
        <v>1</v>
      </c>
      <c r="L303" s="211">
        <v>1</v>
      </c>
      <c r="M303" s="211">
        <v>1</v>
      </c>
      <c r="N303" s="211">
        <v>1</v>
      </c>
      <c r="O303" s="211">
        <v>1</v>
      </c>
      <c r="P303" s="211">
        <v>1</v>
      </c>
      <c r="Q303" s="211"/>
      <c r="R303" s="211">
        <v>1</v>
      </c>
      <c r="S303" s="211">
        <v>1</v>
      </c>
      <c r="T303" s="211">
        <v>1</v>
      </c>
      <c r="U303" s="240">
        <v>1</v>
      </c>
      <c r="V303" s="211">
        <v>1</v>
      </c>
      <c r="W303" s="211">
        <v>1</v>
      </c>
      <c r="X303" s="211"/>
      <c r="Y303" s="211">
        <v>1</v>
      </c>
      <c r="Z303" s="211">
        <v>1</v>
      </c>
      <c r="AA303" s="211">
        <v>1</v>
      </c>
      <c r="AB303" s="211"/>
      <c r="AC303" s="211">
        <v>1</v>
      </c>
      <c r="AD303" s="211">
        <v>1</v>
      </c>
      <c r="AE303" s="211">
        <v>1</v>
      </c>
      <c r="AF303" s="240">
        <v>1</v>
      </c>
      <c r="AG303" s="211">
        <v>1</v>
      </c>
      <c r="AH303" s="211">
        <v>1</v>
      </c>
      <c r="AI303" s="211">
        <v>1</v>
      </c>
      <c r="AJ303" s="211">
        <v>1</v>
      </c>
      <c r="AK303" s="211">
        <v>1</v>
      </c>
      <c r="AL303" s="211">
        <v>1</v>
      </c>
      <c r="AM303" s="211"/>
      <c r="AN303" s="211"/>
      <c r="AO303" s="211"/>
      <c r="AP303" s="211"/>
      <c r="AQ303" s="240">
        <v>1</v>
      </c>
      <c r="AR303" s="240">
        <v>1</v>
      </c>
      <c r="AS303" s="240">
        <v>1</v>
      </c>
      <c r="AT303" s="240">
        <v>1</v>
      </c>
      <c r="AU303" s="240">
        <v>1</v>
      </c>
      <c r="AV303" s="240">
        <v>1</v>
      </c>
      <c r="AW303" s="240">
        <v>1</v>
      </c>
      <c r="AX303" s="240">
        <v>1</v>
      </c>
      <c r="AY303" s="240">
        <v>1</v>
      </c>
      <c r="AZ303" s="203">
        <v>1</v>
      </c>
      <c r="BA303" s="203">
        <v>1</v>
      </c>
      <c r="BB303" s="203">
        <v>1</v>
      </c>
      <c r="BC303" s="203">
        <v>1</v>
      </c>
    </row>
    <row r="304" spans="1:55" ht="21" customHeight="1">
      <c r="A304" s="212"/>
      <c r="B304" s="237">
        <v>46054</v>
      </c>
      <c r="C304" s="211" t="s">
        <v>395</v>
      </c>
      <c r="D304" s="238" t="s">
        <v>813</v>
      </c>
      <c r="E304" s="211" t="s">
        <v>814</v>
      </c>
      <c r="F304" s="211"/>
      <c r="G304" s="211">
        <v>1</v>
      </c>
      <c r="H304" s="211">
        <v>1</v>
      </c>
      <c r="I304" s="211">
        <v>1</v>
      </c>
      <c r="J304" s="240">
        <v>1</v>
      </c>
      <c r="K304" s="211">
        <v>1</v>
      </c>
      <c r="L304" s="211">
        <v>1</v>
      </c>
      <c r="M304" s="211">
        <v>1</v>
      </c>
      <c r="N304" s="211">
        <v>1</v>
      </c>
      <c r="O304" s="211">
        <v>1</v>
      </c>
      <c r="P304" s="211">
        <v>1</v>
      </c>
      <c r="Q304" s="211"/>
      <c r="R304" s="211"/>
      <c r="S304" s="211">
        <v>1</v>
      </c>
      <c r="T304" s="211">
        <v>1</v>
      </c>
      <c r="U304" s="240">
        <v>1</v>
      </c>
      <c r="V304" s="211">
        <v>1</v>
      </c>
      <c r="W304" s="211">
        <v>1</v>
      </c>
      <c r="X304" s="211"/>
      <c r="Y304" s="211">
        <v>1</v>
      </c>
      <c r="Z304" s="211">
        <v>1</v>
      </c>
      <c r="AA304" s="211">
        <v>1</v>
      </c>
      <c r="AB304" s="211"/>
      <c r="AC304" s="211">
        <v>1</v>
      </c>
      <c r="AD304" s="211">
        <v>1</v>
      </c>
      <c r="AE304" s="211">
        <v>1</v>
      </c>
      <c r="AF304" s="240">
        <v>1</v>
      </c>
      <c r="AG304" s="211">
        <v>1</v>
      </c>
      <c r="AH304" s="211">
        <v>1</v>
      </c>
      <c r="AI304" s="211">
        <v>1</v>
      </c>
      <c r="AJ304" s="211">
        <v>1</v>
      </c>
      <c r="AK304" s="211">
        <v>1</v>
      </c>
      <c r="AL304" s="211">
        <v>1</v>
      </c>
      <c r="AM304" s="211"/>
      <c r="AN304" s="211">
        <v>1</v>
      </c>
      <c r="AO304" s="211">
        <v>1</v>
      </c>
      <c r="AP304" s="211">
        <v>1</v>
      </c>
      <c r="AQ304" s="240"/>
      <c r="AR304" s="240">
        <v>1</v>
      </c>
      <c r="AS304" s="240">
        <v>1</v>
      </c>
      <c r="AT304" s="240">
        <v>1</v>
      </c>
      <c r="AU304" s="240">
        <v>1</v>
      </c>
      <c r="AV304" s="240">
        <v>1</v>
      </c>
      <c r="AW304" s="240">
        <v>1</v>
      </c>
      <c r="AX304" s="240">
        <v>1</v>
      </c>
      <c r="AY304" s="240">
        <v>1</v>
      </c>
      <c r="AZ304" s="203">
        <v>1</v>
      </c>
      <c r="BA304" s="203">
        <v>1</v>
      </c>
      <c r="BB304" s="203">
        <v>1</v>
      </c>
      <c r="BC304" s="203">
        <v>1</v>
      </c>
    </row>
    <row r="305" spans="1:55" ht="21" customHeight="1">
      <c r="A305" s="212"/>
      <c r="B305" s="237">
        <v>46054</v>
      </c>
      <c r="C305" s="211" t="s">
        <v>395</v>
      </c>
      <c r="D305" s="238" t="s">
        <v>815</v>
      </c>
      <c r="E305" s="211" t="s">
        <v>404</v>
      </c>
      <c r="F305" s="211"/>
      <c r="G305" s="211">
        <v>1</v>
      </c>
      <c r="H305" s="211">
        <v>1</v>
      </c>
      <c r="I305" s="211">
        <v>1</v>
      </c>
      <c r="J305" s="240">
        <v>1</v>
      </c>
      <c r="K305" s="211"/>
      <c r="L305" s="211">
        <v>1</v>
      </c>
      <c r="M305" s="211">
        <v>1</v>
      </c>
      <c r="N305" s="211">
        <v>1</v>
      </c>
      <c r="O305" s="211">
        <v>1</v>
      </c>
      <c r="P305" s="211">
        <v>1</v>
      </c>
      <c r="Q305" s="211"/>
      <c r="R305" s="211">
        <v>1</v>
      </c>
      <c r="S305" s="211">
        <v>1</v>
      </c>
      <c r="T305" s="211">
        <v>1</v>
      </c>
      <c r="U305" s="240">
        <v>1</v>
      </c>
      <c r="V305" s="211">
        <v>1</v>
      </c>
      <c r="W305" s="211">
        <v>1</v>
      </c>
      <c r="X305" s="211">
        <v>1</v>
      </c>
      <c r="Y305" s="211"/>
      <c r="Z305" s="211"/>
      <c r="AA305" s="211">
        <v>1</v>
      </c>
      <c r="AB305" s="211"/>
      <c r="AC305" s="211"/>
      <c r="AD305" s="211">
        <v>1</v>
      </c>
      <c r="AE305" s="211">
        <v>1</v>
      </c>
      <c r="AF305" s="240">
        <v>1</v>
      </c>
      <c r="AG305" s="211">
        <v>1</v>
      </c>
      <c r="AH305" s="211">
        <v>1</v>
      </c>
      <c r="AI305" s="211">
        <v>1</v>
      </c>
      <c r="AJ305" s="211">
        <v>1</v>
      </c>
      <c r="AK305" s="211">
        <v>1</v>
      </c>
      <c r="AL305" s="211">
        <v>1</v>
      </c>
      <c r="AM305" s="211"/>
      <c r="AN305" s="211">
        <v>1</v>
      </c>
      <c r="AO305" s="211">
        <v>1</v>
      </c>
      <c r="AP305" s="211">
        <v>1</v>
      </c>
      <c r="AQ305" s="240">
        <v>1</v>
      </c>
      <c r="AR305" s="240">
        <v>1</v>
      </c>
      <c r="AS305" s="240">
        <v>1</v>
      </c>
      <c r="AT305" s="240"/>
      <c r="AU305" s="240"/>
      <c r="AV305" s="240">
        <v>1</v>
      </c>
      <c r="AW305" s="240">
        <v>1</v>
      </c>
      <c r="AX305" s="240">
        <v>1</v>
      </c>
      <c r="AY305" s="240">
        <v>1</v>
      </c>
      <c r="AZ305" s="242"/>
      <c r="BA305" s="203">
        <v>1</v>
      </c>
      <c r="BB305" s="203">
        <v>1</v>
      </c>
      <c r="BC305" s="203">
        <v>1</v>
      </c>
    </row>
    <row r="306" spans="1:55" ht="21" hidden="1" customHeight="1">
      <c r="A306" s="212"/>
      <c r="B306" s="237">
        <v>46054</v>
      </c>
      <c r="C306" s="211" t="s">
        <v>386</v>
      </c>
      <c r="D306" s="238" t="s">
        <v>816</v>
      </c>
      <c r="E306" s="211" t="s">
        <v>565</v>
      </c>
      <c r="F306" s="211"/>
      <c r="G306" s="211">
        <v>1</v>
      </c>
      <c r="H306" s="211">
        <v>1</v>
      </c>
      <c r="I306" s="211">
        <v>1</v>
      </c>
      <c r="J306" s="240">
        <v>1</v>
      </c>
      <c r="K306" s="211">
        <v>1</v>
      </c>
      <c r="L306" s="211">
        <v>1</v>
      </c>
      <c r="M306" s="211"/>
      <c r="N306" s="211">
        <v>1</v>
      </c>
      <c r="O306" s="211">
        <v>1</v>
      </c>
      <c r="P306" s="211">
        <v>1</v>
      </c>
      <c r="Q306" s="211"/>
      <c r="R306" s="211">
        <v>1</v>
      </c>
      <c r="S306" s="211">
        <v>1</v>
      </c>
      <c r="T306" s="211">
        <v>1</v>
      </c>
      <c r="U306" s="240">
        <v>1</v>
      </c>
      <c r="V306" s="211">
        <v>1</v>
      </c>
      <c r="W306" s="211">
        <v>1</v>
      </c>
      <c r="X306" s="211"/>
      <c r="Y306" s="211">
        <v>1</v>
      </c>
      <c r="Z306" s="211">
        <v>1</v>
      </c>
      <c r="AA306" s="211">
        <v>1</v>
      </c>
      <c r="AB306" s="211"/>
      <c r="AC306" s="211">
        <v>1</v>
      </c>
      <c r="AD306" s="211">
        <v>1</v>
      </c>
      <c r="AE306" s="211">
        <v>1</v>
      </c>
      <c r="AF306" s="240">
        <v>1</v>
      </c>
      <c r="AG306" s="211">
        <v>1</v>
      </c>
      <c r="AH306" s="211">
        <v>1</v>
      </c>
      <c r="AI306" s="211"/>
      <c r="AJ306" s="211">
        <v>1</v>
      </c>
      <c r="AK306" s="211">
        <v>1</v>
      </c>
      <c r="AL306" s="211">
        <v>1</v>
      </c>
      <c r="AM306" s="211"/>
      <c r="AN306" s="211"/>
      <c r="AO306" s="211">
        <v>1</v>
      </c>
      <c r="AP306" s="211">
        <v>1</v>
      </c>
      <c r="AQ306" s="240">
        <v>1</v>
      </c>
      <c r="AR306" s="240">
        <v>1</v>
      </c>
      <c r="AS306" s="240">
        <v>1</v>
      </c>
      <c r="AT306" s="240"/>
      <c r="AU306" s="240"/>
      <c r="AV306" s="242"/>
      <c r="AW306" s="240"/>
      <c r="AX306" s="240"/>
      <c r="AY306" s="240"/>
      <c r="AZ306" s="203">
        <v>1</v>
      </c>
      <c r="BA306" s="203">
        <v>1</v>
      </c>
      <c r="BB306" s="203">
        <v>1</v>
      </c>
      <c r="BC306" s="203">
        <v>1</v>
      </c>
    </row>
    <row r="307" spans="1:55" ht="21" hidden="1" customHeight="1">
      <c r="A307" s="212"/>
      <c r="B307" s="237">
        <v>46054</v>
      </c>
      <c r="C307" s="211" t="s">
        <v>386</v>
      </c>
      <c r="D307" s="238" t="s">
        <v>817</v>
      </c>
      <c r="E307" s="211" t="s">
        <v>814</v>
      </c>
      <c r="F307" s="211"/>
      <c r="G307" s="211"/>
      <c r="H307" s="211">
        <v>1</v>
      </c>
      <c r="I307" s="211">
        <v>1</v>
      </c>
      <c r="J307" s="240">
        <v>1</v>
      </c>
      <c r="K307" s="211">
        <v>1</v>
      </c>
      <c r="L307" s="211">
        <v>1</v>
      </c>
      <c r="M307" s="211"/>
      <c r="N307" s="211">
        <v>1</v>
      </c>
      <c r="O307" s="211">
        <v>1</v>
      </c>
      <c r="P307" s="211">
        <v>1</v>
      </c>
      <c r="Q307" s="211"/>
      <c r="R307" s="211">
        <v>1</v>
      </c>
      <c r="S307" s="211">
        <v>1</v>
      </c>
      <c r="T307" s="211">
        <v>1</v>
      </c>
      <c r="U307" s="240">
        <v>1</v>
      </c>
      <c r="V307" s="211">
        <v>1</v>
      </c>
      <c r="W307" s="211">
        <v>1</v>
      </c>
      <c r="X307" s="211"/>
      <c r="Y307" s="211"/>
      <c r="Z307" s="211">
        <v>1</v>
      </c>
      <c r="AA307" s="211">
        <v>1</v>
      </c>
      <c r="AB307" s="211"/>
      <c r="AC307" s="211">
        <v>1</v>
      </c>
      <c r="AD307" s="211">
        <v>1</v>
      </c>
      <c r="AE307" s="211">
        <v>1</v>
      </c>
      <c r="AF307" s="240">
        <v>1</v>
      </c>
      <c r="AG307" s="240">
        <v>1</v>
      </c>
      <c r="AH307" s="211">
        <v>1</v>
      </c>
      <c r="AI307" s="211"/>
      <c r="AJ307" s="211">
        <v>1</v>
      </c>
      <c r="AK307" s="211">
        <v>1</v>
      </c>
      <c r="AL307" s="211">
        <v>1</v>
      </c>
      <c r="AM307" s="211"/>
      <c r="AN307" s="211">
        <v>1</v>
      </c>
      <c r="AO307" s="211">
        <v>1</v>
      </c>
      <c r="AP307" s="211">
        <v>1</v>
      </c>
      <c r="AQ307" s="240">
        <v>1</v>
      </c>
      <c r="AR307" s="240">
        <v>1</v>
      </c>
      <c r="AS307" s="240">
        <v>1</v>
      </c>
      <c r="AT307" s="240"/>
      <c r="AU307" s="240"/>
      <c r="AV307" s="242">
        <v>1</v>
      </c>
      <c r="AW307" s="240">
        <v>1</v>
      </c>
      <c r="AX307" s="240">
        <v>1</v>
      </c>
      <c r="AY307" s="240">
        <v>1</v>
      </c>
      <c r="AZ307" s="203">
        <v>1</v>
      </c>
      <c r="BA307" s="203">
        <v>1</v>
      </c>
      <c r="BB307" s="203">
        <v>1</v>
      </c>
      <c r="BC307" s="203">
        <v>1</v>
      </c>
    </row>
    <row r="308" spans="1:55" ht="21" hidden="1" customHeight="1">
      <c r="A308" s="212"/>
      <c r="B308" s="237">
        <v>46054</v>
      </c>
      <c r="C308" s="211" t="s">
        <v>386</v>
      </c>
      <c r="D308" s="238" t="s">
        <v>818</v>
      </c>
      <c r="E308" s="211" t="s">
        <v>565</v>
      </c>
      <c r="F308" s="211"/>
      <c r="G308" s="211">
        <v>1</v>
      </c>
      <c r="H308" s="211">
        <v>1</v>
      </c>
      <c r="I308" s="211">
        <v>1</v>
      </c>
      <c r="J308" s="240">
        <v>1</v>
      </c>
      <c r="K308" s="211">
        <v>1</v>
      </c>
      <c r="L308" s="211">
        <v>1</v>
      </c>
      <c r="M308" s="211">
        <v>1</v>
      </c>
      <c r="N308" s="211">
        <v>1</v>
      </c>
      <c r="O308" s="211">
        <v>1</v>
      </c>
      <c r="P308" s="211">
        <v>1</v>
      </c>
      <c r="Q308" s="211"/>
      <c r="R308" s="211">
        <v>1</v>
      </c>
      <c r="S308" s="211">
        <v>1</v>
      </c>
      <c r="T308" s="211">
        <v>1</v>
      </c>
      <c r="U308" s="240">
        <v>1</v>
      </c>
      <c r="V308" s="211">
        <v>1</v>
      </c>
      <c r="W308" s="211">
        <v>1</v>
      </c>
      <c r="X308" s="211">
        <v>1</v>
      </c>
      <c r="Y308" s="211">
        <v>1</v>
      </c>
      <c r="Z308" s="211">
        <v>1</v>
      </c>
      <c r="AA308" s="211">
        <v>1</v>
      </c>
      <c r="AB308" s="211"/>
      <c r="AC308" s="211">
        <v>1</v>
      </c>
      <c r="AD308" s="211">
        <v>1</v>
      </c>
      <c r="AE308" s="211">
        <v>1</v>
      </c>
      <c r="AF308" s="240">
        <v>1</v>
      </c>
      <c r="AG308" s="211">
        <v>1</v>
      </c>
      <c r="AH308" s="211">
        <v>1</v>
      </c>
      <c r="AI308" s="211">
        <v>1</v>
      </c>
      <c r="AJ308" s="211">
        <v>1</v>
      </c>
      <c r="AK308" s="211">
        <v>1</v>
      </c>
      <c r="AL308" s="211">
        <v>1</v>
      </c>
      <c r="AM308" s="211"/>
      <c r="AN308" s="211"/>
      <c r="AO308" s="211"/>
      <c r="AP308" s="211"/>
      <c r="AQ308" s="240">
        <v>1</v>
      </c>
      <c r="AR308" s="240">
        <v>1</v>
      </c>
      <c r="AS308" s="240"/>
      <c r="AT308" s="240">
        <v>1</v>
      </c>
      <c r="AU308" s="240">
        <v>1</v>
      </c>
      <c r="AV308" s="242"/>
      <c r="AW308" s="240"/>
      <c r="AX308" s="240">
        <v>1</v>
      </c>
      <c r="AY308" s="240"/>
      <c r="AZ308" s="203">
        <v>1</v>
      </c>
      <c r="BA308" s="203">
        <v>1</v>
      </c>
      <c r="BB308" s="203">
        <v>1</v>
      </c>
      <c r="BC308" s="203">
        <v>1</v>
      </c>
    </row>
    <row r="309" spans="1:55" ht="21" hidden="1" customHeight="1">
      <c r="A309" s="212"/>
      <c r="B309" s="237">
        <v>46054</v>
      </c>
      <c r="C309" s="211" t="s">
        <v>386</v>
      </c>
      <c r="D309" s="238" t="s">
        <v>819</v>
      </c>
      <c r="E309" s="211" t="s">
        <v>575</v>
      </c>
      <c r="F309" s="211"/>
      <c r="G309" s="211">
        <v>1</v>
      </c>
      <c r="H309" s="211">
        <v>1</v>
      </c>
      <c r="I309" s="211">
        <v>1</v>
      </c>
      <c r="J309" s="240">
        <v>1</v>
      </c>
      <c r="K309" s="211">
        <v>1</v>
      </c>
      <c r="L309" s="211">
        <v>1</v>
      </c>
      <c r="M309" s="211"/>
      <c r="N309" s="211">
        <v>1</v>
      </c>
      <c r="O309" s="211">
        <v>1</v>
      </c>
      <c r="P309" s="211">
        <v>1</v>
      </c>
      <c r="Q309" s="211"/>
      <c r="R309" s="211">
        <v>1</v>
      </c>
      <c r="S309" s="211">
        <v>1</v>
      </c>
      <c r="T309" s="211">
        <v>1</v>
      </c>
      <c r="U309" s="240">
        <v>1</v>
      </c>
      <c r="V309" s="211">
        <v>1</v>
      </c>
      <c r="W309" s="211">
        <v>1</v>
      </c>
      <c r="X309" s="211">
        <v>1</v>
      </c>
      <c r="Y309" s="211"/>
      <c r="Z309" s="211">
        <v>1</v>
      </c>
      <c r="AA309" s="211">
        <v>1</v>
      </c>
      <c r="AB309" s="211"/>
      <c r="AC309" s="211">
        <v>1</v>
      </c>
      <c r="AD309" s="211">
        <v>1</v>
      </c>
      <c r="AE309" s="211">
        <v>1</v>
      </c>
      <c r="AF309" s="240">
        <v>1</v>
      </c>
      <c r="AG309" s="211">
        <v>1</v>
      </c>
      <c r="AH309" s="211">
        <v>1</v>
      </c>
      <c r="AI309" s="211"/>
      <c r="AJ309" s="211">
        <v>1</v>
      </c>
      <c r="AK309" s="211">
        <v>1</v>
      </c>
      <c r="AL309" s="211">
        <v>1</v>
      </c>
      <c r="AM309" s="211"/>
      <c r="AN309" s="211">
        <v>1</v>
      </c>
      <c r="AO309" s="211">
        <v>1</v>
      </c>
      <c r="AP309" s="211">
        <v>1</v>
      </c>
      <c r="AQ309" s="240">
        <v>1</v>
      </c>
      <c r="AR309" s="240">
        <v>1</v>
      </c>
      <c r="AS309" s="240">
        <v>1</v>
      </c>
      <c r="AT309" s="240">
        <v>1</v>
      </c>
      <c r="AU309" s="240">
        <v>1</v>
      </c>
      <c r="AV309" s="240">
        <v>1</v>
      </c>
      <c r="AW309" s="240">
        <v>1</v>
      </c>
      <c r="AX309" s="240">
        <v>1</v>
      </c>
      <c r="AY309" s="240">
        <v>1</v>
      </c>
      <c r="AZ309" s="203">
        <v>1</v>
      </c>
      <c r="BA309" s="203">
        <v>1</v>
      </c>
      <c r="BB309" s="203">
        <v>1</v>
      </c>
      <c r="BC309" s="203">
        <v>1</v>
      </c>
    </row>
    <row r="310" spans="1:55" ht="21" hidden="1" customHeight="1">
      <c r="A310" s="212"/>
      <c r="B310" s="237">
        <v>46054</v>
      </c>
      <c r="C310" s="211" t="s">
        <v>386</v>
      </c>
      <c r="D310" s="238" t="s">
        <v>820</v>
      </c>
      <c r="E310" s="211" t="s">
        <v>760</v>
      </c>
      <c r="F310" s="211"/>
      <c r="G310" s="211">
        <v>1</v>
      </c>
      <c r="H310" s="211">
        <v>1</v>
      </c>
      <c r="I310" s="211">
        <v>1</v>
      </c>
      <c r="J310" s="240">
        <v>1</v>
      </c>
      <c r="K310" s="211">
        <v>1</v>
      </c>
      <c r="L310" s="211">
        <v>1</v>
      </c>
      <c r="M310" s="211"/>
      <c r="N310" s="211">
        <v>1</v>
      </c>
      <c r="O310" s="211">
        <v>1</v>
      </c>
      <c r="P310" s="211">
        <v>1</v>
      </c>
      <c r="Q310" s="211"/>
      <c r="R310" s="211">
        <v>1</v>
      </c>
      <c r="S310" s="211">
        <v>1</v>
      </c>
      <c r="T310" s="211">
        <v>1</v>
      </c>
      <c r="U310" s="240">
        <v>1</v>
      </c>
      <c r="V310" s="211">
        <v>1</v>
      </c>
      <c r="W310" s="211">
        <v>1</v>
      </c>
      <c r="X310" s="211">
        <v>1</v>
      </c>
      <c r="Y310" s="211">
        <v>1</v>
      </c>
      <c r="Z310" s="211">
        <v>1</v>
      </c>
      <c r="AA310" s="211">
        <v>1</v>
      </c>
      <c r="AB310" s="211"/>
      <c r="AC310" s="211">
        <v>1</v>
      </c>
      <c r="AD310" s="211">
        <v>1</v>
      </c>
      <c r="AE310" s="211">
        <v>1</v>
      </c>
      <c r="AF310" s="240">
        <v>1</v>
      </c>
      <c r="AG310" s="211">
        <v>1</v>
      </c>
      <c r="AH310" s="211">
        <v>1</v>
      </c>
      <c r="AI310" s="211"/>
      <c r="AJ310" s="211">
        <v>1</v>
      </c>
      <c r="AK310" s="211">
        <v>1</v>
      </c>
      <c r="AL310" s="211">
        <v>1</v>
      </c>
      <c r="AM310" s="211"/>
      <c r="AN310" s="211">
        <v>1</v>
      </c>
      <c r="AO310" s="211">
        <v>1</v>
      </c>
      <c r="AP310" s="211">
        <v>1</v>
      </c>
      <c r="AQ310" s="240"/>
      <c r="AR310" s="240">
        <v>1</v>
      </c>
      <c r="AS310" s="240">
        <v>1</v>
      </c>
      <c r="AT310" s="240">
        <v>1</v>
      </c>
      <c r="AU310" s="240">
        <v>1</v>
      </c>
      <c r="AV310" s="240">
        <v>1</v>
      </c>
      <c r="AW310" s="240">
        <v>1</v>
      </c>
      <c r="AX310" s="240">
        <v>1</v>
      </c>
      <c r="AY310" s="240">
        <v>1</v>
      </c>
      <c r="AZ310" s="203">
        <v>1</v>
      </c>
      <c r="BA310" s="203">
        <v>1</v>
      </c>
      <c r="BB310" s="203">
        <v>1</v>
      </c>
      <c r="BC310" s="203">
        <v>1</v>
      </c>
    </row>
    <row r="311" spans="1:55" ht="21" hidden="1" customHeight="1">
      <c r="A311" s="212"/>
      <c r="B311" s="237">
        <v>46054</v>
      </c>
      <c r="C311" s="211" t="s">
        <v>386</v>
      </c>
      <c r="D311" s="238" t="s">
        <v>821</v>
      </c>
      <c r="E311" s="211" t="s">
        <v>690</v>
      </c>
      <c r="F311" s="211"/>
      <c r="G311" s="211">
        <v>1</v>
      </c>
      <c r="H311" s="211">
        <v>1</v>
      </c>
      <c r="I311" s="211">
        <v>1</v>
      </c>
      <c r="J311" s="240">
        <v>1</v>
      </c>
      <c r="K311" s="211">
        <v>1</v>
      </c>
      <c r="L311" s="211">
        <v>1</v>
      </c>
      <c r="M311" s="211">
        <v>1</v>
      </c>
      <c r="N311" s="211">
        <v>1</v>
      </c>
      <c r="O311" s="211">
        <v>1</v>
      </c>
      <c r="P311" s="211">
        <v>1</v>
      </c>
      <c r="Q311" s="211"/>
      <c r="R311" s="211">
        <v>1</v>
      </c>
      <c r="S311" s="211">
        <v>1</v>
      </c>
      <c r="T311" s="211">
        <v>1</v>
      </c>
      <c r="U311" s="240"/>
      <c r="V311" s="211">
        <v>1</v>
      </c>
      <c r="W311" s="211">
        <v>1</v>
      </c>
      <c r="X311" s="211">
        <v>1</v>
      </c>
      <c r="Y311" s="211"/>
      <c r="Z311" s="211"/>
      <c r="AA311" s="211">
        <v>1</v>
      </c>
      <c r="AB311" s="211"/>
      <c r="AC311" s="211">
        <v>1</v>
      </c>
      <c r="AD311" s="211">
        <v>1</v>
      </c>
      <c r="AE311" s="211">
        <v>1</v>
      </c>
      <c r="AF311" s="240">
        <v>1</v>
      </c>
      <c r="AG311" s="240">
        <v>1</v>
      </c>
      <c r="AH311" s="211">
        <v>1</v>
      </c>
      <c r="AI311" s="211">
        <v>1</v>
      </c>
      <c r="AJ311" s="211">
        <v>1</v>
      </c>
      <c r="AK311" s="211">
        <v>1</v>
      </c>
      <c r="AL311" s="211">
        <v>1</v>
      </c>
      <c r="AM311" s="211"/>
      <c r="AN311" s="211">
        <v>1</v>
      </c>
      <c r="AO311" s="211">
        <v>1</v>
      </c>
      <c r="AP311" s="211">
        <v>1</v>
      </c>
      <c r="AQ311" s="240"/>
      <c r="AR311" s="240"/>
      <c r="AS311" s="240"/>
      <c r="AT311" s="240">
        <v>1</v>
      </c>
      <c r="AU311" s="240">
        <v>1</v>
      </c>
      <c r="AV311" s="242"/>
      <c r="AW311" s="240"/>
      <c r="AX311" s="240"/>
      <c r="AY311" s="240"/>
      <c r="AZ311" s="242"/>
      <c r="BA311" s="203">
        <v>1</v>
      </c>
      <c r="BB311" s="203"/>
      <c r="BC311" s="203"/>
    </row>
    <row r="312" spans="1:55" ht="21" hidden="1" customHeight="1">
      <c r="A312" s="212"/>
      <c r="B312" s="237">
        <v>46054</v>
      </c>
      <c r="C312" s="211" t="s">
        <v>386</v>
      </c>
      <c r="D312" s="238" t="s">
        <v>822</v>
      </c>
      <c r="E312" s="211" t="s">
        <v>575</v>
      </c>
      <c r="F312" s="211"/>
      <c r="G312" s="211">
        <v>1</v>
      </c>
      <c r="H312" s="211">
        <v>1</v>
      </c>
      <c r="I312" s="211">
        <v>1</v>
      </c>
      <c r="J312" s="240">
        <v>1</v>
      </c>
      <c r="K312" s="211">
        <v>1</v>
      </c>
      <c r="L312" s="211">
        <v>1</v>
      </c>
      <c r="M312" s="211">
        <v>1</v>
      </c>
      <c r="N312" s="211">
        <v>1</v>
      </c>
      <c r="O312" s="211">
        <v>1</v>
      </c>
      <c r="P312" s="211">
        <v>1</v>
      </c>
      <c r="Q312" s="211"/>
      <c r="R312" s="211">
        <v>1</v>
      </c>
      <c r="S312" s="211">
        <v>1</v>
      </c>
      <c r="T312" s="211">
        <v>1</v>
      </c>
      <c r="U312" s="240">
        <v>1</v>
      </c>
      <c r="V312" s="211">
        <v>1</v>
      </c>
      <c r="W312" s="211">
        <v>1</v>
      </c>
      <c r="X312" s="211">
        <v>1</v>
      </c>
      <c r="Y312" s="211"/>
      <c r="Z312" s="211">
        <v>1</v>
      </c>
      <c r="AA312" s="211">
        <v>1</v>
      </c>
      <c r="AB312" s="211"/>
      <c r="AC312" s="211">
        <v>1</v>
      </c>
      <c r="AD312" s="211">
        <v>1</v>
      </c>
      <c r="AE312" s="211">
        <v>1</v>
      </c>
      <c r="AF312" s="240">
        <v>1</v>
      </c>
      <c r="AG312" s="211">
        <v>1</v>
      </c>
      <c r="AH312" s="211">
        <v>1</v>
      </c>
      <c r="AI312" s="211">
        <v>1</v>
      </c>
      <c r="AJ312" s="211">
        <v>1</v>
      </c>
      <c r="AK312" s="211"/>
      <c r="AL312" s="211">
        <v>1</v>
      </c>
      <c r="AM312" s="211"/>
      <c r="AN312" s="211">
        <v>1</v>
      </c>
      <c r="AO312" s="211"/>
      <c r="AP312" s="211">
        <v>1</v>
      </c>
      <c r="AQ312" s="240">
        <v>1</v>
      </c>
      <c r="AR312" s="240"/>
      <c r="AS312" s="240">
        <v>1</v>
      </c>
      <c r="AT312" s="240"/>
      <c r="AU312" s="240"/>
      <c r="AV312" s="242">
        <v>1</v>
      </c>
      <c r="AW312" s="240">
        <v>1</v>
      </c>
      <c r="AX312" s="240">
        <v>1</v>
      </c>
      <c r="AY312" s="240">
        <v>1</v>
      </c>
      <c r="AZ312" s="203">
        <v>1</v>
      </c>
      <c r="BA312" s="203">
        <v>1</v>
      </c>
      <c r="BB312" s="203">
        <v>1</v>
      </c>
      <c r="BC312" s="203">
        <v>1</v>
      </c>
    </row>
    <row r="313" spans="1:55" ht="21" hidden="1" customHeight="1">
      <c r="A313" s="212"/>
      <c r="B313" s="237">
        <v>46054</v>
      </c>
      <c r="C313" s="211" t="s">
        <v>386</v>
      </c>
      <c r="D313" s="238" t="s">
        <v>823</v>
      </c>
      <c r="E313" s="211" t="s">
        <v>408</v>
      </c>
      <c r="F313" s="211"/>
      <c r="G313" s="211">
        <v>1</v>
      </c>
      <c r="H313" s="211">
        <v>1</v>
      </c>
      <c r="I313" s="211">
        <v>1</v>
      </c>
      <c r="J313" s="240">
        <v>1</v>
      </c>
      <c r="K313" s="211"/>
      <c r="L313" s="211">
        <v>1</v>
      </c>
      <c r="M313" s="211">
        <v>1</v>
      </c>
      <c r="N313" s="211">
        <v>1</v>
      </c>
      <c r="O313" s="211">
        <v>1</v>
      </c>
      <c r="P313" s="211">
        <v>1</v>
      </c>
      <c r="Q313" s="211"/>
      <c r="R313" s="211">
        <v>1</v>
      </c>
      <c r="S313" s="211">
        <v>1</v>
      </c>
      <c r="T313" s="211">
        <v>1</v>
      </c>
      <c r="U313" s="240">
        <v>1</v>
      </c>
      <c r="V313" s="211">
        <v>1</v>
      </c>
      <c r="W313" s="211">
        <v>1</v>
      </c>
      <c r="X313" s="211"/>
      <c r="Y313" s="211">
        <v>1</v>
      </c>
      <c r="Z313" s="211"/>
      <c r="AA313" s="211">
        <v>1</v>
      </c>
      <c r="AB313" s="211"/>
      <c r="AC313" s="211">
        <v>1</v>
      </c>
      <c r="AD313" s="211">
        <v>1</v>
      </c>
      <c r="AE313" s="211">
        <v>1</v>
      </c>
      <c r="AF313" s="240">
        <v>1</v>
      </c>
      <c r="AG313" s="211">
        <v>1</v>
      </c>
      <c r="AH313" s="211">
        <v>1</v>
      </c>
      <c r="AI313" s="211">
        <v>1</v>
      </c>
      <c r="AJ313" s="211">
        <v>1</v>
      </c>
      <c r="AK313" s="211"/>
      <c r="AL313" s="211"/>
      <c r="AM313" s="211"/>
      <c r="AN313" s="211">
        <v>1</v>
      </c>
      <c r="AO313" s="211">
        <v>1</v>
      </c>
      <c r="AP313" s="211">
        <v>1</v>
      </c>
      <c r="AQ313" s="240">
        <v>1</v>
      </c>
      <c r="AR313" s="240">
        <v>1</v>
      </c>
      <c r="AS313" s="240">
        <v>1</v>
      </c>
      <c r="AT313" s="240">
        <v>1</v>
      </c>
      <c r="AU313" s="240">
        <v>1</v>
      </c>
      <c r="AV313" s="242">
        <v>1</v>
      </c>
      <c r="AW313" s="240">
        <v>1</v>
      </c>
      <c r="AX313" s="240">
        <v>1</v>
      </c>
      <c r="AY313" s="240"/>
      <c r="AZ313" s="203">
        <v>1</v>
      </c>
      <c r="BA313" s="203">
        <v>1</v>
      </c>
      <c r="BB313" s="203"/>
      <c r="BC313" s="203"/>
    </row>
    <row r="314" spans="1:55" ht="21" hidden="1" customHeight="1">
      <c r="A314" s="212"/>
      <c r="B314" s="237">
        <v>46054</v>
      </c>
      <c r="C314" s="211" t="s">
        <v>384</v>
      </c>
      <c r="D314" s="238" t="s">
        <v>824</v>
      </c>
      <c r="E314" s="211" t="s">
        <v>575</v>
      </c>
      <c r="F314" s="211"/>
      <c r="G314" s="211">
        <v>1</v>
      </c>
      <c r="H314" s="239">
        <v>1</v>
      </c>
      <c r="I314" s="239">
        <v>1</v>
      </c>
      <c r="J314" s="240">
        <v>1</v>
      </c>
      <c r="K314" s="211">
        <v>1</v>
      </c>
      <c r="L314" s="211">
        <v>1</v>
      </c>
      <c r="M314" s="211">
        <v>1</v>
      </c>
      <c r="N314" s="211">
        <v>1</v>
      </c>
      <c r="O314" s="211">
        <v>1</v>
      </c>
      <c r="P314" s="211">
        <v>1</v>
      </c>
      <c r="Q314" s="211"/>
      <c r="R314" s="211">
        <v>1</v>
      </c>
      <c r="S314" s="239">
        <v>1</v>
      </c>
      <c r="T314" s="239">
        <v>1</v>
      </c>
      <c r="U314" s="240">
        <v>1</v>
      </c>
      <c r="V314" s="211">
        <v>1</v>
      </c>
      <c r="W314" s="211">
        <v>1</v>
      </c>
      <c r="X314" s="211"/>
      <c r="Y314" s="211">
        <v>1</v>
      </c>
      <c r="Z314" s="211">
        <v>1</v>
      </c>
      <c r="AA314" s="211">
        <v>1</v>
      </c>
      <c r="AB314" s="211"/>
      <c r="AC314" s="211">
        <v>1</v>
      </c>
      <c r="AD314" s="239">
        <v>1</v>
      </c>
      <c r="AE314" s="239">
        <v>1</v>
      </c>
      <c r="AF314" s="240">
        <v>1</v>
      </c>
      <c r="AG314" s="211">
        <v>1</v>
      </c>
      <c r="AH314" s="211">
        <v>1</v>
      </c>
      <c r="AI314" s="211">
        <v>1</v>
      </c>
      <c r="AJ314" s="211">
        <v>1</v>
      </c>
      <c r="AK314" s="211"/>
      <c r="AL314" s="211"/>
      <c r="AM314" s="211"/>
      <c r="AN314" s="211">
        <v>1</v>
      </c>
      <c r="AO314" s="239">
        <v>1</v>
      </c>
      <c r="AP314" s="239">
        <v>1</v>
      </c>
      <c r="AQ314" s="240">
        <v>1</v>
      </c>
      <c r="AR314" s="240">
        <v>1</v>
      </c>
      <c r="AS314" s="240">
        <v>1</v>
      </c>
      <c r="AT314" s="240">
        <v>1</v>
      </c>
      <c r="AU314" s="240">
        <v>1</v>
      </c>
      <c r="AV314" s="240">
        <v>1</v>
      </c>
      <c r="AW314" s="240">
        <v>1</v>
      </c>
      <c r="AX314" s="240">
        <v>1</v>
      </c>
      <c r="AY314" s="240">
        <v>1</v>
      </c>
      <c r="AZ314" s="203">
        <v>1</v>
      </c>
      <c r="BA314" s="203">
        <v>1</v>
      </c>
      <c r="BB314" s="203">
        <v>1</v>
      </c>
      <c r="BC314" s="203">
        <v>1</v>
      </c>
    </row>
    <row r="315" spans="1:55" ht="21" hidden="1" customHeight="1">
      <c r="A315" s="212"/>
      <c r="B315" s="237">
        <v>46054</v>
      </c>
      <c r="C315" s="211" t="s">
        <v>384</v>
      </c>
      <c r="D315" s="238" t="s">
        <v>825</v>
      </c>
      <c r="E315" s="211" t="s">
        <v>565</v>
      </c>
      <c r="F315" s="211"/>
      <c r="G315" s="211">
        <v>1</v>
      </c>
      <c r="H315" s="239">
        <v>1</v>
      </c>
      <c r="I315" s="239">
        <v>1</v>
      </c>
      <c r="J315" s="240">
        <v>1</v>
      </c>
      <c r="K315" s="211">
        <v>1</v>
      </c>
      <c r="L315" s="211">
        <v>1</v>
      </c>
      <c r="M315" s="211">
        <v>1</v>
      </c>
      <c r="N315" s="211">
        <v>1</v>
      </c>
      <c r="O315" s="211">
        <v>1</v>
      </c>
      <c r="P315" s="211">
        <v>1</v>
      </c>
      <c r="Q315" s="211"/>
      <c r="R315" s="211">
        <v>1</v>
      </c>
      <c r="S315" s="239">
        <v>1</v>
      </c>
      <c r="T315" s="239">
        <v>1</v>
      </c>
      <c r="U315" s="240">
        <v>1</v>
      </c>
      <c r="V315" s="211">
        <v>1</v>
      </c>
      <c r="W315" s="211">
        <v>1</v>
      </c>
      <c r="X315" s="211"/>
      <c r="Y315" s="211"/>
      <c r="Z315" s="211">
        <v>1</v>
      </c>
      <c r="AA315" s="211">
        <v>1</v>
      </c>
      <c r="AB315" s="211"/>
      <c r="AC315" s="211">
        <v>1</v>
      </c>
      <c r="AD315" s="239">
        <v>1</v>
      </c>
      <c r="AE315" s="239">
        <v>1</v>
      </c>
      <c r="AF315" s="240">
        <v>1</v>
      </c>
      <c r="AG315" s="211">
        <v>1</v>
      </c>
      <c r="AH315" s="211">
        <v>1</v>
      </c>
      <c r="AI315" s="211">
        <v>1</v>
      </c>
      <c r="AJ315" s="211">
        <v>1</v>
      </c>
      <c r="AK315" s="211"/>
      <c r="AL315" s="211"/>
      <c r="AM315" s="211"/>
      <c r="AN315" s="211">
        <v>1</v>
      </c>
      <c r="AO315" s="239">
        <v>1</v>
      </c>
      <c r="AP315" s="239">
        <v>1</v>
      </c>
      <c r="AQ315" s="240">
        <v>1</v>
      </c>
      <c r="AR315" s="240">
        <v>1</v>
      </c>
      <c r="AS315" s="240">
        <v>1</v>
      </c>
      <c r="AT315" s="240">
        <v>1</v>
      </c>
      <c r="AU315" s="240">
        <v>1</v>
      </c>
      <c r="AV315" s="240">
        <v>1</v>
      </c>
      <c r="AW315" s="240">
        <v>1</v>
      </c>
      <c r="AX315" s="240">
        <v>1</v>
      </c>
      <c r="AY315" s="240">
        <v>1</v>
      </c>
      <c r="AZ315" s="203">
        <v>1</v>
      </c>
      <c r="BA315" s="203">
        <v>1</v>
      </c>
      <c r="BB315" s="203">
        <v>1</v>
      </c>
      <c r="BC315" s="203">
        <v>1</v>
      </c>
    </row>
    <row r="316" spans="1:55" ht="21" customHeight="1">
      <c r="A316" s="212"/>
      <c r="B316" s="237">
        <v>46054</v>
      </c>
      <c r="C316" s="211" t="s">
        <v>395</v>
      </c>
      <c r="D316" s="238" t="s">
        <v>826</v>
      </c>
      <c r="E316" s="203" t="s">
        <v>827</v>
      </c>
      <c r="F316" s="242"/>
      <c r="G316" s="203"/>
      <c r="H316" s="242"/>
      <c r="I316" s="242"/>
      <c r="J316" s="242"/>
      <c r="K316" s="242"/>
      <c r="L316" s="242"/>
      <c r="M316" s="211">
        <v>1</v>
      </c>
      <c r="N316" s="211">
        <v>1</v>
      </c>
      <c r="O316" s="211">
        <v>1</v>
      </c>
      <c r="P316" s="211">
        <v>1</v>
      </c>
      <c r="Q316" s="242"/>
      <c r="R316" s="242"/>
      <c r="S316" s="242"/>
      <c r="T316" s="242"/>
      <c r="U316" s="242"/>
      <c r="V316" s="242"/>
      <c r="W316" s="242"/>
      <c r="X316" s="211">
        <v>1</v>
      </c>
      <c r="Y316" s="211"/>
      <c r="Z316" s="211">
        <v>1</v>
      </c>
      <c r="AA316" s="211">
        <v>1</v>
      </c>
      <c r="AB316" s="242"/>
      <c r="AC316" s="242"/>
      <c r="AD316" s="242"/>
      <c r="AE316" s="242"/>
      <c r="AF316" s="242"/>
      <c r="AG316" s="242"/>
      <c r="AH316" s="242"/>
      <c r="AI316" s="211"/>
      <c r="AJ316" s="211">
        <v>1</v>
      </c>
      <c r="AK316" s="211"/>
      <c r="AL316" s="242"/>
      <c r="AM316" s="242"/>
      <c r="AN316" s="242"/>
      <c r="AO316" s="242"/>
      <c r="AP316" s="242"/>
      <c r="AQ316" s="242"/>
      <c r="AR316" s="242"/>
      <c r="AS316" s="242"/>
      <c r="AT316" s="211"/>
      <c r="AU316" s="211"/>
      <c r="AV316" s="242"/>
      <c r="AW316" s="240"/>
      <c r="AX316" s="240">
        <v>1</v>
      </c>
      <c r="AY316" s="240">
        <v>1</v>
      </c>
      <c r="AZ316" s="203">
        <v>1</v>
      </c>
      <c r="BA316" s="203">
        <v>1</v>
      </c>
      <c r="BB316" s="203">
        <v>1</v>
      </c>
      <c r="BC316" s="203">
        <v>1</v>
      </c>
    </row>
    <row r="317" spans="1:55" ht="21" hidden="1" customHeight="1">
      <c r="A317" s="212"/>
      <c r="B317" s="237">
        <v>46054</v>
      </c>
      <c r="C317" s="211" t="s">
        <v>386</v>
      </c>
      <c r="D317" s="238" t="s">
        <v>828</v>
      </c>
      <c r="E317" s="203" t="s">
        <v>829</v>
      </c>
      <c r="F317" s="242"/>
      <c r="G317" s="203"/>
      <c r="H317" s="242"/>
      <c r="I317" s="242"/>
      <c r="J317" s="242"/>
      <c r="K317" s="242"/>
      <c r="L317" s="242"/>
      <c r="M317" s="211"/>
      <c r="N317" s="211"/>
      <c r="O317" s="242"/>
      <c r="P317" s="242"/>
      <c r="Q317" s="242"/>
      <c r="R317" s="242"/>
      <c r="S317" s="242"/>
      <c r="T317" s="242"/>
      <c r="U317" s="242"/>
      <c r="V317" s="242"/>
      <c r="W317" s="242"/>
      <c r="X317" s="211"/>
      <c r="Y317" s="211"/>
      <c r="Z317" s="203"/>
      <c r="AA317" s="203"/>
      <c r="AB317" s="242"/>
      <c r="AC317" s="242"/>
      <c r="AD317" s="242"/>
      <c r="AE317" s="242"/>
      <c r="AF317" s="242"/>
      <c r="AG317" s="242"/>
      <c r="AH317" s="242"/>
      <c r="AI317" s="211"/>
      <c r="AJ317" s="211"/>
      <c r="AK317" s="242"/>
      <c r="AL317" s="242"/>
      <c r="AM317" s="242"/>
      <c r="AN317" s="242"/>
      <c r="AO317" s="242"/>
      <c r="AP317" s="242"/>
      <c r="AQ317" s="242"/>
      <c r="AR317" s="242"/>
      <c r="AS317" s="242"/>
      <c r="AT317" s="211"/>
      <c r="AU317" s="211"/>
      <c r="AV317" s="240">
        <v>1</v>
      </c>
      <c r="AW317" s="240">
        <v>1</v>
      </c>
      <c r="AX317" s="240"/>
      <c r="AY317" s="240">
        <v>1</v>
      </c>
      <c r="AZ317" s="203">
        <v>1</v>
      </c>
      <c r="BA317" s="203">
        <v>1</v>
      </c>
      <c r="BB317" s="203"/>
      <c r="BC317" s="203"/>
    </row>
    <row r="318" spans="1:55" ht="21" hidden="1" customHeight="1">
      <c r="A318" s="212"/>
      <c r="B318" s="237">
        <v>46054</v>
      </c>
      <c r="C318" s="211" t="s">
        <v>386</v>
      </c>
      <c r="D318" s="238" t="s">
        <v>830</v>
      </c>
      <c r="E318" s="203" t="s">
        <v>831</v>
      </c>
      <c r="F318" s="242"/>
      <c r="G318" s="203"/>
      <c r="H318" s="242"/>
      <c r="I318" s="242"/>
      <c r="J318" s="242"/>
      <c r="K318" s="242"/>
      <c r="L318" s="242"/>
      <c r="M318" s="211">
        <v>1</v>
      </c>
      <c r="N318" s="211">
        <v>1</v>
      </c>
      <c r="O318" s="211">
        <v>1</v>
      </c>
      <c r="P318" s="211">
        <v>1</v>
      </c>
      <c r="Q318" s="242"/>
      <c r="R318" s="242"/>
      <c r="S318" s="242"/>
      <c r="T318" s="242"/>
      <c r="U318" s="242"/>
      <c r="V318" s="242"/>
      <c r="W318" s="242"/>
      <c r="X318" s="211">
        <v>1</v>
      </c>
      <c r="Y318" s="211"/>
      <c r="Z318" s="211">
        <v>1</v>
      </c>
      <c r="AA318" s="211">
        <v>1</v>
      </c>
      <c r="AB318" s="242"/>
      <c r="AC318" s="242"/>
      <c r="AD318" s="242"/>
      <c r="AE318" s="242"/>
      <c r="AF318" s="242"/>
      <c r="AG318" s="242"/>
      <c r="AH318" s="242"/>
      <c r="AI318" s="211">
        <v>1</v>
      </c>
      <c r="AJ318" s="211">
        <v>1</v>
      </c>
      <c r="AK318" s="211"/>
      <c r="AL318" s="242"/>
      <c r="AM318" s="242"/>
      <c r="AN318" s="242"/>
      <c r="AO318" s="242"/>
      <c r="AP318" s="242"/>
      <c r="AQ318" s="242"/>
      <c r="AR318" s="242"/>
      <c r="AS318" s="242"/>
      <c r="AT318" s="211"/>
      <c r="AU318" s="211"/>
      <c r="AV318" s="242"/>
      <c r="AW318" s="240"/>
      <c r="AX318" s="240">
        <v>1</v>
      </c>
      <c r="AY318" s="240">
        <v>1</v>
      </c>
      <c r="AZ318" s="203">
        <v>1</v>
      </c>
      <c r="BA318" s="203"/>
      <c r="BB318" s="203"/>
      <c r="BC318" s="203"/>
    </row>
    <row r="319" spans="1:55" ht="21" hidden="1" customHeight="1">
      <c r="A319" s="212"/>
      <c r="B319" s="237">
        <v>46054</v>
      </c>
      <c r="C319" s="211" t="s">
        <v>384</v>
      </c>
      <c r="D319" s="238" t="s">
        <v>832</v>
      </c>
      <c r="E319" s="203" t="s">
        <v>833</v>
      </c>
      <c r="F319" s="242"/>
      <c r="G319" s="203"/>
      <c r="H319" s="242"/>
      <c r="I319" s="242"/>
      <c r="J319" s="242"/>
      <c r="K319" s="242"/>
      <c r="L319" s="242"/>
      <c r="M319" s="211"/>
      <c r="N319" s="211">
        <v>1</v>
      </c>
      <c r="O319" s="211">
        <v>1</v>
      </c>
      <c r="P319" s="211">
        <v>1</v>
      </c>
      <c r="Q319" s="242"/>
      <c r="R319" s="242"/>
      <c r="S319" s="242"/>
      <c r="T319" s="242"/>
      <c r="U319" s="242"/>
      <c r="V319" s="242"/>
      <c r="W319" s="242"/>
      <c r="X319" s="211"/>
      <c r="Y319" s="211"/>
      <c r="Z319" s="211">
        <v>1</v>
      </c>
      <c r="AA319" s="211">
        <v>1</v>
      </c>
      <c r="AB319" s="242"/>
      <c r="AC319" s="242"/>
      <c r="AD319" s="242"/>
      <c r="AE319" s="242"/>
      <c r="AF319" s="242"/>
      <c r="AG319" s="242"/>
      <c r="AH319" s="242"/>
      <c r="AI319" s="211"/>
      <c r="AJ319" s="211">
        <v>1</v>
      </c>
      <c r="AK319" s="211"/>
      <c r="AL319" s="242"/>
      <c r="AM319" s="242"/>
      <c r="AN319" s="242"/>
      <c r="AO319" s="242"/>
      <c r="AP319" s="242"/>
      <c r="AQ319" s="242"/>
      <c r="AR319" s="242"/>
      <c r="AS319" s="242"/>
      <c r="AT319" s="211"/>
      <c r="AU319" s="211"/>
      <c r="AV319" s="242">
        <v>1</v>
      </c>
      <c r="AW319" s="240">
        <v>1</v>
      </c>
      <c r="AX319" s="240">
        <v>1</v>
      </c>
      <c r="AY319" s="240">
        <v>1</v>
      </c>
      <c r="AZ319" s="203">
        <v>1</v>
      </c>
      <c r="BA319" s="203">
        <v>1</v>
      </c>
      <c r="BB319" s="203">
        <v>1</v>
      </c>
      <c r="BC319" s="203">
        <v>1</v>
      </c>
    </row>
    <row r="320" spans="1:55" ht="21" hidden="1" customHeight="1">
      <c r="A320" s="212"/>
      <c r="B320" s="237">
        <v>46054</v>
      </c>
      <c r="C320" s="211" t="s">
        <v>386</v>
      </c>
      <c r="D320" s="238" t="s">
        <v>834</v>
      </c>
      <c r="E320" s="203" t="s">
        <v>835</v>
      </c>
      <c r="F320" s="242"/>
      <c r="G320" s="203"/>
      <c r="H320" s="242"/>
      <c r="I320" s="242"/>
      <c r="J320" s="242"/>
      <c r="K320" s="242"/>
      <c r="L320" s="242"/>
      <c r="M320" s="211">
        <v>1</v>
      </c>
      <c r="N320" s="211">
        <v>1</v>
      </c>
      <c r="O320" s="211">
        <v>1</v>
      </c>
      <c r="P320" s="242"/>
      <c r="Q320" s="242"/>
      <c r="R320" s="242"/>
      <c r="S320" s="242"/>
      <c r="T320" s="242"/>
      <c r="U320" s="242"/>
      <c r="V320" s="242"/>
      <c r="W320" s="242"/>
      <c r="X320" s="211">
        <v>1</v>
      </c>
      <c r="Y320" s="211"/>
      <c r="Z320" s="211">
        <v>1</v>
      </c>
      <c r="AA320" s="203"/>
      <c r="AB320" s="242"/>
      <c r="AC320" s="242"/>
      <c r="AD320" s="242"/>
      <c r="AE320" s="242"/>
      <c r="AF320" s="242"/>
      <c r="AG320" s="242"/>
      <c r="AH320" s="242"/>
      <c r="AI320" s="211">
        <v>1</v>
      </c>
      <c r="AJ320" s="211">
        <v>1</v>
      </c>
      <c r="AK320" s="211"/>
      <c r="AL320" s="242"/>
      <c r="AM320" s="242"/>
      <c r="AN320" s="242"/>
      <c r="AO320" s="242"/>
      <c r="AP320" s="242"/>
      <c r="AQ320" s="242"/>
      <c r="AR320" s="242"/>
      <c r="AS320" s="242"/>
      <c r="AT320" s="211">
        <v>1</v>
      </c>
      <c r="AU320" s="211">
        <v>1</v>
      </c>
      <c r="AV320" s="242"/>
      <c r="AW320" s="240"/>
      <c r="AX320" s="240"/>
      <c r="AY320" s="240"/>
      <c r="AZ320" s="242"/>
      <c r="BA320" s="203"/>
      <c r="BB320" s="203"/>
      <c r="BC320" s="203"/>
    </row>
    <row r="321" spans="1:55" ht="21" hidden="1" customHeight="1">
      <c r="A321" s="212"/>
      <c r="B321" s="237">
        <v>46054</v>
      </c>
      <c r="C321" s="211" t="s">
        <v>386</v>
      </c>
      <c r="D321" s="238" t="s">
        <v>836</v>
      </c>
      <c r="E321" s="203" t="s">
        <v>837</v>
      </c>
      <c r="F321" s="242"/>
      <c r="G321" s="203"/>
      <c r="H321" s="242"/>
      <c r="I321" s="242"/>
      <c r="J321" s="242"/>
      <c r="K321" s="242"/>
      <c r="L321" s="242"/>
      <c r="M321" s="211">
        <v>1</v>
      </c>
      <c r="N321" s="211">
        <v>1</v>
      </c>
      <c r="O321" s="211">
        <v>1</v>
      </c>
      <c r="P321" s="211">
        <v>1</v>
      </c>
      <c r="Q321" s="242"/>
      <c r="R321" s="242"/>
      <c r="S321" s="242"/>
      <c r="T321" s="242"/>
      <c r="U321" s="242"/>
      <c r="V321" s="242"/>
      <c r="W321" s="242"/>
      <c r="X321" s="211">
        <v>1</v>
      </c>
      <c r="Y321" s="211">
        <v>1</v>
      </c>
      <c r="Z321" s="211">
        <v>1</v>
      </c>
      <c r="AA321" s="211">
        <v>1</v>
      </c>
      <c r="AB321" s="242"/>
      <c r="AC321" s="242"/>
      <c r="AD321" s="242"/>
      <c r="AE321" s="242"/>
      <c r="AF321" s="242"/>
      <c r="AG321" s="242"/>
      <c r="AH321" s="242"/>
      <c r="AI321" s="211">
        <v>1</v>
      </c>
      <c r="AJ321" s="211">
        <v>1</v>
      </c>
      <c r="AK321" s="211"/>
      <c r="AL321" s="211">
        <v>1</v>
      </c>
      <c r="AM321" s="242"/>
      <c r="AN321" s="242"/>
      <c r="AO321" s="242"/>
      <c r="AP321" s="242"/>
      <c r="AQ321" s="242"/>
      <c r="AR321" s="242"/>
      <c r="AS321" s="242"/>
      <c r="AT321" s="211"/>
      <c r="AU321" s="211"/>
      <c r="AV321" s="242"/>
      <c r="AW321" s="240"/>
      <c r="AX321" s="240">
        <v>1</v>
      </c>
      <c r="AY321" s="240">
        <v>1</v>
      </c>
      <c r="AZ321" s="203">
        <v>1</v>
      </c>
      <c r="BA321" s="203">
        <v>1</v>
      </c>
      <c r="BB321" s="203">
        <v>1</v>
      </c>
      <c r="BC321" s="203">
        <v>1</v>
      </c>
    </row>
    <row r="322" spans="1:55" ht="21" hidden="1" customHeight="1">
      <c r="A322" s="212"/>
      <c r="B322" s="237">
        <v>46054</v>
      </c>
      <c r="C322" s="211" t="s">
        <v>386</v>
      </c>
      <c r="D322" s="238" t="s">
        <v>838</v>
      </c>
      <c r="E322" s="203" t="s">
        <v>839</v>
      </c>
      <c r="F322" s="242"/>
      <c r="G322" s="203"/>
      <c r="H322" s="242"/>
      <c r="I322" s="242"/>
      <c r="J322" s="242"/>
      <c r="K322" s="242"/>
      <c r="L322" s="242"/>
      <c r="M322" s="211"/>
      <c r="N322" s="211">
        <v>1</v>
      </c>
      <c r="O322" s="211">
        <v>1</v>
      </c>
      <c r="P322" s="211">
        <v>1</v>
      </c>
      <c r="Q322" s="242"/>
      <c r="R322" s="242"/>
      <c r="S322" s="242"/>
      <c r="T322" s="242"/>
      <c r="U322" s="242"/>
      <c r="V322" s="242"/>
      <c r="W322" s="242"/>
      <c r="X322" s="211">
        <v>1</v>
      </c>
      <c r="Y322" s="211">
        <v>1</v>
      </c>
      <c r="Z322" s="211">
        <v>1</v>
      </c>
      <c r="AA322" s="211">
        <v>1</v>
      </c>
      <c r="AB322" s="242"/>
      <c r="AC322" s="242"/>
      <c r="AD322" s="242"/>
      <c r="AE322" s="242"/>
      <c r="AF322" s="242"/>
      <c r="AG322" s="242"/>
      <c r="AH322" s="242"/>
      <c r="AI322" s="211"/>
      <c r="AJ322" s="211">
        <v>1</v>
      </c>
      <c r="AK322" s="211"/>
      <c r="AL322" s="242"/>
      <c r="AM322" s="242"/>
      <c r="AN322" s="242"/>
      <c r="AO322" s="242"/>
      <c r="AP322" s="242"/>
      <c r="AQ322" s="242"/>
      <c r="AR322" s="242"/>
      <c r="AS322" s="242"/>
      <c r="AT322" s="211"/>
      <c r="AU322" s="211"/>
      <c r="AV322" s="242"/>
      <c r="AW322" s="240"/>
      <c r="AX322" s="240">
        <v>1</v>
      </c>
      <c r="AY322" s="240">
        <v>1</v>
      </c>
      <c r="AZ322" s="203">
        <v>1</v>
      </c>
      <c r="BA322" s="203">
        <v>1</v>
      </c>
      <c r="BB322" s="203">
        <v>1</v>
      </c>
      <c r="BC322" s="203">
        <v>1</v>
      </c>
    </row>
    <row r="323" spans="1:55" ht="21" hidden="1" customHeight="1">
      <c r="A323" s="212"/>
      <c r="B323" s="237">
        <v>46054</v>
      </c>
      <c r="C323" s="211" t="s">
        <v>388</v>
      </c>
      <c r="D323" s="238" t="s">
        <v>840</v>
      </c>
      <c r="E323" s="203" t="s">
        <v>841</v>
      </c>
      <c r="F323" s="242"/>
      <c r="G323" s="203"/>
      <c r="H323" s="242"/>
      <c r="I323" s="242"/>
      <c r="J323" s="242"/>
      <c r="K323" s="242"/>
      <c r="L323" s="242"/>
      <c r="M323" s="211">
        <v>1</v>
      </c>
      <c r="N323" s="211"/>
      <c r="O323" s="242"/>
      <c r="P323" s="242"/>
      <c r="Q323" s="242"/>
      <c r="R323" s="242"/>
      <c r="S323" s="242"/>
      <c r="T323" s="242"/>
      <c r="U323" s="242"/>
      <c r="V323" s="242"/>
      <c r="W323" s="242"/>
      <c r="X323" s="211"/>
      <c r="Y323" s="211">
        <v>1</v>
      </c>
      <c r="Z323" s="203"/>
      <c r="AA323" s="203"/>
      <c r="AB323" s="242"/>
      <c r="AC323" s="242"/>
      <c r="AD323" s="242"/>
      <c r="AE323" s="242"/>
      <c r="AF323" s="242"/>
      <c r="AG323" s="242"/>
      <c r="AH323" s="242"/>
      <c r="AI323" s="211">
        <v>1</v>
      </c>
      <c r="AJ323" s="211"/>
      <c r="AK323" s="242"/>
      <c r="AL323" s="242"/>
      <c r="AM323" s="242"/>
      <c r="AN323" s="242"/>
      <c r="AO323" s="242"/>
      <c r="AP323" s="242"/>
      <c r="AQ323" s="242"/>
      <c r="AR323" s="242"/>
      <c r="AS323" s="242"/>
      <c r="AT323" s="211"/>
      <c r="AU323" s="211"/>
      <c r="AV323" s="242"/>
      <c r="AW323" s="240"/>
      <c r="AX323" s="240"/>
      <c r="AY323" s="240"/>
      <c r="AZ323" s="242"/>
      <c r="BA323" s="203"/>
      <c r="BB323" s="203"/>
      <c r="BC323" s="203"/>
    </row>
    <row r="324" spans="1:55" ht="21" hidden="1" customHeight="1">
      <c r="A324" s="212"/>
      <c r="B324" s="237">
        <v>46054</v>
      </c>
      <c r="C324" s="211" t="s">
        <v>386</v>
      </c>
      <c r="D324" s="238" t="s">
        <v>842</v>
      </c>
      <c r="E324" s="203" t="s">
        <v>843</v>
      </c>
      <c r="F324" s="242"/>
      <c r="G324" s="203"/>
      <c r="H324" s="242"/>
      <c r="I324" s="242"/>
      <c r="J324" s="242"/>
      <c r="K324" s="242"/>
      <c r="L324" s="242"/>
      <c r="M324" s="211">
        <v>1</v>
      </c>
      <c r="N324" s="211"/>
      <c r="O324" s="242"/>
      <c r="P324" s="242"/>
      <c r="Q324" s="242"/>
      <c r="R324" s="242"/>
      <c r="S324" s="242"/>
      <c r="T324" s="242"/>
      <c r="U324" s="242"/>
      <c r="V324" s="242"/>
      <c r="W324" s="242"/>
      <c r="X324" s="211"/>
      <c r="Y324" s="211">
        <v>1</v>
      </c>
      <c r="Z324" s="203"/>
      <c r="AA324" s="203"/>
      <c r="AB324" s="242"/>
      <c r="AC324" s="242"/>
      <c r="AD324" s="242"/>
      <c r="AE324" s="242"/>
      <c r="AF324" s="242"/>
      <c r="AG324" s="242"/>
      <c r="AH324" s="242"/>
      <c r="AI324" s="211">
        <v>1</v>
      </c>
      <c r="AJ324" s="211"/>
      <c r="AK324" s="242"/>
      <c r="AL324" s="242"/>
      <c r="AM324" s="242"/>
      <c r="AN324" s="242"/>
      <c r="AO324" s="242"/>
      <c r="AP324" s="242"/>
      <c r="AQ324" s="242"/>
      <c r="AR324" s="242"/>
      <c r="AS324" s="242"/>
      <c r="AT324" s="211"/>
      <c r="AU324" s="211"/>
      <c r="AV324" s="242"/>
      <c r="AW324" s="240"/>
      <c r="AX324" s="240"/>
      <c r="AY324" s="240"/>
      <c r="AZ324" s="242"/>
      <c r="BA324" s="203"/>
      <c r="BB324" s="203"/>
      <c r="BC324" s="203"/>
    </row>
    <row r="325" spans="1:55" ht="21" hidden="1" customHeight="1">
      <c r="A325" s="212"/>
      <c r="B325" s="237">
        <v>46054</v>
      </c>
      <c r="C325" s="211" t="s">
        <v>386</v>
      </c>
      <c r="D325" s="238" t="s">
        <v>844</v>
      </c>
      <c r="E325" s="203" t="s">
        <v>845</v>
      </c>
      <c r="F325" s="242"/>
      <c r="G325" s="203"/>
      <c r="H325" s="242"/>
      <c r="I325" s="242"/>
      <c r="J325" s="242"/>
      <c r="K325" s="242"/>
      <c r="L325" s="242"/>
      <c r="M325" s="211">
        <v>1</v>
      </c>
      <c r="N325" s="211"/>
      <c r="O325" s="211">
        <v>1</v>
      </c>
      <c r="P325" s="242"/>
      <c r="Q325" s="242"/>
      <c r="R325" s="242"/>
      <c r="S325" s="242"/>
      <c r="T325" s="242"/>
      <c r="U325" s="242"/>
      <c r="V325" s="242"/>
      <c r="W325" s="242"/>
      <c r="X325" s="211">
        <v>1</v>
      </c>
      <c r="Y325" s="211">
        <v>1</v>
      </c>
      <c r="Z325" s="203"/>
      <c r="AA325" s="203"/>
      <c r="AB325" s="242"/>
      <c r="AC325" s="242"/>
      <c r="AD325" s="242"/>
      <c r="AE325" s="242"/>
      <c r="AF325" s="242"/>
      <c r="AG325" s="242"/>
      <c r="AH325" s="242"/>
      <c r="AI325" s="211">
        <v>1</v>
      </c>
      <c r="AJ325" s="211">
        <v>1</v>
      </c>
      <c r="AK325" s="242"/>
      <c r="AL325" s="242"/>
      <c r="AM325" s="242"/>
      <c r="AN325" s="242"/>
      <c r="AO325" s="242"/>
      <c r="AP325" s="242"/>
      <c r="AQ325" s="242"/>
      <c r="AR325" s="242"/>
      <c r="AS325" s="242"/>
      <c r="AT325" s="211"/>
      <c r="AU325" s="211"/>
      <c r="AV325" s="242"/>
      <c r="AW325" s="240"/>
      <c r="AX325" s="240"/>
      <c r="AY325" s="240"/>
      <c r="AZ325" s="242"/>
      <c r="BA325" s="203"/>
      <c r="BB325" s="203"/>
      <c r="BC325" s="203"/>
    </row>
    <row r="326" spans="1:55" ht="21" hidden="1" customHeight="1">
      <c r="A326" s="212"/>
      <c r="B326" s="237">
        <v>46054</v>
      </c>
      <c r="C326" s="211" t="s">
        <v>386</v>
      </c>
      <c r="D326" s="238" t="s">
        <v>846</v>
      </c>
      <c r="E326" s="203" t="s">
        <v>847</v>
      </c>
      <c r="F326" s="242"/>
      <c r="G326" s="203"/>
      <c r="H326" s="242"/>
      <c r="I326" s="242"/>
      <c r="J326" s="242"/>
      <c r="K326" s="242"/>
      <c r="L326" s="242"/>
      <c r="M326" s="211"/>
      <c r="N326" s="211"/>
      <c r="O326" s="242"/>
      <c r="P326" s="242"/>
      <c r="Q326" s="242"/>
      <c r="R326" s="242"/>
      <c r="S326" s="242"/>
      <c r="T326" s="242"/>
      <c r="U326" s="242"/>
      <c r="V326" s="242"/>
      <c r="W326" s="242"/>
      <c r="X326" s="211"/>
      <c r="Y326" s="211">
        <v>1</v>
      </c>
      <c r="Z326" s="203"/>
      <c r="AA326" s="203"/>
      <c r="AB326" s="242"/>
      <c r="AC326" s="242"/>
      <c r="AD326" s="242"/>
      <c r="AE326" s="242"/>
      <c r="AF326" s="242"/>
      <c r="AG326" s="242"/>
      <c r="AH326" s="242"/>
      <c r="AI326" s="211"/>
      <c r="AJ326" s="211"/>
      <c r="AK326" s="242"/>
      <c r="AL326" s="242"/>
      <c r="AM326" s="242"/>
      <c r="AN326" s="242"/>
      <c r="AO326" s="242"/>
      <c r="AP326" s="242"/>
      <c r="AQ326" s="242"/>
      <c r="AR326" s="242"/>
      <c r="AS326" s="242"/>
      <c r="AT326" s="211"/>
      <c r="AU326" s="211"/>
      <c r="AV326" s="242"/>
      <c r="AW326" s="240"/>
      <c r="AX326" s="240"/>
      <c r="AY326" s="240"/>
      <c r="AZ326" s="242"/>
      <c r="BA326" s="203"/>
      <c r="BB326" s="203"/>
      <c r="BC326" s="203"/>
    </row>
    <row r="327" spans="1:55" ht="21" customHeight="1">
      <c r="A327" s="212"/>
      <c r="B327" s="237">
        <v>46054</v>
      </c>
      <c r="C327" s="211" t="s">
        <v>395</v>
      </c>
      <c r="D327" s="238" t="s">
        <v>848</v>
      </c>
      <c r="E327" s="203" t="s">
        <v>849</v>
      </c>
      <c r="F327" s="242"/>
      <c r="G327" s="203"/>
      <c r="H327" s="242"/>
      <c r="I327" s="242"/>
      <c r="J327" s="242"/>
      <c r="K327" s="242"/>
      <c r="L327" s="242"/>
      <c r="M327" s="211"/>
      <c r="N327" s="211"/>
      <c r="O327" s="242"/>
      <c r="P327" s="242"/>
      <c r="Q327" s="242"/>
      <c r="R327" s="242"/>
      <c r="S327" s="242"/>
      <c r="T327" s="242"/>
      <c r="U327" s="242"/>
      <c r="V327" s="242"/>
      <c r="W327" s="242"/>
      <c r="X327" s="211"/>
      <c r="Y327" s="211"/>
      <c r="Z327" s="203"/>
      <c r="AA327" s="203"/>
      <c r="AB327" s="242"/>
      <c r="AC327" s="242"/>
      <c r="AD327" s="242"/>
      <c r="AE327" s="242"/>
      <c r="AF327" s="242"/>
      <c r="AG327" s="242"/>
      <c r="AH327" s="242"/>
      <c r="AI327" s="211"/>
      <c r="AJ327" s="211"/>
      <c r="AK327" s="242"/>
      <c r="AL327" s="242"/>
      <c r="AM327" s="242"/>
      <c r="AN327" s="242"/>
      <c r="AO327" s="242"/>
      <c r="AP327" s="242"/>
      <c r="AQ327" s="242"/>
      <c r="AR327" s="242"/>
      <c r="AS327" s="242"/>
      <c r="AT327" s="211"/>
      <c r="AU327" s="211"/>
      <c r="AV327" s="242"/>
      <c r="AW327" s="240"/>
      <c r="AX327" s="240"/>
      <c r="AY327" s="240"/>
      <c r="AZ327" s="242"/>
      <c r="BA327" s="203"/>
      <c r="BB327" s="203"/>
      <c r="BC327" s="203"/>
    </row>
    <row r="328" spans="1:55" ht="21" customHeight="1">
      <c r="A328" s="212"/>
      <c r="B328" s="237">
        <v>46054</v>
      </c>
      <c r="C328" s="211" t="s">
        <v>395</v>
      </c>
      <c r="D328" s="238" t="s">
        <v>850</v>
      </c>
      <c r="E328" s="203" t="s">
        <v>851</v>
      </c>
      <c r="F328" s="242"/>
      <c r="G328" s="203"/>
      <c r="H328" s="242"/>
      <c r="I328" s="242"/>
      <c r="J328" s="242"/>
      <c r="K328" s="242"/>
      <c r="L328" s="242"/>
      <c r="M328" s="211">
        <v>1</v>
      </c>
      <c r="N328" s="211"/>
      <c r="O328" s="242"/>
      <c r="P328" s="242"/>
      <c r="Q328" s="242"/>
      <c r="R328" s="242"/>
      <c r="S328" s="242"/>
      <c r="T328" s="242"/>
      <c r="U328" s="242"/>
      <c r="V328" s="242"/>
      <c r="W328" s="242"/>
      <c r="X328" s="211"/>
      <c r="Y328" s="211"/>
      <c r="Z328" s="203"/>
      <c r="AA328" s="203"/>
      <c r="AB328" s="242"/>
      <c r="AC328" s="242"/>
      <c r="AD328" s="242"/>
      <c r="AE328" s="242"/>
      <c r="AF328" s="242"/>
      <c r="AG328" s="242"/>
      <c r="AH328" s="242"/>
      <c r="AI328" s="211">
        <v>1</v>
      </c>
      <c r="AJ328" s="211"/>
      <c r="AK328" s="242"/>
      <c r="AL328" s="242"/>
      <c r="AM328" s="242"/>
      <c r="AN328" s="242"/>
      <c r="AO328" s="242"/>
      <c r="AP328" s="242"/>
      <c r="AQ328" s="242"/>
      <c r="AR328" s="242"/>
      <c r="AS328" s="242"/>
      <c r="AT328" s="211"/>
      <c r="AU328" s="211"/>
      <c r="AV328" s="242"/>
      <c r="AW328" s="240"/>
      <c r="AX328" s="240"/>
      <c r="AY328" s="240"/>
      <c r="AZ328" s="242"/>
      <c r="BA328" s="203"/>
      <c r="BB328" s="203"/>
      <c r="BC328" s="203"/>
    </row>
    <row r="329" spans="1:55" ht="21" customHeight="1">
      <c r="A329" s="212"/>
      <c r="B329" s="237">
        <v>46054</v>
      </c>
      <c r="C329" s="211" t="s">
        <v>395</v>
      </c>
      <c r="D329" s="238" t="s">
        <v>852</v>
      </c>
      <c r="E329" s="203" t="s">
        <v>853</v>
      </c>
      <c r="F329" s="242"/>
      <c r="G329" s="203"/>
      <c r="H329" s="242"/>
      <c r="I329" s="242"/>
      <c r="J329" s="242"/>
      <c r="K329" s="242"/>
      <c r="L329" s="242"/>
      <c r="M329" s="211">
        <v>1</v>
      </c>
      <c r="N329" s="211"/>
      <c r="O329" s="242"/>
      <c r="P329" s="242"/>
      <c r="Q329" s="242"/>
      <c r="R329" s="242"/>
      <c r="S329" s="242"/>
      <c r="T329" s="242"/>
      <c r="U329" s="242"/>
      <c r="V329" s="242"/>
      <c r="W329" s="242"/>
      <c r="X329" s="211"/>
      <c r="Y329" s="211"/>
      <c r="Z329" s="203"/>
      <c r="AA329" s="203"/>
      <c r="AB329" s="242"/>
      <c r="AC329" s="242"/>
      <c r="AD329" s="242"/>
      <c r="AE329" s="242"/>
      <c r="AF329" s="242"/>
      <c r="AG329" s="242"/>
      <c r="AH329" s="242"/>
      <c r="AI329" s="211">
        <v>1</v>
      </c>
      <c r="AJ329" s="211"/>
      <c r="AK329" s="242"/>
      <c r="AL329" s="242"/>
      <c r="AM329" s="242"/>
      <c r="AN329" s="242"/>
      <c r="AO329" s="242"/>
      <c r="AP329" s="242"/>
      <c r="AQ329" s="242"/>
      <c r="AR329" s="242"/>
      <c r="AS329" s="242"/>
      <c r="AT329" s="211"/>
      <c r="AU329" s="211"/>
      <c r="AV329" s="242"/>
      <c r="AW329" s="240"/>
      <c r="AX329" s="240"/>
      <c r="AY329" s="240"/>
      <c r="AZ329" s="242"/>
      <c r="BA329" s="203"/>
      <c r="BB329" s="203"/>
      <c r="BC329" s="203"/>
    </row>
    <row r="330" spans="1:55" ht="21" hidden="1" customHeight="1">
      <c r="A330" s="212"/>
      <c r="B330" s="237">
        <v>46054</v>
      </c>
      <c r="C330" s="211" t="s">
        <v>386</v>
      </c>
      <c r="D330" s="238" t="s">
        <v>854</v>
      </c>
      <c r="E330" s="203" t="s">
        <v>855</v>
      </c>
      <c r="F330" s="242"/>
      <c r="G330" s="203"/>
      <c r="H330" s="242"/>
      <c r="I330" s="242"/>
      <c r="J330" s="242"/>
      <c r="K330" s="242"/>
      <c r="L330" s="242"/>
      <c r="M330" s="211"/>
      <c r="N330" s="211"/>
      <c r="O330" s="242"/>
      <c r="P330" s="242"/>
      <c r="Q330" s="242"/>
      <c r="R330" s="242"/>
      <c r="S330" s="242"/>
      <c r="T330" s="242"/>
      <c r="U330" s="242"/>
      <c r="V330" s="242"/>
      <c r="W330" s="242"/>
      <c r="X330" s="211"/>
      <c r="Y330" s="211"/>
      <c r="Z330" s="203"/>
      <c r="AA330" s="203"/>
      <c r="AB330" s="242"/>
      <c r="AC330" s="242"/>
      <c r="AD330" s="242"/>
      <c r="AE330" s="242"/>
      <c r="AF330" s="242"/>
      <c r="AG330" s="242"/>
      <c r="AH330" s="242"/>
      <c r="AI330" s="211"/>
      <c r="AJ330" s="211"/>
      <c r="AK330" s="242"/>
      <c r="AL330" s="242"/>
      <c r="AM330" s="242"/>
      <c r="AN330" s="242"/>
      <c r="AO330" s="242"/>
      <c r="AP330" s="242"/>
      <c r="AQ330" s="242"/>
      <c r="AR330" s="242"/>
      <c r="AS330" s="242"/>
      <c r="AT330" s="211"/>
      <c r="AU330" s="211"/>
      <c r="AV330" s="242"/>
      <c r="AW330" s="240"/>
      <c r="AX330" s="240"/>
      <c r="AY330" s="240"/>
      <c r="AZ330" s="242"/>
      <c r="BA330" s="203"/>
      <c r="BB330" s="203"/>
      <c r="BC330" s="203"/>
    </row>
    <row r="331" spans="1:55" ht="21" hidden="1" customHeight="1">
      <c r="A331" s="212"/>
      <c r="B331" s="237">
        <v>46054</v>
      </c>
      <c r="C331" s="211" t="s">
        <v>386</v>
      </c>
      <c r="D331" s="238" t="s">
        <v>856</v>
      </c>
      <c r="E331" s="203" t="s">
        <v>857</v>
      </c>
      <c r="F331" s="242"/>
      <c r="G331" s="203"/>
      <c r="H331" s="242"/>
      <c r="I331" s="242"/>
      <c r="J331" s="242"/>
      <c r="K331" s="242"/>
      <c r="L331" s="242"/>
      <c r="M331" s="211"/>
      <c r="N331" s="211"/>
      <c r="O331" s="242"/>
      <c r="P331" s="242"/>
      <c r="Q331" s="242"/>
      <c r="R331" s="242"/>
      <c r="S331" s="242"/>
      <c r="T331" s="242"/>
      <c r="U331" s="242"/>
      <c r="V331" s="242"/>
      <c r="W331" s="242"/>
      <c r="X331" s="211">
        <v>1</v>
      </c>
      <c r="Y331" s="211"/>
      <c r="Z331" s="203"/>
      <c r="AA331" s="203"/>
      <c r="AB331" s="242"/>
      <c r="AC331" s="242"/>
      <c r="AD331" s="242"/>
      <c r="AE331" s="242"/>
      <c r="AF331" s="242"/>
      <c r="AG331" s="242"/>
      <c r="AH331" s="242"/>
      <c r="AI331" s="211"/>
      <c r="AJ331" s="211">
        <v>1</v>
      </c>
      <c r="AK331" s="242"/>
      <c r="AL331" s="242"/>
      <c r="AM331" s="242"/>
      <c r="AN331" s="242"/>
      <c r="AO331" s="242"/>
      <c r="AP331" s="242"/>
      <c r="AQ331" s="242"/>
      <c r="AR331" s="242"/>
      <c r="AS331" s="242"/>
      <c r="AT331" s="211"/>
      <c r="AU331" s="211"/>
      <c r="AV331" s="242"/>
      <c r="AW331" s="240"/>
      <c r="AX331" s="240"/>
      <c r="AY331" s="240"/>
      <c r="AZ331" s="242"/>
      <c r="BA331" s="203"/>
      <c r="BB331" s="203"/>
      <c r="BC331" s="203"/>
    </row>
    <row r="332" spans="1:55" ht="21" hidden="1" customHeight="1">
      <c r="A332" s="212"/>
      <c r="B332" s="237">
        <v>46054</v>
      </c>
      <c r="C332" s="211" t="s">
        <v>388</v>
      </c>
      <c r="D332" s="238" t="s">
        <v>858</v>
      </c>
      <c r="E332" s="203" t="s">
        <v>859</v>
      </c>
      <c r="F332" s="242"/>
      <c r="G332" s="203"/>
      <c r="H332" s="242"/>
      <c r="I332" s="242"/>
      <c r="J332" s="242"/>
      <c r="K332" s="242"/>
      <c r="L332" s="242"/>
      <c r="M332" s="211"/>
      <c r="N332" s="211"/>
      <c r="O332" s="242"/>
      <c r="P332" s="242"/>
      <c r="Q332" s="242"/>
      <c r="R332" s="242"/>
      <c r="S332" s="242"/>
      <c r="T332" s="242"/>
      <c r="U332" s="242"/>
      <c r="V332" s="242"/>
      <c r="W332" s="242"/>
      <c r="X332" s="211">
        <v>1</v>
      </c>
      <c r="Y332" s="211"/>
      <c r="Z332" s="203"/>
      <c r="AA332" s="203"/>
      <c r="AB332" s="242"/>
      <c r="AC332" s="242"/>
      <c r="AD332" s="242"/>
      <c r="AE332" s="242"/>
      <c r="AF332" s="242"/>
      <c r="AG332" s="242"/>
      <c r="AH332" s="242"/>
      <c r="AI332" s="211"/>
      <c r="AJ332" s="211">
        <v>1</v>
      </c>
      <c r="AK332" s="242"/>
      <c r="AL332" s="242"/>
      <c r="AM332" s="242"/>
      <c r="AN332" s="242"/>
      <c r="AO332" s="242"/>
      <c r="AP332" s="242"/>
      <c r="AQ332" s="242"/>
      <c r="AR332" s="242"/>
      <c r="AS332" s="242"/>
      <c r="AT332" s="211"/>
      <c r="AU332" s="211"/>
      <c r="AV332" s="242"/>
      <c r="AW332" s="240"/>
      <c r="AX332" s="240"/>
      <c r="AY332" s="240"/>
      <c r="AZ332" s="242"/>
      <c r="BA332" s="203"/>
      <c r="BB332" s="203"/>
      <c r="BC332" s="203"/>
    </row>
    <row r="333" spans="1:55" ht="21" hidden="1" customHeight="1">
      <c r="A333" s="212"/>
      <c r="B333" s="237">
        <v>46054</v>
      </c>
      <c r="C333" s="211" t="s">
        <v>388</v>
      </c>
      <c r="D333" s="238" t="s">
        <v>860</v>
      </c>
      <c r="E333" s="203" t="s">
        <v>861</v>
      </c>
      <c r="F333" s="242"/>
      <c r="G333" s="203"/>
      <c r="H333" s="242"/>
      <c r="I333" s="242"/>
      <c r="J333" s="242"/>
      <c r="K333" s="242"/>
      <c r="L333" s="242"/>
      <c r="M333" s="211"/>
      <c r="N333" s="211">
        <v>1</v>
      </c>
      <c r="O333" s="211">
        <v>1</v>
      </c>
      <c r="P333" s="211">
        <v>1</v>
      </c>
      <c r="Q333" s="242"/>
      <c r="R333" s="242"/>
      <c r="S333" s="242"/>
      <c r="T333" s="242"/>
      <c r="U333" s="242"/>
      <c r="V333" s="242"/>
      <c r="W333" s="242"/>
      <c r="X333" s="211">
        <v>1</v>
      </c>
      <c r="Y333" s="211"/>
      <c r="Z333" s="203">
        <v>1</v>
      </c>
      <c r="AA333" s="203"/>
      <c r="AB333" s="242"/>
      <c r="AC333" s="242"/>
      <c r="AD333" s="242"/>
      <c r="AE333" s="242"/>
      <c r="AF333" s="242"/>
      <c r="AG333" s="242"/>
      <c r="AH333" s="242"/>
      <c r="AI333" s="211"/>
      <c r="AJ333" s="211"/>
      <c r="AK333" s="242"/>
      <c r="AL333" s="242"/>
      <c r="AM333" s="242"/>
      <c r="AN333" s="242"/>
      <c r="AO333" s="242"/>
      <c r="AP333" s="242"/>
      <c r="AQ333" s="242"/>
      <c r="AR333" s="242"/>
      <c r="AS333" s="242"/>
      <c r="AT333" s="211"/>
      <c r="AU333" s="211"/>
      <c r="AV333" s="242"/>
      <c r="AW333" s="240"/>
      <c r="AX333" s="240"/>
      <c r="AY333" s="240">
        <v>1</v>
      </c>
      <c r="AZ333" s="242"/>
      <c r="BA333" s="203"/>
      <c r="BB333" s="203"/>
      <c r="BC333" s="203"/>
    </row>
    <row r="334" spans="1:55" ht="21" hidden="1" customHeight="1">
      <c r="A334" s="212"/>
      <c r="B334" s="237">
        <v>46054</v>
      </c>
      <c r="C334" s="211" t="s">
        <v>386</v>
      </c>
      <c r="D334" s="238" t="s">
        <v>862</v>
      </c>
      <c r="E334" s="203" t="s">
        <v>863</v>
      </c>
      <c r="F334" s="242"/>
      <c r="G334" s="203"/>
      <c r="H334" s="242"/>
      <c r="I334" s="242"/>
      <c r="J334" s="242"/>
      <c r="K334" s="242"/>
      <c r="L334" s="242"/>
      <c r="M334" s="211"/>
      <c r="N334" s="211"/>
      <c r="O334" s="242"/>
      <c r="P334" s="242"/>
      <c r="Q334" s="242"/>
      <c r="R334" s="242"/>
      <c r="S334" s="242"/>
      <c r="T334" s="242"/>
      <c r="U334" s="242"/>
      <c r="V334" s="242"/>
      <c r="W334" s="242"/>
      <c r="X334" s="211">
        <v>1</v>
      </c>
      <c r="Y334" s="211"/>
      <c r="Z334" s="203"/>
      <c r="AA334" s="203"/>
      <c r="AB334" s="242"/>
      <c r="AC334" s="242"/>
      <c r="AD334" s="242"/>
      <c r="AE334" s="242"/>
      <c r="AF334" s="242"/>
      <c r="AG334" s="242"/>
      <c r="AH334" s="242"/>
      <c r="AI334" s="211"/>
      <c r="AJ334" s="211"/>
      <c r="AK334" s="242"/>
      <c r="AL334" s="242"/>
      <c r="AM334" s="242"/>
      <c r="AN334" s="242"/>
      <c r="AO334" s="242"/>
      <c r="AP334" s="242"/>
      <c r="AQ334" s="242"/>
      <c r="AR334" s="242"/>
      <c r="AS334" s="242"/>
      <c r="AT334" s="211"/>
      <c r="AU334" s="211"/>
      <c r="AV334" s="242"/>
      <c r="AW334" s="240"/>
      <c r="AX334" s="240"/>
      <c r="AY334" s="240"/>
      <c r="AZ334" s="242"/>
      <c r="BA334" s="203"/>
      <c r="BB334" s="203"/>
      <c r="BC334" s="203"/>
    </row>
    <row r="335" spans="1:55" ht="21" hidden="1" customHeight="1">
      <c r="A335" s="212"/>
      <c r="B335" s="237">
        <v>46054</v>
      </c>
      <c r="C335" s="211" t="s">
        <v>386</v>
      </c>
      <c r="D335" s="238" t="s">
        <v>864</v>
      </c>
      <c r="E335" s="203" t="s">
        <v>865</v>
      </c>
      <c r="F335" s="242"/>
      <c r="G335" s="203"/>
      <c r="H335" s="242"/>
      <c r="I335" s="242"/>
      <c r="J335" s="242"/>
      <c r="K335" s="242"/>
      <c r="L335" s="242"/>
      <c r="M335" s="211"/>
      <c r="N335" s="211"/>
      <c r="O335" s="242"/>
      <c r="P335" s="242"/>
      <c r="Q335" s="242"/>
      <c r="R335" s="242"/>
      <c r="S335" s="242"/>
      <c r="T335" s="242"/>
      <c r="U335" s="242"/>
      <c r="V335" s="242"/>
      <c r="W335" s="242"/>
      <c r="X335" s="211"/>
      <c r="Y335" s="211"/>
      <c r="Z335" s="203"/>
      <c r="AA335" s="203"/>
      <c r="AB335" s="242"/>
      <c r="AC335" s="242"/>
      <c r="AD335" s="242"/>
      <c r="AE335" s="242"/>
      <c r="AF335" s="242"/>
      <c r="AG335" s="242"/>
      <c r="AH335" s="242"/>
      <c r="AI335" s="211"/>
      <c r="AJ335" s="211">
        <v>1</v>
      </c>
      <c r="AK335" s="242"/>
      <c r="AL335" s="242"/>
      <c r="AM335" s="242"/>
      <c r="AN335" s="242"/>
      <c r="AO335" s="242"/>
      <c r="AP335" s="242"/>
      <c r="AQ335" s="242"/>
      <c r="AR335" s="242"/>
      <c r="AS335" s="242"/>
      <c r="AT335" s="211"/>
      <c r="AU335" s="211"/>
      <c r="AV335" s="242"/>
      <c r="AW335" s="240"/>
      <c r="AX335" s="240">
        <v>1</v>
      </c>
      <c r="AY335" s="240"/>
      <c r="AZ335" s="242"/>
      <c r="BA335" s="203"/>
      <c r="BB335" s="203"/>
      <c r="BC335" s="203"/>
    </row>
    <row r="336" spans="1:55" ht="21" hidden="1" customHeight="1">
      <c r="A336" s="212"/>
      <c r="B336" s="237">
        <v>46054</v>
      </c>
      <c r="C336" s="211" t="s">
        <v>393</v>
      </c>
      <c r="D336" s="238" t="s">
        <v>866</v>
      </c>
      <c r="E336" s="203" t="s">
        <v>867</v>
      </c>
      <c r="F336" s="242"/>
      <c r="G336" s="203"/>
      <c r="H336" s="242"/>
      <c r="I336" s="242"/>
      <c r="J336" s="242"/>
      <c r="K336" s="242"/>
      <c r="L336" s="242"/>
      <c r="M336" s="211"/>
      <c r="N336" s="211"/>
      <c r="O336" s="242"/>
      <c r="P336" s="242"/>
      <c r="Q336" s="242"/>
      <c r="R336" s="242"/>
      <c r="S336" s="242"/>
      <c r="T336" s="242"/>
      <c r="U336" s="242"/>
      <c r="V336" s="242"/>
      <c r="W336" s="242"/>
      <c r="X336" s="211">
        <v>1</v>
      </c>
      <c r="Y336" s="211"/>
      <c r="Z336" s="203"/>
      <c r="AA336" s="203"/>
      <c r="AB336" s="242"/>
      <c r="AC336" s="242"/>
      <c r="AD336" s="242"/>
      <c r="AE336" s="242"/>
      <c r="AF336" s="242"/>
      <c r="AG336" s="242"/>
      <c r="AH336" s="242"/>
      <c r="AI336" s="211"/>
      <c r="AJ336" s="211"/>
      <c r="AK336" s="242"/>
      <c r="AL336" s="242"/>
      <c r="AM336" s="242"/>
      <c r="AN336" s="242"/>
      <c r="AO336" s="242"/>
      <c r="AP336" s="242"/>
      <c r="AQ336" s="242"/>
      <c r="AR336" s="242"/>
      <c r="AS336" s="242"/>
      <c r="AT336" s="211"/>
      <c r="AU336" s="211"/>
      <c r="AV336" s="240">
        <v>1</v>
      </c>
      <c r="AW336" s="240">
        <v>1</v>
      </c>
      <c r="AX336" s="240"/>
      <c r="AY336" s="240"/>
      <c r="AZ336" s="242"/>
      <c r="BA336" s="203"/>
      <c r="BB336" s="203"/>
      <c r="BC336" s="203"/>
    </row>
    <row r="337" spans="1:55" ht="21" hidden="1" customHeight="1">
      <c r="A337" s="212"/>
      <c r="B337" s="237">
        <v>46054</v>
      </c>
      <c r="C337" s="211" t="s">
        <v>393</v>
      </c>
      <c r="D337" s="238" t="s">
        <v>868</v>
      </c>
      <c r="E337" s="203" t="s">
        <v>869</v>
      </c>
      <c r="F337" s="242"/>
      <c r="G337" s="203"/>
      <c r="H337" s="242"/>
      <c r="I337" s="242"/>
      <c r="J337" s="242"/>
      <c r="K337" s="242"/>
      <c r="L337" s="242"/>
      <c r="M337" s="211">
        <v>1</v>
      </c>
      <c r="N337" s="211"/>
      <c r="O337" s="242"/>
      <c r="P337" s="242"/>
      <c r="Q337" s="242"/>
      <c r="R337" s="242"/>
      <c r="S337" s="242"/>
      <c r="T337" s="242"/>
      <c r="U337" s="242"/>
      <c r="V337" s="242"/>
      <c r="W337" s="242"/>
      <c r="X337" s="211"/>
      <c r="Y337" s="211"/>
      <c r="Z337" s="203"/>
      <c r="AA337" s="203"/>
      <c r="AB337" s="242"/>
      <c r="AC337" s="242"/>
      <c r="AD337" s="242"/>
      <c r="AE337" s="242"/>
      <c r="AF337" s="242"/>
      <c r="AG337" s="242"/>
      <c r="AH337" s="242"/>
      <c r="AI337" s="211">
        <v>1</v>
      </c>
      <c r="AJ337" s="211"/>
      <c r="AK337" s="242"/>
      <c r="AL337" s="242"/>
      <c r="AM337" s="242"/>
      <c r="AN337" s="242"/>
      <c r="AO337" s="242"/>
      <c r="AP337" s="242"/>
      <c r="AQ337" s="242"/>
      <c r="AR337" s="242"/>
      <c r="AS337" s="242"/>
      <c r="AT337" s="211"/>
      <c r="AU337" s="211"/>
      <c r="AV337" s="242"/>
      <c r="AW337" s="240"/>
      <c r="AX337" s="240"/>
      <c r="AY337" s="240"/>
      <c r="AZ337" s="242"/>
      <c r="BA337" s="203"/>
      <c r="BB337" s="203"/>
      <c r="BC337" s="203"/>
    </row>
    <row r="338" spans="1:55" ht="21" customHeight="1">
      <c r="A338" s="212"/>
      <c r="B338" s="237">
        <v>46054</v>
      </c>
      <c r="C338" s="211" t="s">
        <v>395</v>
      </c>
      <c r="D338" s="238" t="s">
        <v>870</v>
      </c>
      <c r="E338" s="203" t="s">
        <v>871</v>
      </c>
      <c r="F338" s="242"/>
      <c r="G338" s="203"/>
      <c r="H338" s="242"/>
      <c r="I338" s="242"/>
      <c r="J338" s="242"/>
      <c r="K338" s="242"/>
      <c r="L338" s="242"/>
      <c r="M338" s="211">
        <v>1</v>
      </c>
      <c r="N338" s="211"/>
      <c r="O338" s="242"/>
      <c r="P338" s="242"/>
      <c r="Q338" s="242"/>
      <c r="R338" s="242"/>
      <c r="S338" s="242"/>
      <c r="T338" s="242"/>
      <c r="U338" s="242"/>
      <c r="V338" s="242"/>
      <c r="W338" s="242"/>
      <c r="X338" s="211">
        <v>1</v>
      </c>
      <c r="Y338" s="211"/>
      <c r="Z338" s="203"/>
      <c r="AA338" s="203"/>
      <c r="AB338" s="242"/>
      <c r="AC338" s="242"/>
      <c r="AD338" s="242"/>
      <c r="AE338" s="242"/>
      <c r="AF338" s="242"/>
      <c r="AG338" s="242"/>
      <c r="AH338" s="242"/>
      <c r="AI338" s="211">
        <v>1</v>
      </c>
      <c r="AJ338" s="211"/>
      <c r="AK338" s="242"/>
      <c r="AL338" s="242"/>
      <c r="AM338" s="242"/>
      <c r="AN338" s="242"/>
      <c r="AO338" s="242"/>
      <c r="AP338" s="242"/>
      <c r="AQ338" s="242"/>
      <c r="AR338" s="242"/>
      <c r="AS338" s="242"/>
      <c r="AT338" s="211"/>
      <c r="AU338" s="211"/>
      <c r="AV338" s="240">
        <v>1</v>
      </c>
      <c r="AW338" s="240">
        <v>1</v>
      </c>
      <c r="AX338" s="240"/>
      <c r="AY338" s="240"/>
      <c r="AZ338" s="242"/>
      <c r="BA338" s="203"/>
      <c r="BB338" s="203"/>
      <c r="BC338" s="203"/>
    </row>
    <row r="339" spans="1:55" ht="21" hidden="1" customHeight="1">
      <c r="A339" s="212"/>
      <c r="B339" s="237">
        <v>46054</v>
      </c>
      <c r="C339" s="211" t="s">
        <v>386</v>
      </c>
      <c r="D339" s="238" t="s">
        <v>872</v>
      </c>
      <c r="E339" s="203" t="s">
        <v>873</v>
      </c>
      <c r="F339" s="242"/>
      <c r="G339" s="203"/>
      <c r="H339" s="242"/>
      <c r="I339" s="242"/>
      <c r="J339" s="242"/>
      <c r="K339" s="242"/>
      <c r="L339" s="242"/>
      <c r="M339" s="211">
        <v>1</v>
      </c>
      <c r="N339" s="211"/>
      <c r="O339" s="242"/>
      <c r="P339" s="242"/>
      <c r="Q339" s="242"/>
      <c r="R339" s="242"/>
      <c r="S339" s="242"/>
      <c r="T339" s="242"/>
      <c r="U339" s="242"/>
      <c r="V339" s="242"/>
      <c r="W339" s="242"/>
      <c r="X339" s="211"/>
      <c r="Y339" s="211"/>
      <c r="Z339" s="203"/>
      <c r="AA339" s="203"/>
      <c r="AB339" s="242"/>
      <c r="AC339" s="242"/>
      <c r="AD339" s="242"/>
      <c r="AE339" s="242"/>
      <c r="AF339" s="242"/>
      <c r="AG339" s="242"/>
      <c r="AH339" s="242"/>
      <c r="AI339" s="211">
        <v>1</v>
      </c>
      <c r="AJ339" s="211"/>
      <c r="AK339" s="242"/>
      <c r="AL339" s="242"/>
      <c r="AM339" s="242"/>
      <c r="AN339" s="242"/>
      <c r="AO339" s="242"/>
      <c r="AP339" s="242"/>
      <c r="AQ339" s="242"/>
      <c r="AR339" s="242"/>
      <c r="AS339" s="242"/>
      <c r="AT339" s="211"/>
      <c r="AU339" s="211"/>
      <c r="AV339" s="240">
        <v>1</v>
      </c>
      <c r="AW339" s="240">
        <v>1</v>
      </c>
      <c r="AX339" s="240"/>
      <c r="AY339" s="240">
        <v>1</v>
      </c>
      <c r="AZ339" s="242"/>
      <c r="BA339" s="203"/>
      <c r="BB339" s="203"/>
      <c r="BC339" s="203"/>
    </row>
    <row r="340" spans="1:55" ht="21" hidden="1" customHeight="1">
      <c r="A340" s="212"/>
      <c r="B340" s="237">
        <v>46054</v>
      </c>
      <c r="C340" s="211" t="s">
        <v>386</v>
      </c>
      <c r="D340" s="238" t="s">
        <v>874</v>
      </c>
      <c r="E340" s="203" t="s">
        <v>875</v>
      </c>
      <c r="F340" s="242"/>
      <c r="G340" s="203"/>
      <c r="H340" s="242"/>
      <c r="I340" s="242"/>
      <c r="J340" s="242"/>
      <c r="K340" s="242"/>
      <c r="L340" s="242"/>
      <c r="M340" s="211">
        <v>1</v>
      </c>
      <c r="N340" s="211">
        <v>1</v>
      </c>
      <c r="O340" s="211">
        <v>1</v>
      </c>
      <c r="P340" s="211">
        <v>1</v>
      </c>
      <c r="Q340" s="242"/>
      <c r="R340" s="242"/>
      <c r="S340" s="242"/>
      <c r="T340" s="242"/>
      <c r="U340" s="242"/>
      <c r="V340" s="242"/>
      <c r="W340" s="242"/>
      <c r="X340" s="211">
        <v>1</v>
      </c>
      <c r="Y340" s="211"/>
      <c r="Z340" s="211">
        <v>1</v>
      </c>
      <c r="AA340" s="211">
        <v>1</v>
      </c>
      <c r="AB340" s="242"/>
      <c r="AC340" s="242"/>
      <c r="AD340" s="242"/>
      <c r="AE340" s="242"/>
      <c r="AF340" s="242"/>
      <c r="AG340" s="242"/>
      <c r="AH340" s="242"/>
      <c r="AI340" s="211"/>
      <c r="AJ340" s="211">
        <v>1</v>
      </c>
      <c r="AK340" s="211"/>
      <c r="AL340" s="242"/>
      <c r="AM340" s="242"/>
      <c r="AN340" s="242"/>
      <c r="AO340" s="242"/>
      <c r="AP340" s="242"/>
      <c r="AQ340" s="242"/>
      <c r="AR340" s="242"/>
      <c r="AS340" s="242"/>
      <c r="AT340" s="211"/>
      <c r="AU340" s="211"/>
      <c r="AV340" s="242"/>
      <c r="AW340" s="240"/>
      <c r="AX340" s="240">
        <v>1</v>
      </c>
      <c r="AY340" s="240">
        <v>1</v>
      </c>
      <c r="AZ340" s="203">
        <v>1</v>
      </c>
      <c r="BA340" s="203">
        <v>1</v>
      </c>
      <c r="BB340" s="203"/>
      <c r="BC340" s="203"/>
    </row>
    <row r="341" spans="1:55" ht="21" hidden="1" customHeight="1">
      <c r="A341" s="212"/>
      <c r="B341" s="237">
        <v>46054</v>
      </c>
      <c r="C341" s="211" t="s">
        <v>386</v>
      </c>
      <c r="D341" s="238" t="s">
        <v>876</v>
      </c>
      <c r="E341" s="203" t="s">
        <v>877</v>
      </c>
      <c r="F341" s="242"/>
      <c r="G341" s="203"/>
      <c r="H341" s="242"/>
      <c r="I341" s="242"/>
      <c r="J341" s="242"/>
      <c r="K341" s="242"/>
      <c r="L341" s="242"/>
      <c r="M341" s="211">
        <v>1</v>
      </c>
      <c r="N341" s="211">
        <v>1</v>
      </c>
      <c r="O341" s="211">
        <v>1</v>
      </c>
      <c r="P341" s="242"/>
      <c r="Q341" s="242"/>
      <c r="R341" s="242"/>
      <c r="S341" s="242"/>
      <c r="T341" s="242"/>
      <c r="U341" s="242"/>
      <c r="V341" s="242"/>
      <c r="W341" s="242"/>
      <c r="X341" s="211"/>
      <c r="Y341" s="211">
        <v>1</v>
      </c>
      <c r="Z341" s="211">
        <v>1</v>
      </c>
      <c r="AA341" s="203"/>
      <c r="AB341" s="242"/>
      <c r="AC341" s="242"/>
      <c r="AD341" s="242"/>
      <c r="AE341" s="242"/>
      <c r="AF341" s="242"/>
      <c r="AG341" s="242"/>
      <c r="AH341" s="242"/>
      <c r="AI341" s="211">
        <v>1</v>
      </c>
      <c r="AJ341" s="211">
        <v>1</v>
      </c>
      <c r="AK341" s="211"/>
      <c r="AL341" s="242"/>
      <c r="AM341" s="242"/>
      <c r="AN341" s="242"/>
      <c r="AO341" s="242"/>
      <c r="AP341" s="242"/>
      <c r="AQ341" s="242"/>
      <c r="AR341" s="242"/>
      <c r="AS341" s="242"/>
      <c r="AT341" s="211"/>
      <c r="AU341" s="211"/>
      <c r="AV341" s="242"/>
      <c r="AW341" s="240"/>
      <c r="AX341" s="240"/>
      <c r="AY341" s="240"/>
      <c r="AZ341" s="242"/>
      <c r="BA341" s="203"/>
      <c r="BB341" s="203"/>
      <c r="BC341" s="203"/>
    </row>
    <row r="342" spans="1:55" ht="21" hidden="1" customHeight="1">
      <c r="A342" s="212"/>
      <c r="B342" s="237">
        <v>46054</v>
      </c>
      <c r="C342" s="211" t="s">
        <v>386</v>
      </c>
      <c r="D342" s="238" t="s">
        <v>878</v>
      </c>
      <c r="E342" s="203" t="s">
        <v>879</v>
      </c>
      <c r="F342" s="242"/>
      <c r="G342" s="203"/>
      <c r="H342" s="242"/>
      <c r="I342" s="242"/>
      <c r="J342" s="242"/>
      <c r="K342" s="242"/>
      <c r="L342" s="242"/>
      <c r="M342" s="211">
        <v>1</v>
      </c>
      <c r="N342" s="211">
        <v>1</v>
      </c>
      <c r="O342" s="211">
        <v>1</v>
      </c>
      <c r="P342" s="242"/>
      <c r="Q342" s="242"/>
      <c r="R342" s="242"/>
      <c r="S342" s="242"/>
      <c r="T342" s="242"/>
      <c r="U342" s="242"/>
      <c r="V342" s="242"/>
      <c r="W342" s="242"/>
      <c r="X342" s="211"/>
      <c r="Y342" s="211">
        <v>1</v>
      </c>
      <c r="Z342" s="211">
        <v>1</v>
      </c>
      <c r="AA342" s="203"/>
      <c r="AB342" s="242"/>
      <c r="AC342" s="242"/>
      <c r="AD342" s="242"/>
      <c r="AE342" s="242"/>
      <c r="AF342" s="242"/>
      <c r="AG342" s="242"/>
      <c r="AH342" s="242"/>
      <c r="AI342" s="211">
        <v>1</v>
      </c>
      <c r="AJ342" s="211">
        <v>1</v>
      </c>
      <c r="AK342" s="211"/>
      <c r="AL342" s="242"/>
      <c r="AM342" s="242"/>
      <c r="AN342" s="242"/>
      <c r="AO342" s="242"/>
      <c r="AP342" s="242"/>
      <c r="AQ342" s="242"/>
      <c r="AR342" s="242"/>
      <c r="AS342" s="242"/>
      <c r="AT342" s="211"/>
      <c r="AU342" s="211"/>
      <c r="AV342" s="242"/>
      <c r="AW342" s="240"/>
      <c r="AX342" s="240"/>
      <c r="AY342" s="240"/>
      <c r="AZ342" s="242"/>
      <c r="BA342" s="203"/>
      <c r="BB342" s="203"/>
      <c r="BC342" s="203"/>
    </row>
    <row r="343" spans="1:55" ht="21" customHeight="1">
      <c r="A343" s="212"/>
      <c r="B343" s="237">
        <v>46054</v>
      </c>
      <c r="C343" s="211" t="s">
        <v>395</v>
      </c>
      <c r="D343" s="238" t="s">
        <v>880</v>
      </c>
      <c r="E343" s="203" t="s">
        <v>881</v>
      </c>
      <c r="F343" s="242"/>
      <c r="G343" s="203"/>
      <c r="H343" s="242"/>
      <c r="I343" s="242"/>
      <c r="J343" s="242"/>
      <c r="K343" s="242"/>
      <c r="L343" s="242"/>
      <c r="M343" s="211">
        <v>1</v>
      </c>
      <c r="N343" s="211">
        <v>1</v>
      </c>
      <c r="O343" s="211">
        <v>1</v>
      </c>
      <c r="P343" s="211">
        <v>1</v>
      </c>
      <c r="Q343" s="242"/>
      <c r="R343" s="242"/>
      <c r="S343" s="242"/>
      <c r="T343" s="242"/>
      <c r="U343" s="242"/>
      <c r="V343" s="242"/>
      <c r="W343" s="242"/>
      <c r="X343" s="211"/>
      <c r="Y343" s="211">
        <v>1</v>
      </c>
      <c r="Z343" s="211">
        <v>1</v>
      </c>
      <c r="AA343" s="211">
        <v>1</v>
      </c>
      <c r="AB343" s="242"/>
      <c r="AC343" s="242"/>
      <c r="AD343" s="242"/>
      <c r="AE343" s="242"/>
      <c r="AF343" s="242"/>
      <c r="AG343" s="242"/>
      <c r="AH343" s="242"/>
      <c r="AI343" s="211">
        <v>1</v>
      </c>
      <c r="AJ343" s="211">
        <v>1</v>
      </c>
      <c r="AK343" s="211"/>
      <c r="AL343" s="211">
        <v>1</v>
      </c>
      <c r="AM343" s="242"/>
      <c r="AN343" s="242"/>
      <c r="AO343" s="242"/>
      <c r="AP343" s="242"/>
      <c r="AQ343" s="242"/>
      <c r="AR343" s="242"/>
      <c r="AS343" s="242"/>
      <c r="AT343" s="211"/>
      <c r="AU343" s="211"/>
      <c r="AV343" s="242">
        <v>1</v>
      </c>
      <c r="AW343" s="240">
        <v>1</v>
      </c>
      <c r="AX343" s="240">
        <v>1</v>
      </c>
      <c r="AY343" s="240">
        <v>1</v>
      </c>
      <c r="AZ343" s="203">
        <v>1</v>
      </c>
      <c r="BA343" s="203">
        <v>1</v>
      </c>
      <c r="BB343" s="203">
        <v>1</v>
      </c>
      <c r="BC343" s="203">
        <v>1</v>
      </c>
    </row>
    <row r="344" spans="1:55" ht="21" hidden="1" customHeight="1">
      <c r="A344" s="212"/>
      <c r="B344" s="237">
        <v>46054</v>
      </c>
      <c r="C344" s="211" t="s">
        <v>386</v>
      </c>
      <c r="D344" s="238" t="s">
        <v>882</v>
      </c>
      <c r="E344" s="203" t="s">
        <v>883</v>
      </c>
      <c r="F344" s="242"/>
      <c r="G344" s="203"/>
      <c r="H344" s="242"/>
      <c r="I344" s="242"/>
      <c r="J344" s="242"/>
      <c r="K344" s="242"/>
      <c r="L344" s="242"/>
      <c r="M344" s="211"/>
      <c r="N344" s="211">
        <v>1</v>
      </c>
      <c r="O344" s="211">
        <v>1</v>
      </c>
      <c r="P344" s="242"/>
      <c r="Q344" s="242"/>
      <c r="R344" s="242"/>
      <c r="S344" s="242"/>
      <c r="T344" s="242"/>
      <c r="U344" s="242"/>
      <c r="V344" s="242"/>
      <c r="W344" s="242"/>
      <c r="X344" s="211">
        <v>1</v>
      </c>
      <c r="Y344" s="211">
        <v>1</v>
      </c>
      <c r="Z344" s="211">
        <v>1</v>
      </c>
      <c r="AA344" s="203"/>
      <c r="AB344" s="242"/>
      <c r="AC344" s="242"/>
      <c r="AD344" s="242"/>
      <c r="AE344" s="242"/>
      <c r="AF344" s="242"/>
      <c r="AG344" s="242"/>
      <c r="AH344" s="242"/>
      <c r="AI344" s="211"/>
      <c r="AJ344" s="211">
        <v>1</v>
      </c>
      <c r="AK344" s="211"/>
      <c r="AL344" s="242"/>
      <c r="AM344" s="242"/>
      <c r="AN344" s="242"/>
      <c r="AO344" s="242"/>
      <c r="AP344" s="242"/>
      <c r="AQ344" s="242"/>
      <c r="AR344" s="242"/>
      <c r="AS344" s="242"/>
      <c r="AT344" s="211"/>
      <c r="AU344" s="211"/>
      <c r="AV344" s="242"/>
      <c r="AW344" s="240"/>
      <c r="AX344" s="240"/>
      <c r="AY344" s="240"/>
      <c r="AZ344" s="242"/>
      <c r="BA344" s="203"/>
      <c r="BB344" s="203"/>
      <c r="BC344" s="203"/>
    </row>
    <row r="345" spans="1:55" ht="21" hidden="1" customHeight="1">
      <c r="A345" s="212"/>
      <c r="B345" s="237">
        <v>46054</v>
      </c>
      <c r="C345" s="211" t="s">
        <v>384</v>
      </c>
      <c r="D345" s="238" t="s">
        <v>884</v>
      </c>
      <c r="E345" s="203" t="s">
        <v>885</v>
      </c>
      <c r="F345" s="242"/>
      <c r="G345" s="203"/>
      <c r="H345" s="242"/>
      <c r="I345" s="242"/>
      <c r="J345" s="242"/>
      <c r="K345" s="242"/>
      <c r="L345" s="242"/>
      <c r="M345" s="211">
        <v>1</v>
      </c>
      <c r="N345" s="211">
        <v>1</v>
      </c>
      <c r="O345" s="211">
        <v>1</v>
      </c>
      <c r="P345" s="211">
        <v>1</v>
      </c>
      <c r="Q345" s="242"/>
      <c r="R345" s="242"/>
      <c r="S345" s="242"/>
      <c r="T345" s="242"/>
      <c r="U345" s="242"/>
      <c r="V345" s="242"/>
      <c r="W345" s="242"/>
      <c r="X345" s="211">
        <v>1</v>
      </c>
      <c r="Y345" s="211">
        <v>1</v>
      </c>
      <c r="Z345" s="211">
        <v>1</v>
      </c>
      <c r="AA345" s="211">
        <v>1</v>
      </c>
      <c r="AB345" s="242"/>
      <c r="AC345" s="242"/>
      <c r="AD345" s="242"/>
      <c r="AE345" s="242"/>
      <c r="AF345" s="242"/>
      <c r="AG345" s="242"/>
      <c r="AH345" s="242"/>
      <c r="AI345" s="211">
        <v>1</v>
      </c>
      <c r="AJ345" s="211">
        <v>1</v>
      </c>
      <c r="AK345" s="211"/>
      <c r="AL345" s="211">
        <v>1</v>
      </c>
      <c r="AM345" s="242"/>
      <c r="AN345" s="242"/>
      <c r="AO345" s="242"/>
      <c r="AP345" s="242"/>
      <c r="AQ345" s="242"/>
      <c r="AR345" s="242"/>
      <c r="AS345" s="242"/>
      <c r="AT345" s="211"/>
      <c r="AU345" s="211"/>
      <c r="AV345" s="242"/>
      <c r="AW345" s="240"/>
      <c r="AX345" s="240"/>
      <c r="AY345" s="240"/>
      <c r="AZ345" s="203">
        <v>1</v>
      </c>
      <c r="BA345" s="203">
        <v>1</v>
      </c>
      <c r="BB345" s="203"/>
      <c r="BC345" s="203"/>
    </row>
    <row r="346" spans="1:55" ht="21" customHeight="1">
      <c r="A346" s="212"/>
      <c r="B346" s="237">
        <v>46054</v>
      </c>
      <c r="C346" s="211" t="s">
        <v>395</v>
      </c>
      <c r="D346" s="238" t="s">
        <v>886</v>
      </c>
      <c r="E346" s="203" t="s">
        <v>887</v>
      </c>
      <c r="F346" s="242"/>
      <c r="G346" s="203"/>
      <c r="H346" s="242"/>
      <c r="I346" s="242"/>
      <c r="J346" s="242"/>
      <c r="K346" s="242"/>
      <c r="L346" s="242"/>
      <c r="M346" s="211"/>
      <c r="N346" s="211"/>
      <c r="O346" s="242"/>
      <c r="P346" s="242"/>
      <c r="Q346" s="242"/>
      <c r="R346" s="242"/>
      <c r="S346" s="242"/>
      <c r="T346" s="242"/>
      <c r="U346" s="242"/>
      <c r="V346" s="242"/>
      <c r="W346" s="242"/>
      <c r="X346" s="211">
        <v>1</v>
      </c>
      <c r="Y346" s="211">
        <v>1</v>
      </c>
      <c r="Z346" s="203"/>
      <c r="AA346" s="203"/>
      <c r="AB346" s="242"/>
      <c r="AC346" s="242"/>
      <c r="AD346" s="242"/>
      <c r="AE346" s="242"/>
      <c r="AF346" s="242"/>
      <c r="AG346" s="242"/>
      <c r="AH346" s="242"/>
      <c r="AI346" s="211">
        <v>1</v>
      </c>
      <c r="AJ346" s="211"/>
      <c r="AK346" s="242"/>
      <c r="AL346" s="242"/>
      <c r="AM346" s="242"/>
      <c r="AN346" s="242"/>
      <c r="AO346" s="242"/>
      <c r="AP346" s="242"/>
      <c r="AQ346" s="242"/>
      <c r="AR346" s="242"/>
      <c r="AS346" s="242"/>
      <c r="AT346" s="211"/>
      <c r="AU346" s="211"/>
      <c r="AV346" s="240">
        <v>1</v>
      </c>
      <c r="AW346" s="240">
        <v>1</v>
      </c>
      <c r="AX346" s="240"/>
      <c r="AY346" s="240"/>
      <c r="AZ346" s="242"/>
      <c r="BA346" s="203"/>
      <c r="BB346" s="203"/>
      <c r="BC346" s="203"/>
    </row>
    <row r="347" spans="1:55" ht="21" hidden="1" customHeight="1">
      <c r="A347" s="212"/>
      <c r="B347" s="237">
        <v>46054</v>
      </c>
      <c r="C347" s="211" t="s">
        <v>386</v>
      </c>
      <c r="D347" s="238" t="s">
        <v>888</v>
      </c>
      <c r="E347" s="203" t="s">
        <v>889</v>
      </c>
      <c r="F347" s="242"/>
      <c r="G347" s="203"/>
      <c r="H347" s="242"/>
      <c r="I347" s="242"/>
      <c r="J347" s="242"/>
      <c r="K347" s="242"/>
      <c r="L347" s="242"/>
      <c r="M347" s="211"/>
      <c r="N347" s="211">
        <v>1</v>
      </c>
      <c r="O347" s="211">
        <v>1</v>
      </c>
      <c r="P347" s="242"/>
      <c r="Q347" s="242"/>
      <c r="R347" s="242"/>
      <c r="S347" s="242"/>
      <c r="T347" s="242"/>
      <c r="U347" s="242"/>
      <c r="V347" s="242"/>
      <c r="W347" s="242"/>
      <c r="X347" s="211">
        <v>1</v>
      </c>
      <c r="Y347" s="211">
        <v>1</v>
      </c>
      <c r="Z347" s="211">
        <v>1</v>
      </c>
      <c r="AA347" s="203"/>
      <c r="AB347" s="242"/>
      <c r="AC347" s="242"/>
      <c r="AD347" s="242"/>
      <c r="AE347" s="242"/>
      <c r="AF347" s="242"/>
      <c r="AG347" s="242"/>
      <c r="AH347" s="242"/>
      <c r="AI347" s="211"/>
      <c r="AJ347" s="211">
        <v>1</v>
      </c>
      <c r="AK347" s="211"/>
      <c r="AL347" s="242"/>
      <c r="AM347" s="242"/>
      <c r="AN347" s="242"/>
      <c r="AO347" s="242"/>
      <c r="AP347" s="242"/>
      <c r="AQ347" s="242"/>
      <c r="AR347" s="242"/>
      <c r="AS347" s="242"/>
      <c r="AT347" s="211"/>
      <c r="AU347" s="211"/>
      <c r="AV347" s="240">
        <v>1</v>
      </c>
      <c r="AW347" s="240">
        <v>1</v>
      </c>
      <c r="AX347" s="240"/>
      <c r="AY347" s="240"/>
      <c r="AZ347" s="242"/>
      <c r="BA347" s="203"/>
      <c r="BB347" s="203"/>
      <c r="BC347" s="203"/>
    </row>
    <row r="348" spans="1:55" ht="21" hidden="1" customHeight="1">
      <c r="A348" s="212"/>
      <c r="B348" s="237">
        <v>46054</v>
      </c>
      <c r="C348" s="211" t="s">
        <v>386</v>
      </c>
      <c r="D348" s="238" t="s">
        <v>890</v>
      </c>
      <c r="E348" s="203" t="s">
        <v>891</v>
      </c>
      <c r="F348" s="242"/>
      <c r="G348" s="203"/>
      <c r="H348" s="242"/>
      <c r="I348" s="242"/>
      <c r="J348" s="242"/>
      <c r="K348" s="242"/>
      <c r="L348" s="242"/>
      <c r="M348" s="211"/>
      <c r="N348" s="211">
        <v>1</v>
      </c>
      <c r="O348" s="211">
        <v>1</v>
      </c>
      <c r="P348" s="211">
        <v>1</v>
      </c>
      <c r="Q348" s="242"/>
      <c r="R348" s="242"/>
      <c r="S348" s="242"/>
      <c r="T348" s="242"/>
      <c r="U348" s="242"/>
      <c r="V348" s="242"/>
      <c r="W348" s="242"/>
      <c r="X348" s="211">
        <v>1</v>
      </c>
      <c r="Y348" s="211"/>
      <c r="Z348" s="211">
        <v>1</v>
      </c>
      <c r="AA348" s="211">
        <v>1</v>
      </c>
      <c r="AB348" s="242"/>
      <c r="AC348" s="242"/>
      <c r="AD348" s="242"/>
      <c r="AE348" s="242"/>
      <c r="AF348" s="242"/>
      <c r="AG348" s="242"/>
      <c r="AH348" s="242"/>
      <c r="AI348" s="211"/>
      <c r="AJ348" s="211">
        <v>1</v>
      </c>
      <c r="AK348" s="211"/>
      <c r="AL348" s="211">
        <v>1</v>
      </c>
      <c r="AM348" s="242"/>
      <c r="AN348" s="242"/>
      <c r="AO348" s="242"/>
      <c r="AP348" s="242"/>
      <c r="AQ348" s="242"/>
      <c r="AR348" s="242"/>
      <c r="AS348" s="242"/>
      <c r="AT348" s="211"/>
      <c r="AU348" s="211"/>
      <c r="AV348" s="242">
        <v>1</v>
      </c>
      <c r="AW348" s="240">
        <v>1</v>
      </c>
      <c r="AX348" s="240">
        <v>1</v>
      </c>
      <c r="AY348" s="240">
        <v>1</v>
      </c>
      <c r="AZ348" s="203">
        <v>1</v>
      </c>
      <c r="BA348" s="203">
        <v>1</v>
      </c>
      <c r="BB348" s="203">
        <v>1</v>
      </c>
      <c r="BC348" s="203">
        <v>1</v>
      </c>
    </row>
    <row r="349" spans="1:55" ht="21" hidden="1" customHeight="1">
      <c r="A349" s="212"/>
      <c r="B349" s="237">
        <v>46054</v>
      </c>
      <c r="C349" s="211" t="s">
        <v>386</v>
      </c>
      <c r="D349" s="238" t="s">
        <v>892</v>
      </c>
      <c r="E349" s="203" t="s">
        <v>893</v>
      </c>
      <c r="F349" s="242"/>
      <c r="G349" s="203"/>
      <c r="H349" s="242"/>
      <c r="I349" s="242"/>
      <c r="J349" s="242"/>
      <c r="K349" s="242"/>
      <c r="L349" s="242"/>
      <c r="M349" s="211">
        <v>1</v>
      </c>
      <c r="N349" s="211">
        <v>1</v>
      </c>
      <c r="O349" s="211">
        <v>1</v>
      </c>
      <c r="P349" s="211">
        <v>1</v>
      </c>
      <c r="Q349" s="242"/>
      <c r="R349" s="242"/>
      <c r="S349" s="242"/>
      <c r="T349" s="242"/>
      <c r="U349" s="242"/>
      <c r="V349" s="242"/>
      <c r="W349" s="242"/>
      <c r="X349" s="211">
        <v>1</v>
      </c>
      <c r="Y349" s="211">
        <v>1</v>
      </c>
      <c r="Z349" s="211">
        <v>1</v>
      </c>
      <c r="AA349" s="211">
        <v>1</v>
      </c>
      <c r="AB349" s="242"/>
      <c r="AC349" s="242"/>
      <c r="AD349" s="242"/>
      <c r="AE349" s="242"/>
      <c r="AF349" s="242"/>
      <c r="AG349" s="242"/>
      <c r="AH349" s="242"/>
      <c r="AI349" s="211">
        <v>1</v>
      </c>
      <c r="AJ349" s="211">
        <v>1</v>
      </c>
      <c r="AK349" s="211"/>
      <c r="AL349" s="242"/>
      <c r="AM349" s="242"/>
      <c r="AN349" s="242"/>
      <c r="AO349" s="242"/>
      <c r="AP349" s="242"/>
      <c r="AQ349" s="242"/>
      <c r="AR349" s="242"/>
      <c r="AS349" s="242"/>
      <c r="AT349" s="211"/>
      <c r="AU349" s="211"/>
      <c r="AV349" s="242">
        <v>1</v>
      </c>
      <c r="AW349" s="240">
        <v>1</v>
      </c>
      <c r="AX349" s="240">
        <v>1</v>
      </c>
      <c r="AY349" s="240">
        <v>1</v>
      </c>
      <c r="AZ349" s="203">
        <v>1</v>
      </c>
      <c r="BA349" s="203">
        <v>1</v>
      </c>
      <c r="BB349" s="203">
        <v>1</v>
      </c>
      <c r="BC349" s="203">
        <v>1</v>
      </c>
    </row>
    <row r="350" spans="1:55" ht="21" hidden="1" customHeight="1">
      <c r="A350" s="212"/>
      <c r="B350" s="237">
        <v>46054</v>
      </c>
      <c r="C350" s="211" t="s">
        <v>386</v>
      </c>
      <c r="D350" s="238" t="s">
        <v>894</v>
      </c>
      <c r="E350" s="203" t="s">
        <v>895</v>
      </c>
      <c r="F350" s="242"/>
      <c r="G350" s="203"/>
      <c r="H350" s="242"/>
      <c r="I350" s="242"/>
      <c r="J350" s="242"/>
      <c r="K350" s="242"/>
      <c r="L350" s="242"/>
      <c r="M350" s="211">
        <v>1</v>
      </c>
      <c r="N350" s="211">
        <v>1</v>
      </c>
      <c r="O350" s="211">
        <v>1</v>
      </c>
      <c r="P350" s="211">
        <v>1</v>
      </c>
      <c r="Q350" s="242"/>
      <c r="R350" s="242"/>
      <c r="S350" s="242"/>
      <c r="T350" s="242"/>
      <c r="U350" s="242"/>
      <c r="V350" s="242"/>
      <c r="W350" s="242"/>
      <c r="X350" s="211">
        <v>1</v>
      </c>
      <c r="Y350" s="211"/>
      <c r="Z350" s="203">
        <v>1</v>
      </c>
      <c r="AA350" s="211">
        <v>1</v>
      </c>
      <c r="AB350" s="242"/>
      <c r="AC350" s="242"/>
      <c r="AD350" s="242"/>
      <c r="AE350" s="242"/>
      <c r="AF350" s="242"/>
      <c r="AG350" s="242"/>
      <c r="AH350" s="242"/>
      <c r="AI350" s="211">
        <v>1</v>
      </c>
      <c r="AJ350" s="211">
        <v>1</v>
      </c>
      <c r="AK350" s="242"/>
      <c r="AL350" s="242"/>
      <c r="AM350" s="242"/>
      <c r="AN350" s="242"/>
      <c r="AO350" s="242"/>
      <c r="AP350" s="242"/>
      <c r="AQ350" s="242"/>
      <c r="AR350" s="242"/>
      <c r="AS350" s="242"/>
      <c r="AT350" s="211"/>
      <c r="AU350" s="211"/>
      <c r="AV350" s="240">
        <v>1</v>
      </c>
      <c r="AW350" s="240">
        <v>1</v>
      </c>
      <c r="AX350" s="240">
        <v>1</v>
      </c>
      <c r="AY350" s="240">
        <v>1</v>
      </c>
      <c r="AZ350" s="203">
        <v>1</v>
      </c>
      <c r="BA350" s="203">
        <v>1</v>
      </c>
      <c r="BB350" s="203">
        <v>1</v>
      </c>
      <c r="BC350" s="203">
        <v>1</v>
      </c>
    </row>
    <row r="351" spans="1:55" ht="21" customHeight="1">
      <c r="A351" s="212"/>
      <c r="B351" s="237">
        <v>46054</v>
      </c>
      <c r="C351" s="211" t="s">
        <v>395</v>
      </c>
      <c r="D351" s="238" t="s">
        <v>896</v>
      </c>
      <c r="E351" s="203" t="s">
        <v>897</v>
      </c>
      <c r="F351" s="242"/>
      <c r="G351" s="203"/>
      <c r="H351" s="242"/>
      <c r="I351" s="242"/>
      <c r="J351" s="242"/>
      <c r="K351" s="242"/>
      <c r="L351" s="242"/>
      <c r="M351" s="211">
        <v>1</v>
      </c>
      <c r="N351" s="211"/>
      <c r="O351" s="211">
        <v>1</v>
      </c>
      <c r="P351" s="242"/>
      <c r="Q351" s="242"/>
      <c r="R351" s="242"/>
      <c r="S351" s="242"/>
      <c r="T351" s="242"/>
      <c r="U351" s="242"/>
      <c r="V351" s="242"/>
      <c r="W351" s="242"/>
      <c r="X351" s="211"/>
      <c r="Y351" s="211">
        <v>1</v>
      </c>
      <c r="Z351" s="203"/>
      <c r="AA351" s="203"/>
      <c r="AB351" s="242"/>
      <c r="AC351" s="242"/>
      <c r="AD351" s="242"/>
      <c r="AE351" s="242"/>
      <c r="AF351" s="242"/>
      <c r="AG351" s="242"/>
      <c r="AH351" s="242"/>
      <c r="AI351" s="211">
        <v>1</v>
      </c>
      <c r="AJ351" s="211"/>
      <c r="AK351" s="242"/>
      <c r="AL351" s="242"/>
      <c r="AM351" s="242"/>
      <c r="AN351" s="242"/>
      <c r="AO351" s="242"/>
      <c r="AP351" s="242"/>
      <c r="AQ351" s="242"/>
      <c r="AR351" s="242"/>
      <c r="AS351" s="242"/>
      <c r="AT351" s="211"/>
      <c r="AU351" s="211"/>
      <c r="AV351" s="240">
        <v>1</v>
      </c>
      <c r="AW351" s="240">
        <v>1</v>
      </c>
      <c r="AX351" s="240">
        <v>1</v>
      </c>
      <c r="AY351" s="240">
        <v>1</v>
      </c>
      <c r="AZ351" s="203">
        <v>1</v>
      </c>
      <c r="BA351" s="203"/>
      <c r="BB351" s="203"/>
      <c r="BC351" s="203"/>
    </row>
    <row r="352" spans="1:55" ht="21" hidden="1" customHeight="1">
      <c r="A352" s="212"/>
      <c r="B352" s="237">
        <v>46054</v>
      </c>
      <c r="C352" s="211" t="s">
        <v>384</v>
      </c>
      <c r="D352" s="238" t="s">
        <v>898</v>
      </c>
      <c r="E352" s="203" t="s">
        <v>899</v>
      </c>
      <c r="F352" s="242"/>
      <c r="G352" s="203"/>
      <c r="H352" s="242"/>
      <c r="I352" s="242"/>
      <c r="J352" s="242"/>
      <c r="K352" s="242"/>
      <c r="L352" s="242"/>
      <c r="M352" s="211">
        <v>1</v>
      </c>
      <c r="N352" s="211">
        <v>1</v>
      </c>
      <c r="O352" s="211">
        <v>1</v>
      </c>
      <c r="P352" s="211">
        <v>1</v>
      </c>
      <c r="Q352" s="242"/>
      <c r="R352" s="242"/>
      <c r="S352" s="242"/>
      <c r="T352" s="242"/>
      <c r="U352" s="242"/>
      <c r="V352" s="242"/>
      <c r="W352" s="242"/>
      <c r="X352" s="211">
        <v>1</v>
      </c>
      <c r="Y352" s="211"/>
      <c r="Z352" s="211">
        <v>1</v>
      </c>
      <c r="AA352" s="211">
        <v>1</v>
      </c>
      <c r="AB352" s="242"/>
      <c r="AC352" s="242"/>
      <c r="AD352" s="242"/>
      <c r="AE352" s="242"/>
      <c r="AF352" s="242"/>
      <c r="AG352" s="242"/>
      <c r="AH352" s="242"/>
      <c r="AI352" s="211">
        <v>1</v>
      </c>
      <c r="AJ352" s="211">
        <v>1</v>
      </c>
      <c r="AK352" s="211"/>
      <c r="AL352" s="211">
        <v>1</v>
      </c>
      <c r="AM352" s="242"/>
      <c r="AN352" s="242"/>
      <c r="AO352" s="242"/>
      <c r="AP352" s="242"/>
      <c r="AQ352" s="242"/>
      <c r="AR352" s="242"/>
      <c r="AS352" s="242"/>
      <c r="AT352" s="211"/>
      <c r="AU352" s="211"/>
      <c r="AV352" s="240">
        <v>1</v>
      </c>
      <c r="AW352" s="240">
        <v>1</v>
      </c>
      <c r="AX352" s="240">
        <v>1</v>
      </c>
      <c r="AY352" s="240">
        <v>1</v>
      </c>
      <c r="AZ352" s="203">
        <v>1</v>
      </c>
      <c r="BA352" s="203">
        <v>1</v>
      </c>
      <c r="BB352" s="203">
        <v>1</v>
      </c>
      <c r="BC352" s="203">
        <v>1</v>
      </c>
    </row>
    <row r="353" spans="1:55" ht="21" hidden="1" customHeight="1">
      <c r="A353" s="212"/>
      <c r="B353" s="237">
        <v>46054</v>
      </c>
      <c r="C353" s="211" t="s">
        <v>384</v>
      </c>
      <c r="D353" s="238" t="s">
        <v>900</v>
      </c>
      <c r="E353" s="203" t="s">
        <v>901</v>
      </c>
      <c r="F353" s="242"/>
      <c r="G353" s="203"/>
      <c r="H353" s="242"/>
      <c r="I353" s="242"/>
      <c r="J353" s="242"/>
      <c r="K353" s="242"/>
      <c r="L353" s="242"/>
      <c r="M353" s="211">
        <v>1</v>
      </c>
      <c r="N353" s="211">
        <v>1</v>
      </c>
      <c r="O353" s="211">
        <v>1</v>
      </c>
      <c r="P353" s="242"/>
      <c r="Q353" s="242"/>
      <c r="R353" s="242"/>
      <c r="S353" s="242"/>
      <c r="T353" s="242"/>
      <c r="U353" s="242"/>
      <c r="V353" s="242"/>
      <c r="W353" s="242"/>
      <c r="X353" s="211">
        <v>1</v>
      </c>
      <c r="Y353" s="211">
        <v>1</v>
      </c>
      <c r="Z353" s="211">
        <v>1</v>
      </c>
      <c r="AA353" s="203"/>
      <c r="AB353" s="242"/>
      <c r="AC353" s="242"/>
      <c r="AD353" s="242"/>
      <c r="AE353" s="242"/>
      <c r="AF353" s="242"/>
      <c r="AG353" s="242"/>
      <c r="AH353" s="242"/>
      <c r="AI353" s="211">
        <v>1</v>
      </c>
      <c r="AJ353" s="211">
        <v>1</v>
      </c>
      <c r="AK353" s="211"/>
      <c r="AL353" s="242"/>
      <c r="AM353" s="242"/>
      <c r="AN353" s="242"/>
      <c r="AO353" s="242"/>
      <c r="AP353" s="242"/>
      <c r="AQ353" s="242"/>
      <c r="AR353" s="242"/>
      <c r="AS353" s="242"/>
      <c r="AT353" s="211"/>
      <c r="AU353" s="211"/>
      <c r="AV353" s="240">
        <v>1</v>
      </c>
      <c r="AW353" s="240">
        <v>1</v>
      </c>
      <c r="AX353" s="240"/>
      <c r="AY353" s="240"/>
      <c r="AZ353" s="242"/>
      <c r="BA353" s="203"/>
      <c r="BB353" s="203"/>
      <c r="BC353" s="203"/>
    </row>
    <row r="354" spans="1:55" ht="21" hidden="1" customHeight="1">
      <c r="A354" s="212"/>
      <c r="B354" s="237">
        <v>46054</v>
      </c>
      <c r="C354" s="211" t="s">
        <v>384</v>
      </c>
      <c r="D354" s="238" t="s">
        <v>902</v>
      </c>
      <c r="E354" s="203" t="s">
        <v>903</v>
      </c>
      <c r="F354" s="242"/>
      <c r="G354" s="203"/>
      <c r="H354" s="242"/>
      <c r="I354" s="242"/>
      <c r="J354" s="242"/>
      <c r="K354" s="242"/>
      <c r="L354" s="242"/>
      <c r="M354" s="211">
        <v>1</v>
      </c>
      <c r="N354" s="211">
        <v>1</v>
      </c>
      <c r="O354" s="211">
        <v>1</v>
      </c>
      <c r="P354" s="211">
        <v>1</v>
      </c>
      <c r="Q354" s="242"/>
      <c r="R354" s="242"/>
      <c r="S354" s="242"/>
      <c r="T354" s="242"/>
      <c r="U354" s="242"/>
      <c r="V354" s="242"/>
      <c r="W354" s="242"/>
      <c r="X354" s="211">
        <v>1</v>
      </c>
      <c r="Y354" s="211">
        <v>1</v>
      </c>
      <c r="Z354" s="203"/>
      <c r="AA354" s="211">
        <v>1</v>
      </c>
      <c r="AB354" s="242"/>
      <c r="AC354" s="242"/>
      <c r="AD354" s="242"/>
      <c r="AE354" s="242"/>
      <c r="AF354" s="242"/>
      <c r="AG354" s="242"/>
      <c r="AH354" s="242"/>
      <c r="AI354" s="211">
        <v>1</v>
      </c>
      <c r="AJ354" s="211">
        <v>1</v>
      </c>
      <c r="AK354" s="242"/>
      <c r="AL354" s="242"/>
      <c r="AM354" s="242"/>
      <c r="AN354" s="242"/>
      <c r="AO354" s="242"/>
      <c r="AP354" s="242"/>
      <c r="AQ354" s="242"/>
      <c r="AR354" s="242"/>
      <c r="AS354" s="242"/>
      <c r="AT354" s="211">
        <v>1</v>
      </c>
      <c r="AU354" s="211">
        <v>1</v>
      </c>
      <c r="AV354" s="242">
        <v>1</v>
      </c>
      <c r="AW354" s="240">
        <v>1</v>
      </c>
      <c r="AX354" s="240">
        <v>1</v>
      </c>
      <c r="AY354" s="240">
        <v>1</v>
      </c>
      <c r="AZ354" s="203">
        <v>1</v>
      </c>
      <c r="BA354" s="203">
        <v>1</v>
      </c>
      <c r="BB354" s="203">
        <v>1</v>
      </c>
      <c r="BC354" s="203">
        <v>1</v>
      </c>
    </row>
    <row r="355" spans="1:55" ht="21" hidden="1" customHeight="1">
      <c r="A355" s="212"/>
      <c r="B355" s="237">
        <v>46054</v>
      </c>
      <c r="C355" s="211" t="s">
        <v>387</v>
      </c>
      <c r="D355" s="238" t="s">
        <v>904</v>
      </c>
      <c r="E355" s="203" t="s">
        <v>905</v>
      </c>
      <c r="F355" s="242"/>
      <c r="G355" s="203"/>
      <c r="H355" s="242"/>
      <c r="I355" s="242"/>
      <c r="J355" s="242"/>
      <c r="K355" s="242"/>
      <c r="L355" s="242"/>
      <c r="M355" s="211">
        <v>1</v>
      </c>
      <c r="N355" s="211"/>
      <c r="O355" s="242"/>
      <c r="P355" s="242"/>
      <c r="Q355" s="242"/>
      <c r="R355" s="242"/>
      <c r="S355" s="242"/>
      <c r="T355" s="242"/>
      <c r="U355" s="242"/>
      <c r="V355" s="242"/>
      <c r="W355" s="242"/>
      <c r="X355" s="211"/>
      <c r="Y355" s="211"/>
      <c r="Z355" s="203"/>
      <c r="AA355" s="203"/>
      <c r="AB355" s="242"/>
      <c r="AC355" s="242"/>
      <c r="AD355" s="242"/>
      <c r="AE355" s="242"/>
      <c r="AF355" s="242"/>
      <c r="AG355" s="242"/>
      <c r="AH355" s="242"/>
      <c r="AI355" s="211">
        <v>1</v>
      </c>
      <c r="AJ355" s="211"/>
      <c r="AK355" s="242"/>
      <c r="AL355" s="242"/>
      <c r="AM355" s="242"/>
      <c r="AN355" s="242"/>
      <c r="AO355" s="242"/>
      <c r="AP355" s="242"/>
      <c r="AQ355" s="242"/>
      <c r="AR355" s="242"/>
      <c r="AS355" s="242"/>
      <c r="AT355" s="211"/>
      <c r="AU355" s="211"/>
      <c r="AV355" s="242"/>
      <c r="AW355" s="240"/>
      <c r="AX355" s="240"/>
      <c r="AY355" s="240"/>
      <c r="AZ355" s="242"/>
      <c r="BA355" s="203"/>
      <c r="BB355" s="203"/>
      <c r="BC355" s="203"/>
    </row>
    <row r="356" spans="1:55" ht="21" hidden="1" customHeight="1">
      <c r="A356" s="212"/>
      <c r="B356" s="237">
        <v>46054</v>
      </c>
      <c r="C356" s="211" t="s">
        <v>387</v>
      </c>
      <c r="D356" s="238" t="s">
        <v>906</v>
      </c>
      <c r="E356" s="203" t="s">
        <v>907</v>
      </c>
      <c r="F356" s="242"/>
      <c r="G356" s="203"/>
      <c r="H356" s="242"/>
      <c r="I356" s="242"/>
      <c r="J356" s="242"/>
      <c r="K356" s="242"/>
      <c r="L356" s="242"/>
      <c r="M356" s="211"/>
      <c r="N356" s="211"/>
      <c r="O356" s="242"/>
      <c r="P356" s="211">
        <v>1</v>
      </c>
      <c r="Q356" s="242"/>
      <c r="R356" s="242"/>
      <c r="S356" s="242"/>
      <c r="T356" s="242"/>
      <c r="U356" s="242"/>
      <c r="V356" s="242"/>
      <c r="W356" s="242"/>
      <c r="X356" s="211"/>
      <c r="Y356" s="211"/>
      <c r="Z356" s="203"/>
      <c r="AA356" s="203"/>
      <c r="AB356" s="242"/>
      <c r="AC356" s="242"/>
      <c r="AD356" s="242"/>
      <c r="AE356" s="242"/>
      <c r="AF356" s="242"/>
      <c r="AG356" s="242"/>
      <c r="AH356" s="242"/>
      <c r="AI356" s="211"/>
      <c r="AJ356" s="211"/>
      <c r="AK356" s="242"/>
      <c r="AL356" s="242"/>
      <c r="AM356" s="242"/>
      <c r="AN356" s="242"/>
      <c r="AO356" s="242"/>
      <c r="AP356" s="242"/>
      <c r="AQ356" s="242"/>
      <c r="AR356" s="242"/>
      <c r="AS356" s="242"/>
      <c r="AT356" s="211"/>
      <c r="AU356" s="211"/>
      <c r="AV356" s="242"/>
      <c r="AW356" s="240"/>
      <c r="AX356" s="240"/>
      <c r="AY356" s="240"/>
      <c r="AZ356" s="242"/>
      <c r="BA356" s="203"/>
      <c r="BB356" s="203"/>
      <c r="BC356" s="203"/>
    </row>
    <row r="357" spans="1:55" ht="21" hidden="1" customHeight="1">
      <c r="A357" s="212"/>
      <c r="B357" s="237">
        <v>46054</v>
      </c>
      <c r="C357" s="211" t="s">
        <v>384</v>
      </c>
      <c r="D357" s="238" t="s">
        <v>908</v>
      </c>
      <c r="E357" s="203" t="s">
        <v>909</v>
      </c>
      <c r="F357" s="242"/>
      <c r="G357" s="203"/>
      <c r="H357" s="242"/>
      <c r="I357" s="242"/>
      <c r="J357" s="242"/>
      <c r="K357" s="242"/>
      <c r="L357" s="242"/>
      <c r="M357" s="211"/>
      <c r="N357" s="211">
        <v>1</v>
      </c>
      <c r="O357" s="211">
        <v>1</v>
      </c>
      <c r="P357" s="211">
        <v>1</v>
      </c>
      <c r="Q357" s="242"/>
      <c r="R357" s="242"/>
      <c r="S357" s="242"/>
      <c r="T357" s="242"/>
      <c r="U357" s="242"/>
      <c r="V357" s="242"/>
      <c r="W357" s="242"/>
      <c r="X357" s="211"/>
      <c r="Y357" s="211"/>
      <c r="Z357" s="211">
        <v>1</v>
      </c>
      <c r="AA357" s="211">
        <v>1</v>
      </c>
      <c r="AB357" s="242"/>
      <c r="AC357" s="242"/>
      <c r="AD357" s="242"/>
      <c r="AE357" s="242"/>
      <c r="AF357" s="242"/>
      <c r="AG357" s="242"/>
      <c r="AH357" s="242"/>
      <c r="AI357" s="211">
        <v>1</v>
      </c>
      <c r="AJ357" s="211">
        <v>1</v>
      </c>
      <c r="AK357" s="211"/>
      <c r="AL357" s="211">
        <v>1</v>
      </c>
      <c r="AM357" s="242"/>
      <c r="AN357" s="242"/>
      <c r="AO357" s="242"/>
      <c r="AP357" s="242"/>
      <c r="AQ357" s="242"/>
      <c r="AR357" s="242"/>
      <c r="AS357" s="242"/>
      <c r="AT357" s="211">
        <v>1</v>
      </c>
      <c r="AU357" s="211">
        <v>1</v>
      </c>
      <c r="AV357" s="242"/>
      <c r="AW357" s="240"/>
      <c r="AX357" s="240">
        <v>1</v>
      </c>
      <c r="AY357" s="240">
        <v>1</v>
      </c>
      <c r="AZ357" s="203">
        <v>1</v>
      </c>
      <c r="BA357" s="203">
        <v>1</v>
      </c>
      <c r="BB357" s="203">
        <v>1</v>
      </c>
      <c r="BC357" s="203">
        <v>1</v>
      </c>
    </row>
    <row r="358" spans="1:55" ht="21" hidden="1" customHeight="1">
      <c r="A358" s="212"/>
      <c r="B358" s="237">
        <v>46054</v>
      </c>
      <c r="C358" s="211" t="s">
        <v>386</v>
      </c>
      <c r="D358" s="238" t="s">
        <v>910</v>
      </c>
      <c r="E358" s="203"/>
      <c r="F358" s="242"/>
      <c r="G358" s="203"/>
      <c r="H358" s="242"/>
      <c r="I358" s="242"/>
      <c r="J358" s="242"/>
      <c r="K358" s="242"/>
      <c r="L358" s="242"/>
      <c r="M358" s="211"/>
      <c r="N358" s="211"/>
      <c r="O358" s="242"/>
      <c r="P358" s="242"/>
      <c r="Q358" s="242"/>
      <c r="R358" s="242"/>
      <c r="S358" s="242"/>
      <c r="T358" s="242"/>
      <c r="U358" s="242"/>
      <c r="V358" s="242"/>
      <c r="W358" s="242"/>
      <c r="X358" s="211">
        <v>1</v>
      </c>
      <c r="Y358" s="211"/>
      <c r="Z358" s="203"/>
      <c r="AA358" s="203"/>
      <c r="AB358" s="242"/>
      <c r="AC358" s="242"/>
      <c r="AD358" s="242"/>
      <c r="AE358" s="242"/>
      <c r="AF358" s="242"/>
      <c r="AG358" s="242"/>
      <c r="AH358" s="242"/>
      <c r="AI358" s="211">
        <v>1</v>
      </c>
      <c r="AJ358" s="211"/>
      <c r="AK358" s="242"/>
      <c r="AL358" s="242"/>
      <c r="AM358" s="242"/>
      <c r="AN358" s="242"/>
      <c r="AO358" s="242"/>
      <c r="AP358" s="242"/>
      <c r="AQ358" s="242"/>
      <c r="AR358" s="242"/>
      <c r="AS358" s="242"/>
      <c r="AT358" s="211">
        <v>1</v>
      </c>
      <c r="AU358" s="211">
        <v>1</v>
      </c>
      <c r="AV358" s="242"/>
      <c r="AW358" s="240"/>
      <c r="AX358" s="240"/>
      <c r="AY358" s="240"/>
      <c r="AZ358" s="242"/>
      <c r="BA358" s="203"/>
      <c r="BB358" s="203"/>
      <c r="BC358" s="203"/>
    </row>
    <row r="359" spans="1:55" ht="21" hidden="1" customHeight="1">
      <c r="A359" s="212"/>
      <c r="B359" s="237">
        <v>46054</v>
      </c>
      <c r="C359" s="211" t="s">
        <v>386</v>
      </c>
      <c r="D359" s="238" t="s">
        <v>911</v>
      </c>
      <c r="E359" s="203" t="s">
        <v>912</v>
      </c>
      <c r="F359" s="242"/>
      <c r="G359" s="203"/>
      <c r="H359" s="242"/>
      <c r="I359" s="242"/>
      <c r="J359" s="242"/>
      <c r="K359" s="242"/>
      <c r="L359" s="242"/>
      <c r="M359" s="211">
        <v>1</v>
      </c>
      <c r="N359" s="211">
        <v>1</v>
      </c>
      <c r="O359" s="211">
        <v>1</v>
      </c>
      <c r="P359" s="211">
        <v>1</v>
      </c>
      <c r="Q359" s="242"/>
      <c r="R359" s="242"/>
      <c r="S359" s="242"/>
      <c r="T359" s="242"/>
      <c r="U359" s="242"/>
      <c r="V359" s="242"/>
      <c r="W359" s="242"/>
      <c r="X359" s="211"/>
      <c r="Y359" s="211"/>
      <c r="Z359" s="203"/>
      <c r="AA359" s="211">
        <v>1</v>
      </c>
      <c r="AB359" s="242"/>
      <c r="AC359" s="242"/>
      <c r="AD359" s="242"/>
      <c r="AE359" s="242"/>
      <c r="AF359" s="242"/>
      <c r="AG359" s="242"/>
      <c r="AH359" s="242"/>
      <c r="AI359" s="211">
        <v>1</v>
      </c>
      <c r="AJ359" s="211">
        <v>1</v>
      </c>
      <c r="AK359" s="242"/>
      <c r="AL359" s="242"/>
      <c r="AM359" s="242"/>
      <c r="AN359" s="242"/>
      <c r="AO359" s="242"/>
      <c r="AP359" s="242"/>
      <c r="AQ359" s="242"/>
      <c r="AR359" s="242"/>
      <c r="AS359" s="242"/>
      <c r="AT359" s="211"/>
      <c r="AU359" s="211"/>
      <c r="AV359" s="240">
        <v>1</v>
      </c>
      <c r="AW359" s="240">
        <v>1</v>
      </c>
      <c r="AX359" s="240">
        <v>1</v>
      </c>
      <c r="AY359" s="240">
        <v>1</v>
      </c>
      <c r="AZ359" s="203">
        <v>1</v>
      </c>
      <c r="BA359" s="203">
        <v>1</v>
      </c>
      <c r="BB359" s="203"/>
      <c r="BC359" s="203"/>
    </row>
    <row r="360" spans="1:55" ht="21" hidden="1" customHeight="1">
      <c r="A360" s="212"/>
      <c r="B360" s="237">
        <v>46054</v>
      </c>
      <c r="C360" s="211" t="s">
        <v>384</v>
      </c>
      <c r="D360" s="238" t="s">
        <v>913</v>
      </c>
      <c r="E360" s="203" t="s">
        <v>914</v>
      </c>
      <c r="F360" s="242"/>
      <c r="G360" s="203"/>
      <c r="H360" s="242"/>
      <c r="I360" s="242"/>
      <c r="J360" s="242"/>
      <c r="K360" s="242"/>
      <c r="L360" s="242"/>
      <c r="M360" s="211">
        <v>1</v>
      </c>
      <c r="N360" s="211">
        <v>1</v>
      </c>
      <c r="O360" s="211">
        <v>1</v>
      </c>
      <c r="P360" s="242"/>
      <c r="Q360" s="242"/>
      <c r="R360" s="242"/>
      <c r="S360" s="242"/>
      <c r="T360" s="242"/>
      <c r="U360" s="242"/>
      <c r="V360" s="242"/>
      <c r="W360" s="242"/>
      <c r="X360" s="211"/>
      <c r="Y360" s="211">
        <v>1</v>
      </c>
      <c r="Z360" s="211">
        <v>1</v>
      </c>
      <c r="AA360" s="203"/>
      <c r="AB360" s="242"/>
      <c r="AC360" s="242"/>
      <c r="AD360" s="242"/>
      <c r="AE360" s="242"/>
      <c r="AF360" s="242"/>
      <c r="AG360" s="242"/>
      <c r="AH360" s="242"/>
      <c r="AI360" s="211">
        <v>1</v>
      </c>
      <c r="AJ360" s="211">
        <v>1</v>
      </c>
      <c r="AK360" s="211"/>
      <c r="AL360" s="242"/>
      <c r="AM360" s="242"/>
      <c r="AN360" s="242"/>
      <c r="AO360" s="242"/>
      <c r="AP360" s="242"/>
      <c r="AQ360" s="242"/>
      <c r="AR360" s="242"/>
      <c r="AS360" s="242"/>
      <c r="AT360" s="211"/>
      <c r="AU360" s="211"/>
      <c r="AV360" s="242">
        <v>1</v>
      </c>
      <c r="AW360" s="240">
        <v>1</v>
      </c>
      <c r="AX360" s="240"/>
      <c r="AY360" s="240"/>
      <c r="AZ360" s="242"/>
      <c r="BA360" s="203"/>
      <c r="BB360" s="203"/>
      <c r="BC360" s="203"/>
    </row>
    <row r="361" spans="1:55" ht="21" customHeight="1">
      <c r="A361" s="212"/>
      <c r="B361" s="237">
        <v>46054</v>
      </c>
      <c r="C361" s="211" t="s">
        <v>395</v>
      </c>
      <c r="D361" s="238" t="s">
        <v>915</v>
      </c>
      <c r="E361" s="203" t="s">
        <v>916</v>
      </c>
      <c r="F361" s="242"/>
      <c r="G361" s="203"/>
      <c r="H361" s="242"/>
      <c r="I361" s="242"/>
      <c r="J361" s="242"/>
      <c r="K361" s="242"/>
      <c r="L361" s="242"/>
      <c r="M361" s="211"/>
      <c r="N361" s="211">
        <v>1</v>
      </c>
      <c r="O361" s="211">
        <v>1</v>
      </c>
      <c r="P361" s="211">
        <v>1</v>
      </c>
      <c r="Q361" s="242"/>
      <c r="R361" s="242"/>
      <c r="S361" s="242"/>
      <c r="T361" s="242"/>
      <c r="U361" s="242"/>
      <c r="V361" s="242"/>
      <c r="W361" s="242"/>
      <c r="X361" s="211"/>
      <c r="Y361" s="211">
        <v>1</v>
      </c>
      <c r="Z361" s="211">
        <v>1</v>
      </c>
      <c r="AA361" s="211">
        <v>1</v>
      </c>
      <c r="AB361" s="242"/>
      <c r="AC361" s="242"/>
      <c r="AD361" s="242"/>
      <c r="AE361" s="242"/>
      <c r="AF361" s="242"/>
      <c r="AG361" s="242"/>
      <c r="AH361" s="242"/>
      <c r="AI361" s="211">
        <v>1</v>
      </c>
      <c r="AJ361" s="211">
        <v>1</v>
      </c>
      <c r="AK361" s="211"/>
      <c r="AL361" s="211">
        <v>1</v>
      </c>
      <c r="AM361" s="242"/>
      <c r="AN361" s="242"/>
      <c r="AO361" s="242"/>
      <c r="AP361" s="242"/>
      <c r="AQ361" s="242"/>
      <c r="AR361" s="242"/>
      <c r="AS361" s="242"/>
      <c r="AT361" s="211">
        <v>1</v>
      </c>
      <c r="AU361" s="211">
        <v>1</v>
      </c>
      <c r="AV361" s="242"/>
      <c r="AW361" s="240"/>
      <c r="AX361" s="240">
        <v>1</v>
      </c>
      <c r="AY361" s="240">
        <v>1</v>
      </c>
      <c r="AZ361" s="203">
        <v>1</v>
      </c>
      <c r="BA361" s="203">
        <v>1</v>
      </c>
      <c r="BB361" s="203">
        <v>1</v>
      </c>
      <c r="BC361" s="203">
        <v>1</v>
      </c>
    </row>
    <row r="362" spans="1:55" ht="21" hidden="1" customHeight="1">
      <c r="A362" s="212"/>
      <c r="B362" s="237">
        <v>46054</v>
      </c>
      <c r="C362" s="211" t="s">
        <v>387</v>
      </c>
      <c r="D362" s="238" t="s">
        <v>917</v>
      </c>
      <c r="E362" s="203" t="s">
        <v>918</v>
      </c>
      <c r="F362" s="242"/>
      <c r="G362" s="203"/>
      <c r="H362" s="242"/>
      <c r="I362" s="242"/>
      <c r="J362" s="242"/>
      <c r="K362" s="242"/>
      <c r="L362" s="242"/>
      <c r="M362" s="211">
        <v>1</v>
      </c>
      <c r="N362" s="211"/>
      <c r="O362" s="242"/>
      <c r="P362" s="242"/>
      <c r="Q362" s="242"/>
      <c r="R362" s="242"/>
      <c r="S362" s="242"/>
      <c r="T362" s="242"/>
      <c r="U362" s="242"/>
      <c r="V362" s="242"/>
      <c r="W362" s="242"/>
      <c r="X362" s="211"/>
      <c r="Y362" s="211">
        <v>1</v>
      </c>
      <c r="Z362" s="203"/>
      <c r="AA362" s="203"/>
      <c r="AB362" s="242"/>
      <c r="AC362" s="242"/>
      <c r="AD362" s="242"/>
      <c r="AE362" s="242"/>
      <c r="AF362" s="242"/>
      <c r="AG362" s="242"/>
      <c r="AH362" s="242"/>
      <c r="AI362" s="211">
        <v>1</v>
      </c>
      <c r="AJ362" s="211"/>
      <c r="AK362" s="242"/>
      <c r="AL362" s="242"/>
      <c r="AM362" s="242"/>
      <c r="AN362" s="242"/>
      <c r="AO362" s="242"/>
      <c r="AP362" s="242"/>
      <c r="AQ362" s="242"/>
      <c r="AR362" s="242"/>
      <c r="AS362" s="242"/>
      <c r="AT362" s="211"/>
      <c r="AU362" s="211"/>
      <c r="AV362" s="242"/>
      <c r="AW362" s="240"/>
      <c r="AX362" s="240"/>
      <c r="AY362" s="240"/>
      <c r="AZ362" s="242"/>
      <c r="BA362" s="203"/>
      <c r="BB362" s="203"/>
      <c r="BC362" s="203"/>
    </row>
    <row r="363" spans="1:55" ht="21" hidden="1" customHeight="1">
      <c r="A363" s="212"/>
      <c r="B363" s="237">
        <v>46054</v>
      </c>
      <c r="C363" s="211" t="s">
        <v>386</v>
      </c>
      <c r="D363" s="238" t="s">
        <v>919</v>
      </c>
      <c r="E363" s="203" t="s">
        <v>920</v>
      </c>
      <c r="F363" s="242"/>
      <c r="G363" s="203"/>
      <c r="H363" s="242"/>
      <c r="I363" s="242"/>
      <c r="J363" s="242"/>
      <c r="K363" s="242"/>
      <c r="L363" s="242"/>
      <c r="M363" s="211">
        <v>1</v>
      </c>
      <c r="N363" s="211">
        <v>1</v>
      </c>
      <c r="O363" s="211">
        <v>1</v>
      </c>
      <c r="P363" s="211">
        <v>1</v>
      </c>
      <c r="Q363" s="242"/>
      <c r="R363" s="242"/>
      <c r="S363" s="242"/>
      <c r="T363" s="242"/>
      <c r="U363" s="242"/>
      <c r="V363" s="242"/>
      <c r="W363" s="242"/>
      <c r="X363" s="211"/>
      <c r="Y363" s="211">
        <v>1</v>
      </c>
      <c r="Z363" s="211">
        <v>1</v>
      </c>
      <c r="AA363" s="211">
        <v>1</v>
      </c>
      <c r="AB363" s="242"/>
      <c r="AC363" s="242"/>
      <c r="AD363" s="242"/>
      <c r="AE363" s="242"/>
      <c r="AF363" s="242"/>
      <c r="AG363" s="242"/>
      <c r="AH363" s="242"/>
      <c r="AI363" s="211">
        <v>1</v>
      </c>
      <c r="AJ363" s="211">
        <v>1</v>
      </c>
      <c r="AK363" s="211">
        <v>1</v>
      </c>
      <c r="AL363" s="211">
        <v>1</v>
      </c>
      <c r="AM363" s="242"/>
      <c r="AN363" s="242"/>
      <c r="AO363" s="242"/>
      <c r="AP363" s="242"/>
      <c r="AQ363" s="242"/>
      <c r="AR363" s="242"/>
      <c r="AS363" s="242"/>
      <c r="AT363" s="211"/>
      <c r="AU363" s="211"/>
      <c r="AV363" s="240">
        <v>1</v>
      </c>
      <c r="AW363" s="240">
        <v>1</v>
      </c>
      <c r="AX363" s="240">
        <v>1</v>
      </c>
      <c r="AY363" s="240">
        <v>1</v>
      </c>
      <c r="AZ363" s="203">
        <v>1</v>
      </c>
      <c r="BA363" s="203">
        <v>1</v>
      </c>
      <c r="BB363" s="203">
        <v>1</v>
      </c>
      <c r="BC363" s="203">
        <v>1</v>
      </c>
    </row>
    <row r="364" spans="1:55" ht="21" hidden="1" customHeight="1">
      <c r="A364" s="212"/>
      <c r="B364" s="237">
        <v>46054</v>
      </c>
      <c r="C364" s="211" t="s">
        <v>384</v>
      </c>
      <c r="D364" s="238" t="s">
        <v>921</v>
      </c>
      <c r="E364" s="203" t="s">
        <v>922</v>
      </c>
      <c r="F364" s="242"/>
      <c r="G364" s="203"/>
      <c r="H364" s="242"/>
      <c r="I364" s="242"/>
      <c r="J364" s="242"/>
      <c r="K364" s="242"/>
      <c r="L364" s="242"/>
      <c r="M364" s="211">
        <v>1</v>
      </c>
      <c r="N364" s="211">
        <v>1</v>
      </c>
      <c r="O364" s="211">
        <v>1</v>
      </c>
      <c r="P364" s="211">
        <v>1</v>
      </c>
      <c r="Q364" s="242"/>
      <c r="R364" s="242"/>
      <c r="S364" s="242"/>
      <c r="T364" s="242"/>
      <c r="U364" s="242"/>
      <c r="V364" s="242"/>
      <c r="W364" s="242"/>
      <c r="X364" s="211"/>
      <c r="Y364" s="211"/>
      <c r="Z364" s="211">
        <v>1</v>
      </c>
      <c r="AA364" s="211">
        <v>1</v>
      </c>
      <c r="AB364" s="242"/>
      <c r="AC364" s="242"/>
      <c r="AD364" s="242"/>
      <c r="AE364" s="242"/>
      <c r="AF364" s="242"/>
      <c r="AG364" s="242"/>
      <c r="AH364" s="242"/>
      <c r="AI364" s="211">
        <v>1</v>
      </c>
      <c r="AJ364" s="211">
        <v>1</v>
      </c>
      <c r="AK364" s="211"/>
      <c r="AL364" s="242"/>
      <c r="AM364" s="242"/>
      <c r="AN364" s="242"/>
      <c r="AO364" s="242"/>
      <c r="AP364" s="242"/>
      <c r="AQ364" s="242"/>
      <c r="AR364" s="242"/>
      <c r="AS364" s="242"/>
      <c r="AT364" s="211"/>
      <c r="AU364" s="211"/>
      <c r="AV364" s="242"/>
      <c r="AW364" s="240"/>
      <c r="AX364" s="240">
        <v>1</v>
      </c>
      <c r="AY364" s="240"/>
      <c r="AZ364" s="203">
        <v>1</v>
      </c>
      <c r="BA364" s="203">
        <v>1</v>
      </c>
      <c r="BB364" s="203">
        <v>1</v>
      </c>
      <c r="BC364" s="203">
        <v>1</v>
      </c>
    </row>
    <row r="365" spans="1:55" ht="21" hidden="1" customHeight="1">
      <c r="A365" s="212"/>
      <c r="B365" s="237">
        <v>46054</v>
      </c>
      <c r="C365" s="211" t="s">
        <v>386</v>
      </c>
      <c r="D365" s="238" t="s">
        <v>923</v>
      </c>
      <c r="E365" s="203" t="s">
        <v>924</v>
      </c>
      <c r="F365" s="242"/>
      <c r="G365" s="203"/>
      <c r="H365" s="242"/>
      <c r="I365" s="242"/>
      <c r="J365" s="242"/>
      <c r="K365" s="242"/>
      <c r="L365" s="242"/>
      <c r="M365" s="211"/>
      <c r="N365" s="211">
        <v>1</v>
      </c>
      <c r="O365" s="211">
        <v>1</v>
      </c>
      <c r="P365" s="211">
        <v>1</v>
      </c>
      <c r="Q365" s="242"/>
      <c r="R365" s="242"/>
      <c r="S365" s="242"/>
      <c r="T365" s="242"/>
      <c r="U365" s="242"/>
      <c r="V365" s="242"/>
      <c r="W365" s="242"/>
      <c r="X365" s="211"/>
      <c r="Y365" s="211"/>
      <c r="Z365" s="211">
        <v>1</v>
      </c>
      <c r="AA365" s="211">
        <v>1</v>
      </c>
      <c r="AB365" s="242"/>
      <c r="AC365" s="242"/>
      <c r="AD365" s="242"/>
      <c r="AE365" s="242"/>
      <c r="AF365" s="242"/>
      <c r="AG365" s="242"/>
      <c r="AH365" s="242"/>
      <c r="AI365" s="211">
        <v>1</v>
      </c>
      <c r="AJ365" s="211">
        <v>1</v>
      </c>
      <c r="AK365" s="211"/>
      <c r="AL365" s="242"/>
      <c r="AM365" s="242"/>
      <c r="AN365" s="242"/>
      <c r="AO365" s="242"/>
      <c r="AP365" s="242"/>
      <c r="AQ365" s="242"/>
      <c r="AR365" s="242"/>
      <c r="AS365" s="242"/>
      <c r="AT365" s="211"/>
      <c r="AU365" s="211"/>
      <c r="AV365" s="240">
        <v>1</v>
      </c>
      <c r="AW365" s="240">
        <v>1</v>
      </c>
      <c r="AX365" s="240"/>
      <c r="AY365" s="240">
        <v>1</v>
      </c>
      <c r="AZ365" s="203">
        <v>1</v>
      </c>
      <c r="BA365" s="203">
        <v>1</v>
      </c>
      <c r="BB365" s="203">
        <v>1</v>
      </c>
      <c r="BC365" s="203">
        <v>1</v>
      </c>
    </row>
    <row r="366" spans="1:55" ht="21" customHeight="1">
      <c r="A366" s="212"/>
      <c r="B366" s="237">
        <v>46054</v>
      </c>
      <c r="C366" s="211" t="s">
        <v>395</v>
      </c>
      <c r="D366" s="238" t="s">
        <v>925</v>
      </c>
      <c r="E366" s="203" t="s">
        <v>926</v>
      </c>
      <c r="F366" s="242"/>
      <c r="G366" s="203"/>
      <c r="H366" s="242"/>
      <c r="I366" s="242"/>
      <c r="J366" s="242"/>
      <c r="K366" s="242"/>
      <c r="L366" s="242"/>
      <c r="M366" s="211"/>
      <c r="N366" s="211"/>
      <c r="O366" s="242"/>
      <c r="P366" s="242"/>
      <c r="Q366" s="242"/>
      <c r="R366" s="242"/>
      <c r="S366" s="242"/>
      <c r="T366" s="242"/>
      <c r="U366" s="242"/>
      <c r="V366" s="242"/>
      <c r="W366" s="242"/>
      <c r="X366" s="211"/>
      <c r="Y366" s="211"/>
      <c r="Z366" s="203"/>
      <c r="AA366" s="203"/>
      <c r="AB366" s="242"/>
      <c r="AC366" s="242"/>
      <c r="AD366" s="242"/>
      <c r="AE366" s="242"/>
      <c r="AF366" s="242"/>
      <c r="AG366" s="242"/>
      <c r="AH366" s="242"/>
      <c r="AI366" s="211"/>
      <c r="AJ366" s="211"/>
      <c r="AK366" s="242"/>
      <c r="AL366" s="242"/>
      <c r="AM366" s="242"/>
      <c r="AN366" s="242"/>
      <c r="AO366" s="242"/>
      <c r="AP366" s="242"/>
      <c r="AQ366" s="242"/>
      <c r="AR366" s="242"/>
      <c r="AS366" s="242"/>
      <c r="AT366" s="211"/>
      <c r="AU366" s="211"/>
      <c r="AV366" s="240">
        <v>1</v>
      </c>
      <c r="AW366" s="240">
        <v>1</v>
      </c>
      <c r="AX366" s="240"/>
      <c r="AY366" s="240"/>
      <c r="AZ366" s="242"/>
      <c r="BA366" s="203"/>
      <c r="BB366" s="203"/>
      <c r="BC366" s="203"/>
    </row>
    <row r="367" spans="1:55" ht="21" hidden="1" customHeight="1">
      <c r="A367" s="212"/>
      <c r="B367" s="237">
        <v>46054</v>
      </c>
      <c r="C367" s="211" t="s">
        <v>384</v>
      </c>
      <c r="D367" s="238" t="s">
        <v>927</v>
      </c>
      <c r="E367" s="203" t="s">
        <v>928</v>
      </c>
      <c r="F367" s="242"/>
      <c r="G367" s="203"/>
      <c r="H367" s="242"/>
      <c r="I367" s="242"/>
      <c r="J367" s="242"/>
      <c r="K367" s="242"/>
      <c r="L367" s="242"/>
      <c r="M367" s="211"/>
      <c r="N367" s="211">
        <v>1</v>
      </c>
      <c r="O367" s="211">
        <v>1</v>
      </c>
      <c r="P367" s="242"/>
      <c r="Q367" s="242"/>
      <c r="R367" s="242"/>
      <c r="S367" s="242"/>
      <c r="T367" s="242"/>
      <c r="U367" s="242"/>
      <c r="V367" s="242"/>
      <c r="W367" s="242"/>
      <c r="X367" s="211"/>
      <c r="Y367" s="211">
        <v>1</v>
      </c>
      <c r="Z367" s="211">
        <v>1</v>
      </c>
      <c r="AA367" s="203"/>
      <c r="AB367" s="242"/>
      <c r="AC367" s="242"/>
      <c r="AD367" s="242"/>
      <c r="AE367" s="242"/>
      <c r="AF367" s="242"/>
      <c r="AG367" s="242"/>
      <c r="AH367" s="242"/>
      <c r="AI367" s="211"/>
      <c r="AJ367" s="211">
        <v>1</v>
      </c>
      <c r="AK367" s="211"/>
      <c r="AL367" s="242"/>
      <c r="AM367" s="242"/>
      <c r="AN367" s="242"/>
      <c r="AO367" s="242"/>
      <c r="AP367" s="242"/>
      <c r="AQ367" s="242"/>
      <c r="AR367" s="242"/>
      <c r="AS367" s="242"/>
      <c r="AT367" s="211"/>
      <c r="AU367" s="211"/>
      <c r="AV367" s="240">
        <v>1</v>
      </c>
      <c r="AW367" s="240">
        <v>1</v>
      </c>
      <c r="AX367" s="240"/>
      <c r="AY367" s="240"/>
      <c r="AZ367" s="242"/>
      <c r="BA367" s="203"/>
      <c r="BB367" s="203"/>
      <c r="BC367" s="203"/>
    </row>
    <row r="368" spans="1:55" ht="21" hidden="1" customHeight="1">
      <c r="A368" s="212"/>
      <c r="B368" s="237">
        <v>46054</v>
      </c>
      <c r="C368" s="211" t="s">
        <v>384</v>
      </c>
      <c r="D368" s="238" t="s">
        <v>929</v>
      </c>
      <c r="E368" s="203" t="s">
        <v>930</v>
      </c>
      <c r="F368" s="242"/>
      <c r="G368" s="203"/>
      <c r="H368" s="242"/>
      <c r="I368" s="242"/>
      <c r="J368" s="242"/>
      <c r="K368" s="242"/>
      <c r="L368" s="242"/>
      <c r="M368" s="211"/>
      <c r="N368" s="211">
        <v>1</v>
      </c>
      <c r="O368" s="211">
        <v>1</v>
      </c>
      <c r="P368" s="211">
        <v>1</v>
      </c>
      <c r="Q368" s="242"/>
      <c r="R368" s="242"/>
      <c r="S368" s="242"/>
      <c r="T368" s="242"/>
      <c r="U368" s="242"/>
      <c r="V368" s="242"/>
      <c r="W368" s="242"/>
      <c r="X368" s="211"/>
      <c r="Y368" s="211"/>
      <c r="Z368" s="203"/>
      <c r="AA368" s="211">
        <v>1</v>
      </c>
      <c r="AB368" s="242"/>
      <c r="AC368" s="242"/>
      <c r="AD368" s="242"/>
      <c r="AE368" s="242"/>
      <c r="AF368" s="242"/>
      <c r="AG368" s="242"/>
      <c r="AH368" s="242"/>
      <c r="AI368" s="211"/>
      <c r="AJ368" s="211">
        <v>1</v>
      </c>
      <c r="AK368" s="242"/>
      <c r="AL368" s="242"/>
      <c r="AM368" s="242"/>
      <c r="AN368" s="242"/>
      <c r="AO368" s="242"/>
      <c r="AP368" s="242"/>
      <c r="AQ368" s="242"/>
      <c r="AR368" s="242"/>
      <c r="AS368" s="242"/>
      <c r="AT368" s="211"/>
      <c r="AU368" s="211"/>
      <c r="AV368" s="242"/>
      <c r="AW368" s="240"/>
      <c r="AX368" s="240">
        <v>1</v>
      </c>
      <c r="AY368" s="240"/>
      <c r="AZ368" s="203">
        <v>1</v>
      </c>
      <c r="BA368" s="203">
        <v>1</v>
      </c>
      <c r="BB368" s="203">
        <v>1</v>
      </c>
      <c r="BC368" s="203">
        <v>1</v>
      </c>
    </row>
    <row r="369" spans="1:55" ht="21" hidden="1" customHeight="1">
      <c r="A369" s="212"/>
      <c r="B369" s="237">
        <v>46054</v>
      </c>
      <c r="C369" s="211" t="s">
        <v>384</v>
      </c>
      <c r="D369" s="238" t="s">
        <v>931</v>
      </c>
      <c r="E369" s="203" t="s">
        <v>932</v>
      </c>
      <c r="F369" s="242"/>
      <c r="G369" s="203"/>
      <c r="H369" s="242"/>
      <c r="I369" s="242"/>
      <c r="J369" s="242"/>
      <c r="K369" s="242"/>
      <c r="L369" s="242"/>
      <c r="M369" s="211"/>
      <c r="N369" s="211">
        <v>1</v>
      </c>
      <c r="O369" s="211">
        <v>1</v>
      </c>
      <c r="P369" s="242"/>
      <c r="Q369" s="242"/>
      <c r="R369" s="242"/>
      <c r="S369" s="242"/>
      <c r="T369" s="242"/>
      <c r="U369" s="242"/>
      <c r="V369" s="242"/>
      <c r="W369" s="242"/>
      <c r="X369" s="211">
        <v>1</v>
      </c>
      <c r="Y369" s="211">
        <v>1</v>
      </c>
      <c r="Z369" s="211">
        <v>1</v>
      </c>
      <c r="AA369" s="203"/>
      <c r="AB369" s="242"/>
      <c r="AC369" s="242"/>
      <c r="AD369" s="242"/>
      <c r="AE369" s="242"/>
      <c r="AF369" s="242"/>
      <c r="AG369" s="242"/>
      <c r="AH369" s="242"/>
      <c r="AI369" s="211"/>
      <c r="AJ369" s="211">
        <v>1</v>
      </c>
      <c r="AK369" s="211"/>
      <c r="AL369" s="242"/>
      <c r="AM369" s="242"/>
      <c r="AN369" s="242"/>
      <c r="AO369" s="242"/>
      <c r="AP369" s="242"/>
      <c r="AQ369" s="242"/>
      <c r="AR369" s="242"/>
      <c r="AS369" s="242"/>
      <c r="AT369" s="211"/>
      <c r="AU369" s="211"/>
      <c r="AV369" s="242">
        <v>1</v>
      </c>
      <c r="AW369" s="240">
        <v>1</v>
      </c>
      <c r="AX369" s="240"/>
      <c r="AY369" s="240"/>
      <c r="AZ369" s="242"/>
      <c r="BA369" s="203"/>
      <c r="BB369" s="203"/>
      <c r="BC369" s="203"/>
    </row>
    <row r="370" spans="1:55" ht="21" hidden="1" customHeight="1">
      <c r="A370" s="212"/>
      <c r="B370" s="237">
        <v>46054</v>
      </c>
      <c r="C370" s="211" t="s">
        <v>386</v>
      </c>
      <c r="D370" s="238" t="s">
        <v>933</v>
      </c>
      <c r="E370" s="203" t="s">
        <v>934</v>
      </c>
      <c r="F370" s="242"/>
      <c r="G370" s="203"/>
      <c r="H370" s="242"/>
      <c r="I370" s="242"/>
      <c r="J370" s="242"/>
      <c r="K370" s="242"/>
      <c r="L370" s="242"/>
      <c r="M370" s="211"/>
      <c r="N370" s="211"/>
      <c r="O370" s="242"/>
      <c r="P370" s="242"/>
      <c r="Q370" s="242"/>
      <c r="R370" s="242"/>
      <c r="S370" s="242"/>
      <c r="T370" s="242"/>
      <c r="U370" s="242"/>
      <c r="V370" s="242"/>
      <c r="W370" s="242"/>
      <c r="X370" s="211">
        <v>1</v>
      </c>
      <c r="Y370" s="211"/>
      <c r="Z370" s="203"/>
      <c r="AA370" s="203"/>
      <c r="AB370" s="242"/>
      <c r="AC370" s="242"/>
      <c r="AD370" s="242"/>
      <c r="AE370" s="242"/>
      <c r="AF370" s="242"/>
      <c r="AG370" s="242"/>
      <c r="AH370" s="242"/>
      <c r="AI370" s="211"/>
      <c r="AJ370" s="211">
        <v>1</v>
      </c>
      <c r="AK370" s="242"/>
      <c r="AL370" s="242"/>
      <c r="AM370" s="242"/>
      <c r="AN370" s="242"/>
      <c r="AO370" s="242"/>
      <c r="AP370" s="242"/>
      <c r="AQ370" s="242"/>
      <c r="AR370" s="242"/>
      <c r="AS370" s="242"/>
      <c r="AT370" s="211"/>
      <c r="AU370" s="211"/>
      <c r="AV370" s="242"/>
      <c r="AW370" s="240"/>
      <c r="AX370" s="240"/>
      <c r="AY370" s="240"/>
      <c r="AZ370" s="242"/>
      <c r="BA370" s="203"/>
      <c r="BB370" s="203"/>
      <c r="BC370" s="203"/>
    </row>
    <row r="371" spans="1:55" ht="21" hidden="1" customHeight="1">
      <c r="A371" s="212"/>
      <c r="B371" s="237">
        <v>46054</v>
      </c>
      <c r="C371" s="211" t="s">
        <v>384</v>
      </c>
      <c r="D371" s="238" t="s">
        <v>935</v>
      </c>
      <c r="E371" s="203" t="s">
        <v>936</v>
      </c>
      <c r="F371" s="242"/>
      <c r="G371" s="203"/>
      <c r="H371" s="242"/>
      <c r="I371" s="242"/>
      <c r="J371" s="242"/>
      <c r="K371" s="242"/>
      <c r="L371" s="242"/>
      <c r="M371" s="211"/>
      <c r="N371" s="211">
        <v>1</v>
      </c>
      <c r="O371" s="211">
        <v>1</v>
      </c>
      <c r="P371" s="211">
        <v>1</v>
      </c>
      <c r="Q371" s="242"/>
      <c r="R371" s="242"/>
      <c r="S371" s="242"/>
      <c r="T371" s="242"/>
      <c r="U371" s="242"/>
      <c r="V371" s="242"/>
      <c r="W371" s="242"/>
      <c r="X371" s="211">
        <v>1</v>
      </c>
      <c r="Y371" s="211"/>
      <c r="Z371" s="211">
        <v>1</v>
      </c>
      <c r="AA371" s="211">
        <v>1</v>
      </c>
      <c r="AB371" s="242"/>
      <c r="AC371" s="242"/>
      <c r="AD371" s="242"/>
      <c r="AE371" s="242"/>
      <c r="AF371" s="242"/>
      <c r="AG371" s="242"/>
      <c r="AH371" s="242"/>
      <c r="AI371" s="211"/>
      <c r="AJ371" s="211">
        <v>1</v>
      </c>
      <c r="AK371" s="211"/>
      <c r="AL371" s="242"/>
      <c r="AM371" s="242"/>
      <c r="AN371" s="242"/>
      <c r="AO371" s="242"/>
      <c r="AP371" s="242"/>
      <c r="AQ371" s="242"/>
      <c r="AR371" s="242"/>
      <c r="AS371" s="242"/>
      <c r="AT371" s="211"/>
      <c r="AU371" s="211"/>
      <c r="AV371" s="242"/>
      <c r="AW371" s="240"/>
      <c r="AX371" s="240"/>
      <c r="AY371" s="240"/>
      <c r="AZ371" s="203">
        <v>1</v>
      </c>
      <c r="BA371" s="203">
        <v>1</v>
      </c>
      <c r="BB371" s="203"/>
      <c r="BC371" s="203"/>
    </row>
    <row r="372" spans="1:55" ht="21" hidden="1" customHeight="1">
      <c r="A372" s="212"/>
      <c r="B372" s="237">
        <v>46054</v>
      </c>
      <c r="C372" s="211" t="s">
        <v>386</v>
      </c>
      <c r="D372" s="238" t="s">
        <v>937</v>
      </c>
      <c r="E372" s="203" t="s">
        <v>938</v>
      </c>
      <c r="F372" s="242"/>
      <c r="G372" s="203"/>
      <c r="H372" s="242"/>
      <c r="I372" s="242"/>
      <c r="J372" s="242"/>
      <c r="K372" s="242"/>
      <c r="L372" s="242"/>
      <c r="M372" s="211">
        <v>1</v>
      </c>
      <c r="N372" s="211">
        <v>1</v>
      </c>
      <c r="O372" s="211">
        <v>1</v>
      </c>
      <c r="P372" s="211">
        <v>1</v>
      </c>
      <c r="Q372" s="242"/>
      <c r="R372" s="242"/>
      <c r="S372" s="242"/>
      <c r="T372" s="242"/>
      <c r="U372" s="242"/>
      <c r="V372" s="242"/>
      <c r="W372" s="242"/>
      <c r="X372" s="211">
        <v>1</v>
      </c>
      <c r="Y372" s="211"/>
      <c r="Z372" s="211">
        <v>1</v>
      </c>
      <c r="AA372" s="211">
        <v>1</v>
      </c>
      <c r="AB372" s="242"/>
      <c r="AC372" s="242"/>
      <c r="AD372" s="242"/>
      <c r="AE372" s="242"/>
      <c r="AF372" s="242"/>
      <c r="AG372" s="242"/>
      <c r="AH372" s="242"/>
      <c r="AI372" s="211">
        <v>1</v>
      </c>
      <c r="AJ372" s="211">
        <v>1</v>
      </c>
      <c r="AK372" s="211"/>
      <c r="AL372" s="242"/>
      <c r="AM372" s="242"/>
      <c r="AN372" s="242"/>
      <c r="AO372" s="242"/>
      <c r="AP372" s="242"/>
      <c r="AQ372" s="242"/>
      <c r="AR372" s="242"/>
      <c r="AS372" s="242"/>
      <c r="AT372" s="211"/>
      <c r="AU372" s="211"/>
      <c r="AV372" s="242"/>
      <c r="AW372" s="240"/>
      <c r="AX372" s="240">
        <v>1</v>
      </c>
      <c r="AY372" s="240">
        <v>1</v>
      </c>
      <c r="AZ372" s="242"/>
      <c r="BA372" s="203">
        <v>1</v>
      </c>
      <c r="BB372" s="203">
        <v>1</v>
      </c>
      <c r="BC372" s="203">
        <v>1</v>
      </c>
    </row>
    <row r="373" spans="1:55" ht="21" hidden="1" customHeight="1">
      <c r="A373" s="212"/>
      <c r="B373" s="237">
        <v>46054</v>
      </c>
      <c r="C373" s="211" t="s">
        <v>386</v>
      </c>
      <c r="D373" s="238" t="s">
        <v>939</v>
      </c>
      <c r="E373" s="203" t="s">
        <v>940</v>
      </c>
      <c r="F373" s="242"/>
      <c r="G373" s="203"/>
      <c r="H373" s="242"/>
      <c r="I373" s="242"/>
      <c r="J373" s="242"/>
      <c r="K373" s="242"/>
      <c r="L373" s="242"/>
      <c r="M373" s="211"/>
      <c r="N373" s="211"/>
      <c r="O373" s="242"/>
      <c r="P373" s="242"/>
      <c r="Q373" s="242"/>
      <c r="R373" s="242"/>
      <c r="S373" s="242"/>
      <c r="T373" s="242"/>
      <c r="U373" s="242"/>
      <c r="V373" s="242"/>
      <c r="W373" s="242"/>
      <c r="X373" s="211">
        <v>1</v>
      </c>
      <c r="Y373" s="211"/>
      <c r="Z373" s="203"/>
      <c r="AA373" s="211">
        <v>1</v>
      </c>
      <c r="AB373" s="242"/>
      <c r="AC373" s="242"/>
      <c r="AD373" s="242"/>
      <c r="AE373" s="242"/>
      <c r="AF373" s="242"/>
      <c r="AG373" s="242"/>
      <c r="AH373" s="242"/>
      <c r="AI373" s="211"/>
      <c r="AJ373" s="211"/>
      <c r="AK373" s="242"/>
      <c r="AL373" s="242"/>
      <c r="AM373" s="242"/>
      <c r="AN373" s="242"/>
      <c r="AO373" s="242"/>
      <c r="AP373" s="242"/>
      <c r="AQ373" s="242"/>
      <c r="AR373" s="242"/>
      <c r="AS373" s="242"/>
      <c r="AT373" s="211"/>
      <c r="AU373" s="211"/>
      <c r="AV373" s="242"/>
      <c r="AW373" s="240"/>
      <c r="AX373" s="240"/>
      <c r="AY373" s="240"/>
      <c r="AZ373" s="242"/>
      <c r="BA373" s="203"/>
      <c r="BB373" s="203"/>
      <c r="BC373" s="203"/>
    </row>
    <row r="374" spans="1:55" ht="21" hidden="1" customHeight="1">
      <c r="A374" s="212"/>
      <c r="B374" s="237">
        <v>46054</v>
      </c>
      <c r="C374" s="211" t="s">
        <v>386</v>
      </c>
      <c r="D374" s="238" t="s">
        <v>941</v>
      </c>
      <c r="E374" s="203" t="s">
        <v>942</v>
      </c>
      <c r="F374" s="242"/>
      <c r="G374" s="203"/>
      <c r="H374" s="242"/>
      <c r="I374" s="242"/>
      <c r="J374" s="242"/>
      <c r="K374" s="242"/>
      <c r="L374" s="242"/>
      <c r="M374" s="211">
        <v>1</v>
      </c>
      <c r="N374" s="211"/>
      <c r="O374" s="242"/>
      <c r="P374" s="242"/>
      <c r="Q374" s="242"/>
      <c r="R374" s="242"/>
      <c r="S374" s="242"/>
      <c r="T374" s="242"/>
      <c r="U374" s="242"/>
      <c r="V374" s="242"/>
      <c r="W374" s="242"/>
      <c r="X374" s="211">
        <v>1</v>
      </c>
      <c r="Y374" s="211"/>
      <c r="Z374" s="203"/>
      <c r="AA374" s="203"/>
      <c r="AB374" s="242"/>
      <c r="AC374" s="242"/>
      <c r="AD374" s="242"/>
      <c r="AE374" s="242"/>
      <c r="AF374" s="242"/>
      <c r="AG374" s="242"/>
      <c r="AH374" s="242"/>
      <c r="AI374" s="211">
        <v>1</v>
      </c>
      <c r="AJ374" s="211"/>
      <c r="AK374" s="242"/>
      <c r="AL374" s="242"/>
      <c r="AM374" s="242"/>
      <c r="AN374" s="242"/>
      <c r="AO374" s="242"/>
      <c r="AP374" s="242"/>
      <c r="AQ374" s="242"/>
      <c r="AR374" s="242"/>
      <c r="AS374" s="242"/>
      <c r="AT374" s="211"/>
      <c r="AU374" s="211"/>
      <c r="AV374" s="242"/>
      <c r="AW374" s="240"/>
      <c r="AX374" s="240"/>
      <c r="AY374" s="240"/>
      <c r="AZ374" s="242"/>
      <c r="BA374" s="203"/>
      <c r="BB374" s="203"/>
      <c r="BC374" s="203"/>
    </row>
    <row r="375" spans="1:55" ht="21" hidden="1" customHeight="1">
      <c r="A375" s="212"/>
      <c r="B375" s="237">
        <v>46054</v>
      </c>
      <c r="C375" s="211" t="s">
        <v>386</v>
      </c>
      <c r="D375" s="238" t="s">
        <v>943</v>
      </c>
      <c r="E375" s="203" t="s">
        <v>944</v>
      </c>
      <c r="F375" s="242"/>
      <c r="G375" s="203"/>
      <c r="H375" s="242"/>
      <c r="I375" s="242"/>
      <c r="J375" s="242"/>
      <c r="K375" s="242"/>
      <c r="L375" s="242"/>
      <c r="M375" s="211">
        <v>1</v>
      </c>
      <c r="N375" s="211"/>
      <c r="O375" s="242"/>
      <c r="P375" s="242"/>
      <c r="Q375" s="242"/>
      <c r="R375" s="242"/>
      <c r="S375" s="242"/>
      <c r="T375" s="242"/>
      <c r="U375" s="242"/>
      <c r="V375" s="242"/>
      <c r="W375" s="242"/>
      <c r="X375" s="211">
        <v>1</v>
      </c>
      <c r="Y375" s="211"/>
      <c r="Z375" s="203"/>
      <c r="AA375" s="203"/>
      <c r="AB375" s="242"/>
      <c r="AC375" s="242"/>
      <c r="AD375" s="242"/>
      <c r="AE375" s="242"/>
      <c r="AF375" s="242"/>
      <c r="AG375" s="242"/>
      <c r="AH375" s="242"/>
      <c r="AI375" s="211">
        <v>1</v>
      </c>
      <c r="AJ375" s="211"/>
      <c r="AK375" s="242"/>
      <c r="AL375" s="242"/>
      <c r="AM375" s="242"/>
      <c r="AN375" s="242"/>
      <c r="AO375" s="242"/>
      <c r="AP375" s="242"/>
      <c r="AQ375" s="242"/>
      <c r="AR375" s="242"/>
      <c r="AS375" s="242"/>
      <c r="AT375" s="211"/>
      <c r="AU375" s="211"/>
      <c r="AV375" s="240">
        <v>1</v>
      </c>
      <c r="AW375" s="240">
        <v>1</v>
      </c>
      <c r="AX375" s="240"/>
      <c r="AY375" s="240"/>
      <c r="AZ375" s="242"/>
      <c r="BA375" s="203"/>
      <c r="BB375" s="203"/>
      <c r="BC375" s="203"/>
    </row>
    <row r="376" spans="1:55" ht="21" hidden="1" customHeight="1">
      <c r="A376" s="212"/>
      <c r="B376" s="237">
        <v>46054</v>
      </c>
      <c r="C376" s="211" t="s">
        <v>386</v>
      </c>
      <c r="D376" s="238" t="s">
        <v>945</v>
      </c>
      <c r="E376" s="203" t="s">
        <v>946</v>
      </c>
      <c r="F376" s="242"/>
      <c r="G376" s="203"/>
      <c r="H376" s="242"/>
      <c r="I376" s="242"/>
      <c r="J376" s="242"/>
      <c r="K376" s="242"/>
      <c r="L376" s="242"/>
      <c r="M376" s="211">
        <v>1</v>
      </c>
      <c r="N376" s="211"/>
      <c r="O376" s="242"/>
      <c r="P376" s="242"/>
      <c r="Q376" s="242"/>
      <c r="R376" s="242"/>
      <c r="S376" s="242"/>
      <c r="T376" s="242"/>
      <c r="U376" s="242"/>
      <c r="V376" s="242"/>
      <c r="W376" s="242"/>
      <c r="X376" s="211">
        <v>1</v>
      </c>
      <c r="Y376" s="211"/>
      <c r="Z376" s="203"/>
      <c r="AA376" s="203"/>
      <c r="AB376" s="242"/>
      <c r="AC376" s="242"/>
      <c r="AD376" s="242"/>
      <c r="AE376" s="242"/>
      <c r="AF376" s="242"/>
      <c r="AG376" s="242"/>
      <c r="AH376" s="242"/>
      <c r="AI376" s="211">
        <v>1</v>
      </c>
      <c r="AJ376" s="211"/>
      <c r="AK376" s="242"/>
      <c r="AL376" s="242"/>
      <c r="AM376" s="242"/>
      <c r="AN376" s="242"/>
      <c r="AO376" s="242"/>
      <c r="AP376" s="242"/>
      <c r="AQ376" s="242"/>
      <c r="AR376" s="242"/>
      <c r="AS376" s="242"/>
      <c r="AT376" s="211"/>
      <c r="AU376" s="211"/>
      <c r="AV376" s="240">
        <v>1</v>
      </c>
      <c r="AW376" s="240">
        <v>1</v>
      </c>
      <c r="AX376" s="240"/>
      <c r="AY376" s="240"/>
      <c r="AZ376" s="242"/>
      <c r="BA376" s="203"/>
      <c r="BB376" s="203"/>
      <c r="BC376" s="203"/>
    </row>
    <row r="377" spans="1:55" ht="21" hidden="1" customHeight="1">
      <c r="A377" s="212"/>
      <c r="B377" s="237">
        <v>46054</v>
      </c>
      <c r="C377" s="211" t="s">
        <v>386</v>
      </c>
      <c r="D377" s="238" t="s">
        <v>947</v>
      </c>
      <c r="E377" s="203" t="s">
        <v>948</v>
      </c>
      <c r="F377" s="242"/>
      <c r="G377" s="203"/>
      <c r="H377" s="242"/>
      <c r="I377" s="242"/>
      <c r="J377" s="242"/>
      <c r="K377" s="242"/>
      <c r="L377" s="242"/>
      <c r="M377" s="211">
        <v>1</v>
      </c>
      <c r="N377" s="211"/>
      <c r="O377" s="242"/>
      <c r="P377" s="242"/>
      <c r="Q377" s="242"/>
      <c r="R377" s="242"/>
      <c r="S377" s="242"/>
      <c r="T377" s="242"/>
      <c r="U377" s="242"/>
      <c r="V377" s="242"/>
      <c r="W377" s="242"/>
      <c r="X377" s="211"/>
      <c r="Y377" s="211"/>
      <c r="Z377" s="203"/>
      <c r="AA377" s="203"/>
      <c r="AB377" s="242"/>
      <c r="AC377" s="242"/>
      <c r="AD377" s="242"/>
      <c r="AE377" s="242"/>
      <c r="AF377" s="242"/>
      <c r="AG377" s="242"/>
      <c r="AH377" s="242"/>
      <c r="AI377" s="211">
        <v>1</v>
      </c>
      <c r="AJ377" s="211"/>
      <c r="AK377" s="242"/>
      <c r="AL377" s="242"/>
      <c r="AM377" s="242"/>
      <c r="AN377" s="242"/>
      <c r="AO377" s="242"/>
      <c r="AP377" s="242"/>
      <c r="AQ377" s="242"/>
      <c r="AR377" s="242"/>
      <c r="AS377" s="242"/>
      <c r="AT377" s="211"/>
      <c r="AU377" s="211"/>
      <c r="AV377" s="242"/>
      <c r="AW377" s="240"/>
      <c r="AX377" s="240"/>
      <c r="AY377" s="240"/>
      <c r="AZ377" s="242"/>
      <c r="BA377" s="203"/>
      <c r="BB377" s="203"/>
      <c r="BC377" s="203"/>
    </row>
    <row r="378" spans="1:55" ht="21" hidden="1" customHeight="1">
      <c r="A378" s="212"/>
      <c r="B378" s="237">
        <v>46054</v>
      </c>
      <c r="C378" s="211" t="s">
        <v>386</v>
      </c>
      <c r="D378" s="238" t="s">
        <v>949</v>
      </c>
      <c r="E378" s="203" t="s">
        <v>950</v>
      </c>
      <c r="F378" s="242"/>
      <c r="G378" s="203"/>
      <c r="H378" s="242"/>
      <c r="I378" s="242"/>
      <c r="J378" s="242"/>
      <c r="K378" s="242"/>
      <c r="L378" s="242"/>
      <c r="M378" s="211">
        <v>1</v>
      </c>
      <c r="N378" s="211">
        <v>1</v>
      </c>
      <c r="O378" s="211">
        <v>1</v>
      </c>
      <c r="P378" s="242"/>
      <c r="Q378" s="242"/>
      <c r="R378" s="242"/>
      <c r="S378" s="242"/>
      <c r="T378" s="242"/>
      <c r="U378" s="242"/>
      <c r="V378" s="242"/>
      <c r="W378" s="242"/>
      <c r="X378" s="211"/>
      <c r="Y378" s="211">
        <v>1</v>
      </c>
      <c r="Z378" s="211">
        <v>1</v>
      </c>
      <c r="AA378" s="203"/>
      <c r="AB378" s="242"/>
      <c r="AC378" s="242"/>
      <c r="AD378" s="242"/>
      <c r="AE378" s="242"/>
      <c r="AF378" s="242"/>
      <c r="AG378" s="242"/>
      <c r="AH378" s="242"/>
      <c r="AI378" s="211">
        <v>1</v>
      </c>
      <c r="AJ378" s="211">
        <v>1</v>
      </c>
      <c r="AK378" s="211"/>
      <c r="AL378" s="242"/>
      <c r="AM378" s="242"/>
      <c r="AN378" s="242"/>
      <c r="AO378" s="242"/>
      <c r="AP378" s="242"/>
      <c r="AQ378" s="242"/>
      <c r="AR378" s="242"/>
      <c r="AS378" s="242"/>
      <c r="AT378" s="211"/>
      <c r="AU378" s="211"/>
      <c r="AV378" s="242">
        <v>1</v>
      </c>
      <c r="AW378" s="240">
        <v>1</v>
      </c>
      <c r="AX378" s="240"/>
      <c r="AY378" s="240"/>
      <c r="AZ378" s="242"/>
      <c r="BA378" s="203"/>
      <c r="BB378" s="203"/>
      <c r="BC378" s="203"/>
    </row>
    <row r="379" spans="1:55" ht="21" customHeight="1">
      <c r="A379" s="212"/>
      <c r="B379" s="237">
        <v>46054</v>
      </c>
      <c r="C379" s="211" t="s">
        <v>395</v>
      </c>
      <c r="D379" s="238" t="s">
        <v>951</v>
      </c>
      <c r="E379" s="203" t="s">
        <v>952</v>
      </c>
      <c r="F379" s="242"/>
      <c r="G379" s="203"/>
      <c r="H379" s="242"/>
      <c r="I379" s="242"/>
      <c r="J379" s="242"/>
      <c r="K379" s="242"/>
      <c r="L379" s="242"/>
      <c r="M379" s="211">
        <v>1</v>
      </c>
      <c r="N379" s="211">
        <v>1</v>
      </c>
      <c r="O379" s="211">
        <v>1</v>
      </c>
      <c r="P379" s="211">
        <v>1</v>
      </c>
      <c r="Q379" s="242"/>
      <c r="R379" s="242"/>
      <c r="S379" s="242"/>
      <c r="T379" s="242"/>
      <c r="U379" s="242"/>
      <c r="V379" s="242"/>
      <c r="W379" s="242"/>
      <c r="X379" s="211"/>
      <c r="Y379" s="211">
        <v>1</v>
      </c>
      <c r="Z379" s="211">
        <v>1</v>
      </c>
      <c r="AA379" s="211">
        <v>1</v>
      </c>
      <c r="AB379" s="242"/>
      <c r="AC379" s="242"/>
      <c r="AD379" s="242"/>
      <c r="AE379" s="242"/>
      <c r="AF379" s="242"/>
      <c r="AG379" s="242"/>
      <c r="AH379" s="242"/>
      <c r="AI379" s="211">
        <v>1</v>
      </c>
      <c r="AJ379" s="211">
        <v>1</v>
      </c>
      <c r="AK379" s="211"/>
      <c r="AL379" s="242"/>
      <c r="AM379" s="242"/>
      <c r="AN379" s="242"/>
      <c r="AO379" s="242"/>
      <c r="AP379" s="242"/>
      <c r="AQ379" s="242"/>
      <c r="AR379" s="242"/>
      <c r="AS379" s="242"/>
      <c r="AT379" s="211"/>
      <c r="AU379" s="211"/>
      <c r="AV379" s="242">
        <v>1</v>
      </c>
      <c r="AW379" s="240">
        <v>1</v>
      </c>
      <c r="AX379" s="240"/>
      <c r="AY379" s="240">
        <v>1</v>
      </c>
      <c r="AZ379" s="203">
        <v>1</v>
      </c>
      <c r="BA379" s="203">
        <v>1</v>
      </c>
      <c r="BB379" s="203"/>
      <c r="BC379" s="203"/>
    </row>
    <row r="380" spans="1:55" ht="21" customHeight="1">
      <c r="A380" s="212"/>
      <c r="B380" s="237">
        <v>46054</v>
      </c>
      <c r="C380" s="211" t="s">
        <v>395</v>
      </c>
      <c r="D380" s="238" t="s">
        <v>953</v>
      </c>
      <c r="E380" s="203" t="s">
        <v>954</v>
      </c>
      <c r="F380" s="242"/>
      <c r="G380" s="203"/>
      <c r="H380" s="242"/>
      <c r="I380" s="242"/>
      <c r="J380" s="242"/>
      <c r="K380" s="242"/>
      <c r="L380" s="242"/>
      <c r="M380" s="211">
        <v>1</v>
      </c>
      <c r="N380" s="211">
        <v>1</v>
      </c>
      <c r="O380" s="211">
        <v>1</v>
      </c>
      <c r="P380" s="211">
        <v>1</v>
      </c>
      <c r="Q380" s="242"/>
      <c r="R380" s="242"/>
      <c r="S380" s="242"/>
      <c r="T380" s="242"/>
      <c r="U380" s="242"/>
      <c r="V380" s="242"/>
      <c r="W380" s="242"/>
      <c r="X380" s="211"/>
      <c r="Y380" s="211">
        <v>1</v>
      </c>
      <c r="Z380" s="211">
        <v>1</v>
      </c>
      <c r="AA380" s="211">
        <v>1</v>
      </c>
      <c r="AB380" s="242"/>
      <c r="AC380" s="242"/>
      <c r="AD380" s="242"/>
      <c r="AE380" s="242"/>
      <c r="AF380" s="242"/>
      <c r="AG380" s="242"/>
      <c r="AH380" s="242"/>
      <c r="AI380" s="211">
        <v>1</v>
      </c>
      <c r="AJ380" s="211">
        <v>1</v>
      </c>
      <c r="AK380" s="211"/>
      <c r="AL380" s="242"/>
      <c r="AM380" s="242"/>
      <c r="AN380" s="242"/>
      <c r="AO380" s="242"/>
      <c r="AP380" s="242"/>
      <c r="AQ380" s="242"/>
      <c r="AR380" s="242"/>
      <c r="AS380" s="242"/>
      <c r="AT380" s="211"/>
      <c r="AU380" s="211"/>
      <c r="AV380" s="242">
        <v>1</v>
      </c>
      <c r="AW380" s="240">
        <v>1</v>
      </c>
      <c r="AX380" s="240">
        <v>1</v>
      </c>
      <c r="AY380" s="240">
        <v>1</v>
      </c>
      <c r="AZ380" s="203">
        <v>1</v>
      </c>
      <c r="BA380" s="203">
        <v>1</v>
      </c>
      <c r="BB380" s="203">
        <v>1</v>
      </c>
      <c r="BC380" s="203">
        <v>1</v>
      </c>
    </row>
    <row r="381" spans="1:55" ht="21" hidden="1" customHeight="1">
      <c r="A381" s="212"/>
      <c r="B381" s="237">
        <v>46054</v>
      </c>
      <c r="C381" s="211" t="s">
        <v>384</v>
      </c>
      <c r="D381" s="238" t="s">
        <v>955</v>
      </c>
      <c r="E381" s="203" t="s">
        <v>956</v>
      </c>
      <c r="F381" s="242"/>
      <c r="G381" s="203"/>
      <c r="H381" s="242"/>
      <c r="I381" s="242"/>
      <c r="J381" s="242"/>
      <c r="K381" s="242"/>
      <c r="L381" s="242"/>
      <c r="M381" s="211">
        <v>1</v>
      </c>
      <c r="N381" s="211">
        <v>1</v>
      </c>
      <c r="O381" s="211">
        <v>1</v>
      </c>
      <c r="P381" s="211">
        <v>1</v>
      </c>
      <c r="Q381" s="242"/>
      <c r="R381" s="242"/>
      <c r="S381" s="242"/>
      <c r="T381" s="242"/>
      <c r="U381" s="242"/>
      <c r="V381" s="242"/>
      <c r="W381" s="242"/>
      <c r="X381" s="211"/>
      <c r="Y381" s="211">
        <v>1</v>
      </c>
      <c r="Z381" s="211">
        <v>1</v>
      </c>
      <c r="AA381" s="211">
        <v>1</v>
      </c>
      <c r="AB381" s="242"/>
      <c r="AC381" s="242"/>
      <c r="AD381" s="242"/>
      <c r="AE381" s="242"/>
      <c r="AF381" s="242"/>
      <c r="AG381" s="242"/>
      <c r="AH381" s="242"/>
      <c r="AI381" s="211">
        <v>1</v>
      </c>
      <c r="AJ381" s="211">
        <v>1</v>
      </c>
      <c r="AK381" s="211"/>
      <c r="AL381" s="242"/>
      <c r="AM381" s="242"/>
      <c r="AN381" s="242"/>
      <c r="AO381" s="242"/>
      <c r="AP381" s="242"/>
      <c r="AQ381" s="242"/>
      <c r="AR381" s="242"/>
      <c r="AS381" s="242"/>
      <c r="AT381" s="211">
        <v>1</v>
      </c>
      <c r="AU381" s="211">
        <v>1</v>
      </c>
      <c r="AV381" s="242">
        <v>1</v>
      </c>
      <c r="AW381" s="240">
        <v>1</v>
      </c>
      <c r="AX381" s="240"/>
      <c r="AY381" s="240"/>
      <c r="AZ381" s="203">
        <v>1</v>
      </c>
      <c r="BA381" s="203">
        <v>1</v>
      </c>
      <c r="BB381" s="203">
        <v>1</v>
      </c>
      <c r="BC381" s="203">
        <v>1</v>
      </c>
    </row>
    <row r="382" spans="1:55" ht="21" hidden="1" customHeight="1">
      <c r="A382" s="212"/>
      <c r="B382" s="237">
        <v>46054</v>
      </c>
      <c r="C382" s="211" t="s">
        <v>386</v>
      </c>
      <c r="D382" s="238" t="s">
        <v>957</v>
      </c>
      <c r="E382" s="203" t="s">
        <v>958</v>
      </c>
      <c r="F382" s="242"/>
      <c r="G382" s="203"/>
      <c r="H382" s="242"/>
      <c r="I382" s="242"/>
      <c r="J382" s="242"/>
      <c r="K382" s="242"/>
      <c r="L382" s="242"/>
      <c r="M382" s="211"/>
      <c r="N382" s="211">
        <v>1</v>
      </c>
      <c r="O382" s="211">
        <v>1</v>
      </c>
      <c r="P382" s="211">
        <v>1</v>
      </c>
      <c r="Q382" s="242"/>
      <c r="R382" s="242"/>
      <c r="S382" s="242"/>
      <c r="T382" s="242"/>
      <c r="U382" s="242"/>
      <c r="V382" s="242"/>
      <c r="W382" s="242"/>
      <c r="X382" s="211"/>
      <c r="Y382" s="211">
        <v>1</v>
      </c>
      <c r="Z382" s="211">
        <v>1</v>
      </c>
      <c r="AA382" s="211">
        <v>1</v>
      </c>
      <c r="AB382" s="242"/>
      <c r="AC382" s="242"/>
      <c r="AD382" s="242"/>
      <c r="AE382" s="242"/>
      <c r="AF382" s="242"/>
      <c r="AG382" s="242"/>
      <c r="AH382" s="242"/>
      <c r="AI382" s="211"/>
      <c r="AJ382" s="211">
        <v>1</v>
      </c>
      <c r="AK382" s="211"/>
      <c r="AL382" s="242"/>
      <c r="AM382" s="242"/>
      <c r="AN382" s="242"/>
      <c r="AO382" s="242"/>
      <c r="AP382" s="242"/>
      <c r="AQ382" s="242"/>
      <c r="AR382" s="242"/>
      <c r="AS382" s="242"/>
      <c r="AT382" s="242"/>
      <c r="AU382" s="242"/>
      <c r="AV382" s="242"/>
      <c r="AW382" s="240"/>
      <c r="AX382" s="240">
        <v>1</v>
      </c>
      <c r="AY382" s="240">
        <v>1</v>
      </c>
      <c r="AZ382" s="203">
        <v>1</v>
      </c>
      <c r="BA382" s="203">
        <v>1</v>
      </c>
      <c r="BB382" s="203">
        <v>1</v>
      </c>
      <c r="BC382" s="203">
        <v>1</v>
      </c>
    </row>
    <row r="383" spans="1:55" ht="21" hidden="1" customHeight="1">
      <c r="A383" s="212"/>
      <c r="B383" s="237">
        <v>46054</v>
      </c>
      <c r="C383" s="211" t="s">
        <v>386</v>
      </c>
      <c r="D383" s="238" t="s">
        <v>959</v>
      </c>
      <c r="E383" s="203" t="s">
        <v>960</v>
      </c>
      <c r="F383" s="242"/>
      <c r="G383" s="203"/>
      <c r="H383" s="242"/>
      <c r="I383" s="242"/>
      <c r="J383" s="242"/>
      <c r="K383" s="242"/>
      <c r="L383" s="242"/>
      <c r="M383" s="211"/>
      <c r="N383" s="211"/>
      <c r="O383" s="242"/>
      <c r="P383" s="242"/>
      <c r="Q383" s="242"/>
      <c r="R383" s="242"/>
      <c r="S383" s="242"/>
      <c r="T383" s="242"/>
      <c r="U383" s="242"/>
      <c r="V383" s="242"/>
      <c r="W383" s="242"/>
      <c r="X383" s="211"/>
      <c r="Y383" s="211"/>
      <c r="Z383" s="203"/>
      <c r="AA383" s="203"/>
      <c r="AB383" s="242"/>
      <c r="AC383" s="242"/>
      <c r="AD383" s="242"/>
      <c r="AE383" s="242"/>
      <c r="AF383" s="242"/>
      <c r="AG383" s="242"/>
      <c r="AH383" s="242"/>
      <c r="AI383" s="211"/>
      <c r="AJ383" s="211">
        <v>1</v>
      </c>
      <c r="AK383" s="242"/>
      <c r="AL383" s="242"/>
      <c r="AM383" s="242"/>
      <c r="AN383" s="242"/>
      <c r="AO383" s="242"/>
      <c r="AP383" s="242"/>
      <c r="AQ383" s="242"/>
      <c r="AR383" s="242"/>
      <c r="AS383" s="242"/>
      <c r="AT383" s="242"/>
      <c r="AU383" s="242"/>
      <c r="AV383" s="242"/>
      <c r="AW383" s="240"/>
      <c r="AX383" s="240"/>
      <c r="AY383" s="240">
        <v>1</v>
      </c>
      <c r="AZ383" s="242"/>
      <c r="BA383" s="203"/>
      <c r="BB383" s="203"/>
      <c r="BC383" s="203"/>
    </row>
    <row r="384" spans="1:55" ht="21" hidden="1" customHeight="1">
      <c r="A384" s="212"/>
      <c r="B384" s="237">
        <v>46054</v>
      </c>
      <c r="C384" s="211" t="s">
        <v>386</v>
      </c>
      <c r="D384" s="238" t="s">
        <v>961</v>
      </c>
      <c r="E384" s="203" t="s">
        <v>962</v>
      </c>
      <c r="F384" s="242"/>
      <c r="G384" s="203"/>
      <c r="H384" s="242"/>
      <c r="I384" s="242"/>
      <c r="J384" s="242"/>
      <c r="K384" s="242"/>
      <c r="L384" s="242"/>
      <c r="M384" s="211"/>
      <c r="N384" s="211"/>
      <c r="O384" s="242"/>
      <c r="P384" s="242"/>
      <c r="Q384" s="242"/>
      <c r="R384" s="242"/>
      <c r="S384" s="242"/>
      <c r="T384" s="242"/>
      <c r="U384" s="242"/>
      <c r="V384" s="242"/>
      <c r="W384" s="242"/>
      <c r="X384" s="211"/>
      <c r="Y384" s="211"/>
      <c r="Z384" s="203"/>
      <c r="AA384" s="203"/>
      <c r="AB384" s="242"/>
      <c r="AC384" s="242"/>
      <c r="AD384" s="242"/>
      <c r="AE384" s="242"/>
      <c r="AF384" s="242"/>
      <c r="AG384" s="242"/>
      <c r="AH384" s="242"/>
      <c r="AI384" s="211"/>
      <c r="AJ384" s="211"/>
      <c r="AK384" s="242"/>
      <c r="AL384" s="242"/>
      <c r="AM384" s="242"/>
      <c r="AN384" s="242"/>
      <c r="AO384" s="242"/>
      <c r="AP384" s="242"/>
      <c r="AQ384" s="242"/>
      <c r="AR384" s="242"/>
      <c r="AS384" s="242"/>
      <c r="AT384" s="242"/>
      <c r="AU384" s="242"/>
      <c r="AV384" s="242"/>
      <c r="AW384" s="240"/>
      <c r="AX384" s="240"/>
      <c r="AY384" s="240"/>
      <c r="AZ384" s="242"/>
      <c r="BA384" s="203"/>
      <c r="BB384" s="203"/>
      <c r="BC384" s="203"/>
    </row>
    <row r="385" spans="1:55" ht="21" hidden="1" customHeight="1">
      <c r="A385" s="212"/>
      <c r="B385" s="237">
        <v>46054</v>
      </c>
      <c r="C385" s="211" t="s">
        <v>386</v>
      </c>
      <c r="D385" s="238" t="s">
        <v>963</v>
      </c>
      <c r="E385" s="203" t="s">
        <v>964</v>
      </c>
      <c r="F385" s="242"/>
      <c r="G385" s="203"/>
      <c r="H385" s="242"/>
      <c r="I385" s="242"/>
      <c r="J385" s="242"/>
      <c r="K385" s="242"/>
      <c r="L385" s="242"/>
      <c r="M385" s="211"/>
      <c r="N385" s="211"/>
      <c r="O385" s="242"/>
      <c r="P385" s="211">
        <v>1</v>
      </c>
      <c r="Q385" s="242"/>
      <c r="R385" s="242"/>
      <c r="S385" s="242"/>
      <c r="T385" s="242"/>
      <c r="U385" s="242"/>
      <c r="V385" s="242"/>
      <c r="W385" s="242"/>
      <c r="X385" s="211"/>
      <c r="Y385" s="211"/>
      <c r="Z385" s="203"/>
      <c r="AA385" s="203"/>
      <c r="AB385" s="242"/>
      <c r="AC385" s="242"/>
      <c r="AD385" s="242"/>
      <c r="AE385" s="242"/>
      <c r="AF385" s="242"/>
      <c r="AG385" s="242"/>
      <c r="AH385" s="242"/>
      <c r="AI385" s="211">
        <v>1</v>
      </c>
      <c r="AJ385" s="211"/>
      <c r="AK385" s="242"/>
      <c r="AL385" s="242"/>
      <c r="AM385" s="242"/>
      <c r="AN385" s="242"/>
      <c r="AO385" s="242"/>
      <c r="AP385" s="242"/>
      <c r="AQ385" s="242"/>
      <c r="AR385" s="242"/>
      <c r="AS385" s="242"/>
      <c r="AT385" s="242"/>
      <c r="AU385" s="242"/>
      <c r="AV385" s="242"/>
      <c r="AW385" s="240"/>
      <c r="AX385" s="240"/>
      <c r="AY385" s="240"/>
      <c r="AZ385" s="242"/>
      <c r="BA385" s="203"/>
      <c r="BB385" s="203"/>
      <c r="BC385" s="203"/>
    </row>
    <row r="386" spans="1:55" ht="21" hidden="1" customHeight="1">
      <c r="A386" s="212"/>
      <c r="B386" s="237">
        <v>46054</v>
      </c>
      <c r="C386" s="211" t="s">
        <v>386</v>
      </c>
      <c r="D386" s="238" t="s">
        <v>965</v>
      </c>
      <c r="E386" s="203" t="s">
        <v>966</v>
      </c>
      <c r="F386" s="242"/>
      <c r="G386" s="203"/>
      <c r="H386" s="242"/>
      <c r="I386" s="242"/>
      <c r="J386" s="242"/>
      <c r="K386" s="242"/>
      <c r="L386" s="242"/>
      <c r="M386" s="211"/>
      <c r="N386" s="211"/>
      <c r="O386" s="242"/>
      <c r="P386" s="242"/>
      <c r="Q386" s="242"/>
      <c r="R386" s="242"/>
      <c r="S386" s="242"/>
      <c r="T386" s="242"/>
      <c r="U386" s="242"/>
      <c r="V386" s="242"/>
      <c r="W386" s="242"/>
      <c r="X386" s="211"/>
      <c r="Y386" s="211"/>
      <c r="Z386" s="203"/>
      <c r="AA386" s="203"/>
      <c r="AB386" s="242"/>
      <c r="AC386" s="242"/>
      <c r="AD386" s="242"/>
      <c r="AE386" s="242"/>
      <c r="AF386" s="242"/>
      <c r="AG386" s="242"/>
      <c r="AH386" s="242"/>
      <c r="AI386" s="211"/>
      <c r="AJ386" s="211"/>
      <c r="AK386" s="242"/>
      <c r="AL386" s="242"/>
      <c r="AM386" s="242"/>
      <c r="AN386" s="242"/>
      <c r="AO386" s="242"/>
      <c r="AP386" s="242"/>
      <c r="AQ386" s="242"/>
      <c r="AR386" s="242"/>
      <c r="AS386" s="242"/>
      <c r="AT386" s="242"/>
      <c r="AU386" s="242"/>
      <c r="AV386" s="242"/>
      <c r="AW386" s="240"/>
      <c r="AX386" s="240">
        <v>1</v>
      </c>
      <c r="AY386" s="240"/>
      <c r="AZ386" s="242"/>
      <c r="BA386" s="203"/>
      <c r="BB386" s="203"/>
      <c r="BC386" s="203"/>
    </row>
    <row r="387" spans="1:55" ht="21" hidden="1" customHeight="1">
      <c r="A387" s="212"/>
      <c r="B387" s="237">
        <v>46054</v>
      </c>
      <c r="C387" s="211" t="s">
        <v>386</v>
      </c>
      <c r="D387" s="238" t="s">
        <v>967</v>
      </c>
      <c r="E387" s="203" t="s">
        <v>968</v>
      </c>
      <c r="F387" s="242"/>
      <c r="G387" s="203"/>
      <c r="H387" s="242"/>
      <c r="I387" s="242"/>
      <c r="J387" s="242"/>
      <c r="K387" s="242"/>
      <c r="L387" s="242"/>
      <c r="M387" s="211"/>
      <c r="N387" s="211"/>
      <c r="O387" s="242"/>
      <c r="P387" s="242"/>
      <c r="Q387" s="242"/>
      <c r="R387" s="242"/>
      <c r="S387" s="242"/>
      <c r="T387" s="242"/>
      <c r="U387" s="242"/>
      <c r="V387" s="242"/>
      <c r="W387" s="242"/>
      <c r="X387" s="211"/>
      <c r="Y387" s="211"/>
      <c r="Z387" s="203"/>
      <c r="AA387" s="203"/>
      <c r="AB387" s="242"/>
      <c r="AC387" s="242"/>
      <c r="AD387" s="242"/>
      <c r="AE387" s="242"/>
      <c r="AF387" s="242"/>
      <c r="AG387" s="242"/>
      <c r="AH387" s="242"/>
      <c r="AI387" s="211"/>
      <c r="AJ387" s="211">
        <v>1</v>
      </c>
      <c r="AK387" s="242"/>
      <c r="AL387" s="242"/>
      <c r="AM387" s="242"/>
      <c r="AN387" s="242"/>
      <c r="AO387" s="242"/>
      <c r="AP387" s="242"/>
      <c r="AQ387" s="242"/>
      <c r="AR387" s="242"/>
      <c r="AS387" s="242"/>
      <c r="AT387" s="242"/>
      <c r="AU387" s="242"/>
      <c r="AV387" s="242"/>
      <c r="AW387" s="240"/>
      <c r="AX387" s="240"/>
      <c r="AY387" s="240"/>
      <c r="AZ387" s="242"/>
      <c r="BA387" s="203"/>
      <c r="BB387" s="203"/>
      <c r="BC387" s="203"/>
    </row>
    <row r="388" spans="1:55" ht="21" hidden="1" customHeight="1">
      <c r="A388" s="212"/>
      <c r="B388" s="237">
        <v>46054</v>
      </c>
      <c r="C388" s="211" t="s">
        <v>386</v>
      </c>
      <c r="D388" s="238" t="s">
        <v>969</v>
      </c>
      <c r="E388" s="203" t="s">
        <v>970</v>
      </c>
      <c r="F388" s="242"/>
      <c r="G388" s="203"/>
      <c r="H388" s="242"/>
      <c r="I388" s="242"/>
      <c r="J388" s="242"/>
      <c r="K388" s="242"/>
      <c r="L388" s="242"/>
      <c r="M388" s="211"/>
      <c r="N388" s="211"/>
      <c r="O388" s="242"/>
      <c r="P388" s="242"/>
      <c r="Q388" s="242"/>
      <c r="R388" s="242"/>
      <c r="S388" s="242"/>
      <c r="T388" s="242"/>
      <c r="U388" s="242"/>
      <c r="V388" s="242"/>
      <c r="W388" s="242"/>
      <c r="X388" s="211"/>
      <c r="Y388" s="211"/>
      <c r="Z388" s="203"/>
      <c r="AA388" s="203"/>
      <c r="AB388" s="242"/>
      <c r="AC388" s="242"/>
      <c r="AD388" s="242"/>
      <c r="AE388" s="242"/>
      <c r="AF388" s="242"/>
      <c r="AG388" s="242"/>
      <c r="AH388" s="242"/>
      <c r="AI388" s="211"/>
      <c r="AJ388" s="211"/>
      <c r="AK388" s="242"/>
      <c r="AL388" s="242"/>
      <c r="AM388" s="242"/>
      <c r="AN388" s="242"/>
      <c r="AO388" s="242"/>
      <c r="AP388" s="242"/>
      <c r="AQ388" s="242"/>
      <c r="AR388" s="242"/>
      <c r="AS388" s="242"/>
      <c r="AT388" s="242"/>
      <c r="AU388" s="242"/>
      <c r="AV388" s="242"/>
      <c r="AW388" s="240"/>
      <c r="AX388" s="240"/>
      <c r="AY388" s="240"/>
      <c r="AZ388" s="242"/>
      <c r="BA388" s="203"/>
      <c r="BB388" s="203"/>
      <c r="BC388" s="203"/>
    </row>
    <row r="389" spans="1:55" ht="21" hidden="1" customHeight="1">
      <c r="A389" s="212"/>
      <c r="B389" s="237">
        <v>46054</v>
      </c>
      <c r="C389" s="211" t="s">
        <v>386</v>
      </c>
      <c r="D389" s="238" t="s">
        <v>971</v>
      </c>
      <c r="E389" s="203" t="s">
        <v>972</v>
      </c>
      <c r="F389" s="242"/>
      <c r="G389" s="203"/>
      <c r="H389" s="242"/>
      <c r="I389" s="242"/>
      <c r="J389" s="242"/>
      <c r="K389" s="242"/>
      <c r="L389" s="242"/>
      <c r="M389" s="211">
        <v>1</v>
      </c>
      <c r="N389" s="211"/>
      <c r="O389" s="242"/>
      <c r="P389" s="242"/>
      <c r="Q389" s="242"/>
      <c r="R389" s="242"/>
      <c r="S389" s="242"/>
      <c r="T389" s="242"/>
      <c r="U389" s="242"/>
      <c r="V389" s="242"/>
      <c r="W389" s="242"/>
      <c r="X389" s="211"/>
      <c r="Y389" s="211"/>
      <c r="Z389" s="203"/>
      <c r="AA389" s="203"/>
      <c r="AB389" s="242"/>
      <c r="AC389" s="242"/>
      <c r="AD389" s="242"/>
      <c r="AE389" s="242"/>
      <c r="AF389" s="242"/>
      <c r="AG389" s="242"/>
      <c r="AH389" s="242"/>
      <c r="AI389" s="211"/>
      <c r="AJ389" s="211"/>
      <c r="AK389" s="242"/>
      <c r="AL389" s="242"/>
      <c r="AM389" s="242"/>
      <c r="AN389" s="242"/>
      <c r="AO389" s="242"/>
      <c r="AP389" s="242"/>
      <c r="AQ389" s="242"/>
      <c r="AR389" s="242"/>
      <c r="AS389" s="242"/>
      <c r="AT389" s="242"/>
      <c r="AU389" s="242"/>
      <c r="AV389" s="242"/>
      <c r="AW389" s="240"/>
      <c r="AX389" s="240"/>
      <c r="AY389" s="240">
        <v>1</v>
      </c>
      <c r="AZ389" s="242"/>
      <c r="BA389" s="203"/>
      <c r="BB389" s="203"/>
      <c r="BC389" s="203"/>
    </row>
    <row r="390" spans="1:55" ht="21" hidden="1" customHeight="1">
      <c r="A390" s="212"/>
      <c r="B390" s="237">
        <v>46054</v>
      </c>
      <c r="C390" s="211" t="s">
        <v>386</v>
      </c>
      <c r="D390" s="238" t="s">
        <v>973</v>
      </c>
      <c r="E390" s="203" t="s">
        <v>974</v>
      </c>
      <c r="F390" s="242"/>
      <c r="G390" s="203"/>
      <c r="H390" s="242"/>
      <c r="I390" s="242"/>
      <c r="J390" s="242"/>
      <c r="K390" s="242"/>
      <c r="L390" s="242"/>
      <c r="M390" s="211"/>
      <c r="N390" s="211"/>
      <c r="O390" s="242"/>
      <c r="P390" s="242"/>
      <c r="Q390" s="242"/>
      <c r="R390" s="242"/>
      <c r="S390" s="242"/>
      <c r="T390" s="242"/>
      <c r="U390" s="242"/>
      <c r="V390" s="242"/>
      <c r="W390" s="242"/>
      <c r="X390" s="211"/>
      <c r="Y390" s="211"/>
      <c r="Z390" s="203"/>
      <c r="AA390" s="203"/>
      <c r="AB390" s="242"/>
      <c r="AC390" s="242"/>
      <c r="AD390" s="242"/>
      <c r="AE390" s="242"/>
      <c r="AF390" s="242"/>
      <c r="AG390" s="242"/>
      <c r="AH390" s="242"/>
      <c r="AI390" s="211"/>
      <c r="AJ390" s="211"/>
      <c r="AK390" s="242"/>
      <c r="AL390" s="242"/>
      <c r="AM390" s="242"/>
      <c r="AN390" s="242"/>
      <c r="AO390" s="242"/>
      <c r="AP390" s="242"/>
      <c r="AQ390" s="242"/>
      <c r="AR390" s="242"/>
      <c r="AS390" s="242"/>
      <c r="AT390" s="242"/>
      <c r="AU390" s="242"/>
      <c r="AV390" s="242"/>
      <c r="AW390" s="240"/>
      <c r="AX390" s="240"/>
      <c r="AY390" s="240"/>
      <c r="AZ390" s="242"/>
      <c r="BA390" s="203"/>
      <c r="BB390" s="203"/>
      <c r="BC390" s="203"/>
    </row>
    <row r="391" spans="1:55" ht="21" hidden="1" customHeight="1">
      <c r="A391" s="212"/>
      <c r="B391" s="237">
        <v>46054</v>
      </c>
      <c r="C391" s="211" t="s">
        <v>386</v>
      </c>
      <c r="D391" s="238" t="s">
        <v>975</v>
      </c>
      <c r="E391" s="203" t="s">
        <v>976</v>
      </c>
      <c r="F391" s="242"/>
      <c r="G391" s="203"/>
      <c r="H391" s="242"/>
      <c r="I391" s="242"/>
      <c r="J391" s="242"/>
      <c r="K391" s="242"/>
      <c r="L391" s="242"/>
      <c r="M391" s="211"/>
      <c r="N391" s="211"/>
      <c r="O391" s="242"/>
      <c r="P391" s="242">
        <v>1</v>
      </c>
      <c r="Q391" s="242"/>
      <c r="R391" s="242"/>
      <c r="S391" s="242"/>
      <c r="T391" s="242"/>
      <c r="U391" s="242"/>
      <c r="V391" s="242"/>
      <c r="W391" s="242"/>
      <c r="X391" s="211"/>
      <c r="Y391" s="211"/>
      <c r="Z391" s="203"/>
      <c r="AA391" s="211">
        <v>1</v>
      </c>
      <c r="AB391" s="242"/>
      <c r="AC391" s="242"/>
      <c r="AD391" s="242"/>
      <c r="AE391" s="242"/>
      <c r="AF391" s="242"/>
      <c r="AG391" s="242"/>
      <c r="AH391" s="242"/>
      <c r="AI391" s="211"/>
      <c r="AJ391" s="211"/>
      <c r="AK391" s="242"/>
      <c r="AL391" s="242"/>
      <c r="AM391" s="242"/>
      <c r="AN391" s="242"/>
      <c r="AO391" s="242"/>
      <c r="AP391" s="242"/>
      <c r="AQ391" s="242"/>
      <c r="AR391" s="242"/>
      <c r="AS391" s="242"/>
      <c r="AT391" s="242"/>
      <c r="AU391" s="242"/>
      <c r="AV391" s="242"/>
      <c r="AW391" s="240"/>
      <c r="AX391" s="240"/>
      <c r="AY391" s="240"/>
      <c r="AZ391" s="242"/>
      <c r="BA391" s="203"/>
      <c r="BB391" s="203"/>
      <c r="BC391" s="203"/>
    </row>
    <row r="392" spans="1:55" ht="21" hidden="1" customHeight="1">
      <c r="A392" s="212"/>
      <c r="B392" s="237">
        <v>46054</v>
      </c>
      <c r="C392" s="211" t="s">
        <v>386</v>
      </c>
      <c r="D392" s="238" t="s">
        <v>977</v>
      </c>
      <c r="E392" s="203" t="s">
        <v>978</v>
      </c>
      <c r="F392" s="242"/>
      <c r="G392" s="203"/>
      <c r="H392" s="242"/>
      <c r="I392" s="242"/>
      <c r="J392" s="242"/>
      <c r="K392" s="242"/>
      <c r="L392" s="242"/>
      <c r="M392" s="211"/>
      <c r="N392" s="211"/>
      <c r="O392" s="242"/>
      <c r="P392" s="242"/>
      <c r="Q392" s="242"/>
      <c r="R392" s="242"/>
      <c r="S392" s="242"/>
      <c r="T392" s="242"/>
      <c r="U392" s="242"/>
      <c r="V392" s="242"/>
      <c r="W392" s="242"/>
      <c r="X392" s="211">
        <v>1</v>
      </c>
      <c r="Y392" s="211"/>
      <c r="Z392" s="203"/>
      <c r="AA392" s="203"/>
      <c r="AB392" s="242"/>
      <c r="AC392" s="242"/>
      <c r="AD392" s="242"/>
      <c r="AE392" s="242"/>
      <c r="AF392" s="242"/>
      <c r="AG392" s="242"/>
      <c r="AH392" s="242"/>
      <c r="AI392" s="211"/>
      <c r="AJ392" s="211"/>
      <c r="AK392" s="242"/>
      <c r="AL392" s="242"/>
      <c r="AM392" s="242"/>
      <c r="AN392" s="242"/>
      <c r="AO392" s="242"/>
      <c r="AP392" s="242"/>
      <c r="AQ392" s="242"/>
      <c r="AR392" s="242"/>
      <c r="AS392" s="242"/>
      <c r="AT392" s="242"/>
      <c r="AU392" s="242"/>
      <c r="AV392" s="242"/>
      <c r="AW392" s="240"/>
      <c r="AX392" s="240"/>
      <c r="AY392" s="240"/>
      <c r="AZ392" s="242"/>
      <c r="BA392" s="203"/>
      <c r="BB392" s="203"/>
      <c r="BC392" s="203"/>
    </row>
    <row r="393" spans="1:55" ht="21" hidden="1" customHeight="1">
      <c r="A393" s="212"/>
      <c r="B393" s="237">
        <v>46054</v>
      </c>
      <c r="C393" s="211" t="s">
        <v>386</v>
      </c>
      <c r="D393" s="238" t="s">
        <v>979</v>
      </c>
      <c r="E393" s="203" t="s">
        <v>980</v>
      </c>
      <c r="F393" s="242"/>
      <c r="G393" s="203"/>
      <c r="H393" s="242"/>
      <c r="I393" s="242"/>
      <c r="J393" s="242"/>
      <c r="K393" s="242"/>
      <c r="L393" s="242"/>
      <c r="M393" s="211"/>
      <c r="N393" s="211"/>
      <c r="O393" s="242"/>
      <c r="P393" s="242"/>
      <c r="Q393" s="242"/>
      <c r="R393" s="242"/>
      <c r="S393" s="242"/>
      <c r="T393" s="242"/>
      <c r="U393" s="242"/>
      <c r="V393" s="242"/>
      <c r="W393" s="242"/>
      <c r="X393" s="211"/>
      <c r="Y393" s="211"/>
      <c r="Z393" s="203"/>
      <c r="AA393" s="203"/>
      <c r="AB393" s="242"/>
      <c r="AC393" s="242"/>
      <c r="AD393" s="242"/>
      <c r="AE393" s="242"/>
      <c r="AF393" s="242"/>
      <c r="AG393" s="242"/>
      <c r="AH393" s="242"/>
      <c r="AI393" s="211"/>
      <c r="AJ393" s="211"/>
      <c r="AK393" s="242"/>
      <c r="AL393" s="242"/>
      <c r="AM393" s="242"/>
      <c r="AN393" s="242"/>
      <c r="AO393" s="242"/>
      <c r="AP393" s="242"/>
      <c r="AQ393" s="242"/>
      <c r="AR393" s="242"/>
      <c r="AS393" s="242"/>
      <c r="AT393" s="242"/>
      <c r="AU393" s="242"/>
      <c r="AV393" s="242"/>
      <c r="AW393" s="240"/>
      <c r="AX393" s="240"/>
      <c r="AY393" s="240">
        <v>1</v>
      </c>
      <c r="AZ393" s="242"/>
      <c r="BA393" s="203"/>
      <c r="BB393" s="203"/>
      <c r="BC393" s="203"/>
    </row>
    <row r="394" spans="1:55" ht="21" hidden="1" customHeight="1">
      <c r="A394" s="212"/>
      <c r="B394" s="237">
        <v>46054</v>
      </c>
      <c r="C394" s="211" t="s">
        <v>386</v>
      </c>
      <c r="D394" s="238" t="s">
        <v>981</v>
      </c>
      <c r="E394" s="203" t="s">
        <v>982</v>
      </c>
      <c r="F394" s="242"/>
      <c r="G394" s="203"/>
      <c r="H394" s="242"/>
      <c r="I394" s="242"/>
      <c r="J394" s="242"/>
      <c r="K394" s="242"/>
      <c r="L394" s="242"/>
      <c r="M394" s="211">
        <v>1</v>
      </c>
      <c r="N394" s="211"/>
      <c r="O394" s="242"/>
      <c r="P394" s="242"/>
      <c r="Q394" s="242"/>
      <c r="R394" s="242"/>
      <c r="S394" s="242"/>
      <c r="T394" s="242"/>
      <c r="U394" s="242"/>
      <c r="V394" s="242"/>
      <c r="W394" s="242"/>
      <c r="X394" s="211"/>
      <c r="Y394" s="211"/>
      <c r="Z394" s="203"/>
      <c r="AA394" s="203"/>
      <c r="AB394" s="242"/>
      <c r="AC394" s="242"/>
      <c r="AD394" s="242"/>
      <c r="AE394" s="242"/>
      <c r="AF394" s="242"/>
      <c r="AG394" s="242"/>
      <c r="AH394" s="242"/>
      <c r="AI394" s="211">
        <v>1</v>
      </c>
      <c r="AJ394" s="211"/>
      <c r="AK394" s="242"/>
      <c r="AL394" s="242"/>
      <c r="AM394" s="242"/>
      <c r="AN394" s="242"/>
      <c r="AO394" s="242"/>
      <c r="AP394" s="242"/>
      <c r="AQ394" s="242"/>
      <c r="AR394" s="242"/>
      <c r="AS394" s="242"/>
      <c r="AT394" s="242"/>
      <c r="AU394" s="242"/>
      <c r="AV394" s="242"/>
      <c r="AW394" s="240"/>
      <c r="AX394" s="240"/>
      <c r="AY394" s="240"/>
      <c r="AZ394" s="242"/>
      <c r="BA394" s="203"/>
      <c r="BB394" s="203"/>
      <c r="BC394" s="203"/>
    </row>
    <row r="395" spans="1:55" ht="21" hidden="1" customHeight="1">
      <c r="A395" s="212"/>
      <c r="B395" s="237">
        <v>46054</v>
      </c>
      <c r="C395" s="211" t="s">
        <v>386</v>
      </c>
      <c r="D395" s="238" t="s">
        <v>983</v>
      </c>
      <c r="E395" s="203" t="s">
        <v>984</v>
      </c>
      <c r="F395" s="242"/>
      <c r="G395" s="203"/>
      <c r="H395" s="242"/>
      <c r="I395" s="242"/>
      <c r="J395" s="242"/>
      <c r="K395" s="242"/>
      <c r="L395" s="242"/>
      <c r="M395" s="211"/>
      <c r="N395" s="211"/>
      <c r="O395" s="242"/>
      <c r="P395" s="242"/>
      <c r="Q395" s="242"/>
      <c r="R395" s="242"/>
      <c r="S395" s="242"/>
      <c r="T395" s="242"/>
      <c r="U395" s="242"/>
      <c r="V395" s="242"/>
      <c r="W395" s="242"/>
      <c r="X395" s="211"/>
      <c r="Y395" s="211">
        <v>1</v>
      </c>
      <c r="Z395" s="203"/>
      <c r="AA395" s="203"/>
      <c r="AB395" s="242"/>
      <c r="AC395" s="242"/>
      <c r="AD395" s="242"/>
      <c r="AE395" s="242"/>
      <c r="AF395" s="242"/>
      <c r="AG395" s="242"/>
      <c r="AH395" s="242"/>
      <c r="AI395" s="211"/>
      <c r="AJ395" s="211"/>
      <c r="AK395" s="242"/>
      <c r="AL395" s="242"/>
      <c r="AM395" s="242"/>
      <c r="AN395" s="242"/>
      <c r="AO395" s="242"/>
      <c r="AP395" s="242"/>
      <c r="AQ395" s="242"/>
      <c r="AR395" s="242"/>
      <c r="AS395" s="242"/>
      <c r="AT395" s="242"/>
      <c r="AU395" s="242"/>
      <c r="AV395" s="240">
        <v>1</v>
      </c>
      <c r="AW395" s="240">
        <v>1</v>
      </c>
      <c r="AX395" s="240"/>
      <c r="AY395" s="240"/>
      <c r="AZ395" s="242"/>
      <c r="BA395" s="203"/>
      <c r="BB395" s="203">
        <v>1</v>
      </c>
      <c r="BC395" s="203">
        <v>1</v>
      </c>
    </row>
    <row r="396" spans="1:55" ht="21" hidden="1" customHeight="1">
      <c r="A396" s="212"/>
      <c r="B396" s="237">
        <v>46054</v>
      </c>
      <c r="C396" s="211" t="s">
        <v>386</v>
      </c>
      <c r="D396" s="238" t="s">
        <v>985</v>
      </c>
      <c r="E396" s="203" t="s">
        <v>986</v>
      </c>
      <c r="F396" s="242"/>
      <c r="G396" s="203"/>
      <c r="H396" s="242"/>
      <c r="I396" s="242"/>
      <c r="J396" s="242"/>
      <c r="K396" s="242"/>
      <c r="L396" s="242"/>
      <c r="M396" s="211">
        <v>1</v>
      </c>
      <c r="N396" s="211">
        <v>1</v>
      </c>
      <c r="O396" s="242"/>
      <c r="P396" s="242"/>
      <c r="Q396" s="242"/>
      <c r="R396" s="242"/>
      <c r="S396" s="242"/>
      <c r="T396" s="242"/>
      <c r="U396" s="242"/>
      <c r="V396" s="242"/>
      <c r="W396" s="242"/>
      <c r="X396" s="211"/>
      <c r="Y396" s="211"/>
      <c r="Z396" s="203"/>
      <c r="AA396" s="203"/>
      <c r="AB396" s="242"/>
      <c r="AC396" s="242"/>
      <c r="AD396" s="242"/>
      <c r="AE396" s="242"/>
      <c r="AF396" s="242"/>
      <c r="AG396" s="242"/>
      <c r="AH396" s="242"/>
      <c r="AI396" s="211"/>
      <c r="AJ396" s="211">
        <v>1</v>
      </c>
      <c r="AK396" s="242"/>
      <c r="AL396" s="242"/>
      <c r="AM396" s="242"/>
      <c r="AN396" s="242"/>
      <c r="AO396" s="242"/>
      <c r="AP396" s="242"/>
      <c r="AQ396" s="242"/>
      <c r="AR396" s="242"/>
      <c r="AS396" s="242"/>
      <c r="AT396" s="242"/>
      <c r="AU396" s="242"/>
      <c r="AV396" s="240">
        <v>1</v>
      </c>
      <c r="AW396" s="240">
        <v>1</v>
      </c>
      <c r="AX396" s="240"/>
      <c r="AY396" s="240"/>
      <c r="AZ396" s="242"/>
      <c r="BA396" s="203"/>
      <c r="BB396" s="203"/>
      <c r="BC396" s="203"/>
    </row>
    <row r="397" spans="1:55" ht="21" hidden="1" customHeight="1">
      <c r="A397" s="212"/>
      <c r="B397" s="237">
        <v>46054</v>
      </c>
      <c r="C397" s="211" t="s">
        <v>386</v>
      </c>
      <c r="D397" s="238" t="s">
        <v>987</v>
      </c>
      <c r="E397" s="203" t="s">
        <v>988</v>
      </c>
      <c r="F397" s="242"/>
      <c r="G397" s="203"/>
      <c r="H397" s="242"/>
      <c r="I397" s="242"/>
      <c r="J397" s="242"/>
      <c r="K397" s="242"/>
      <c r="L397" s="242"/>
      <c r="M397" s="211"/>
      <c r="N397" s="211"/>
      <c r="O397" s="242"/>
      <c r="P397" s="242"/>
      <c r="Q397" s="242"/>
      <c r="R397" s="242"/>
      <c r="S397" s="242"/>
      <c r="T397" s="242"/>
      <c r="U397" s="242"/>
      <c r="V397" s="242"/>
      <c r="W397" s="242"/>
      <c r="X397" s="211"/>
      <c r="Y397" s="211"/>
      <c r="Z397" s="203"/>
      <c r="AA397" s="203"/>
      <c r="AB397" s="242"/>
      <c r="AC397" s="242"/>
      <c r="AD397" s="242"/>
      <c r="AE397" s="242"/>
      <c r="AF397" s="242"/>
      <c r="AG397" s="242"/>
      <c r="AH397" s="242"/>
      <c r="AI397" s="211"/>
      <c r="AJ397" s="211">
        <v>1</v>
      </c>
      <c r="AK397" s="242"/>
      <c r="AL397" s="242"/>
      <c r="AM397" s="242"/>
      <c r="AN397" s="242"/>
      <c r="AO397" s="242"/>
      <c r="AP397" s="242"/>
      <c r="AQ397" s="242"/>
      <c r="AR397" s="242"/>
      <c r="AS397" s="242"/>
      <c r="AT397" s="242"/>
      <c r="AU397" s="242"/>
      <c r="AV397" s="242"/>
      <c r="AW397" s="240"/>
      <c r="AX397" s="240"/>
      <c r="AY397" s="240"/>
      <c r="AZ397" s="242"/>
      <c r="BA397" s="203"/>
      <c r="BB397" s="203"/>
      <c r="BC397" s="203"/>
    </row>
    <row r="398" spans="1:55" ht="21" hidden="1" customHeight="1">
      <c r="A398" s="212"/>
      <c r="B398" s="237">
        <v>46054</v>
      </c>
      <c r="C398" s="211" t="s">
        <v>386</v>
      </c>
      <c r="D398" s="238" t="s">
        <v>989</v>
      </c>
      <c r="E398" s="203" t="s">
        <v>990</v>
      </c>
      <c r="F398" s="242"/>
      <c r="G398" s="203"/>
      <c r="H398" s="242"/>
      <c r="I398" s="242"/>
      <c r="J398" s="242"/>
      <c r="K398" s="242"/>
      <c r="L398" s="242"/>
      <c r="M398" s="211">
        <v>1</v>
      </c>
      <c r="N398" s="211">
        <v>1</v>
      </c>
      <c r="O398" s="242"/>
      <c r="P398" s="242"/>
      <c r="Q398" s="242"/>
      <c r="R398" s="242"/>
      <c r="S398" s="242"/>
      <c r="T398" s="242"/>
      <c r="U398" s="242"/>
      <c r="V398" s="242"/>
      <c r="W398" s="242"/>
      <c r="X398" s="211"/>
      <c r="Y398" s="211"/>
      <c r="Z398" s="203"/>
      <c r="AA398" s="211">
        <v>1</v>
      </c>
      <c r="AB398" s="242"/>
      <c r="AC398" s="242"/>
      <c r="AD398" s="242"/>
      <c r="AE398" s="242"/>
      <c r="AF398" s="242"/>
      <c r="AG398" s="242"/>
      <c r="AH398" s="242"/>
      <c r="AI398" s="211">
        <v>1</v>
      </c>
      <c r="AJ398" s="211"/>
      <c r="AK398" s="242"/>
      <c r="AL398" s="242"/>
      <c r="AM398" s="242"/>
      <c r="AN398" s="242"/>
      <c r="AO398" s="242"/>
      <c r="AP398" s="242"/>
      <c r="AQ398" s="242"/>
      <c r="AR398" s="242"/>
      <c r="AS398" s="242"/>
      <c r="AT398" s="242"/>
      <c r="AU398" s="242"/>
      <c r="AV398" s="242"/>
      <c r="AW398" s="240"/>
      <c r="AX398" s="240">
        <v>1</v>
      </c>
      <c r="AY398" s="240"/>
      <c r="AZ398" s="242"/>
      <c r="BA398" s="203"/>
      <c r="BB398" s="203"/>
      <c r="BC398" s="203"/>
    </row>
    <row r="399" spans="1:55" ht="21" hidden="1" customHeight="1">
      <c r="A399" s="212"/>
      <c r="B399" s="237">
        <v>46054</v>
      </c>
      <c r="C399" s="211" t="s">
        <v>386</v>
      </c>
      <c r="D399" s="238" t="s">
        <v>991</v>
      </c>
      <c r="E399" s="203" t="s">
        <v>992</v>
      </c>
      <c r="F399" s="242"/>
      <c r="G399" s="203"/>
      <c r="H399" s="242"/>
      <c r="I399" s="242"/>
      <c r="J399" s="242"/>
      <c r="K399" s="242"/>
      <c r="L399" s="242"/>
      <c r="M399" s="211"/>
      <c r="N399" s="211"/>
      <c r="O399" s="242"/>
      <c r="P399" s="242"/>
      <c r="Q399" s="242"/>
      <c r="R399" s="242"/>
      <c r="S399" s="242"/>
      <c r="T399" s="242"/>
      <c r="U399" s="242"/>
      <c r="V399" s="242"/>
      <c r="W399" s="242"/>
      <c r="X399" s="211"/>
      <c r="Y399" s="211"/>
      <c r="Z399" s="211">
        <v>1</v>
      </c>
      <c r="AA399" s="203"/>
      <c r="AB399" s="242"/>
      <c r="AC399" s="242"/>
      <c r="AD399" s="242"/>
      <c r="AE399" s="242"/>
      <c r="AF399" s="242"/>
      <c r="AG399" s="242"/>
      <c r="AH399" s="242"/>
      <c r="AI399" s="211">
        <v>1</v>
      </c>
      <c r="AJ399" s="211"/>
      <c r="AK399" s="211"/>
      <c r="AL399" s="242"/>
      <c r="AM399" s="242"/>
      <c r="AN399" s="242"/>
      <c r="AO399" s="242"/>
      <c r="AP399" s="242"/>
      <c r="AQ399" s="242"/>
      <c r="AR399" s="242"/>
      <c r="AS399" s="242"/>
      <c r="AT399" s="242"/>
      <c r="AU399" s="242"/>
      <c r="AV399" s="242"/>
      <c r="AW399" s="240"/>
      <c r="AX399" s="240"/>
      <c r="AY399" s="240"/>
      <c r="AZ399" s="242"/>
      <c r="BA399" s="203"/>
      <c r="BB399" s="203"/>
      <c r="BC399" s="203"/>
    </row>
    <row r="400" spans="1:55" ht="21" hidden="1" customHeight="1">
      <c r="A400" s="212"/>
      <c r="B400" s="237">
        <v>46054</v>
      </c>
      <c r="C400" s="211" t="s">
        <v>386</v>
      </c>
      <c r="D400" s="238" t="s">
        <v>993</v>
      </c>
      <c r="E400" s="203" t="s">
        <v>994</v>
      </c>
      <c r="F400" s="242"/>
      <c r="G400" s="203"/>
      <c r="H400" s="242"/>
      <c r="I400" s="242"/>
      <c r="J400" s="242"/>
      <c r="K400" s="242"/>
      <c r="L400" s="242"/>
      <c r="M400" s="211"/>
      <c r="N400" s="211">
        <v>1</v>
      </c>
      <c r="O400" s="211">
        <v>1</v>
      </c>
      <c r="P400" s="211">
        <v>1</v>
      </c>
      <c r="Q400" s="242"/>
      <c r="R400" s="242"/>
      <c r="S400" s="242"/>
      <c r="T400" s="242"/>
      <c r="U400" s="242"/>
      <c r="V400" s="242"/>
      <c r="W400" s="242"/>
      <c r="X400" s="211"/>
      <c r="Y400" s="211">
        <v>1</v>
      </c>
      <c r="Z400" s="211">
        <v>1</v>
      </c>
      <c r="AA400" s="211">
        <v>1</v>
      </c>
      <c r="AB400" s="242"/>
      <c r="AC400" s="242"/>
      <c r="AD400" s="242"/>
      <c r="AE400" s="242"/>
      <c r="AF400" s="242"/>
      <c r="AG400" s="242"/>
      <c r="AH400" s="242"/>
      <c r="AI400" s="211"/>
      <c r="AJ400" s="211">
        <v>1</v>
      </c>
      <c r="AK400" s="211"/>
      <c r="AL400" s="211">
        <v>1</v>
      </c>
      <c r="AM400" s="242"/>
      <c r="AN400" s="242"/>
      <c r="AO400" s="242"/>
      <c r="AP400" s="242"/>
      <c r="AQ400" s="242"/>
      <c r="AR400" s="242"/>
      <c r="AS400" s="242"/>
      <c r="AT400" s="242"/>
      <c r="AU400" s="242"/>
      <c r="AV400" s="240">
        <v>1</v>
      </c>
      <c r="AW400" s="240">
        <v>1</v>
      </c>
      <c r="AX400" s="240">
        <v>1</v>
      </c>
      <c r="AY400" s="240">
        <v>1</v>
      </c>
      <c r="AZ400" s="203">
        <v>1</v>
      </c>
      <c r="BA400" s="203">
        <v>1</v>
      </c>
      <c r="BB400" s="203">
        <v>1</v>
      </c>
      <c r="BC400" s="203">
        <v>1</v>
      </c>
    </row>
    <row r="401" spans="1:55" ht="21" hidden="1" customHeight="1">
      <c r="A401" s="212"/>
      <c r="B401" s="237">
        <v>46054</v>
      </c>
      <c r="C401" s="211" t="s">
        <v>386</v>
      </c>
      <c r="D401" s="238" t="s">
        <v>995</v>
      </c>
      <c r="E401" s="203" t="s">
        <v>996</v>
      </c>
      <c r="F401" s="242"/>
      <c r="G401" s="203"/>
      <c r="H401" s="242"/>
      <c r="I401" s="242"/>
      <c r="J401" s="242"/>
      <c r="K401" s="242"/>
      <c r="L401" s="242"/>
      <c r="M401" s="211"/>
      <c r="N401" s="211"/>
      <c r="O401" s="242"/>
      <c r="P401" s="211">
        <v>1</v>
      </c>
      <c r="Q401" s="242"/>
      <c r="R401" s="242"/>
      <c r="S401" s="242"/>
      <c r="T401" s="242"/>
      <c r="U401" s="242"/>
      <c r="V401" s="242"/>
      <c r="W401" s="242"/>
      <c r="X401" s="211"/>
      <c r="Y401" s="211"/>
      <c r="Z401" s="203"/>
      <c r="AA401" s="203"/>
      <c r="AB401" s="242"/>
      <c r="AC401" s="242"/>
      <c r="AD401" s="242"/>
      <c r="AE401" s="242"/>
      <c r="AF401" s="242"/>
      <c r="AG401" s="242"/>
      <c r="AH401" s="242"/>
      <c r="AI401" s="211"/>
      <c r="AJ401" s="211"/>
      <c r="AK401" s="211">
        <v>1</v>
      </c>
      <c r="AL401" s="242">
        <v>1</v>
      </c>
      <c r="AM401" s="242"/>
      <c r="AN401" s="242"/>
      <c r="AO401" s="242"/>
      <c r="AP401" s="242"/>
      <c r="AQ401" s="242"/>
      <c r="AR401" s="242"/>
      <c r="AS401" s="242"/>
      <c r="AT401" s="242"/>
      <c r="AU401" s="242"/>
      <c r="AV401" s="242"/>
      <c r="AW401" s="240"/>
      <c r="AX401" s="240"/>
      <c r="AY401" s="240"/>
      <c r="AZ401" s="242"/>
      <c r="BA401" s="203"/>
      <c r="BB401" s="203"/>
      <c r="BC401" s="203"/>
    </row>
    <row r="402" spans="1:55" ht="21" hidden="1" customHeight="1">
      <c r="A402" s="212"/>
      <c r="B402" s="237">
        <v>46054</v>
      </c>
      <c r="C402" s="211" t="s">
        <v>386</v>
      </c>
      <c r="D402" s="238" t="s">
        <v>997</v>
      </c>
      <c r="E402" s="203" t="s">
        <v>998</v>
      </c>
      <c r="F402" s="242"/>
      <c r="G402" s="203"/>
      <c r="H402" s="242"/>
      <c r="I402" s="242"/>
      <c r="J402" s="242"/>
      <c r="K402" s="242"/>
      <c r="L402" s="242"/>
      <c r="M402" s="211"/>
      <c r="N402" s="211"/>
      <c r="O402" s="242"/>
      <c r="P402" s="242"/>
      <c r="Q402" s="242"/>
      <c r="R402" s="242"/>
      <c r="S402" s="242"/>
      <c r="T402" s="242"/>
      <c r="U402" s="242"/>
      <c r="V402" s="242"/>
      <c r="W402" s="242"/>
      <c r="X402" s="211"/>
      <c r="Y402" s="211"/>
      <c r="Z402" s="203"/>
      <c r="AA402" s="203"/>
      <c r="AB402" s="242"/>
      <c r="AC402" s="242"/>
      <c r="AD402" s="242"/>
      <c r="AE402" s="242"/>
      <c r="AF402" s="242"/>
      <c r="AG402" s="242"/>
      <c r="AH402" s="242"/>
      <c r="AI402" s="211"/>
      <c r="AJ402" s="211"/>
      <c r="AK402" s="242"/>
      <c r="AL402" s="242"/>
      <c r="AM402" s="242"/>
      <c r="AN402" s="242"/>
      <c r="AO402" s="242"/>
      <c r="AP402" s="242"/>
      <c r="AQ402" s="242"/>
      <c r="AR402" s="242"/>
      <c r="AS402" s="242"/>
      <c r="AT402" s="242"/>
      <c r="AU402" s="242"/>
      <c r="AV402" s="242"/>
      <c r="AW402" s="240"/>
      <c r="AX402" s="240"/>
      <c r="AY402" s="240"/>
      <c r="AZ402" s="242"/>
      <c r="BA402" s="203"/>
      <c r="BB402" s="203"/>
      <c r="BC402" s="203"/>
    </row>
    <row r="403" spans="1:55" ht="21" hidden="1" customHeight="1">
      <c r="A403" s="212"/>
      <c r="B403" s="237">
        <v>46054</v>
      </c>
      <c r="C403" s="211" t="s">
        <v>386</v>
      </c>
      <c r="D403" s="238" t="s">
        <v>999</v>
      </c>
      <c r="E403" s="203" t="s">
        <v>1000</v>
      </c>
      <c r="F403" s="242"/>
      <c r="G403" s="203"/>
      <c r="H403" s="242"/>
      <c r="I403" s="242"/>
      <c r="J403" s="242"/>
      <c r="K403" s="242"/>
      <c r="L403" s="242"/>
      <c r="M403" s="211"/>
      <c r="N403" s="211"/>
      <c r="O403" s="242"/>
      <c r="P403" s="242"/>
      <c r="Q403" s="242"/>
      <c r="R403" s="242"/>
      <c r="S403" s="242"/>
      <c r="T403" s="242"/>
      <c r="U403" s="242"/>
      <c r="V403" s="242"/>
      <c r="W403" s="242"/>
      <c r="X403" s="211"/>
      <c r="Y403" s="211"/>
      <c r="Z403" s="203"/>
      <c r="AA403" s="203"/>
      <c r="AB403" s="242"/>
      <c r="AC403" s="242"/>
      <c r="AD403" s="242"/>
      <c r="AE403" s="242"/>
      <c r="AF403" s="242"/>
      <c r="AG403" s="242"/>
      <c r="AH403" s="242"/>
      <c r="AI403" s="211"/>
      <c r="AJ403" s="211"/>
      <c r="AK403" s="242"/>
      <c r="AL403" s="242"/>
      <c r="AM403" s="242"/>
      <c r="AN403" s="242"/>
      <c r="AO403" s="242"/>
      <c r="AP403" s="242"/>
      <c r="AQ403" s="242"/>
      <c r="AR403" s="242"/>
      <c r="AS403" s="242"/>
      <c r="AT403" s="242"/>
      <c r="AU403" s="242"/>
      <c r="AV403" s="240">
        <v>1</v>
      </c>
      <c r="AW403" s="240">
        <v>1</v>
      </c>
      <c r="AX403" s="240"/>
      <c r="AY403" s="240"/>
      <c r="AZ403" s="242"/>
      <c r="BA403" s="203"/>
      <c r="BB403" s="203"/>
      <c r="BC403" s="203"/>
    </row>
    <row r="404" spans="1:55" ht="21" hidden="1" customHeight="1">
      <c r="A404" s="212"/>
      <c r="B404" s="237">
        <v>46054</v>
      </c>
      <c r="C404" s="211" t="s">
        <v>386</v>
      </c>
      <c r="D404" s="238" t="s">
        <v>1001</v>
      </c>
      <c r="E404" s="203" t="s">
        <v>1002</v>
      </c>
      <c r="F404" s="242"/>
      <c r="G404" s="203"/>
      <c r="H404" s="242"/>
      <c r="I404" s="242"/>
      <c r="J404" s="242"/>
      <c r="K404" s="242"/>
      <c r="L404" s="242"/>
      <c r="M404" s="211"/>
      <c r="N404" s="211">
        <v>1</v>
      </c>
      <c r="O404" s="242"/>
      <c r="P404" s="242"/>
      <c r="Q404" s="242"/>
      <c r="R404" s="242"/>
      <c r="S404" s="242"/>
      <c r="T404" s="242"/>
      <c r="U404" s="242"/>
      <c r="V404" s="242"/>
      <c r="W404" s="242"/>
      <c r="X404" s="211"/>
      <c r="Y404" s="211"/>
      <c r="Z404" s="203"/>
      <c r="AA404" s="203"/>
      <c r="AB404" s="242"/>
      <c r="AC404" s="242"/>
      <c r="AD404" s="242"/>
      <c r="AE404" s="242"/>
      <c r="AF404" s="242"/>
      <c r="AG404" s="242"/>
      <c r="AH404" s="242"/>
      <c r="AI404" s="211"/>
      <c r="AJ404" s="211">
        <v>1</v>
      </c>
      <c r="AK404" s="242"/>
      <c r="AL404" s="242"/>
      <c r="AM404" s="242"/>
      <c r="AN404" s="242"/>
      <c r="AO404" s="242"/>
      <c r="AP404" s="242"/>
      <c r="AQ404" s="242"/>
      <c r="AR404" s="242"/>
      <c r="AS404" s="242"/>
      <c r="AT404" s="242"/>
      <c r="AU404" s="242"/>
      <c r="AV404" s="242"/>
      <c r="AW404" s="240"/>
      <c r="AX404" s="240"/>
      <c r="AY404" s="240"/>
      <c r="AZ404" s="242"/>
      <c r="BA404" s="203"/>
      <c r="BB404" s="203"/>
      <c r="BC404" s="203"/>
    </row>
    <row r="405" spans="1:55" ht="21" hidden="1" customHeight="1">
      <c r="A405" s="212"/>
      <c r="B405" s="237">
        <v>46054</v>
      </c>
      <c r="C405" s="211" t="s">
        <v>386</v>
      </c>
      <c r="D405" s="238" t="s">
        <v>1003</v>
      </c>
      <c r="E405" s="203" t="s">
        <v>1004</v>
      </c>
      <c r="F405" s="242"/>
      <c r="G405" s="203"/>
      <c r="H405" s="242"/>
      <c r="I405" s="242"/>
      <c r="J405" s="242"/>
      <c r="K405" s="242"/>
      <c r="L405" s="242"/>
      <c r="M405" s="211"/>
      <c r="N405" s="211"/>
      <c r="O405" s="242"/>
      <c r="P405" s="242"/>
      <c r="Q405" s="242"/>
      <c r="R405" s="242"/>
      <c r="S405" s="242"/>
      <c r="T405" s="242"/>
      <c r="U405" s="242"/>
      <c r="V405" s="242"/>
      <c r="W405" s="242"/>
      <c r="X405" s="211"/>
      <c r="Y405" s="211"/>
      <c r="Z405" s="203"/>
      <c r="AA405" s="203"/>
      <c r="AB405" s="242"/>
      <c r="AC405" s="242"/>
      <c r="AD405" s="242"/>
      <c r="AE405" s="242"/>
      <c r="AF405" s="242"/>
      <c r="AG405" s="242"/>
      <c r="AH405" s="242"/>
      <c r="AI405" s="211"/>
      <c r="AJ405" s="211"/>
      <c r="AK405" s="242"/>
      <c r="AL405" s="242"/>
      <c r="AM405" s="242"/>
      <c r="AN405" s="242"/>
      <c r="AO405" s="242"/>
      <c r="AP405" s="242"/>
      <c r="AQ405" s="242"/>
      <c r="AR405" s="242"/>
      <c r="AS405" s="242"/>
      <c r="AT405" s="242"/>
      <c r="AU405" s="242"/>
      <c r="AV405" s="242">
        <v>1</v>
      </c>
      <c r="AW405" s="240">
        <v>1</v>
      </c>
      <c r="AX405" s="240"/>
      <c r="AY405" s="240"/>
      <c r="AZ405" s="242"/>
      <c r="BA405" s="203"/>
      <c r="BB405" s="203"/>
      <c r="BC405" s="203"/>
    </row>
    <row r="406" spans="1:55" ht="21" hidden="1" customHeight="1">
      <c r="A406" s="212"/>
      <c r="B406" s="237">
        <v>46054</v>
      </c>
      <c r="C406" s="211" t="s">
        <v>386</v>
      </c>
      <c r="D406" s="238" t="s">
        <v>1005</v>
      </c>
      <c r="E406" s="203" t="s">
        <v>1006</v>
      </c>
      <c r="F406" s="242"/>
      <c r="G406" s="203"/>
      <c r="H406" s="242"/>
      <c r="I406" s="242"/>
      <c r="J406" s="242"/>
      <c r="K406" s="242"/>
      <c r="L406" s="242"/>
      <c r="M406" s="211">
        <v>1</v>
      </c>
      <c r="N406" s="211"/>
      <c r="O406" s="242"/>
      <c r="P406" s="242"/>
      <c r="Q406" s="242"/>
      <c r="R406" s="242"/>
      <c r="S406" s="242"/>
      <c r="T406" s="242"/>
      <c r="U406" s="242"/>
      <c r="V406" s="242"/>
      <c r="W406" s="242"/>
      <c r="X406" s="211"/>
      <c r="Y406" s="211"/>
      <c r="Z406" s="203"/>
      <c r="AA406" s="203"/>
      <c r="AB406" s="242"/>
      <c r="AC406" s="242"/>
      <c r="AD406" s="242"/>
      <c r="AE406" s="242"/>
      <c r="AF406" s="242"/>
      <c r="AG406" s="242"/>
      <c r="AH406" s="242"/>
      <c r="AI406" s="211">
        <v>1</v>
      </c>
      <c r="AJ406" s="211"/>
      <c r="AK406" s="242"/>
      <c r="AL406" s="242"/>
      <c r="AM406" s="242"/>
      <c r="AN406" s="242"/>
      <c r="AO406" s="242"/>
      <c r="AP406" s="242"/>
      <c r="AQ406" s="242"/>
      <c r="AR406" s="242"/>
      <c r="AS406" s="242"/>
      <c r="AT406" s="242"/>
      <c r="AU406" s="242"/>
      <c r="AV406" s="242"/>
      <c r="AW406" s="240"/>
      <c r="AX406" s="240"/>
      <c r="AY406" s="240"/>
      <c r="AZ406" s="242"/>
      <c r="BA406" s="203"/>
      <c r="BB406" s="203"/>
      <c r="BC406" s="203"/>
    </row>
    <row r="407" spans="1:55" ht="21" customHeight="1">
      <c r="A407" s="212"/>
      <c r="B407" s="237">
        <v>46054</v>
      </c>
      <c r="C407" s="211" t="s">
        <v>395</v>
      </c>
      <c r="D407" s="238" t="s">
        <v>1007</v>
      </c>
      <c r="E407" s="203" t="s">
        <v>1008</v>
      </c>
      <c r="F407" s="242"/>
      <c r="G407" s="203"/>
      <c r="H407" s="242"/>
      <c r="I407" s="242"/>
      <c r="J407" s="242"/>
      <c r="K407" s="242"/>
      <c r="L407" s="242"/>
      <c r="M407" s="242"/>
      <c r="N407" s="211">
        <v>1</v>
      </c>
      <c r="O407" s="211">
        <v>1</v>
      </c>
      <c r="P407" s="211">
        <v>1</v>
      </c>
      <c r="Q407" s="242"/>
      <c r="R407" s="242"/>
      <c r="S407" s="242"/>
      <c r="T407" s="242"/>
      <c r="U407" s="242"/>
      <c r="V407" s="242"/>
      <c r="W407" s="242"/>
      <c r="X407" s="211"/>
      <c r="Y407" s="211">
        <v>1</v>
      </c>
      <c r="Z407" s="211">
        <v>1</v>
      </c>
      <c r="AA407" s="211">
        <v>1</v>
      </c>
      <c r="AB407" s="242"/>
      <c r="AC407" s="242"/>
      <c r="AD407" s="242"/>
      <c r="AE407" s="242"/>
      <c r="AF407" s="242"/>
      <c r="AG407" s="242"/>
      <c r="AH407" s="242"/>
      <c r="AI407" s="242"/>
      <c r="AJ407" s="211">
        <v>1</v>
      </c>
      <c r="AK407" s="211">
        <v>1</v>
      </c>
      <c r="AL407" s="242">
        <v>1</v>
      </c>
      <c r="AM407" s="242"/>
      <c r="AN407" s="242"/>
      <c r="AO407" s="242"/>
      <c r="AP407" s="242"/>
      <c r="AQ407" s="242"/>
      <c r="AR407" s="242"/>
      <c r="AS407" s="242"/>
      <c r="AT407" s="242"/>
      <c r="AU407" s="242"/>
      <c r="AV407" s="242"/>
      <c r="AW407" s="240"/>
      <c r="AX407" s="240">
        <v>1</v>
      </c>
      <c r="AY407" s="240"/>
      <c r="AZ407" s="203">
        <v>1</v>
      </c>
      <c r="BA407" s="203"/>
      <c r="BB407" s="203"/>
      <c r="BC407" s="203"/>
    </row>
    <row r="408" spans="1:55" ht="21" hidden="1" customHeight="1">
      <c r="A408" s="212"/>
      <c r="B408" s="237">
        <v>46054</v>
      </c>
      <c r="C408" s="211" t="s">
        <v>388</v>
      </c>
      <c r="D408" s="238" t="s">
        <v>1009</v>
      </c>
      <c r="E408" s="203" t="s">
        <v>1010</v>
      </c>
      <c r="F408" s="242"/>
      <c r="G408" s="203"/>
      <c r="H408" s="242"/>
      <c r="I408" s="242"/>
      <c r="J408" s="242"/>
      <c r="K408" s="242"/>
      <c r="L408" s="242"/>
      <c r="M408" s="242"/>
      <c r="N408" s="211"/>
      <c r="O408" s="242"/>
      <c r="P408" s="242"/>
      <c r="Q408" s="242"/>
      <c r="R408" s="242"/>
      <c r="S408" s="242"/>
      <c r="T408" s="242"/>
      <c r="U408" s="242"/>
      <c r="V408" s="242"/>
      <c r="W408" s="242"/>
      <c r="X408" s="211">
        <v>1</v>
      </c>
      <c r="Y408" s="242"/>
      <c r="Z408" s="203"/>
      <c r="AA408" s="203"/>
      <c r="AB408" s="242"/>
      <c r="AC408" s="242"/>
      <c r="AD408" s="242"/>
      <c r="AE408" s="242"/>
      <c r="AF408" s="242"/>
      <c r="AG408" s="242"/>
      <c r="AH408" s="242"/>
      <c r="AI408" s="242"/>
      <c r="AJ408" s="242"/>
      <c r="AK408" s="242"/>
      <c r="AL408" s="242"/>
      <c r="AM408" s="242"/>
      <c r="AN408" s="242"/>
      <c r="AO408" s="242"/>
      <c r="AP408" s="242"/>
      <c r="AQ408" s="242"/>
      <c r="AR408" s="242"/>
      <c r="AS408" s="242"/>
      <c r="AT408" s="242"/>
      <c r="AU408" s="242"/>
      <c r="AV408" s="240">
        <v>1</v>
      </c>
      <c r="AW408" s="240">
        <v>1</v>
      </c>
      <c r="AX408" s="240"/>
      <c r="AY408" s="240"/>
      <c r="AZ408" s="242"/>
      <c r="BA408" s="203"/>
      <c r="BB408" s="203"/>
      <c r="BC408" s="203"/>
    </row>
    <row r="409" spans="1:55" ht="21" hidden="1" customHeight="1">
      <c r="A409" s="212"/>
      <c r="B409" s="237">
        <v>46113</v>
      </c>
      <c r="C409" s="211" t="s">
        <v>393</v>
      </c>
      <c r="D409" s="238" t="s">
        <v>1011</v>
      </c>
      <c r="E409" s="203" t="s">
        <v>2478</v>
      </c>
      <c r="F409" s="242"/>
      <c r="G409" s="203"/>
      <c r="H409" s="242"/>
      <c r="I409" s="242"/>
      <c r="J409" s="242"/>
      <c r="K409" s="242"/>
      <c r="L409" s="242"/>
      <c r="M409" s="242"/>
      <c r="N409" s="242"/>
      <c r="O409" s="203">
        <v>1</v>
      </c>
      <c r="P409" s="211">
        <v>1</v>
      </c>
      <c r="Q409" s="242"/>
      <c r="R409" s="242"/>
      <c r="S409" s="242"/>
      <c r="T409" s="242"/>
      <c r="U409" s="242"/>
      <c r="V409" s="242"/>
      <c r="W409" s="242"/>
      <c r="X409" s="242"/>
      <c r="Y409" s="242"/>
      <c r="Z409" s="203">
        <v>1</v>
      </c>
      <c r="AA409" s="211">
        <v>1</v>
      </c>
      <c r="AB409" s="242"/>
      <c r="AC409" s="242"/>
      <c r="AD409" s="242"/>
      <c r="AE409" s="242"/>
      <c r="AF409" s="242"/>
      <c r="AG409" s="242"/>
      <c r="AH409" s="242"/>
      <c r="AI409" s="242"/>
      <c r="AJ409" s="242"/>
      <c r="AK409" s="242"/>
      <c r="AL409" s="211">
        <v>1</v>
      </c>
      <c r="AM409" s="242"/>
      <c r="AN409" s="242"/>
      <c r="AO409" s="242"/>
      <c r="AP409" s="242"/>
      <c r="AQ409" s="242"/>
      <c r="AR409" s="242"/>
      <c r="AS409" s="242"/>
      <c r="AT409" s="242"/>
      <c r="AU409" s="242"/>
      <c r="AV409" s="242"/>
      <c r="AW409" s="240"/>
      <c r="AX409" s="240">
        <v>1</v>
      </c>
      <c r="AY409" s="240">
        <v>1</v>
      </c>
      <c r="AZ409" s="242"/>
      <c r="BA409" s="203">
        <v>1</v>
      </c>
      <c r="BB409" s="203">
        <v>1</v>
      </c>
      <c r="BC409" s="203">
        <v>1</v>
      </c>
    </row>
    <row r="410" spans="1:55" ht="21" hidden="1" customHeight="1">
      <c r="A410" s="212"/>
      <c r="B410" s="237">
        <v>46113</v>
      </c>
      <c r="C410" s="211" t="s">
        <v>386</v>
      </c>
      <c r="D410" s="238" t="s">
        <v>1012</v>
      </c>
      <c r="E410" s="203" t="s">
        <v>2479</v>
      </c>
      <c r="F410" s="242"/>
      <c r="G410" s="203"/>
      <c r="H410" s="242"/>
      <c r="I410" s="242"/>
      <c r="J410" s="242"/>
      <c r="K410" s="242"/>
      <c r="L410" s="242"/>
      <c r="M410" s="242"/>
      <c r="N410" s="242"/>
      <c r="O410" s="203">
        <v>1</v>
      </c>
      <c r="P410" s="211">
        <v>1</v>
      </c>
      <c r="Q410" s="242"/>
      <c r="R410" s="242"/>
      <c r="S410" s="242"/>
      <c r="T410" s="242"/>
      <c r="U410" s="242"/>
      <c r="V410" s="242"/>
      <c r="W410" s="242"/>
      <c r="X410" s="242"/>
      <c r="Y410" s="242"/>
      <c r="Z410" s="203">
        <v>1</v>
      </c>
      <c r="AA410" s="211">
        <v>1</v>
      </c>
      <c r="AB410" s="242"/>
      <c r="AC410" s="242"/>
      <c r="AD410" s="242"/>
      <c r="AE410" s="242"/>
      <c r="AF410" s="242"/>
      <c r="AG410" s="242"/>
      <c r="AH410" s="242"/>
      <c r="AI410" s="242"/>
      <c r="AJ410" s="242"/>
      <c r="AK410" s="242"/>
      <c r="AL410" s="242"/>
      <c r="AM410" s="242"/>
      <c r="AN410" s="242"/>
      <c r="AO410" s="242"/>
      <c r="AP410" s="242"/>
      <c r="AQ410" s="242"/>
      <c r="AR410" s="242"/>
      <c r="AS410" s="242"/>
      <c r="AT410" s="242"/>
      <c r="AU410" s="242"/>
      <c r="AV410" s="242"/>
      <c r="AW410" s="240"/>
      <c r="AX410" s="240">
        <v>1</v>
      </c>
      <c r="AY410" s="240">
        <v>1</v>
      </c>
      <c r="AZ410" s="203">
        <v>1</v>
      </c>
      <c r="BA410" s="203">
        <v>1</v>
      </c>
      <c r="BB410" s="203">
        <v>1</v>
      </c>
      <c r="BC410" s="203">
        <v>1</v>
      </c>
    </row>
    <row r="411" spans="1:55" ht="21" hidden="1" customHeight="1">
      <c r="A411" s="212"/>
      <c r="B411" s="237">
        <v>46113</v>
      </c>
      <c r="C411" s="211" t="s">
        <v>384</v>
      </c>
      <c r="D411" s="238" t="s">
        <v>1013</v>
      </c>
      <c r="E411" s="203" t="s">
        <v>2480</v>
      </c>
      <c r="F411" s="242"/>
      <c r="G411" s="203"/>
      <c r="H411" s="242"/>
      <c r="I411" s="242"/>
      <c r="J411" s="242"/>
      <c r="K411" s="242"/>
      <c r="L411" s="242"/>
      <c r="M411" s="242"/>
      <c r="N411" s="242"/>
      <c r="O411" s="203">
        <v>1</v>
      </c>
      <c r="P411" s="211">
        <v>1</v>
      </c>
      <c r="Q411" s="242"/>
      <c r="R411" s="242"/>
      <c r="S411" s="242"/>
      <c r="T411" s="242"/>
      <c r="U411" s="242"/>
      <c r="V411" s="242"/>
      <c r="W411" s="242"/>
      <c r="X411" s="242"/>
      <c r="Y411" s="242"/>
      <c r="Z411" s="203"/>
      <c r="AA411" s="203"/>
      <c r="AB411" s="242"/>
      <c r="AC411" s="242"/>
      <c r="AD411" s="242"/>
      <c r="AE411" s="242"/>
      <c r="AF411" s="242"/>
      <c r="AG411" s="242"/>
      <c r="AH411" s="242"/>
      <c r="AI411" s="242"/>
      <c r="AJ411" s="242"/>
      <c r="AK411" s="242"/>
      <c r="AL411" s="242"/>
      <c r="AM411" s="242"/>
      <c r="AN411" s="242"/>
      <c r="AO411" s="242"/>
      <c r="AP411" s="242"/>
      <c r="AQ411" s="242"/>
      <c r="AR411" s="242"/>
      <c r="AS411" s="242"/>
      <c r="AT411" s="242"/>
      <c r="AU411" s="242"/>
      <c r="AV411" s="242"/>
      <c r="AW411" s="240"/>
      <c r="AX411" s="240">
        <v>1</v>
      </c>
      <c r="AY411" s="240">
        <v>1</v>
      </c>
      <c r="AZ411" s="203">
        <v>1</v>
      </c>
      <c r="BA411" s="203">
        <v>1</v>
      </c>
      <c r="BB411" s="203">
        <v>1</v>
      </c>
      <c r="BC411" s="203">
        <v>1</v>
      </c>
    </row>
    <row r="412" spans="1:55" ht="21" hidden="1" customHeight="1">
      <c r="A412" s="212"/>
      <c r="B412" s="237">
        <v>46113</v>
      </c>
      <c r="C412" s="211" t="s">
        <v>386</v>
      </c>
      <c r="D412" s="238" t="s">
        <v>1014</v>
      </c>
      <c r="E412" s="203" t="s">
        <v>2481</v>
      </c>
      <c r="F412" s="242"/>
      <c r="G412" s="203"/>
      <c r="H412" s="242"/>
      <c r="I412" s="242"/>
      <c r="J412" s="242"/>
      <c r="K412" s="242"/>
      <c r="L412" s="242"/>
      <c r="M412" s="242"/>
      <c r="N412" s="242"/>
      <c r="O412" s="203">
        <v>1</v>
      </c>
      <c r="P412" s="211">
        <v>1</v>
      </c>
      <c r="Q412" s="242"/>
      <c r="R412" s="242"/>
      <c r="S412" s="242"/>
      <c r="T412" s="242"/>
      <c r="U412" s="242"/>
      <c r="V412" s="242"/>
      <c r="W412" s="242"/>
      <c r="X412" s="242"/>
      <c r="Y412" s="242"/>
      <c r="Z412" s="203"/>
      <c r="AA412" s="211">
        <v>1</v>
      </c>
      <c r="AB412" s="242"/>
      <c r="AC412" s="242"/>
      <c r="AD412" s="242"/>
      <c r="AE412" s="242"/>
      <c r="AF412" s="242"/>
      <c r="AG412" s="242"/>
      <c r="AH412" s="242"/>
      <c r="AI412" s="242"/>
      <c r="AJ412" s="242"/>
      <c r="AK412" s="242"/>
      <c r="AL412" s="211">
        <v>1</v>
      </c>
      <c r="AM412" s="242"/>
      <c r="AN412" s="242"/>
      <c r="AO412" s="242"/>
      <c r="AP412" s="242"/>
      <c r="AQ412" s="242"/>
      <c r="AR412" s="242"/>
      <c r="AS412" s="242"/>
      <c r="AT412" s="242"/>
      <c r="AU412" s="242"/>
      <c r="AV412" s="242"/>
      <c r="AW412" s="240"/>
      <c r="AX412" s="240">
        <v>1</v>
      </c>
      <c r="AY412" s="240">
        <v>1</v>
      </c>
      <c r="AZ412" s="203">
        <v>1</v>
      </c>
      <c r="BA412" s="203">
        <v>1</v>
      </c>
      <c r="BB412" s="203">
        <v>1</v>
      </c>
      <c r="BC412" s="203">
        <v>1</v>
      </c>
    </row>
    <row r="413" spans="1:55" ht="21" hidden="1" customHeight="1">
      <c r="A413" s="212"/>
      <c r="B413" s="237">
        <v>46113</v>
      </c>
      <c r="C413" s="211" t="s">
        <v>386</v>
      </c>
      <c r="D413" s="238" t="s">
        <v>1015</v>
      </c>
      <c r="E413" s="203" t="s">
        <v>2482</v>
      </c>
      <c r="F413" s="242"/>
      <c r="G413" s="203"/>
      <c r="H413" s="242"/>
      <c r="I413" s="242"/>
      <c r="J413" s="242"/>
      <c r="K413" s="242"/>
      <c r="L413" s="242"/>
      <c r="M413" s="242"/>
      <c r="N413" s="242"/>
      <c r="O413" s="203">
        <v>1</v>
      </c>
      <c r="P413" s="211">
        <v>1</v>
      </c>
      <c r="Q413" s="242"/>
      <c r="R413" s="242"/>
      <c r="S413" s="242"/>
      <c r="T413" s="242"/>
      <c r="U413" s="242"/>
      <c r="V413" s="242"/>
      <c r="W413" s="242"/>
      <c r="X413" s="242"/>
      <c r="Y413" s="242"/>
      <c r="Z413" s="203">
        <v>1</v>
      </c>
      <c r="AA413" s="211">
        <v>1</v>
      </c>
      <c r="AB413" s="242"/>
      <c r="AC413" s="242"/>
      <c r="AD413" s="242"/>
      <c r="AE413" s="242"/>
      <c r="AF413" s="242"/>
      <c r="AG413" s="242"/>
      <c r="AH413" s="242"/>
      <c r="AI413" s="242"/>
      <c r="AJ413" s="242"/>
      <c r="AK413" s="242"/>
      <c r="AL413" s="211">
        <v>1</v>
      </c>
      <c r="AM413" s="242"/>
      <c r="AN413" s="242"/>
      <c r="AO413" s="242"/>
      <c r="AP413" s="242"/>
      <c r="AQ413" s="242"/>
      <c r="AR413" s="242"/>
      <c r="AS413" s="242"/>
      <c r="AT413" s="242"/>
      <c r="AU413" s="242"/>
      <c r="AV413" s="242"/>
      <c r="AW413" s="240"/>
      <c r="AX413" s="240">
        <v>1</v>
      </c>
      <c r="AY413" s="240">
        <v>1</v>
      </c>
      <c r="AZ413" s="242"/>
      <c r="BA413" s="203">
        <v>1</v>
      </c>
      <c r="BB413" s="203"/>
      <c r="BC413" s="203"/>
    </row>
    <row r="414" spans="1:55" ht="21" hidden="1" customHeight="1">
      <c r="A414" s="212"/>
      <c r="B414" s="237">
        <v>46113</v>
      </c>
      <c r="C414" s="211" t="s">
        <v>384</v>
      </c>
      <c r="D414" s="238" t="s">
        <v>1016</v>
      </c>
      <c r="E414" s="203" t="s">
        <v>2483</v>
      </c>
      <c r="F414" s="242"/>
      <c r="G414" s="203"/>
      <c r="H414" s="242"/>
      <c r="I414" s="242"/>
      <c r="J414" s="242"/>
      <c r="K414" s="242"/>
      <c r="L414" s="242"/>
      <c r="M414" s="242"/>
      <c r="N414" s="242"/>
      <c r="O414" s="242"/>
      <c r="P414" s="242"/>
      <c r="Q414" s="242"/>
      <c r="R414" s="242"/>
      <c r="S414" s="242"/>
      <c r="T414" s="242"/>
      <c r="U414" s="242"/>
      <c r="V414" s="242"/>
      <c r="W414" s="242"/>
      <c r="X414" s="242"/>
      <c r="Y414" s="242"/>
      <c r="Z414" s="203"/>
      <c r="AA414" s="203"/>
      <c r="AB414" s="242"/>
      <c r="AC414" s="242"/>
      <c r="AD414" s="242"/>
      <c r="AE414" s="242"/>
      <c r="AF414" s="242"/>
      <c r="AG414" s="242"/>
      <c r="AH414" s="242"/>
      <c r="AI414" s="242"/>
      <c r="AJ414" s="242"/>
      <c r="AK414" s="242"/>
      <c r="AL414" s="242"/>
      <c r="AM414" s="242"/>
      <c r="AN414" s="242"/>
      <c r="AO414" s="242"/>
      <c r="AP414" s="242"/>
      <c r="AQ414" s="242"/>
      <c r="AR414" s="242"/>
      <c r="AS414" s="242"/>
      <c r="AT414" s="242"/>
      <c r="AU414" s="242"/>
      <c r="AV414" s="242"/>
      <c r="AW414" s="240"/>
      <c r="AX414" s="240">
        <v>1</v>
      </c>
      <c r="AY414" s="240">
        <v>1</v>
      </c>
      <c r="AZ414" s="242"/>
      <c r="BA414" s="203"/>
      <c r="BB414" s="203"/>
      <c r="BC414" s="203"/>
    </row>
    <row r="415" spans="1:55" ht="21" hidden="1" customHeight="1">
      <c r="A415" s="212"/>
      <c r="B415" s="237">
        <v>46113</v>
      </c>
      <c r="C415" s="211" t="s">
        <v>384</v>
      </c>
      <c r="D415" s="238" t="s">
        <v>1017</v>
      </c>
      <c r="E415" s="203" t="s">
        <v>2484</v>
      </c>
      <c r="F415" s="242"/>
      <c r="G415" s="203"/>
      <c r="H415" s="242"/>
      <c r="I415" s="242"/>
      <c r="J415" s="242"/>
      <c r="K415" s="242"/>
      <c r="L415" s="242"/>
      <c r="M415" s="242"/>
      <c r="N415" s="242"/>
      <c r="O415" s="203">
        <v>1</v>
      </c>
      <c r="P415" s="211">
        <v>1</v>
      </c>
      <c r="Q415" s="242"/>
      <c r="R415" s="242"/>
      <c r="S415" s="242"/>
      <c r="T415" s="242"/>
      <c r="U415" s="242"/>
      <c r="V415" s="242"/>
      <c r="W415" s="242"/>
      <c r="X415" s="242"/>
      <c r="Y415" s="242"/>
      <c r="Z415" s="203">
        <v>1</v>
      </c>
      <c r="AA415" s="203"/>
      <c r="AB415" s="242"/>
      <c r="AC415" s="242"/>
      <c r="AD415" s="242"/>
      <c r="AE415" s="242"/>
      <c r="AF415" s="242"/>
      <c r="AG415" s="242"/>
      <c r="AH415" s="242"/>
      <c r="AI415" s="242"/>
      <c r="AJ415" s="242"/>
      <c r="AK415" s="242"/>
      <c r="AL415" s="211">
        <v>1</v>
      </c>
      <c r="AM415" s="242"/>
      <c r="AN415" s="242"/>
      <c r="AO415" s="242"/>
      <c r="AP415" s="242"/>
      <c r="AQ415" s="242"/>
      <c r="AR415" s="242"/>
      <c r="AS415" s="242"/>
      <c r="AT415" s="242"/>
      <c r="AU415" s="242"/>
      <c r="AV415" s="242"/>
      <c r="AW415" s="240"/>
      <c r="AX415" s="240">
        <v>1</v>
      </c>
      <c r="AY415" s="240">
        <v>1</v>
      </c>
      <c r="AZ415" s="203">
        <v>1</v>
      </c>
      <c r="BA415" s="203">
        <v>1</v>
      </c>
      <c r="BB415" s="203">
        <v>1</v>
      </c>
      <c r="BC415" s="203">
        <v>1</v>
      </c>
    </row>
    <row r="416" spans="1:55" ht="21" hidden="1" customHeight="1">
      <c r="A416" s="212"/>
      <c r="B416" s="237">
        <v>46113</v>
      </c>
      <c r="C416" s="211" t="s">
        <v>384</v>
      </c>
      <c r="D416" s="238" t="s">
        <v>1018</v>
      </c>
      <c r="E416" s="203" t="s">
        <v>2485</v>
      </c>
      <c r="F416" s="242"/>
      <c r="G416" s="203"/>
      <c r="H416" s="242"/>
      <c r="I416" s="242"/>
      <c r="J416" s="242"/>
      <c r="K416" s="242"/>
      <c r="L416" s="242"/>
      <c r="M416" s="242"/>
      <c r="N416" s="242"/>
      <c r="O416" s="203">
        <v>1</v>
      </c>
      <c r="P416" s="211">
        <v>1</v>
      </c>
      <c r="Q416" s="242"/>
      <c r="R416" s="242"/>
      <c r="S416" s="242"/>
      <c r="T416" s="242"/>
      <c r="U416" s="242"/>
      <c r="V416" s="242"/>
      <c r="W416" s="242"/>
      <c r="X416" s="242"/>
      <c r="Y416" s="242"/>
      <c r="Z416" s="203">
        <v>1</v>
      </c>
      <c r="AA416" s="211">
        <v>1</v>
      </c>
      <c r="AB416" s="242"/>
      <c r="AC416" s="242"/>
      <c r="AD416" s="242"/>
      <c r="AE416" s="242"/>
      <c r="AF416" s="242"/>
      <c r="AG416" s="242"/>
      <c r="AH416" s="242"/>
      <c r="AI416" s="242"/>
      <c r="AJ416" s="242"/>
      <c r="AK416" s="242"/>
      <c r="AL416" s="242"/>
      <c r="AM416" s="242"/>
      <c r="AN416" s="242"/>
      <c r="AO416" s="242"/>
      <c r="AP416" s="242"/>
      <c r="AQ416" s="242"/>
      <c r="AR416" s="242"/>
      <c r="AS416" s="242"/>
      <c r="AT416" s="242"/>
      <c r="AU416" s="242"/>
      <c r="AV416" s="242"/>
      <c r="AW416" s="240"/>
      <c r="AX416" s="240">
        <v>1</v>
      </c>
      <c r="AY416" s="240">
        <v>1</v>
      </c>
      <c r="AZ416" s="203">
        <v>1</v>
      </c>
      <c r="BA416" s="203">
        <v>1</v>
      </c>
      <c r="BB416" s="203">
        <v>1</v>
      </c>
      <c r="BC416" s="203">
        <v>1</v>
      </c>
    </row>
    <row r="417" spans="1:55" ht="21" hidden="1" customHeight="1">
      <c r="A417" s="212"/>
      <c r="B417" s="237">
        <v>46113</v>
      </c>
      <c r="C417" s="211" t="s">
        <v>386</v>
      </c>
      <c r="D417" s="238" t="s">
        <v>1019</v>
      </c>
      <c r="E417" s="203" t="s">
        <v>2486</v>
      </c>
      <c r="F417" s="242"/>
      <c r="G417" s="203"/>
      <c r="H417" s="242"/>
      <c r="I417" s="242"/>
      <c r="J417" s="242"/>
      <c r="K417" s="242"/>
      <c r="L417" s="242"/>
      <c r="M417" s="242"/>
      <c r="N417" s="242"/>
      <c r="O417" s="203">
        <v>1</v>
      </c>
      <c r="P417" s="211">
        <v>1</v>
      </c>
      <c r="Q417" s="242"/>
      <c r="R417" s="242"/>
      <c r="S417" s="242"/>
      <c r="T417" s="242"/>
      <c r="U417" s="242"/>
      <c r="V417" s="242"/>
      <c r="W417" s="242"/>
      <c r="X417" s="242"/>
      <c r="Y417" s="242"/>
      <c r="Z417" s="203">
        <v>1</v>
      </c>
      <c r="AA417" s="203"/>
      <c r="AB417" s="242"/>
      <c r="AC417" s="242"/>
      <c r="AD417" s="242"/>
      <c r="AE417" s="242"/>
      <c r="AF417" s="242"/>
      <c r="AG417" s="242"/>
      <c r="AH417" s="242"/>
      <c r="AI417" s="242"/>
      <c r="AJ417" s="242"/>
      <c r="AK417" s="242"/>
      <c r="AL417" s="242"/>
      <c r="AM417" s="242"/>
      <c r="AN417" s="242"/>
      <c r="AO417" s="242"/>
      <c r="AP417" s="242"/>
      <c r="AQ417" s="242"/>
      <c r="AR417" s="242"/>
      <c r="AS417" s="242"/>
      <c r="AT417" s="242"/>
      <c r="AU417" s="242"/>
      <c r="AV417" s="242"/>
      <c r="AW417" s="240"/>
      <c r="AX417" s="240">
        <v>1</v>
      </c>
      <c r="AY417" s="240">
        <v>1</v>
      </c>
      <c r="AZ417" s="203">
        <v>1</v>
      </c>
      <c r="BA417" s="203">
        <v>1</v>
      </c>
      <c r="BB417" s="203">
        <v>1</v>
      </c>
      <c r="BC417" s="203">
        <v>1</v>
      </c>
    </row>
    <row r="418" spans="1:55" ht="21" hidden="1" customHeight="1">
      <c r="A418" s="212"/>
      <c r="B418" s="237">
        <v>46113</v>
      </c>
      <c r="C418" s="211" t="s">
        <v>386</v>
      </c>
      <c r="D418" s="238" t="s">
        <v>1020</v>
      </c>
      <c r="E418" s="203" t="s">
        <v>2487</v>
      </c>
      <c r="F418" s="242"/>
      <c r="G418" s="203"/>
      <c r="H418" s="242"/>
      <c r="I418" s="242"/>
      <c r="J418" s="242"/>
      <c r="K418" s="242"/>
      <c r="L418" s="242"/>
      <c r="M418" s="242"/>
      <c r="N418" s="242"/>
      <c r="O418" s="203">
        <v>1</v>
      </c>
      <c r="P418" s="211">
        <v>1</v>
      </c>
      <c r="Q418" s="242"/>
      <c r="R418" s="242"/>
      <c r="S418" s="242"/>
      <c r="T418" s="242"/>
      <c r="U418" s="242"/>
      <c r="V418" s="242"/>
      <c r="W418" s="242"/>
      <c r="X418" s="242"/>
      <c r="Y418" s="242"/>
      <c r="Z418" s="203">
        <v>1</v>
      </c>
      <c r="AA418" s="211">
        <v>1</v>
      </c>
      <c r="AB418" s="242"/>
      <c r="AC418" s="242"/>
      <c r="AD418" s="242"/>
      <c r="AE418" s="242"/>
      <c r="AF418" s="242"/>
      <c r="AG418" s="242"/>
      <c r="AH418" s="242"/>
      <c r="AI418" s="242"/>
      <c r="AJ418" s="242"/>
      <c r="AK418" s="242"/>
      <c r="AL418" s="211">
        <v>1</v>
      </c>
      <c r="AM418" s="242"/>
      <c r="AN418" s="242"/>
      <c r="AO418" s="242"/>
      <c r="AP418" s="242"/>
      <c r="AQ418" s="242"/>
      <c r="AR418" s="242"/>
      <c r="AS418" s="242"/>
      <c r="AT418" s="242"/>
      <c r="AU418" s="242"/>
      <c r="AV418" s="242"/>
      <c r="AW418" s="240"/>
      <c r="AX418" s="240">
        <v>1</v>
      </c>
      <c r="AY418" s="240">
        <v>1</v>
      </c>
      <c r="AZ418" s="203">
        <v>1</v>
      </c>
      <c r="BA418" s="203"/>
      <c r="BB418" s="203"/>
      <c r="BC418" s="203"/>
    </row>
    <row r="419" spans="1:55" ht="21" hidden="1" customHeight="1">
      <c r="A419" s="212"/>
      <c r="B419" s="237">
        <v>46113</v>
      </c>
      <c r="C419" s="211" t="s">
        <v>384</v>
      </c>
      <c r="D419" s="238" t="s">
        <v>1021</v>
      </c>
      <c r="E419" s="203" t="s">
        <v>2488</v>
      </c>
      <c r="F419" s="242"/>
      <c r="G419" s="203"/>
      <c r="H419" s="242"/>
      <c r="I419" s="242"/>
      <c r="J419" s="242"/>
      <c r="K419" s="242"/>
      <c r="L419" s="242"/>
      <c r="M419" s="242"/>
      <c r="N419" s="242"/>
      <c r="O419" s="203">
        <v>1</v>
      </c>
      <c r="P419" s="211">
        <v>1</v>
      </c>
      <c r="Q419" s="242"/>
      <c r="R419" s="242"/>
      <c r="S419" s="242"/>
      <c r="T419" s="242"/>
      <c r="U419" s="242"/>
      <c r="V419" s="242"/>
      <c r="W419" s="242"/>
      <c r="X419" s="242"/>
      <c r="Y419" s="242"/>
      <c r="Z419" s="203">
        <v>1</v>
      </c>
      <c r="AA419" s="211">
        <v>1</v>
      </c>
      <c r="AB419" s="242"/>
      <c r="AC419" s="242"/>
      <c r="AD419" s="242"/>
      <c r="AE419" s="242"/>
      <c r="AF419" s="242"/>
      <c r="AG419" s="242"/>
      <c r="AH419" s="242"/>
      <c r="AI419" s="242"/>
      <c r="AJ419" s="242"/>
      <c r="AK419" s="242"/>
      <c r="AL419" s="242"/>
      <c r="AM419" s="242"/>
      <c r="AN419" s="242"/>
      <c r="AO419" s="242"/>
      <c r="AP419" s="242"/>
      <c r="AQ419" s="242"/>
      <c r="AR419" s="242"/>
      <c r="AS419" s="242"/>
      <c r="AT419" s="242"/>
      <c r="AU419" s="242"/>
      <c r="AV419" s="242"/>
      <c r="AW419" s="240"/>
      <c r="AX419" s="240">
        <v>1</v>
      </c>
      <c r="AY419" s="240">
        <v>1</v>
      </c>
      <c r="AZ419" s="203">
        <v>1</v>
      </c>
      <c r="BA419" s="203">
        <v>1</v>
      </c>
      <c r="BB419" s="203">
        <v>1</v>
      </c>
      <c r="BC419" s="203">
        <v>1</v>
      </c>
    </row>
    <row r="420" spans="1:55" ht="21" hidden="1" customHeight="1">
      <c r="A420" s="212"/>
      <c r="B420" s="237">
        <v>46113</v>
      </c>
      <c r="C420" s="211" t="s">
        <v>386</v>
      </c>
      <c r="D420" s="238" t="s">
        <v>1022</v>
      </c>
      <c r="E420" s="203" t="s">
        <v>2489</v>
      </c>
      <c r="F420" s="242"/>
      <c r="G420" s="203"/>
      <c r="H420" s="242"/>
      <c r="I420" s="242"/>
      <c r="J420" s="242"/>
      <c r="K420" s="242"/>
      <c r="L420" s="242"/>
      <c r="M420" s="242"/>
      <c r="N420" s="242"/>
      <c r="O420" s="203">
        <v>1</v>
      </c>
      <c r="P420" s="242">
        <v>1</v>
      </c>
      <c r="Q420" s="242"/>
      <c r="R420" s="242"/>
      <c r="S420" s="242"/>
      <c r="T420" s="242"/>
      <c r="U420" s="242"/>
      <c r="V420" s="242"/>
      <c r="W420" s="242"/>
      <c r="X420" s="242"/>
      <c r="Y420" s="242"/>
      <c r="Z420" s="203"/>
      <c r="AA420" s="203"/>
      <c r="AB420" s="242"/>
      <c r="AC420" s="242"/>
      <c r="AD420" s="242"/>
      <c r="AE420" s="242"/>
      <c r="AF420" s="242"/>
      <c r="AG420" s="242"/>
      <c r="AH420" s="242"/>
      <c r="AI420" s="242"/>
      <c r="AJ420" s="242"/>
      <c r="AK420" s="242"/>
      <c r="AL420" s="211">
        <v>1</v>
      </c>
      <c r="AM420" s="242"/>
      <c r="AN420" s="242"/>
      <c r="AO420" s="242"/>
      <c r="AP420" s="242"/>
      <c r="AQ420" s="242"/>
      <c r="AR420" s="242"/>
      <c r="AS420" s="242"/>
      <c r="AT420" s="242"/>
      <c r="AU420" s="242"/>
      <c r="AV420" s="242"/>
      <c r="AW420" s="240"/>
      <c r="AX420" s="240">
        <v>1</v>
      </c>
      <c r="AY420" s="240">
        <v>1</v>
      </c>
      <c r="AZ420" s="242"/>
      <c r="BA420" s="203">
        <v>1</v>
      </c>
      <c r="BB420" s="203">
        <v>1</v>
      </c>
      <c r="BC420" s="203">
        <v>1</v>
      </c>
    </row>
    <row r="421" spans="1:55" ht="21" hidden="1" customHeight="1">
      <c r="A421" s="212"/>
      <c r="B421" s="237">
        <v>46113</v>
      </c>
      <c r="C421" s="211" t="s">
        <v>386</v>
      </c>
      <c r="D421" s="238" t="s">
        <v>1023</v>
      </c>
      <c r="E421" s="203" t="s">
        <v>2490</v>
      </c>
      <c r="F421" s="242"/>
      <c r="G421" s="203"/>
      <c r="H421" s="242"/>
      <c r="I421" s="242"/>
      <c r="J421" s="242"/>
      <c r="K421" s="242"/>
      <c r="L421" s="242"/>
      <c r="M421" s="242"/>
      <c r="N421" s="242"/>
      <c r="O421" s="203">
        <v>1</v>
      </c>
      <c r="P421" s="211">
        <v>1</v>
      </c>
      <c r="Q421" s="242"/>
      <c r="R421" s="242"/>
      <c r="S421" s="242"/>
      <c r="T421" s="242"/>
      <c r="U421" s="242"/>
      <c r="V421" s="242"/>
      <c r="W421" s="242"/>
      <c r="X421" s="242"/>
      <c r="Y421" s="242"/>
      <c r="Z421" s="203">
        <v>1</v>
      </c>
      <c r="AA421" s="211">
        <v>1</v>
      </c>
      <c r="AB421" s="242"/>
      <c r="AC421" s="242"/>
      <c r="AD421" s="242"/>
      <c r="AE421" s="242"/>
      <c r="AF421" s="242"/>
      <c r="AG421" s="242"/>
      <c r="AH421" s="242"/>
      <c r="AI421" s="242"/>
      <c r="AJ421" s="242"/>
      <c r="AK421" s="242"/>
      <c r="AL421" s="242"/>
      <c r="AM421" s="242"/>
      <c r="AN421" s="242"/>
      <c r="AO421" s="242"/>
      <c r="AP421" s="242"/>
      <c r="AQ421" s="242"/>
      <c r="AR421" s="242"/>
      <c r="AS421" s="242"/>
      <c r="AT421" s="242"/>
      <c r="AU421" s="242"/>
      <c r="AV421" s="242"/>
      <c r="AW421" s="240"/>
      <c r="AX421" s="240">
        <v>1</v>
      </c>
      <c r="AY421" s="240">
        <v>1</v>
      </c>
      <c r="AZ421" s="203">
        <v>1</v>
      </c>
      <c r="BA421" s="203">
        <v>1</v>
      </c>
      <c r="BB421" s="203"/>
      <c r="BC421" s="203"/>
    </row>
    <row r="422" spans="1:55" ht="21" hidden="1" customHeight="1">
      <c r="A422" s="212"/>
      <c r="B422" s="237">
        <v>46113</v>
      </c>
      <c r="C422" s="211" t="s">
        <v>384</v>
      </c>
      <c r="D422" s="238" t="s">
        <v>1024</v>
      </c>
      <c r="E422" s="203" t="s">
        <v>2491</v>
      </c>
      <c r="F422" s="242"/>
      <c r="G422" s="203"/>
      <c r="H422" s="242"/>
      <c r="I422" s="242"/>
      <c r="J422" s="242"/>
      <c r="K422" s="242"/>
      <c r="L422" s="242"/>
      <c r="M422" s="242"/>
      <c r="N422" s="242"/>
      <c r="O422" s="203">
        <v>1</v>
      </c>
      <c r="P422" s="211">
        <v>1</v>
      </c>
      <c r="Q422" s="242"/>
      <c r="R422" s="242"/>
      <c r="S422" s="242"/>
      <c r="T422" s="242"/>
      <c r="U422" s="242"/>
      <c r="V422" s="242"/>
      <c r="W422" s="242"/>
      <c r="X422" s="242"/>
      <c r="Y422" s="242"/>
      <c r="Z422" s="203">
        <v>1</v>
      </c>
      <c r="AA422" s="211">
        <v>1</v>
      </c>
      <c r="AB422" s="242"/>
      <c r="AC422" s="242"/>
      <c r="AD422" s="242"/>
      <c r="AE422" s="242"/>
      <c r="AF422" s="242"/>
      <c r="AG422" s="242"/>
      <c r="AH422" s="242"/>
      <c r="AI422" s="242"/>
      <c r="AJ422" s="242"/>
      <c r="AK422" s="242"/>
      <c r="AL422" s="242"/>
      <c r="AM422" s="242"/>
      <c r="AN422" s="242"/>
      <c r="AO422" s="242"/>
      <c r="AP422" s="242"/>
      <c r="AQ422" s="242"/>
      <c r="AR422" s="242"/>
      <c r="AS422" s="242"/>
      <c r="AT422" s="242"/>
      <c r="AU422" s="242"/>
      <c r="AV422" s="242"/>
      <c r="AW422" s="240"/>
      <c r="AX422" s="240">
        <v>1</v>
      </c>
      <c r="AY422" s="240">
        <v>1</v>
      </c>
      <c r="AZ422" s="203">
        <v>1</v>
      </c>
      <c r="BA422" s="203">
        <v>1</v>
      </c>
      <c r="BB422" s="203">
        <v>1</v>
      </c>
      <c r="BC422" s="203">
        <v>1</v>
      </c>
    </row>
    <row r="423" spans="1:55" ht="21" hidden="1" customHeight="1">
      <c r="A423" s="212"/>
      <c r="B423" s="237">
        <v>46113</v>
      </c>
      <c r="C423" s="211" t="s">
        <v>384</v>
      </c>
      <c r="D423" s="238" t="s">
        <v>1025</v>
      </c>
      <c r="E423" s="203" t="s">
        <v>2492</v>
      </c>
      <c r="F423" s="242"/>
      <c r="G423" s="203"/>
      <c r="H423" s="242"/>
      <c r="I423" s="242"/>
      <c r="J423" s="242"/>
      <c r="K423" s="242"/>
      <c r="L423" s="242"/>
      <c r="M423" s="242"/>
      <c r="N423" s="242"/>
      <c r="O423" s="203">
        <v>1</v>
      </c>
      <c r="P423" s="211">
        <v>1</v>
      </c>
      <c r="Q423" s="242"/>
      <c r="R423" s="242"/>
      <c r="S423" s="242"/>
      <c r="T423" s="242"/>
      <c r="U423" s="242"/>
      <c r="V423" s="242"/>
      <c r="W423" s="242"/>
      <c r="X423" s="242"/>
      <c r="Y423" s="242"/>
      <c r="Z423" s="203">
        <v>1</v>
      </c>
      <c r="AA423" s="203"/>
      <c r="AB423" s="242"/>
      <c r="AC423" s="242"/>
      <c r="AD423" s="242"/>
      <c r="AE423" s="242"/>
      <c r="AF423" s="242"/>
      <c r="AG423" s="242"/>
      <c r="AH423" s="242"/>
      <c r="AI423" s="242"/>
      <c r="AJ423" s="242"/>
      <c r="AK423" s="242"/>
      <c r="AL423" s="242"/>
      <c r="AM423" s="242"/>
      <c r="AN423" s="242"/>
      <c r="AO423" s="242"/>
      <c r="AP423" s="242"/>
      <c r="AQ423" s="242"/>
      <c r="AR423" s="242"/>
      <c r="AS423" s="242"/>
      <c r="AT423" s="242"/>
      <c r="AU423" s="242"/>
      <c r="AV423" s="242"/>
      <c r="AW423" s="240"/>
      <c r="AX423" s="240">
        <v>1</v>
      </c>
      <c r="AY423" s="240">
        <v>1</v>
      </c>
      <c r="AZ423" s="203">
        <v>1</v>
      </c>
      <c r="BA423" s="203">
        <v>1</v>
      </c>
      <c r="BB423" s="203">
        <v>1</v>
      </c>
      <c r="BC423" s="203">
        <v>1</v>
      </c>
    </row>
    <row r="424" spans="1:55" ht="21" hidden="1" customHeight="1">
      <c r="A424" s="212"/>
      <c r="B424" s="237">
        <v>46113</v>
      </c>
      <c r="C424" s="211" t="s">
        <v>384</v>
      </c>
      <c r="D424" s="238" t="s">
        <v>1026</v>
      </c>
      <c r="E424" s="203" t="s">
        <v>2493</v>
      </c>
      <c r="F424" s="242"/>
      <c r="G424" s="203"/>
      <c r="H424" s="242"/>
      <c r="I424" s="242"/>
      <c r="J424" s="242"/>
      <c r="K424" s="242"/>
      <c r="L424" s="242"/>
      <c r="M424" s="242"/>
      <c r="N424" s="242"/>
      <c r="O424" s="203">
        <v>1</v>
      </c>
      <c r="P424" s="211">
        <v>1</v>
      </c>
      <c r="Q424" s="242"/>
      <c r="R424" s="242"/>
      <c r="S424" s="242"/>
      <c r="T424" s="242"/>
      <c r="U424" s="242"/>
      <c r="V424" s="242"/>
      <c r="W424" s="242"/>
      <c r="X424" s="242"/>
      <c r="Y424" s="242"/>
      <c r="Z424" s="203">
        <v>1</v>
      </c>
      <c r="AA424" s="211">
        <v>1</v>
      </c>
      <c r="AB424" s="242"/>
      <c r="AC424" s="242"/>
      <c r="AD424" s="242"/>
      <c r="AE424" s="242"/>
      <c r="AF424" s="242"/>
      <c r="AG424" s="242"/>
      <c r="AH424" s="242"/>
      <c r="AI424" s="242"/>
      <c r="AJ424" s="242"/>
      <c r="AK424" s="242"/>
      <c r="AL424" s="211">
        <v>1</v>
      </c>
      <c r="AM424" s="242"/>
      <c r="AN424" s="242"/>
      <c r="AO424" s="242"/>
      <c r="AP424" s="242"/>
      <c r="AQ424" s="242"/>
      <c r="AR424" s="242"/>
      <c r="AS424" s="242"/>
      <c r="AT424" s="242"/>
      <c r="AU424" s="242"/>
      <c r="AV424" s="242"/>
      <c r="AW424" s="240"/>
      <c r="AX424" s="240">
        <v>1</v>
      </c>
      <c r="AY424" s="240">
        <v>1</v>
      </c>
      <c r="AZ424" s="203">
        <v>1</v>
      </c>
      <c r="BA424" s="203">
        <v>1</v>
      </c>
      <c r="BB424" s="203">
        <v>1</v>
      </c>
      <c r="BC424" s="203">
        <v>1</v>
      </c>
    </row>
    <row r="425" spans="1:55" ht="21" hidden="1" customHeight="1">
      <c r="A425" s="212"/>
      <c r="B425" s="237">
        <v>46113</v>
      </c>
      <c r="C425" s="211" t="s">
        <v>384</v>
      </c>
      <c r="D425" s="238" t="s">
        <v>1027</v>
      </c>
      <c r="E425" s="203" t="s">
        <v>2494</v>
      </c>
      <c r="F425" s="242"/>
      <c r="G425" s="203"/>
      <c r="H425" s="242"/>
      <c r="I425" s="242"/>
      <c r="J425" s="242"/>
      <c r="K425" s="242"/>
      <c r="L425" s="242"/>
      <c r="M425" s="242"/>
      <c r="N425" s="242"/>
      <c r="O425" s="203">
        <v>1</v>
      </c>
      <c r="P425" s="211">
        <v>1</v>
      </c>
      <c r="Q425" s="242"/>
      <c r="R425" s="242"/>
      <c r="S425" s="242"/>
      <c r="T425" s="242"/>
      <c r="U425" s="242"/>
      <c r="V425" s="242"/>
      <c r="W425" s="242"/>
      <c r="X425" s="242"/>
      <c r="Y425" s="242"/>
      <c r="Z425" s="203">
        <v>1</v>
      </c>
      <c r="AA425" s="203"/>
      <c r="AB425" s="242"/>
      <c r="AC425" s="242"/>
      <c r="AD425" s="242"/>
      <c r="AE425" s="242"/>
      <c r="AF425" s="242"/>
      <c r="AG425" s="242"/>
      <c r="AH425" s="242"/>
      <c r="AI425" s="242"/>
      <c r="AJ425" s="242"/>
      <c r="AK425" s="242"/>
      <c r="AL425" s="242"/>
      <c r="AM425" s="242"/>
      <c r="AN425" s="242"/>
      <c r="AO425" s="242"/>
      <c r="AP425" s="242"/>
      <c r="AQ425" s="242"/>
      <c r="AR425" s="242"/>
      <c r="AS425" s="242"/>
      <c r="AT425" s="242"/>
      <c r="AU425" s="242"/>
      <c r="AV425" s="242"/>
      <c r="AW425" s="240"/>
      <c r="AX425" s="240">
        <v>1</v>
      </c>
      <c r="AY425" s="240">
        <v>1</v>
      </c>
      <c r="AZ425" s="242"/>
      <c r="BA425" s="203"/>
      <c r="BB425" s="203">
        <v>1</v>
      </c>
      <c r="BC425" s="203">
        <v>1</v>
      </c>
    </row>
    <row r="426" spans="1:55" ht="21" hidden="1" customHeight="1">
      <c r="A426" s="212"/>
      <c r="B426" s="237">
        <v>46113</v>
      </c>
      <c r="C426" s="211" t="s">
        <v>384</v>
      </c>
      <c r="D426" s="238" t="s">
        <v>1028</v>
      </c>
      <c r="E426" s="203" t="s">
        <v>2495</v>
      </c>
      <c r="F426" s="242"/>
      <c r="G426" s="203"/>
      <c r="H426" s="242"/>
      <c r="I426" s="242"/>
      <c r="J426" s="242"/>
      <c r="K426" s="242"/>
      <c r="L426" s="242"/>
      <c r="M426" s="242"/>
      <c r="N426" s="242"/>
      <c r="O426" s="203">
        <v>1</v>
      </c>
      <c r="P426" s="211">
        <v>1</v>
      </c>
      <c r="Q426" s="242"/>
      <c r="R426" s="242"/>
      <c r="S426" s="242"/>
      <c r="T426" s="242"/>
      <c r="U426" s="242"/>
      <c r="V426" s="242"/>
      <c r="W426" s="242"/>
      <c r="X426" s="242"/>
      <c r="Y426" s="242"/>
      <c r="Z426" s="203">
        <v>1</v>
      </c>
      <c r="AA426" s="211">
        <v>1</v>
      </c>
      <c r="AB426" s="242"/>
      <c r="AC426" s="242"/>
      <c r="AD426" s="242"/>
      <c r="AE426" s="242"/>
      <c r="AF426" s="242"/>
      <c r="AG426" s="242"/>
      <c r="AH426" s="242"/>
      <c r="AI426" s="242"/>
      <c r="AJ426" s="242"/>
      <c r="AK426" s="242"/>
      <c r="AL426" s="211">
        <v>1</v>
      </c>
      <c r="AM426" s="242"/>
      <c r="AN426" s="242"/>
      <c r="AO426" s="242"/>
      <c r="AP426" s="242"/>
      <c r="AQ426" s="242"/>
      <c r="AR426" s="242"/>
      <c r="AS426" s="242"/>
      <c r="AT426" s="242"/>
      <c r="AU426" s="242"/>
      <c r="AV426" s="242"/>
      <c r="AW426" s="240"/>
      <c r="AX426" s="240"/>
      <c r="AY426" s="240">
        <v>1</v>
      </c>
      <c r="AZ426" s="203">
        <v>1</v>
      </c>
      <c r="BA426" s="203">
        <v>1</v>
      </c>
      <c r="BB426" s="203">
        <v>1</v>
      </c>
      <c r="BC426" s="203">
        <v>1</v>
      </c>
    </row>
    <row r="427" spans="1:55" ht="21" hidden="1" customHeight="1">
      <c r="A427" s="212"/>
      <c r="B427" s="237">
        <v>46113</v>
      </c>
      <c r="C427" s="211" t="s">
        <v>384</v>
      </c>
      <c r="D427" s="238" t="s">
        <v>1029</v>
      </c>
      <c r="E427" s="203" t="s">
        <v>2496</v>
      </c>
      <c r="F427" s="242"/>
      <c r="G427" s="203"/>
      <c r="H427" s="242"/>
      <c r="I427" s="242"/>
      <c r="J427" s="242"/>
      <c r="K427" s="242"/>
      <c r="L427" s="242"/>
      <c r="M427" s="242"/>
      <c r="N427" s="242"/>
      <c r="O427" s="203">
        <v>1</v>
      </c>
      <c r="P427" s="242"/>
      <c r="Q427" s="242"/>
      <c r="R427" s="242"/>
      <c r="S427" s="242"/>
      <c r="T427" s="242"/>
      <c r="U427" s="242"/>
      <c r="V427" s="242"/>
      <c r="W427" s="242"/>
      <c r="X427" s="242"/>
      <c r="Y427" s="242"/>
      <c r="Z427" s="203"/>
      <c r="AA427" s="211">
        <v>1</v>
      </c>
      <c r="AB427" s="242"/>
      <c r="AC427" s="242"/>
      <c r="AD427" s="242"/>
      <c r="AE427" s="242"/>
      <c r="AF427" s="242"/>
      <c r="AG427" s="242"/>
      <c r="AH427" s="242"/>
      <c r="AI427" s="242"/>
      <c r="AJ427" s="242"/>
      <c r="AK427" s="242"/>
      <c r="AL427" s="211">
        <v>1</v>
      </c>
      <c r="AM427" s="242"/>
      <c r="AN427" s="242"/>
      <c r="AO427" s="242"/>
      <c r="AP427" s="242"/>
      <c r="AQ427" s="242"/>
      <c r="AR427" s="242"/>
      <c r="AS427" s="242"/>
      <c r="AT427" s="242"/>
      <c r="AU427" s="242"/>
      <c r="AV427" s="242"/>
      <c r="AW427" s="240"/>
      <c r="AX427" s="240">
        <v>1</v>
      </c>
      <c r="AY427" s="240">
        <v>1</v>
      </c>
      <c r="AZ427" s="203">
        <v>1</v>
      </c>
      <c r="BA427" s="203">
        <v>1</v>
      </c>
      <c r="BB427" s="203"/>
      <c r="BC427" s="203"/>
    </row>
    <row r="428" spans="1:55" ht="21" hidden="1" customHeight="1">
      <c r="A428" s="212"/>
      <c r="B428" s="237">
        <v>46113</v>
      </c>
      <c r="C428" s="211" t="s">
        <v>384</v>
      </c>
      <c r="D428" s="238" t="s">
        <v>1030</v>
      </c>
      <c r="E428" s="203" t="s">
        <v>2497</v>
      </c>
      <c r="F428" s="242"/>
      <c r="G428" s="203"/>
      <c r="H428" s="242"/>
      <c r="I428" s="242"/>
      <c r="J428" s="242"/>
      <c r="K428" s="242"/>
      <c r="L428" s="242"/>
      <c r="M428" s="242"/>
      <c r="N428" s="242"/>
      <c r="O428" s="203">
        <v>1</v>
      </c>
      <c r="P428" s="211">
        <v>1</v>
      </c>
      <c r="Q428" s="242"/>
      <c r="R428" s="242"/>
      <c r="S428" s="242"/>
      <c r="T428" s="242"/>
      <c r="U428" s="242"/>
      <c r="V428" s="242"/>
      <c r="W428" s="242"/>
      <c r="X428" s="242"/>
      <c r="Y428" s="242"/>
      <c r="Z428" s="203">
        <v>1</v>
      </c>
      <c r="AA428" s="211">
        <v>1</v>
      </c>
      <c r="AB428" s="242"/>
      <c r="AC428" s="242"/>
      <c r="AD428" s="242"/>
      <c r="AE428" s="242"/>
      <c r="AF428" s="242"/>
      <c r="AG428" s="242"/>
      <c r="AH428" s="242"/>
      <c r="AI428" s="242"/>
      <c r="AJ428" s="242"/>
      <c r="AK428" s="242"/>
      <c r="AL428" s="242"/>
      <c r="AM428" s="242"/>
      <c r="AN428" s="242"/>
      <c r="AO428" s="242"/>
      <c r="AP428" s="242"/>
      <c r="AQ428" s="242"/>
      <c r="AR428" s="242"/>
      <c r="AS428" s="242"/>
      <c r="AT428" s="242"/>
      <c r="AU428" s="242"/>
      <c r="AV428" s="242"/>
      <c r="AW428" s="240"/>
      <c r="AX428" s="240">
        <v>1</v>
      </c>
      <c r="AY428" s="240">
        <v>1</v>
      </c>
      <c r="AZ428" s="203">
        <v>1</v>
      </c>
      <c r="BA428" s="203">
        <v>1</v>
      </c>
      <c r="BB428" s="203">
        <v>1</v>
      </c>
      <c r="BC428" s="203">
        <v>1</v>
      </c>
    </row>
    <row r="429" spans="1:55" ht="21" hidden="1" customHeight="1">
      <c r="A429" s="212"/>
      <c r="B429" s="237">
        <v>46113</v>
      </c>
      <c r="C429" s="211" t="s">
        <v>384</v>
      </c>
      <c r="D429" s="238" t="s">
        <v>1031</v>
      </c>
      <c r="E429" s="203" t="s">
        <v>2498</v>
      </c>
      <c r="F429" s="242"/>
      <c r="G429" s="203"/>
      <c r="H429" s="242"/>
      <c r="I429" s="242"/>
      <c r="J429" s="242"/>
      <c r="K429" s="242"/>
      <c r="L429" s="242"/>
      <c r="M429" s="242"/>
      <c r="N429" s="242"/>
      <c r="O429" s="203">
        <v>1</v>
      </c>
      <c r="P429" s="211">
        <v>1</v>
      </c>
      <c r="Q429" s="242"/>
      <c r="R429" s="242"/>
      <c r="S429" s="242"/>
      <c r="T429" s="242"/>
      <c r="U429" s="242"/>
      <c r="V429" s="242"/>
      <c r="W429" s="242"/>
      <c r="X429" s="242"/>
      <c r="Y429" s="242"/>
      <c r="Z429" s="203">
        <v>1</v>
      </c>
      <c r="AA429" s="203"/>
      <c r="AB429" s="242"/>
      <c r="AC429" s="242"/>
      <c r="AD429" s="242"/>
      <c r="AE429" s="242"/>
      <c r="AF429" s="242"/>
      <c r="AG429" s="242"/>
      <c r="AH429" s="242"/>
      <c r="AI429" s="242"/>
      <c r="AJ429" s="242"/>
      <c r="AK429" s="211">
        <v>1</v>
      </c>
      <c r="AL429" s="242">
        <v>1</v>
      </c>
      <c r="AM429" s="242"/>
      <c r="AN429" s="242"/>
      <c r="AO429" s="242"/>
      <c r="AP429" s="242"/>
      <c r="AQ429" s="242"/>
      <c r="AR429" s="242"/>
      <c r="AS429" s="242"/>
      <c r="AT429" s="242"/>
      <c r="AU429" s="242"/>
      <c r="AV429" s="242"/>
      <c r="AW429" s="240"/>
      <c r="AX429" s="240">
        <v>1</v>
      </c>
      <c r="AY429" s="240">
        <v>1</v>
      </c>
      <c r="AZ429" s="242"/>
      <c r="BA429" s="203">
        <v>1</v>
      </c>
      <c r="BB429" s="203">
        <v>1</v>
      </c>
      <c r="BC429" s="203">
        <v>1</v>
      </c>
    </row>
    <row r="430" spans="1:55" ht="21" hidden="1" customHeight="1">
      <c r="A430" s="212"/>
      <c r="B430" s="237">
        <v>46113</v>
      </c>
      <c r="C430" s="211" t="s">
        <v>386</v>
      </c>
      <c r="D430" s="238" t="s">
        <v>1032</v>
      </c>
      <c r="E430" s="203" t="s">
        <v>2499</v>
      </c>
      <c r="F430" s="242"/>
      <c r="G430" s="203"/>
      <c r="H430" s="242"/>
      <c r="I430" s="242"/>
      <c r="J430" s="242"/>
      <c r="K430" s="242"/>
      <c r="L430" s="242"/>
      <c r="M430" s="242"/>
      <c r="N430" s="242"/>
      <c r="O430" s="203">
        <v>1</v>
      </c>
      <c r="P430" s="211">
        <v>1</v>
      </c>
      <c r="Q430" s="242"/>
      <c r="R430" s="242"/>
      <c r="S430" s="242"/>
      <c r="T430" s="242"/>
      <c r="U430" s="242"/>
      <c r="V430" s="242"/>
      <c r="W430" s="242"/>
      <c r="X430" s="242"/>
      <c r="Y430" s="242"/>
      <c r="Z430" s="203">
        <v>1</v>
      </c>
      <c r="AA430" s="211">
        <v>1</v>
      </c>
      <c r="AB430" s="242"/>
      <c r="AC430" s="242"/>
      <c r="AD430" s="242"/>
      <c r="AE430" s="242"/>
      <c r="AF430" s="242"/>
      <c r="AG430" s="242"/>
      <c r="AH430" s="242"/>
      <c r="AI430" s="242"/>
      <c r="AJ430" s="242"/>
      <c r="AK430" s="211">
        <v>1</v>
      </c>
      <c r="AL430" s="211">
        <v>1</v>
      </c>
      <c r="AM430" s="242"/>
      <c r="AN430" s="242"/>
      <c r="AO430" s="242"/>
      <c r="AP430" s="242"/>
      <c r="AQ430" s="242"/>
      <c r="AR430" s="242"/>
      <c r="AS430" s="242"/>
      <c r="AT430" s="242"/>
      <c r="AU430" s="242"/>
      <c r="AV430" s="242"/>
      <c r="AW430" s="240"/>
      <c r="AX430" s="240">
        <v>1</v>
      </c>
      <c r="AY430" s="240">
        <v>1</v>
      </c>
      <c r="AZ430" s="203">
        <v>1</v>
      </c>
      <c r="BA430" s="203">
        <v>1</v>
      </c>
      <c r="BB430" s="203">
        <v>1</v>
      </c>
      <c r="BC430" s="203">
        <v>1</v>
      </c>
    </row>
    <row r="431" spans="1:55" ht="21" hidden="1" customHeight="1">
      <c r="A431" s="212"/>
      <c r="B431" s="237">
        <v>46113</v>
      </c>
      <c r="C431" s="211" t="s">
        <v>384</v>
      </c>
      <c r="D431" s="238" t="s">
        <v>1033</v>
      </c>
      <c r="E431" s="203" t="s">
        <v>2500</v>
      </c>
      <c r="F431" s="242"/>
      <c r="G431" s="203"/>
      <c r="H431" s="242"/>
      <c r="I431" s="242"/>
      <c r="J431" s="242"/>
      <c r="K431" s="242"/>
      <c r="L431" s="242"/>
      <c r="M431" s="242"/>
      <c r="N431" s="242"/>
      <c r="O431" s="242">
        <v>1</v>
      </c>
      <c r="P431" s="211">
        <v>1</v>
      </c>
      <c r="Q431" s="242"/>
      <c r="R431" s="242"/>
      <c r="S431" s="242"/>
      <c r="T431" s="242"/>
      <c r="U431" s="242"/>
      <c r="V431" s="242"/>
      <c r="W431" s="242"/>
      <c r="X431" s="242"/>
      <c r="Y431" s="242"/>
      <c r="Z431" s="203"/>
      <c r="AA431" s="203">
        <v>1</v>
      </c>
      <c r="AB431" s="242"/>
      <c r="AC431" s="242"/>
      <c r="AD431" s="242"/>
      <c r="AE431" s="242"/>
      <c r="AF431" s="242"/>
      <c r="AG431" s="242"/>
      <c r="AH431" s="242"/>
      <c r="AI431" s="242"/>
      <c r="AJ431" s="242"/>
      <c r="AK431" s="211">
        <v>1</v>
      </c>
      <c r="AL431" s="242">
        <v>1</v>
      </c>
      <c r="AM431" s="242"/>
      <c r="AN431" s="242"/>
      <c r="AO431" s="242"/>
      <c r="AP431" s="242"/>
      <c r="AQ431" s="242"/>
      <c r="AR431" s="242"/>
      <c r="AS431" s="242"/>
      <c r="AT431" s="242"/>
      <c r="AU431" s="242"/>
      <c r="AV431" s="242"/>
      <c r="AW431" s="240"/>
      <c r="AX431" s="240">
        <v>1</v>
      </c>
      <c r="AY431" s="240">
        <v>1</v>
      </c>
      <c r="AZ431" s="203">
        <v>1</v>
      </c>
      <c r="BA431" s="203">
        <v>1</v>
      </c>
      <c r="BB431" s="203">
        <v>1</v>
      </c>
      <c r="BC431" s="203">
        <v>1</v>
      </c>
    </row>
    <row r="432" spans="1:55" ht="21" hidden="1" customHeight="1">
      <c r="A432" s="212"/>
      <c r="B432" s="237">
        <v>46113</v>
      </c>
      <c r="C432" s="211" t="s">
        <v>386</v>
      </c>
      <c r="D432" s="238" t="s">
        <v>1034</v>
      </c>
      <c r="E432" s="203" t="s">
        <v>2501</v>
      </c>
      <c r="F432" s="242"/>
      <c r="G432" s="203"/>
      <c r="H432" s="242"/>
      <c r="I432" s="242"/>
      <c r="J432" s="242"/>
      <c r="K432" s="242"/>
      <c r="L432" s="242"/>
      <c r="M432" s="242"/>
      <c r="N432" s="242"/>
      <c r="O432" s="242"/>
      <c r="P432" s="242"/>
      <c r="Q432" s="242"/>
      <c r="R432" s="242"/>
      <c r="S432" s="242"/>
      <c r="T432" s="242"/>
      <c r="U432" s="242"/>
      <c r="V432" s="242"/>
      <c r="W432" s="242"/>
      <c r="X432" s="242"/>
      <c r="Y432" s="242"/>
      <c r="Z432" s="203"/>
      <c r="AA432" s="203"/>
      <c r="AB432" s="242"/>
      <c r="AC432" s="242"/>
      <c r="AD432" s="242"/>
      <c r="AE432" s="242"/>
      <c r="AF432" s="242"/>
      <c r="AG432" s="242"/>
      <c r="AH432" s="242"/>
      <c r="AI432" s="242"/>
      <c r="AJ432" s="242"/>
      <c r="AK432" s="242"/>
      <c r="AL432" s="242"/>
      <c r="AM432" s="242"/>
      <c r="AN432" s="242"/>
      <c r="AO432" s="242"/>
      <c r="AP432" s="242"/>
      <c r="AQ432" s="242"/>
      <c r="AR432" s="242"/>
      <c r="AS432" s="242"/>
      <c r="AT432" s="242"/>
      <c r="AU432" s="242"/>
      <c r="AV432" s="242"/>
      <c r="AW432" s="240"/>
      <c r="AX432" s="240">
        <v>1</v>
      </c>
      <c r="AY432" s="240"/>
      <c r="AZ432" s="242"/>
      <c r="BA432" s="203"/>
      <c r="BB432" s="203"/>
      <c r="BC432" s="203"/>
    </row>
    <row r="433" spans="1:55" ht="21" hidden="1" customHeight="1">
      <c r="A433" s="212"/>
      <c r="B433" s="237">
        <v>46113</v>
      </c>
      <c r="C433" s="211" t="s">
        <v>384</v>
      </c>
      <c r="D433" s="238" t="s">
        <v>1035</v>
      </c>
      <c r="E433" s="203" t="s">
        <v>2502</v>
      </c>
      <c r="F433" s="242"/>
      <c r="G433" s="203"/>
      <c r="H433" s="242"/>
      <c r="I433" s="242"/>
      <c r="J433" s="242"/>
      <c r="K433" s="242"/>
      <c r="L433" s="242"/>
      <c r="M433" s="242"/>
      <c r="N433" s="242"/>
      <c r="O433" s="203">
        <v>1</v>
      </c>
      <c r="P433" s="211">
        <v>1</v>
      </c>
      <c r="Q433" s="242"/>
      <c r="R433" s="242"/>
      <c r="S433" s="242"/>
      <c r="T433" s="242"/>
      <c r="U433" s="242"/>
      <c r="V433" s="242"/>
      <c r="W433" s="242"/>
      <c r="X433" s="242"/>
      <c r="Y433" s="242"/>
      <c r="Z433" s="203">
        <v>1</v>
      </c>
      <c r="AA433" s="211">
        <v>1</v>
      </c>
      <c r="AB433" s="242"/>
      <c r="AC433" s="242"/>
      <c r="AD433" s="242"/>
      <c r="AE433" s="242"/>
      <c r="AF433" s="242"/>
      <c r="AG433" s="242"/>
      <c r="AH433" s="242"/>
      <c r="AI433" s="242"/>
      <c r="AJ433" s="242"/>
      <c r="AK433" s="242"/>
      <c r="AL433" s="242"/>
      <c r="AM433" s="242"/>
      <c r="AN433" s="242"/>
      <c r="AO433" s="242"/>
      <c r="AP433" s="242"/>
      <c r="AQ433" s="242"/>
      <c r="AR433" s="242"/>
      <c r="AS433" s="242"/>
      <c r="AT433" s="242"/>
      <c r="AU433" s="242"/>
      <c r="AV433" s="242"/>
      <c r="AW433" s="240"/>
      <c r="AX433" s="240">
        <v>1</v>
      </c>
      <c r="AY433" s="240">
        <v>1</v>
      </c>
      <c r="AZ433" s="203">
        <v>1</v>
      </c>
      <c r="BA433" s="203">
        <v>1</v>
      </c>
      <c r="BB433" s="203">
        <v>1</v>
      </c>
      <c r="BC433" s="203">
        <v>1</v>
      </c>
    </row>
    <row r="434" spans="1:55" ht="21" hidden="1" customHeight="1">
      <c r="A434" s="212"/>
      <c r="B434" s="237">
        <v>46113</v>
      </c>
      <c r="C434" s="211" t="s">
        <v>386</v>
      </c>
      <c r="D434" s="238" t="s">
        <v>1036</v>
      </c>
      <c r="E434" s="203" t="s">
        <v>2503</v>
      </c>
      <c r="F434" s="242"/>
      <c r="G434" s="203"/>
      <c r="H434" s="242"/>
      <c r="I434" s="242"/>
      <c r="J434" s="242"/>
      <c r="K434" s="242"/>
      <c r="L434" s="242"/>
      <c r="M434" s="242"/>
      <c r="N434" s="242"/>
      <c r="O434" s="203">
        <v>1</v>
      </c>
      <c r="P434" s="211">
        <v>1</v>
      </c>
      <c r="Q434" s="242"/>
      <c r="R434" s="242"/>
      <c r="S434" s="242"/>
      <c r="T434" s="242"/>
      <c r="U434" s="242"/>
      <c r="V434" s="242"/>
      <c r="W434" s="242"/>
      <c r="X434" s="242"/>
      <c r="Y434" s="242"/>
      <c r="Z434" s="203">
        <v>1</v>
      </c>
      <c r="AA434" s="211">
        <v>1</v>
      </c>
      <c r="AB434" s="242"/>
      <c r="AC434" s="242"/>
      <c r="AD434" s="242"/>
      <c r="AE434" s="242"/>
      <c r="AF434" s="242"/>
      <c r="AG434" s="242"/>
      <c r="AH434" s="242"/>
      <c r="AI434" s="242"/>
      <c r="AJ434" s="242"/>
      <c r="AK434" s="242"/>
      <c r="AL434" s="242"/>
      <c r="AM434" s="242"/>
      <c r="AN434" s="242"/>
      <c r="AO434" s="242"/>
      <c r="AP434" s="242"/>
      <c r="AQ434" s="242"/>
      <c r="AR434" s="242"/>
      <c r="AS434" s="242"/>
      <c r="AT434" s="242"/>
      <c r="AU434" s="242"/>
      <c r="AV434" s="242"/>
      <c r="AW434" s="240"/>
      <c r="AX434" s="240">
        <v>1</v>
      </c>
      <c r="AY434" s="240">
        <v>1</v>
      </c>
      <c r="AZ434" s="203">
        <v>1</v>
      </c>
      <c r="BA434" s="203">
        <v>1</v>
      </c>
      <c r="BB434" s="203">
        <v>1</v>
      </c>
      <c r="BC434" s="203">
        <v>1</v>
      </c>
    </row>
    <row r="435" spans="1:55" ht="21" hidden="1" customHeight="1">
      <c r="A435" s="212"/>
      <c r="B435" s="237">
        <v>46113</v>
      </c>
      <c r="C435" s="211" t="s">
        <v>386</v>
      </c>
      <c r="D435" s="238" t="s">
        <v>1037</v>
      </c>
      <c r="E435" s="203" t="s">
        <v>2504</v>
      </c>
      <c r="F435" s="242"/>
      <c r="G435" s="203"/>
      <c r="H435" s="242"/>
      <c r="I435" s="242"/>
      <c r="J435" s="242"/>
      <c r="K435" s="242"/>
      <c r="L435" s="242"/>
      <c r="M435" s="242"/>
      <c r="N435" s="242"/>
      <c r="O435" s="203">
        <v>1</v>
      </c>
      <c r="P435" s="211">
        <v>1</v>
      </c>
      <c r="Q435" s="242"/>
      <c r="R435" s="242"/>
      <c r="S435" s="242"/>
      <c r="T435" s="242"/>
      <c r="U435" s="242"/>
      <c r="V435" s="242"/>
      <c r="W435" s="242"/>
      <c r="X435" s="242"/>
      <c r="Y435" s="242"/>
      <c r="Z435" s="203"/>
      <c r="AA435" s="211">
        <v>1</v>
      </c>
      <c r="AB435" s="242"/>
      <c r="AC435" s="242"/>
      <c r="AD435" s="242"/>
      <c r="AE435" s="242"/>
      <c r="AF435" s="242"/>
      <c r="AG435" s="242"/>
      <c r="AH435" s="242"/>
      <c r="AI435" s="242"/>
      <c r="AJ435" s="242"/>
      <c r="AK435" s="242"/>
      <c r="AL435" s="242"/>
      <c r="AM435" s="242"/>
      <c r="AN435" s="242"/>
      <c r="AO435" s="242"/>
      <c r="AP435" s="242"/>
      <c r="AQ435" s="242"/>
      <c r="AR435" s="242"/>
      <c r="AS435" s="242"/>
      <c r="AT435" s="242"/>
      <c r="AU435" s="242"/>
      <c r="AV435" s="242"/>
      <c r="AW435" s="240"/>
      <c r="AX435" s="240">
        <v>1</v>
      </c>
      <c r="AY435" s="240">
        <v>1</v>
      </c>
      <c r="AZ435" s="203">
        <v>1</v>
      </c>
      <c r="BA435" s="203">
        <v>1</v>
      </c>
      <c r="BB435" s="203">
        <v>1</v>
      </c>
      <c r="BC435" s="203">
        <v>1</v>
      </c>
    </row>
    <row r="436" spans="1:55" ht="21" hidden="1" customHeight="1">
      <c r="A436" s="212"/>
      <c r="B436" s="237">
        <v>46113</v>
      </c>
      <c r="C436" s="211" t="s">
        <v>384</v>
      </c>
      <c r="D436" s="238" t="s">
        <v>1038</v>
      </c>
      <c r="E436" s="203" t="s">
        <v>2505</v>
      </c>
      <c r="F436" s="242"/>
      <c r="G436" s="203"/>
      <c r="H436" s="242"/>
      <c r="I436" s="242"/>
      <c r="J436" s="242"/>
      <c r="K436" s="242"/>
      <c r="L436" s="242"/>
      <c r="M436" s="242"/>
      <c r="N436" s="242"/>
      <c r="O436" s="203">
        <v>1</v>
      </c>
      <c r="P436" s="211">
        <v>1</v>
      </c>
      <c r="Q436" s="242"/>
      <c r="R436" s="242"/>
      <c r="S436" s="242"/>
      <c r="T436" s="242"/>
      <c r="U436" s="242"/>
      <c r="V436" s="242"/>
      <c r="W436" s="242"/>
      <c r="X436" s="242"/>
      <c r="Y436" s="242"/>
      <c r="Z436" s="203">
        <v>1</v>
      </c>
      <c r="AA436" s="211">
        <v>1</v>
      </c>
      <c r="AB436" s="242"/>
      <c r="AC436" s="242"/>
      <c r="AD436" s="242"/>
      <c r="AE436" s="242"/>
      <c r="AF436" s="242"/>
      <c r="AG436" s="242"/>
      <c r="AH436" s="242"/>
      <c r="AI436" s="242"/>
      <c r="AJ436" s="242"/>
      <c r="AK436" s="242"/>
      <c r="AL436" s="211">
        <v>1</v>
      </c>
      <c r="AM436" s="242"/>
      <c r="AN436" s="242"/>
      <c r="AO436" s="242"/>
      <c r="AP436" s="242"/>
      <c r="AQ436" s="242"/>
      <c r="AR436" s="242"/>
      <c r="AS436" s="242"/>
      <c r="AT436" s="242"/>
      <c r="AU436" s="242"/>
      <c r="AV436" s="242"/>
      <c r="AW436" s="240"/>
      <c r="AX436" s="240">
        <v>1</v>
      </c>
      <c r="AY436" s="240">
        <v>1</v>
      </c>
      <c r="AZ436" s="203">
        <v>1</v>
      </c>
      <c r="BA436" s="203">
        <v>1</v>
      </c>
      <c r="BB436" s="203">
        <v>1</v>
      </c>
      <c r="BC436" s="203">
        <v>1</v>
      </c>
    </row>
    <row r="437" spans="1:55" ht="21" hidden="1" customHeight="1">
      <c r="A437" s="212"/>
      <c r="B437" s="237">
        <v>46113</v>
      </c>
      <c r="C437" s="211" t="s">
        <v>384</v>
      </c>
      <c r="D437" s="238" t="s">
        <v>1039</v>
      </c>
      <c r="E437" s="203" t="s">
        <v>2506</v>
      </c>
      <c r="F437" s="242"/>
      <c r="G437" s="203"/>
      <c r="H437" s="242"/>
      <c r="I437" s="242"/>
      <c r="J437" s="242"/>
      <c r="K437" s="242"/>
      <c r="L437" s="242"/>
      <c r="M437" s="242"/>
      <c r="N437" s="242"/>
      <c r="O437" s="203">
        <v>1</v>
      </c>
      <c r="P437" s="211">
        <v>1</v>
      </c>
      <c r="Q437" s="242"/>
      <c r="R437" s="242"/>
      <c r="S437" s="242"/>
      <c r="T437" s="242"/>
      <c r="U437" s="242"/>
      <c r="V437" s="242"/>
      <c r="W437" s="242"/>
      <c r="X437" s="242"/>
      <c r="Y437" s="242"/>
      <c r="Z437" s="203">
        <v>1</v>
      </c>
      <c r="AA437" s="211">
        <v>1</v>
      </c>
      <c r="AB437" s="242"/>
      <c r="AC437" s="242"/>
      <c r="AD437" s="242"/>
      <c r="AE437" s="242"/>
      <c r="AF437" s="242"/>
      <c r="AG437" s="242"/>
      <c r="AH437" s="242"/>
      <c r="AI437" s="242"/>
      <c r="AJ437" s="242"/>
      <c r="AK437" s="242"/>
      <c r="AL437" s="242"/>
      <c r="AM437" s="242"/>
      <c r="AN437" s="242"/>
      <c r="AO437" s="242"/>
      <c r="AP437" s="242"/>
      <c r="AQ437" s="242"/>
      <c r="AR437" s="242"/>
      <c r="AS437" s="242"/>
      <c r="AT437" s="242"/>
      <c r="AU437" s="242"/>
      <c r="AV437" s="242"/>
      <c r="AW437" s="240"/>
      <c r="AX437" s="240">
        <v>1</v>
      </c>
      <c r="AY437" s="240">
        <v>1</v>
      </c>
      <c r="AZ437" s="203">
        <v>1</v>
      </c>
      <c r="BA437" s="203">
        <v>1</v>
      </c>
      <c r="BB437" s="203">
        <v>1</v>
      </c>
      <c r="BC437" s="203">
        <v>1</v>
      </c>
    </row>
    <row r="438" spans="1:55" ht="21" hidden="1" customHeight="1">
      <c r="A438" s="212"/>
      <c r="B438" s="237">
        <v>46113</v>
      </c>
      <c r="C438" s="211" t="s">
        <v>384</v>
      </c>
      <c r="D438" s="238" t="s">
        <v>1040</v>
      </c>
      <c r="E438" s="203" t="s">
        <v>2507</v>
      </c>
      <c r="F438" s="242"/>
      <c r="G438" s="203"/>
      <c r="H438" s="242"/>
      <c r="I438" s="242"/>
      <c r="J438" s="242"/>
      <c r="K438" s="242"/>
      <c r="L438" s="242"/>
      <c r="M438" s="242"/>
      <c r="N438" s="242"/>
      <c r="O438" s="203">
        <v>1</v>
      </c>
      <c r="P438" s="211">
        <v>1</v>
      </c>
      <c r="Q438" s="242"/>
      <c r="R438" s="242"/>
      <c r="S438" s="242"/>
      <c r="T438" s="242"/>
      <c r="U438" s="242"/>
      <c r="V438" s="242"/>
      <c r="W438" s="242"/>
      <c r="X438" s="242"/>
      <c r="Y438" s="242"/>
      <c r="Z438" s="203">
        <v>1</v>
      </c>
      <c r="AA438" s="211">
        <v>1</v>
      </c>
      <c r="AB438" s="242"/>
      <c r="AC438" s="242"/>
      <c r="AD438" s="242"/>
      <c r="AE438" s="242"/>
      <c r="AF438" s="242"/>
      <c r="AG438" s="242"/>
      <c r="AH438" s="242"/>
      <c r="AI438" s="242"/>
      <c r="AJ438" s="242"/>
      <c r="AK438" s="242"/>
      <c r="AL438" s="211">
        <v>1</v>
      </c>
      <c r="AM438" s="242"/>
      <c r="AN438" s="242"/>
      <c r="AO438" s="242"/>
      <c r="AP438" s="242"/>
      <c r="AQ438" s="242"/>
      <c r="AR438" s="242"/>
      <c r="AS438" s="242"/>
      <c r="AT438" s="242"/>
      <c r="AU438" s="242"/>
      <c r="AV438" s="242"/>
      <c r="AW438" s="240"/>
      <c r="AX438" s="240">
        <v>1</v>
      </c>
      <c r="AY438" s="240">
        <v>1</v>
      </c>
      <c r="AZ438" s="203">
        <v>1</v>
      </c>
      <c r="BA438" s="203">
        <v>1</v>
      </c>
      <c r="BB438" s="203">
        <v>1</v>
      </c>
      <c r="BC438" s="203">
        <v>1</v>
      </c>
    </row>
    <row r="439" spans="1:55" ht="21" hidden="1" customHeight="1">
      <c r="A439" s="212"/>
      <c r="B439" s="237">
        <v>46113</v>
      </c>
      <c r="C439" s="211" t="s">
        <v>386</v>
      </c>
      <c r="D439" s="238" t="s">
        <v>1041</v>
      </c>
      <c r="E439" s="203" t="s">
        <v>2508</v>
      </c>
      <c r="F439" s="242"/>
      <c r="G439" s="203"/>
      <c r="H439" s="242"/>
      <c r="I439" s="242"/>
      <c r="J439" s="242"/>
      <c r="K439" s="242"/>
      <c r="L439" s="242"/>
      <c r="M439" s="242"/>
      <c r="N439" s="242"/>
      <c r="O439" s="203">
        <v>1</v>
      </c>
      <c r="P439" s="211">
        <v>1</v>
      </c>
      <c r="Q439" s="242"/>
      <c r="R439" s="242"/>
      <c r="S439" s="242"/>
      <c r="T439" s="242"/>
      <c r="U439" s="242"/>
      <c r="V439" s="242"/>
      <c r="W439" s="242"/>
      <c r="X439" s="242"/>
      <c r="Y439" s="242"/>
      <c r="Z439" s="203">
        <v>1</v>
      </c>
      <c r="AA439" s="211">
        <v>1</v>
      </c>
      <c r="AB439" s="242"/>
      <c r="AC439" s="242"/>
      <c r="AD439" s="242"/>
      <c r="AE439" s="242"/>
      <c r="AF439" s="242"/>
      <c r="AG439" s="242"/>
      <c r="AH439" s="242"/>
      <c r="AI439" s="242"/>
      <c r="AJ439" s="242"/>
      <c r="AK439" s="242"/>
      <c r="AL439" s="242"/>
      <c r="AM439" s="242"/>
      <c r="AN439" s="242"/>
      <c r="AO439" s="242"/>
      <c r="AP439" s="242"/>
      <c r="AQ439" s="242"/>
      <c r="AR439" s="242"/>
      <c r="AS439" s="242"/>
      <c r="AT439" s="242"/>
      <c r="AU439" s="242"/>
      <c r="AV439" s="242"/>
      <c r="AW439" s="240"/>
      <c r="AX439" s="240">
        <v>1</v>
      </c>
      <c r="AY439" s="240">
        <v>1</v>
      </c>
      <c r="AZ439" s="203">
        <v>1</v>
      </c>
      <c r="BA439" s="203">
        <v>1</v>
      </c>
      <c r="BB439" s="203">
        <v>1</v>
      </c>
      <c r="BC439" s="203">
        <v>1</v>
      </c>
    </row>
    <row r="440" spans="1:55" ht="21" hidden="1" customHeight="1">
      <c r="A440" s="212"/>
      <c r="B440" s="237">
        <v>46113</v>
      </c>
      <c r="C440" s="211" t="s">
        <v>386</v>
      </c>
      <c r="D440" s="238" t="s">
        <v>1042</v>
      </c>
      <c r="E440" s="203" t="s">
        <v>2509</v>
      </c>
      <c r="F440" s="242"/>
      <c r="G440" s="203"/>
      <c r="H440" s="242"/>
      <c r="I440" s="242"/>
      <c r="J440" s="242"/>
      <c r="K440" s="242"/>
      <c r="L440" s="242"/>
      <c r="M440" s="242"/>
      <c r="N440" s="242"/>
      <c r="O440" s="203">
        <v>1</v>
      </c>
      <c r="P440" s="211">
        <v>1</v>
      </c>
      <c r="Q440" s="242"/>
      <c r="R440" s="242"/>
      <c r="S440" s="242"/>
      <c r="T440" s="242"/>
      <c r="U440" s="242"/>
      <c r="V440" s="242"/>
      <c r="W440" s="242"/>
      <c r="X440" s="242"/>
      <c r="Y440" s="242"/>
      <c r="Z440" s="203">
        <v>1</v>
      </c>
      <c r="AA440" s="211">
        <v>1</v>
      </c>
      <c r="AB440" s="242"/>
      <c r="AC440" s="242"/>
      <c r="AD440" s="242"/>
      <c r="AE440" s="242"/>
      <c r="AF440" s="242"/>
      <c r="AG440" s="242"/>
      <c r="AH440" s="242"/>
      <c r="AI440" s="242"/>
      <c r="AJ440" s="242"/>
      <c r="AK440" s="242"/>
      <c r="AL440" s="211">
        <v>1</v>
      </c>
      <c r="AM440" s="242"/>
      <c r="AN440" s="242"/>
      <c r="AO440" s="242"/>
      <c r="AP440" s="242"/>
      <c r="AQ440" s="242"/>
      <c r="AR440" s="242"/>
      <c r="AS440" s="242"/>
      <c r="AT440" s="242"/>
      <c r="AU440" s="242"/>
      <c r="AV440" s="242"/>
      <c r="AW440" s="240"/>
      <c r="AX440" s="240">
        <v>1</v>
      </c>
      <c r="AY440" s="240">
        <v>1</v>
      </c>
      <c r="AZ440" s="203">
        <v>1</v>
      </c>
      <c r="BA440" s="203">
        <v>1</v>
      </c>
      <c r="BB440" s="203">
        <v>1</v>
      </c>
      <c r="BC440" s="203">
        <v>1</v>
      </c>
    </row>
    <row r="441" spans="1:55" ht="21" hidden="1" customHeight="1">
      <c r="A441" s="212"/>
      <c r="B441" s="237">
        <v>46113</v>
      </c>
      <c r="C441" s="211" t="s">
        <v>384</v>
      </c>
      <c r="D441" s="238" t="s">
        <v>1043</v>
      </c>
      <c r="E441" s="203" t="s">
        <v>2510</v>
      </c>
      <c r="F441" s="242"/>
      <c r="G441" s="203"/>
      <c r="H441" s="242"/>
      <c r="I441" s="242"/>
      <c r="J441" s="242"/>
      <c r="K441" s="242"/>
      <c r="L441" s="242"/>
      <c r="M441" s="242"/>
      <c r="N441" s="242"/>
      <c r="O441" s="203">
        <v>1</v>
      </c>
      <c r="P441" s="211">
        <v>1</v>
      </c>
      <c r="Q441" s="242"/>
      <c r="R441" s="242"/>
      <c r="S441" s="242"/>
      <c r="T441" s="242"/>
      <c r="U441" s="242"/>
      <c r="V441" s="242"/>
      <c r="W441" s="242"/>
      <c r="X441" s="242"/>
      <c r="Y441" s="242"/>
      <c r="Z441" s="203"/>
      <c r="AA441" s="203">
        <v>1</v>
      </c>
      <c r="AB441" s="242"/>
      <c r="AC441" s="242"/>
      <c r="AD441" s="242"/>
      <c r="AE441" s="242"/>
      <c r="AF441" s="242"/>
      <c r="AG441" s="242"/>
      <c r="AH441" s="242"/>
      <c r="AI441" s="242"/>
      <c r="AJ441" s="242"/>
      <c r="AK441" s="242"/>
      <c r="AL441" s="242"/>
      <c r="AM441" s="242"/>
      <c r="AN441" s="242"/>
      <c r="AO441" s="242"/>
      <c r="AP441" s="242"/>
      <c r="AQ441" s="242"/>
      <c r="AR441" s="242"/>
      <c r="AS441" s="242"/>
      <c r="AT441" s="242"/>
      <c r="AU441" s="242"/>
      <c r="AV441" s="242"/>
      <c r="AW441" s="240"/>
      <c r="AX441" s="240">
        <v>1</v>
      </c>
      <c r="AY441" s="240">
        <v>1</v>
      </c>
      <c r="AZ441" s="203">
        <v>1</v>
      </c>
      <c r="BA441" s="203">
        <v>1</v>
      </c>
      <c r="BB441" s="203">
        <v>1</v>
      </c>
      <c r="BC441" s="203">
        <v>1</v>
      </c>
    </row>
    <row r="442" spans="1:55" ht="21" hidden="1" customHeight="1">
      <c r="A442" s="212"/>
      <c r="B442" s="237">
        <v>46113</v>
      </c>
      <c r="C442" s="211" t="s">
        <v>386</v>
      </c>
      <c r="D442" s="238" t="s">
        <v>1044</v>
      </c>
      <c r="E442" s="203" t="s">
        <v>2511</v>
      </c>
      <c r="F442" s="242"/>
      <c r="G442" s="203"/>
      <c r="H442" s="242"/>
      <c r="I442" s="242"/>
      <c r="J442" s="242"/>
      <c r="K442" s="242"/>
      <c r="L442" s="242"/>
      <c r="M442" s="242"/>
      <c r="N442" s="242"/>
      <c r="O442" s="203">
        <v>1</v>
      </c>
      <c r="P442" s="211">
        <v>1</v>
      </c>
      <c r="Q442" s="242"/>
      <c r="R442" s="242"/>
      <c r="S442" s="242"/>
      <c r="T442" s="242"/>
      <c r="U442" s="242"/>
      <c r="V442" s="242"/>
      <c r="W442" s="242"/>
      <c r="X442" s="242"/>
      <c r="Y442" s="242"/>
      <c r="Z442" s="203"/>
      <c r="AA442" s="203"/>
      <c r="AB442" s="242"/>
      <c r="AC442" s="242"/>
      <c r="AD442" s="242"/>
      <c r="AE442" s="242"/>
      <c r="AF442" s="242"/>
      <c r="AG442" s="242"/>
      <c r="AH442" s="242"/>
      <c r="AI442" s="242"/>
      <c r="AJ442" s="242"/>
      <c r="AK442" s="242"/>
      <c r="AL442" s="242"/>
      <c r="AM442" s="242"/>
      <c r="AN442" s="242"/>
      <c r="AO442" s="242"/>
      <c r="AP442" s="242"/>
      <c r="AQ442" s="242"/>
      <c r="AR442" s="242"/>
      <c r="AS442" s="242"/>
      <c r="AT442" s="242"/>
      <c r="AU442" s="242"/>
      <c r="AV442" s="242"/>
      <c r="AW442" s="240"/>
      <c r="AX442" s="240">
        <v>1</v>
      </c>
      <c r="AY442" s="240">
        <v>1</v>
      </c>
      <c r="AZ442" s="203">
        <v>1</v>
      </c>
      <c r="BA442" s="203">
        <v>1</v>
      </c>
      <c r="BB442" s="203">
        <v>1</v>
      </c>
      <c r="BC442" s="203">
        <v>1</v>
      </c>
    </row>
    <row r="443" spans="1:55" ht="21" hidden="1" customHeight="1">
      <c r="A443" s="212"/>
      <c r="B443" s="237">
        <v>46113</v>
      </c>
      <c r="C443" s="211" t="s">
        <v>384</v>
      </c>
      <c r="D443" s="238" t="s">
        <v>1045</v>
      </c>
      <c r="E443" s="203" t="s">
        <v>2512</v>
      </c>
      <c r="F443" s="242"/>
      <c r="G443" s="203"/>
      <c r="H443" s="242"/>
      <c r="I443" s="242"/>
      <c r="J443" s="242"/>
      <c r="K443" s="242"/>
      <c r="L443" s="242"/>
      <c r="M443" s="242"/>
      <c r="N443" s="242"/>
      <c r="O443" s="203">
        <v>1</v>
      </c>
      <c r="P443" s="211">
        <v>1</v>
      </c>
      <c r="Q443" s="242"/>
      <c r="R443" s="242"/>
      <c r="S443" s="242"/>
      <c r="T443" s="242"/>
      <c r="U443" s="242"/>
      <c r="V443" s="242"/>
      <c r="W443" s="242"/>
      <c r="X443" s="242"/>
      <c r="Y443" s="242"/>
      <c r="Z443" s="203">
        <v>1</v>
      </c>
      <c r="AA443" s="211">
        <v>1</v>
      </c>
      <c r="AB443" s="242"/>
      <c r="AC443" s="242"/>
      <c r="AD443" s="242"/>
      <c r="AE443" s="242"/>
      <c r="AF443" s="242"/>
      <c r="AG443" s="242"/>
      <c r="AH443" s="242"/>
      <c r="AI443" s="242"/>
      <c r="AJ443" s="242"/>
      <c r="AK443" s="211">
        <v>1</v>
      </c>
      <c r="AL443" s="211">
        <v>1</v>
      </c>
      <c r="AM443" s="242"/>
      <c r="AN443" s="242"/>
      <c r="AO443" s="242"/>
      <c r="AP443" s="242"/>
      <c r="AQ443" s="242"/>
      <c r="AR443" s="242"/>
      <c r="AS443" s="242"/>
      <c r="AT443" s="242"/>
      <c r="AU443" s="242"/>
      <c r="AV443" s="242"/>
      <c r="AW443" s="240"/>
      <c r="AX443" s="240">
        <v>1</v>
      </c>
      <c r="AY443" s="240">
        <v>1</v>
      </c>
      <c r="AZ443" s="203">
        <v>1</v>
      </c>
      <c r="BA443" s="203">
        <v>1</v>
      </c>
      <c r="BB443" s="203">
        <v>1</v>
      </c>
      <c r="BC443" s="203">
        <v>1</v>
      </c>
    </row>
    <row r="444" spans="1:55" ht="21" hidden="1" customHeight="1">
      <c r="A444" s="212"/>
      <c r="B444" s="237">
        <v>46113</v>
      </c>
      <c r="C444" s="211" t="s">
        <v>386</v>
      </c>
      <c r="D444" s="238" t="s">
        <v>1046</v>
      </c>
      <c r="E444" s="203"/>
      <c r="F444" s="242"/>
      <c r="G444" s="203"/>
      <c r="H444" s="242"/>
      <c r="I444" s="242"/>
      <c r="J444" s="242"/>
      <c r="K444" s="242"/>
      <c r="L444" s="242"/>
      <c r="M444" s="242"/>
      <c r="N444" s="242"/>
      <c r="O444" s="203">
        <v>1</v>
      </c>
      <c r="P444" s="211">
        <v>1</v>
      </c>
      <c r="Q444" s="242"/>
      <c r="R444" s="242"/>
      <c r="S444" s="242"/>
      <c r="T444" s="242"/>
      <c r="U444" s="242"/>
      <c r="V444" s="242"/>
      <c r="W444" s="242"/>
      <c r="X444" s="242"/>
      <c r="Y444" s="242"/>
      <c r="Z444" s="203">
        <v>1</v>
      </c>
      <c r="AA444" s="211">
        <v>1</v>
      </c>
      <c r="AB444" s="242"/>
      <c r="AC444" s="242"/>
      <c r="AD444" s="242"/>
      <c r="AE444" s="242"/>
      <c r="AF444" s="242"/>
      <c r="AG444" s="242"/>
      <c r="AH444" s="242"/>
      <c r="AI444" s="242"/>
      <c r="AJ444" s="242"/>
      <c r="AK444" s="242"/>
      <c r="AL444" s="242"/>
      <c r="AM444" s="242"/>
      <c r="AN444" s="242"/>
      <c r="AO444" s="242"/>
      <c r="AP444" s="242"/>
      <c r="AQ444" s="242"/>
      <c r="AR444" s="242"/>
      <c r="AS444" s="242"/>
      <c r="AT444" s="242"/>
      <c r="AU444" s="242"/>
      <c r="AV444" s="242"/>
      <c r="AW444" s="240"/>
      <c r="AX444" s="240">
        <v>1</v>
      </c>
      <c r="AY444" s="240">
        <v>1</v>
      </c>
      <c r="AZ444" s="203">
        <v>1</v>
      </c>
      <c r="BA444" s="203">
        <v>1</v>
      </c>
      <c r="BB444" s="203">
        <v>1</v>
      </c>
      <c r="BC444" s="203">
        <v>1</v>
      </c>
    </row>
    <row r="445" spans="1:55" ht="21" hidden="1" customHeight="1">
      <c r="A445" s="212"/>
      <c r="B445" s="237">
        <v>46113</v>
      </c>
      <c r="C445" s="211" t="s">
        <v>390</v>
      </c>
      <c r="D445" s="238" t="s">
        <v>1047</v>
      </c>
      <c r="E445" s="203" t="s">
        <v>2513</v>
      </c>
      <c r="F445" s="242"/>
      <c r="G445" s="203"/>
      <c r="H445" s="242"/>
      <c r="I445" s="242"/>
      <c r="J445" s="242"/>
      <c r="K445" s="242"/>
      <c r="L445" s="242"/>
      <c r="M445" s="242"/>
      <c r="N445" s="242"/>
      <c r="O445" s="203">
        <v>1</v>
      </c>
      <c r="P445" s="211">
        <v>1</v>
      </c>
      <c r="Q445" s="242"/>
      <c r="R445" s="242"/>
      <c r="S445" s="242"/>
      <c r="T445" s="242"/>
      <c r="U445" s="242"/>
      <c r="V445" s="242"/>
      <c r="W445" s="242"/>
      <c r="X445" s="242"/>
      <c r="Y445" s="242"/>
      <c r="Z445" s="203">
        <v>1</v>
      </c>
      <c r="AA445" s="211">
        <v>1</v>
      </c>
      <c r="AB445" s="242"/>
      <c r="AC445" s="242"/>
      <c r="AD445" s="242"/>
      <c r="AE445" s="242"/>
      <c r="AF445" s="242"/>
      <c r="AG445" s="242"/>
      <c r="AH445" s="242"/>
      <c r="AI445" s="242"/>
      <c r="AJ445" s="242"/>
      <c r="AK445" s="242"/>
      <c r="AL445" s="242"/>
      <c r="AM445" s="242"/>
      <c r="AN445" s="242"/>
      <c r="AO445" s="242"/>
      <c r="AP445" s="242"/>
      <c r="AQ445" s="242"/>
      <c r="AR445" s="242"/>
      <c r="AS445" s="242"/>
      <c r="AT445" s="242"/>
      <c r="AU445" s="242"/>
      <c r="AV445" s="242"/>
      <c r="AW445" s="240"/>
      <c r="AX445" s="240"/>
      <c r="AY445" s="240"/>
      <c r="AZ445" s="242"/>
      <c r="BA445" s="203"/>
      <c r="BB445" s="203"/>
      <c r="BC445" s="203"/>
    </row>
    <row r="446" spans="1:55" ht="21" hidden="1" customHeight="1">
      <c r="A446" s="212"/>
      <c r="B446" s="237">
        <v>46113</v>
      </c>
      <c r="C446" s="211" t="s">
        <v>384</v>
      </c>
      <c r="D446" s="238" t="s">
        <v>1048</v>
      </c>
      <c r="E446" s="203" t="s">
        <v>2514</v>
      </c>
      <c r="F446" s="242"/>
      <c r="G446" s="203"/>
      <c r="H446" s="242"/>
      <c r="I446" s="242"/>
      <c r="J446" s="242"/>
      <c r="K446" s="242"/>
      <c r="L446" s="242"/>
      <c r="M446" s="242"/>
      <c r="N446" s="242"/>
      <c r="O446" s="203">
        <v>1</v>
      </c>
      <c r="P446" s="211">
        <v>1</v>
      </c>
      <c r="Q446" s="242"/>
      <c r="R446" s="242"/>
      <c r="S446" s="242"/>
      <c r="T446" s="242"/>
      <c r="U446" s="242"/>
      <c r="V446" s="242"/>
      <c r="W446" s="242"/>
      <c r="X446" s="242"/>
      <c r="Y446" s="242"/>
      <c r="Z446" s="203">
        <v>1</v>
      </c>
      <c r="AA446" s="211">
        <v>1</v>
      </c>
      <c r="AB446" s="242"/>
      <c r="AC446" s="242"/>
      <c r="AD446" s="242"/>
      <c r="AE446" s="242"/>
      <c r="AF446" s="242"/>
      <c r="AG446" s="242"/>
      <c r="AH446" s="242"/>
      <c r="AI446" s="242"/>
      <c r="AJ446" s="242"/>
      <c r="AK446" s="242"/>
      <c r="AL446" s="242"/>
      <c r="AM446" s="242"/>
      <c r="AN446" s="242"/>
      <c r="AO446" s="242"/>
      <c r="AP446" s="242"/>
      <c r="AQ446" s="242"/>
      <c r="AR446" s="242"/>
      <c r="AS446" s="242"/>
      <c r="AT446" s="242"/>
      <c r="AU446" s="242"/>
      <c r="AV446" s="242"/>
      <c r="AW446" s="240"/>
      <c r="AX446" s="240">
        <v>1</v>
      </c>
      <c r="AY446" s="240">
        <v>1</v>
      </c>
      <c r="AZ446" s="203">
        <v>1</v>
      </c>
      <c r="BA446" s="203">
        <v>1</v>
      </c>
      <c r="BB446" s="203"/>
      <c r="BC446" s="203"/>
    </row>
    <row r="447" spans="1:55" ht="21" hidden="1" customHeight="1">
      <c r="A447" s="212"/>
      <c r="B447" s="237">
        <v>46113</v>
      </c>
      <c r="C447" s="211" t="s">
        <v>386</v>
      </c>
      <c r="D447" s="238" t="s">
        <v>1049</v>
      </c>
      <c r="E447" s="203" t="s">
        <v>2515</v>
      </c>
      <c r="F447" s="242"/>
      <c r="G447" s="203"/>
      <c r="H447" s="242"/>
      <c r="I447" s="242"/>
      <c r="J447" s="242"/>
      <c r="K447" s="242"/>
      <c r="L447" s="242"/>
      <c r="M447" s="242"/>
      <c r="N447" s="242"/>
      <c r="O447" s="203">
        <v>1</v>
      </c>
      <c r="P447" s="211">
        <v>1</v>
      </c>
      <c r="Q447" s="242"/>
      <c r="R447" s="242"/>
      <c r="S447" s="242"/>
      <c r="T447" s="242"/>
      <c r="U447" s="242"/>
      <c r="V447" s="242"/>
      <c r="W447" s="242"/>
      <c r="X447" s="242"/>
      <c r="Y447" s="242"/>
      <c r="Z447" s="203">
        <v>1</v>
      </c>
      <c r="AA447" s="211">
        <v>1</v>
      </c>
      <c r="AB447" s="242"/>
      <c r="AC447" s="242"/>
      <c r="AD447" s="242"/>
      <c r="AE447" s="242"/>
      <c r="AF447" s="242"/>
      <c r="AG447" s="242"/>
      <c r="AH447" s="242"/>
      <c r="AI447" s="242"/>
      <c r="AJ447" s="242"/>
      <c r="AK447" s="242"/>
      <c r="AL447" s="211">
        <v>1</v>
      </c>
      <c r="AM447" s="242"/>
      <c r="AN447" s="242"/>
      <c r="AO447" s="242"/>
      <c r="AP447" s="242"/>
      <c r="AQ447" s="242"/>
      <c r="AR447" s="242"/>
      <c r="AS447" s="242"/>
      <c r="AT447" s="242"/>
      <c r="AU447" s="242"/>
      <c r="AV447" s="242"/>
      <c r="AW447" s="240"/>
      <c r="AX447" s="240">
        <v>1</v>
      </c>
      <c r="AY447" s="240">
        <v>1</v>
      </c>
      <c r="AZ447" s="203">
        <v>1</v>
      </c>
      <c r="BA447" s="203">
        <v>1</v>
      </c>
      <c r="BB447" s="203">
        <v>1</v>
      </c>
      <c r="BC447" s="203">
        <v>1</v>
      </c>
    </row>
    <row r="448" spans="1:55" ht="21" hidden="1" customHeight="1">
      <c r="A448" s="212"/>
      <c r="B448" s="237">
        <v>46113</v>
      </c>
      <c r="C448" s="211" t="s">
        <v>384</v>
      </c>
      <c r="D448" s="238" t="s">
        <v>1050</v>
      </c>
      <c r="E448" s="203" t="s">
        <v>2516</v>
      </c>
      <c r="F448" s="242"/>
      <c r="G448" s="203"/>
      <c r="H448" s="242"/>
      <c r="I448" s="242"/>
      <c r="J448" s="242"/>
      <c r="K448" s="242"/>
      <c r="L448" s="242"/>
      <c r="M448" s="242"/>
      <c r="N448" s="242"/>
      <c r="O448" s="203">
        <v>1</v>
      </c>
      <c r="P448" s="211">
        <v>1</v>
      </c>
      <c r="Q448" s="242"/>
      <c r="R448" s="242"/>
      <c r="S448" s="242"/>
      <c r="T448" s="242"/>
      <c r="U448" s="242"/>
      <c r="V448" s="242"/>
      <c r="W448" s="242"/>
      <c r="X448" s="242"/>
      <c r="Y448" s="242"/>
      <c r="Z448" s="203">
        <v>1</v>
      </c>
      <c r="AA448" s="211">
        <v>1</v>
      </c>
      <c r="AB448" s="242"/>
      <c r="AC448" s="242"/>
      <c r="AD448" s="242"/>
      <c r="AE448" s="242"/>
      <c r="AF448" s="242"/>
      <c r="AG448" s="242"/>
      <c r="AH448" s="242"/>
      <c r="AI448" s="242"/>
      <c r="AJ448" s="242"/>
      <c r="AK448" s="242"/>
      <c r="AL448" s="211">
        <v>1</v>
      </c>
      <c r="AM448" s="242"/>
      <c r="AN448" s="242"/>
      <c r="AO448" s="242"/>
      <c r="AP448" s="242"/>
      <c r="AQ448" s="242"/>
      <c r="AR448" s="242"/>
      <c r="AS448" s="242"/>
      <c r="AT448" s="242"/>
      <c r="AU448" s="242"/>
      <c r="AV448" s="242"/>
      <c r="AW448" s="240"/>
      <c r="AX448" s="240">
        <v>1</v>
      </c>
      <c r="AY448" s="240">
        <v>1</v>
      </c>
      <c r="AZ448" s="203">
        <v>1</v>
      </c>
      <c r="BA448" s="203">
        <v>1</v>
      </c>
      <c r="BB448" s="203">
        <v>1</v>
      </c>
      <c r="BC448" s="203">
        <v>1</v>
      </c>
    </row>
    <row r="449" spans="1:55" ht="21" hidden="1" customHeight="1">
      <c r="A449" s="212"/>
      <c r="B449" s="237">
        <v>46113</v>
      </c>
      <c r="C449" s="211" t="s">
        <v>384</v>
      </c>
      <c r="D449" s="238" t="s">
        <v>1051</v>
      </c>
      <c r="E449" s="203" t="s">
        <v>2517</v>
      </c>
      <c r="F449" s="242"/>
      <c r="G449" s="203"/>
      <c r="H449" s="242"/>
      <c r="I449" s="242"/>
      <c r="J449" s="242"/>
      <c r="K449" s="242"/>
      <c r="L449" s="242"/>
      <c r="M449" s="242"/>
      <c r="N449" s="242"/>
      <c r="O449" s="203">
        <v>1</v>
      </c>
      <c r="P449" s="211">
        <v>1</v>
      </c>
      <c r="Q449" s="242"/>
      <c r="R449" s="242"/>
      <c r="S449" s="242"/>
      <c r="T449" s="242"/>
      <c r="U449" s="242"/>
      <c r="V449" s="242"/>
      <c r="W449" s="242"/>
      <c r="X449" s="242"/>
      <c r="Y449" s="242"/>
      <c r="Z449" s="203">
        <v>1</v>
      </c>
      <c r="AA449" s="211">
        <v>1</v>
      </c>
      <c r="AB449" s="242"/>
      <c r="AC449" s="242"/>
      <c r="AD449" s="242"/>
      <c r="AE449" s="242"/>
      <c r="AF449" s="242"/>
      <c r="AG449" s="242"/>
      <c r="AH449" s="242"/>
      <c r="AI449" s="242"/>
      <c r="AJ449" s="242"/>
      <c r="AK449" s="242"/>
      <c r="AL449" s="242"/>
      <c r="AM449" s="242"/>
      <c r="AN449" s="242"/>
      <c r="AO449" s="242"/>
      <c r="AP449" s="242"/>
      <c r="AQ449" s="242"/>
      <c r="AR449" s="242"/>
      <c r="AS449" s="242"/>
      <c r="AT449" s="242"/>
      <c r="AU449" s="242"/>
      <c r="AV449" s="242"/>
      <c r="AW449" s="240"/>
      <c r="AX449" s="240">
        <v>1</v>
      </c>
      <c r="AY449" s="240">
        <v>1</v>
      </c>
      <c r="AZ449" s="203">
        <v>1</v>
      </c>
      <c r="BA449" s="203">
        <v>1</v>
      </c>
      <c r="BB449" s="203">
        <v>1</v>
      </c>
      <c r="BC449" s="203">
        <v>1</v>
      </c>
    </row>
    <row r="450" spans="1:55" ht="21" hidden="1" customHeight="1">
      <c r="A450" s="212"/>
      <c r="B450" s="237">
        <v>46113</v>
      </c>
      <c r="C450" s="211" t="s">
        <v>384</v>
      </c>
      <c r="D450" s="238" t="s">
        <v>1052</v>
      </c>
      <c r="E450" s="203" t="s">
        <v>2518</v>
      </c>
      <c r="F450" s="242"/>
      <c r="G450" s="203"/>
      <c r="H450" s="242"/>
      <c r="I450" s="242"/>
      <c r="J450" s="242"/>
      <c r="K450" s="242"/>
      <c r="L450" s="242"/>
      <c r="M450" s="242"/>
      <c r="N450" s="242"/>
      <c r="O450" s="203">
        <v>1</v>
      </c>
      <c r="P450" s="211">
        <v>1</v>
      </c>
      <c r="Q450" s="242"/>
      <c r="R450" s="242"/>
      <c r="S450" s="242"/>
      <c r="T450" s="242"/>
      <c r="U450" s="242"/>
      <c r="V450" s="242"/>
      <c r="W450" s="242"/>
      <c r="X450" s="242"/>
      <c r="Y450" s="242"/>
      <c r="Z450" s="203"/>
      <c r="AA450" s="203">
        <v>1</v>
      </c>
      <c r="AB450" s="242"/>
      <c r="AC450" s="242"/>
      <c r="AD450" s="242"/>
      <c r="AE450" s="242"/>
      <c r="AF450" s="242"/>
      <c r="AG450" s="242"/>
      <c r="AH450" s="242"/>
      <c r="AI450" s="242"/>
      <c r="AJ450" s="242"/>
      <c r="AK450" s="242"/>
      <c r="AL450" s="242"/>
      <c r="AM450" s="242"/>
      <c r="AN450" s="242"/>
      <c r="AO450" s="242"/>
      <c r="AP450" s="242"/>
      <c r="AQ450" s="242"/>
      <c r="AR450" s="242"/>
      <c r="AS450" s="242"/>
      <c r="AT450" s="242"/>
      <c r="AU450" s="242"/>
      <c r="AV450" s="242"/>
      <c r="AW450" s="240"/>
      <c r="AX450" s="240">
        <v>1</v>
      </c>
      <c r="AY450" s="240">
        <v>1</v>
      </c>
      <c r="AZ450" s="242"/>
      <c r="BA450" s="203">
        <v>1</v>
      </c>
      <c r="BB450" s="203">
        <v>1</v>
      </c>
      <c r="BC450" s="203">
        <v>1</v>
      </c>
    </row>
    <row r="451" spans="1:55" ht="21" hidden="1" customHeight="1">
      <c r="A451" s="212"/>
      <c r="B451" s="237">
        <v>46113</v>
      </c>
      <c r="C451" s="211" t="s">
        <v>384</v>
      </c>
      <c r="D451" s="238" t="s">
        <v>1053</v>
      </c>
      <c r="E451" s="203" t="s">
        <v>2519</v>
      </c>
      <c r="F451" s="242"/>
      <c r="G451" s="203"/>
      <c r="H451" s="242"/>
      <c r="I451" s="242"/>
      <c r="J451" s="242"/>
      <c r="K451" s="242"/>
      <c r="L451" s="242"/>
      <c r="M451" s="242"/>
      <c r="N451" s="242"/>
      <c r="O451" s="203">
        <v>1</v>
      </c>
      <c r="P451" s="211">
        <v>1</v>
      </c>
      <c r="Q451" s="242"/>
      <c r="R451" s="242"/>
      <c r="S451" s="242"/>
      <c r="T451" s="242"/>
      <c r="U451" s="242"/>
      <c r="V451" s="242"/>
      <c r="W451" s="242"/>
      <c r="X451" s="242"/>
      <c r="Y451" s="242"/>
      <c r="Z451" s="203">
        <v>1</v>
      </c>
      <c r="AA451" s="211">
        <v>1</v>
      </c>
      <c r="AB451" s="242"/>
      <c r="AC451" s="242"/>
      <c r="AD451" s="242"/>
      <c r="AE451" s="242"/>
      <c r="AF451" s="242"/>
      <c r="AG451" s="242"/>
      <c r="AH451" s="242"/>
      <c r="AI451" s="242"/>
      <c r="AJ451" s="242"/>
      <c r="AK451" s="242"/>
      <c r="AL451" s="242"/>
      <c r="AM451" s="242"/>
      <c r="AN451" s="242"/>
      <c r="AO451" s="242"/>
      <c r="AP451" s="242"/>
      <c r="AQ451" s="242"/>
      <c r="AR451" s="242"/>
      <c r="AS451" s="242"/>
      <c r="AT451" s="242"/>
      <c r="AU451" s="242"/>
      <c r="AV451" s="242"/>
      <c r="AW451" s="240"/>
      <c r="AX451" s="240">
        <v>1</v>
      </c>
      <c r="AY451" s="240">
        <v>1</v>
      </c>
      <c r="AZ451" s="203">
        <v>1</v>
      </c>
      <c r="BA451" s="203">
        <v>1</v>
      </c>
      <c r="BB451" s="203">
        <v>1</v>
      </c>
      <c r="BC451" s="203">
        <v>1</v>
      </c>
    </row>
    <row r="452" spans="1:55" ht="21" hidden="1" customHeight="1">
      <c r="A452" s="212"/>
      <c r="B452" s="237">
        <v>46113</v>
      </c>
      <c r="C452" s="211" t="s">
        <v>384</v>
      </c>
      <c r="D452" s="238" t="s">
        <v>1054</v>
      </c>
      <c r="E452" s="203" t="s">
        <v>2520</v>
      </c>
      <c r="F452" s="242"/>
      <c r="G452" s="203"/>
      <c r="H452" s="242"/>
      <c r="I452" s="242"/>
      <c r="J452" s="242"/>
      <c r="K452" s="242"/>
      <c r="L452" s="242"/>
      <c r="M452" s="242"/>
      <c r="N452" s="242"/>
      <c r="O452" s="203">
        <v>1</v>
      </c>
      <c r="P452" s="211">
        <v>1</v>
      </c>
      <c r="Q452" s="242"/>
      <c r="R452" s="242"/>
      <c r="S452" s="242"/>
      <c r="T452" s="242"/>
      <c r="U452" s="242"/>
      <c r="V452" s="242"/>
      <c r="W452" s="242"/>
      <c r="X452" s="242"/>
      <c r="Y452" s="242"/>
      <c r="Z452" s="203">
        <v>1</v>
      </c>
      <c r="AA452" s="211">
        <v>1</v>
      </c>
      <c r="AB452" s="242"/>
      <c r="AC452" s="242"/>
      <c r="AD452" s="242"/>
      <c r="AE452" s="242"/>
      <c r="AF452" s="242"/>
      <c r="AG452" s="242"/>
      <c r="AH452" s="242"/>
      <c r="AI452" s="242"/>
      <c r="AJ452" s="242"/>
      <c r="AK452" s="242"/>
      <c r="AL452" s="211">
        <v>1</v>
      </c>
      <c r="AM452" s="242"/>
      <c r="AN452" s="242"/>
      <c r="AO452" s="242"/>
      <c r="AP452" s="242"/>
      <c r="AQ452" s="242"/>
      <c r="AR452" s="242"/>
      <c r="AS452" s="242"/>
      <c r="AT452" s="242"/>
      <c r="AU452" s="242"/>
      <c r="AV452" s="242"/>
      <c r="AW452" s="240"/>
      <c r="AX452" s="240"/>
      <c r="AY452" s="240">
        <v>1</v>
      </c>
      <c r="AZ452" s="203">
        <v>1</v>
      </c>
      <c r="BA452" s="203">
        <v>1</v>
      </c>
      <c r="BB452" s="203">
        <v>1</v>
      </c>
      <c r="BC452" s="203">
        <v>1</v>
      </c>
    </row>
    <row r="453" spans="1:55" ht="21" hidden="1" customHeight="1">
      <c r="A453" s="212"/>
      <c r="B453" s="237">
        <v>46113</v>
      </c>
      <c r="C453" s="211" t="s">
        <v>384</v>
      </c>
      <c r="D453" s="238" t="s">
        <v>1055</v>
      </c>
      <c r="E453" s="203" t="s">
        <v>2521</v>
      </c>
      <c r="F453" s="242"/>
      <c r="G453" s="203"/>
      <c r="H453" s="242"/>
      <c r="I453" s="242"/>
      <c r="J453" s="242"/>
      <c r="K453" s="242"/>
      <c r="L453" s="242"/>
      <c r="M453" s="242"/>
      <c r="N453" s="242"/>
      <c r="O453" s="203">
        <v>1</v>
      </c>
      <c r="P453" s="211">
        <v>1</v>
      </c>
      <c r="Q453" s="242"/>
      <c r="R453" s="242"/>
      <c r="S453" s="242"/>
      <c r="T453" s="242"/>
      <c r="U453" s="242"/>
      <c r="V453" s="242"/>
      <c r="W453" s="242"/>
      <c r="X453" s="242"/>
      <c r="Y453" s="242"/>
      <c r="Z453" s="203">
        <v>1</v>
      </c>
      <c r="AA453" s="211">
        <v>1</v>
      </c>
      <c r="AB453" s="242"/>
      <c r="AC453" s="242"/>
      <c r="AD453" s="242"/>
      <c r="AE453" s="242"/>
      <c r="AF453" s="242"/>
      <c r="AG453" s="242"/>
      <c r="AH453" s="242"/>
      <c r="AI453" s="242"/>
      <c r="AJ453" s="242"/>
      <c r="AK453" s="242"/>
      <c r="AL453" s="242"/>
      <c r="AM453" s="242"/>
      <c r="AN453" s="242"/>
      <c r="AO453" s="242"/>
      <c r="AP453" s="242"/>
      <c r="AQ453" s="242"/>
      <c r="AR453" s="242"/>
      <c r="AS453" s="242"/>
      <c r="AT453" s="242"/>
      <c r="AU453" s="242"/>
      <c r="AV453" s="242"/>
      <c r="AW453" s="240"/>
      <c r="AX453" s="240">
        <v>1</v>
      </c>
      <c r="AY453" s="240">
        <v>1</v>
      </c>
      <c r="AZ453" s="242"/>
      <c r="BA453" s="203">
        <v>1</v>
      </c>
      <c r="BB453" s="203">
        <v>1</v>
      </c>
      <c r="BC453" s="203">
        <v>1</v>
      </c>
    </row>
    <row r="454" spans="1:55" ht="21" hidden="1" customHeight="1">
      <c r="A454" s="212"/>
      <c r="B454" s="237">
        <v>46113</v>
      </c>
      <c r="C454" s="211" t="s">
        <v>386</v>
      </c>
      <c r="D454" s="238" t="s">
        <v>1056</v>
      </c>
      <c r="E454" s="203" t="s">
        <v>2522</v>
      </c>
      <c r="F454" s="242"/>
      <c r="G454" s="203"/>
      <c r="H454" s="242"/>
      <c r="I454" s="242"/>
      <c r="J454" s="242"/>
      <c r="K454" s="242"/>
      <c r="L454" s="242"/>
      <c r="M454" s="242"/>
      <c r="N454" s="242"/>
      <c r="O454" s="203">
        <v>1</v>
      </c>
      <c r="P454" s="211">
        <v>1</v>
      </c>
      <c r="Q454" s="242"/>
      <c r="R454" s="242"/>
      <c r="S454" s="242"/>
      <c r="T454" s="242"/>
      <c r="U454" s="242"/>
      <c r="V454" s="242"/>
      <c r="W454" s="242"/>
      <c r="X454" s="242"/>
      <c r="Y454" s="242"/>
      <c r="Z454" s="203">
        <v>1</v>
      </c>
      <c r="AA454" s="211">
        <v>1</v>
      </c>
      <c r="AB454" s="242"/>
      <c r="AC454" s="242"/>
      <c r="AD454" s="242"/>
      <c r="AE454" s="242"/>
      <c r="AF454" s="242"/>
      <c r="AG454" s="242"/>
      <c r="AH454" s="242"/>
      <c r="AI454" s="242"/>
      <c r="AJ454" s="242"/>
      <c r="AK454" s="242"/>
      <c r="AL454" s="242"/>
      <c r="AM454" s="242"/>
      <c r="AN454" s="242"/>
      <c r="AO454" s="242"/>
      <c r="AP454" s="242"/>
      <c r="AQ454" s="242"/>
      <c r="AR454" s="242"/>
      <c r="AS454" s="242"/>
      <c r="AT454" s="242"/>
      <c r="AU454" s="242"/>
      <c r="AV454" s="242"/>
      <c r="AW454" s="240"/>
      <c r="AX454" s="240">
        <v>1</v>
      </c>
      <c r="AY454" s="240">
        <v>1</v>
      </c>
      <c r="AZ454" s="203">
        <v>1</v>
      </c>
      <c r="BA454" s="203">
        <v>1</v>
      </c>
      <c r="BB454" s="203">
        <v>1</v>
      </c>
      <c r="BC454" s="203">
        <v>1</v>
      </c>
    </row>
    <row r="455" spans="1:55" ht="21" hidden="1" customHeight="1">
      <c r="A455" s="212"/>
      <c r="B455" s="237">
        <v>46113</v>
      </c>
      <c r="C455" s="211" t="s">
        <v>384</v>
      </c>
      <c r="D455" s="238" t="s">
        <v>1057</v>
      </c>
      <c r="E455" s="203" t="s">
        <v>2523</v>
      </c>
      <c r="F455" s="242"/>
      <c r="G455" s="203"/>
      <c r="H455" s="242"/>
      <c r="I455" s="242"/>
      <c r="J455" s="242"/>
      <c r="K455" s="242"/>
      <c r="L455" s="242"/>
      <c r="M455" s="242"/>
      <c r="N455" s="242"/>
      <c r="O455" s="203">
        <v>1</v>
      </c>
      <c r="P455" s="211">
        <v>1</v>
      </c>
      <c r="Q455" s="242"/>
      <c r="R455" s="242"/>
      <c r="S455" s="242"/>
      <c r="T455" s="242"/>
      <c r="U455" s="242"/>
      <c r="V455" s="242"/>
      <c r="W455" s="242"/>
      <c r="X455" s="242"/>
      <c r="Y455" s="242"/>
      <c r="Z455" s="203">
        <v>1</v>
      </c>
      <c r="AA455" s="211">
        <v>1</v>
      </c>
      <c r="AB455" s="242"/>
      <c r="AC455" s="242"/>
      <c r="AD455" s="242"/>
      <c r="AE455" s="242"/>
      <c r="AF455" s="242"/>
      <c r="AG455" s="242"/>
      <c r="AH455" s="242"/>
      <c r="AI455" s="242"/>
      <c r="AJ455" s="242"/>
      <c r="AK455" s="242"/>
      <c r="AL455" s="211">
        <v>1</v>
      </c>
      <c r="AM455" s="242"/>
      <c r="AN455" s="242"/>
      <c r="AO455" s="242"/>
      <c r="AP455" s="242"/>
      <c r="AQ455" s="242"/>
      <c r="AR455" s="242"/>
      <c r="AS455" s="242"/>
      <c r="AT455" s="242"/>
      <c r="AU455" s="242"/>
      <c r="AV455" s="242"/>
      <c r="AW455" s="240"/>
      <c r="AX455" s="240">
        <v>1</v>
      </c>
      <c r="AY455" s="240">
        <v>1</v>
      </c>
      <c r="AZ455" s="203">
        <v>1</v>
      </c>
      <c r="BA455" s="203">
        <v>1</v>
      </c>
      <c r="BB455" s="203">
        <v>1</v>
      </c>
      <c r="BC455" s="203">
        <v>1</v>
      </c>
    </row>
    <row r="456" spans="1:55" ht="21" hidden="1" customHeight="1">
      <c r="A456" s="212"/>
      <c r="B456" s="237">
        <v>46113</v>
      </c>
      <c r="C456" s="211" t="s">
        <v>386</v>
      </c>
      <c r="D456" s="238" t="s">
        <v>1058</v>
      </c>
      <c r="E456" s="203" t="s">
        <v>2524</v>
      </c>
      <c r="F456" s="242"/>
      <c r="G456" s="203"/>
      <c r="H456" s="242"/>
      <c r="I456" s="242"/>
      <c r="J456" s="242"/>
      <c r="K456" s="242"/>
      <c r="L456" s="242"/>
      <c r="M456" s="242"/>
      <c r="N456" s="242"/>
      <c r="O456" s="203">
        <v>1</v>
      </c>
      <c r="P456" s="211">
        <v>1</v>
      </c>
      <c r="Q456" s="242"/>
      <c r="R456" s="242"/>
      <c r="S456" s="242"/>
      <c r="T456" s="242"/>
      <c r="U456" s="242"/>
      <c r="V456" s="242"/>
      <c r="W456" s="242"/>
      <c r="X456" s="242"/>
      <c r="Y456" s="242"/>
      <c r="Z456" s="203">
        <v>1</v>
      </c>
      <c r="AA456" s="211">
        <v>1</v>
      </c>
      <c r="AB456" s="242"/>
      <c r="AC456" s="242"/>
      <c r="AD456" s="242"/>
      <c r="AE456" s="242"/>
      <c r="AF456" s="242"/>
      <c r="AG456" s="242"/>
      <c r="AH456" s="242"/>
      <c r="AI456" s="242"/>
      <c r="AJ456" s="242"/>
      <c r="AK456" s="242"/>
      <c r="AL456" s="242"/>
      <c r="AM456" s="242"/>
      <c r="AN456" s="242"/>
      <c r="AO456" s="242"/>
      <c r="AP456" s="242"/>
      <c r="AQ456" s="242"/>
      <c r="AR456" s="242"/>
      <c r="AS456" s="242"/>
      <c r="AT456" s="242"/>
      <c r="AU456" s="242"/>
      <c r="AV456" s="242"/>
      <c r="AW456" s="240"/>
      <c r="AX456" s="240">
        <v>1</v>
      </c>
      <c r="AY456" s="240">
        <v>1</v>
      </c>
      <c r="AZ456" s="203">
        <v>1</v>
      </c>
      <c r="BA456" s="203">
        <v>1</v>
      </c>
      <c r="BB456" s="203"/>
      <c r="BC456" s="203"/>
    </row>
    <row r="457" spans="1:55" ht="21" hidden="1" customHeight="1">
      <c r="A457" s="212"/>
      <c r="B457" s="237">
        <v>46113</v>
      </c>
      <c r="C457" s="211" t="s">
        <v>386</v>
      </c>
      <c r="D457" s="238" t="s">
        <v>1059</v>
      </c>
      <c r="E457" s="203" t="s">
        <v>2525</v>
      </c>
      <c r="F457" s="242"/>
      <c r="G457" s="203"/>
      <c r="H457" s="242"/>
      <c r="I457" s="242"/>
      <c r="J457" s="242"/>
      <c r="K457" s="242"/>
      <c r="L457" s="242"/>
      <c r="M457" s="242"/>
      <c r="N457" s="242"/>
      <c r="O457" s="203">
        <v>1</v>
      </c>
      <c r="P457" s="211">
        <v>1</v>
      </c>
      <c r="Q457" s="242"/>
      <c r="R457" s="242"/>
      <c r="S457" s="242"/>
      <c r="T457" s="242"/>
      <c r="U457" s="242"/>
      <c r="V457" s="242"/>
      <c r="W457" s="242"/>
      <c r="X457" s="242"/>
      <c r="Y457" s="242"/>
      <c r="Z457" s="203">
        <v>1</v>
      </c>
      <c r="AA457" s="211">
        <v>1</v>
      </c>
      <c r="AB457" s="242"/>
      <c r="AC457" s="242"/>
      <c r="AD457" s="242"/>
      <c r="AE457" s="242"/>
      <c r="AF457" s="242"/>
      <c r="AG457" s="242"/>
      <c r="AH457" s="242"/>
      <c r="AI457" s="242"/>
      <c r="AJ457" s="242"/>
      <c r="AK457" s="242"/>
      <c r="AL457" s="242"/>
      <c r="AM457" s="242"/>
      <c r="AN457" s="242"/>
      <c r="AO457" s="242"/>
      <c r="AP457" s="242"/>
      <c r="AQ457" s="242"/>
      <c r="AR457" s="242"/>
      <c r="AS457" s="242"/>
      <c r="AT457" s="242"/>
      <c r="AU457" s="242"/>
      <c r="AV457" s="242"/>
      <c r="AW457" s="240"/>
      <c r="AX457" s="240">
        <v>1</v>
      </c>
      <c r="AY457" s="240">
        <v>1</v>
      </c>
      <c r="AZ457" s="203">
        <v>1</v>
      </c>
      <c r="BA457" s="203">
        <v>1</v>
      </c>
      <c r="BB457" s="203">
        <v>1</v>
      </c>
      <c r="BC457" s="203">
        <v>1</v>
      </c>
    </row>
    <row r="458" spans="1:55" ht="21" hidden="1" customHeight="1">
      <c r="A458" s="212"/>
      <c r="B458" s="237">
        <v>46113</v>
      </c>
      <c r="C458" s="211" t="s">
        <v>384</v>
      </c>
      <c r="D458" s="238" t="s">
        <v>1060</v>
      </c>
      <c r="E458" s="203" t="s">
        <v>2526</v>
      </c>
      <c r="F458" s="242"/>
      <c r="G458" s="203"/>
      <c r="H458" s="242"/>
      <c r="I458" s="242"/>
      <c r="J458" s="242"/>
      <c r="K458" s="242"/>
      <c r="L458" s="242"/>
      <c r="M458" s="242"/>
      <c r="N458" s="242"/>
      <c r="O458" s="203">
        <v>1</v>
      </c>
      <c r="P458" s="211">
        <v>1</v>
      </c>
      <c r="Q458" s="242"/>
      <c r="R458" s="242"/>
      <c r="S458" s="242"/>
      <c r="T458" s="242"/>
      <c r="U458" s="242"/>
      <c r="V458" s="242"/>
      <c r="W458" s="242"/>
      <c r="X458" s="242"/>
      <c r="Y458" s="242"/>
      <c r="Z458" s="203">
        <v>1</v>
      </c>
      <c r="AA458" s="211">
        <v>1</v>
      </c>
      <c r="AB458" s="242"/>
      <c r="AC458" s="242"/>
      <c r="AD458" s="242"/>
      <c r="AE458" s="242"/>
      <c r="AF458" s="242"/>
      <c r="AG458" s="242"/>
      <c r="AH458" s="242"/>
      <c r="AI458" s="242"/>
      <c r="AJ458" s="242"/>
      <c r="AK458" s="242"/>
      <c r="AL458" s="211">
        <v>1</v>
      </c>
      <c r="AM458" s="242"/>
      <c r="AN458" s="242"/>
      <c r="AO458" s="242"/>
      <c r="AP458" s="242"/>
      <c r="AQ458" s="242"/>
      <c r="AR458" s="242"/>
      <c r="AS458" s="242"/>
      <c r="AT458" s="242"/>
      <c r="AU458" s="242"/>
      <c r="AV458" s="242"/>
      <c r="AW458" s="240"/>
      <c r="AX458" s="240">
        <v>1</v>
      </c>
      <c r="AY458" s="240">
        <v>1</v>
      </c>
      <c r="AZ458" s="203">
        <v>1</v>
      </c>
      <c r="BA458" s="203">
        <v>1</v>
      </c>
      <c r="BB458" s="203">
        <v>1</v>
      </c>
      <c r="BC458" s="203">
        <v>1</v>
      </c>
    </row>
    <row r="459" spans="1:55" ht="21" hidden="1" customHeight="1">
      <c r="A459" s="212"/>
      <c r="B459" s="237">
        <v>46113</v>
      </c>
      <c r="C459" s="211" t="s">
        <v>384</v>
      </c>
      <c r="D459" s="238" t="s">
        <v>1061</v>
      </c>
      <c r="E459" s="203" t="s">
        <v>2527</v>
      </c>
      <c r="F459" s="242"/>
      <c r="G459" s="203"/>
      <c r="H459" s="242"/>
      <c r="I459" s="242"/>
      <c r="J459" s="242"/>
      <c r="K459" s="242"/>
      <c r="L459" s="242"/>
      <c r="M459" s="242"/>
      <c r="N459" s="242"/>
      <c r="O459" s="203">
        <v>1</v>
      </c>
      <c r="P459" s="211">
        <v>1</v>
      </c>
      <c r="Q459" s="242"/>
      <c r="R459" s="242"/>
      <c r="S459" s="242"/>
      <c r="T459" s="242"/>
      <c r="U459" s="242"/>
      <c r="V459" s="242"/>
      <c r="W459" s="242"/>
      <c r="X459" s="242"/>
      <c r="Y459" s="242"/>
      <c r="Z459" s="203">
        <v>1</v>
      </c>
      <c r="AA459" s="211">
        <v>1</v>
      </c>
      <c r="AB459" s="242"/>
      <c r="AC459" s="242"/>
      <c r="AD459" s="242"/>
      <c r="AE459" s="242"/>
      <c r="AF459" s="242"/>
      <c r="AG459" s="242"/>
      <c r="AH459" s="242"/>
      <c r="AI459" s="242"/>
      <c r="AJ459" s="242"/>
      <c r="AK459" s="242"/>
      <c r="AL459" s="211">
        <v>1</v>
      </c>
      <c r="AM459" s="242"/>
      <c r="AN459" s="242"/>
      <c r="AO459" s="242"/>
      <c r="AP459" s="242"/>
      <c r="AQ459" s="242"/>
      <c r="AR459" s="242"/>
      <c r="AS459" s="242"/>
      <c r="AT459" s="242"/>
      <c r="AU459" s="242"/>
      <c r="AV459" s="242"/>
      <c r="AW459" s="240"/>
      <c r="AX459" s="240">
        <v>1</v>
      </c>
      <c r="AY459" s="240">
        <v>1</v>
      </c>
      <c r="AZ459" s="203">
        <v>1</v>
      </c>
      <c r="BA459" s="203">
        <v>1</v>
      </c>
      <c r="BB459" s="203">
        <v>1</v>
      </c>
      <c r="BC459" s="203">
        <v>1</v>
      </c>
    </row>
    <row r="460" spans="1:55" ht="21" hidden="1" customHeight="1">
      <c r="A460" s="212"/>
      <c r="B460" s="237">
        <v>46113</v>
      </c>
      <c r="C460" s="211" t="s">
        <v>384</v>
      </c>
      <c r="D460" s="238" t="s">
        <v>1062</v>
      </c>
      <c r="E460" s="203" t="s">
        <v>2528</v>
      </c>
      <c r="F460" s="242"/>
      <c r="G460" s="203"/>
      <c r="H460" s="242"/>
      <c r="I460" s="242"/>
      <c r="J460" s="242"/>
      <c r="K460" s="242"/>
      <c r="L460" s="242"/>
      <c r="M460" s="242"/>
      <c r="N460" s="242"/>
      <c r="O460" s="203">
        <v>1</v>
      </c>
      <c r="P460" s="211">
        <v>1</v>
      </c>
      <c r="Q460" s="242"/>
      <c r="R460" s="242"/>
      <c r="S460" s="242"/>
      <c r="T460" s="242"/>
      <c r="U460" s="242"/>
      <c r="V460" s="242"/>
      <c r="W460" s="242"/>
      <c r="X460" s="242"/>
      <c r="Y460" s="242"/>
      <c r="Z460" s="203">
        <v>1</v>
      </c>
      <c r="AA460" s="211">
        <v>1</v>
      </c>
      <c r="AB460" s="242"/>
      <c r="AC460" s="242"/>
      <c r="AD460" s="242"/>
      <c r="AE460" s="242"/>
      <c r="AF460" s="242"/>
      <c r="AG460" s="242"/>
      <c r="AH460" s="242"/>
      <c r="AI460" s="242"/>
      <c r="AJ460" s="242"/>
      <c r="AK460" s="242"/>
      <c r="AL460" s="242"/>
      <c r="AM460" s="242"/>
      <c r="AN460" s="242"/>
      <c r="AO460" s="242"/>
      <c r="AP460" s="242"/>
      <c r="AQ460" s="242"/>
      <c r="AR460" s="242"/>
      <c r="AS460" s="242"/>
      <c r="AT460" s="242"/>
      <c r="AU460" s="242"/>
      <c r="AV460" s="242"/>
      <c r="AW460" s="240"/>
      <c r="AX460" s="240">
        <v>1</v>
      </c>
      <c r="AY460" s="240">
        <v>1</v>
      </c>
      <c r="AZ460" s="203">
        <v>1</v>
      </c>
      <c r="BA460" s="203">
        <v>1</v>
      </c>
      <c r="BB460" s="203">
        <v>1</v>
      </c>
      <c r="BC460" s="203">
        <v>1</v>
      </c>
    </row>
    <row r="461" spans="1:55" ht="21" hidden="1" customHeight="1">
      <c r="A461" s="212"/>
      <c r="B461" s="237">
        <v>46113</v>
      </c>
      <c r="C461" s="211" t="s">
        <v>384</v>
      </c>
      <c r="D461" s="238" t="s">
        <v>1063</v>
      </c>
      <c r="E461" s="203" t="s">
        <v>2529</v>
      </c>
      <c r="F461" s="242"/>
      <c r="G461" s="203"/>
      <c r="H461" s="242"/>
      <c r="I461" s="242"/>
      <c r="J461" s="242"/>
      <c r="K461" s="242"/>
      <c r="L461" s="242"/>
      <c r="M461" s="242"/>
      <c r="N461" s="242"/>
      <c r="O461" s="203">
        <v>1</v>
      </c>
      <c r="P461" s="211">
        <v>1</v>
      </c>
      <c r="Q461" s="242"/>
      <c r="R461" s="242"/>
      <c r="S461" s="242"/>
      <c r="T461" s="242"/>
      <c r="U461" s="242"/>
      <c r="V461" s="242"/>
      <c r="W461" s="242"/>
      <c r="X461" s="242"/>
      <c r="Y461" s="242"/>
      <c r="Z461" s="203">
        <v>1</v>
      </c>
      <c r="AA461" s="211">
        <v>1</v>
      </c>
      <c r="AB461" s="242"/>
      <c r="AC461" s="242"/>
      <c r="AD461" s="242"/>
      <c r="AE461" s="242"/>
      <c r="AF461" s="242"/>
      <c r="AG461" s="242"/>
      <c r="AH461" s="242"/>
      <c r="AI461" s="242"/>
      <c r="AJ461" s="242"/>
      <c r="AK461" s="242"/>
      <c r="AL461" s="242"/>
      <c r="AM461" s="242"/>
      <c r="AN461" s="242"/>
      <c r="AO461" s="242"/>
      <c r="AP461" s="242"/>
      <c r="AQ461" s="242"/>
      <c r="AR461" s="242"/>
      <c r="AS461" s="242"/>
      <c r="AT461" s="242"/>
      <c r="AU461" s="242"/>
      <c r="AV461" s="242"/>
      <c r="AW461" s="240"/>
      <c r="AX461" s="240"/>
      <c r="AY461" s="240">
        <v>1</v>
      </c>
      <c r="AZ461" s="203">
        <v>1</v>
      </c>
      <c r="BA461" s="203">
        <v>1</v>
      </c>
      <c r="BB461" s="203">
        <v>1</v>
      </c>
      <c r="BC461" s="203">
        <v>1</v>
      </c>
    </row>
    <row r="462" spans="1:55" ht="21" hidden="1" customHeight="1">
      <c r="A462" s="212"/>
      <c r="B462" s="237">
        <v>46113</v>
      </c>
      <c r="C462" s="211" t="s">
        <v>384</v>
      </c>
      <c r="D462" s="238" t="s">
        <v>1064</v>
      </c>
      <c r="E462" s="203" t="s">
        <v>2530</v>
      </c>
      <c r="F462" s="242"/>
      <c r="G462" s="203"/>
      <c r="H462" s="242"/>
      <c r="I462" s="242"/>
      <c r="J462" s="242"/>
      <c r="K462" s="242"/>
      <c r="L462" s="242"/>
      <c r="M462" s="242"/>
      <c r="N462" s="242"/>
      <c r="O462" s="203">
        <v>1</v>
      </c>
      <c r="P462" s="211">
        <v>1</v>
      </c>
      <c r="Q462" s="242"/>
      <c r="R462" s="242"/>
      <c r="S462" s="242"/>
      <c r="T462" s="242"/>
      <c r="U462" s="242"/>
      <c r="V462" s="242"/>
      <c r="W462" s="242"/>
      <c r="X462" s="242"/>
      <c r="Y462" s="242"/>
      <c r="Z462" s="203">
        <v>1</v>
      </c>
      <c r="AA462" s="211">
        <v>1</v>
      </c>
      <c r="AB462" s="242"/>
      <c r="AC462" s="242"/>
      <c r="AD462" s="242"/>
      <c r="AE462" s="242"/>
      <c r="AF462" s="242"/>
      <c r="AG462" s="242"/>
      <c r="AH462" s="242"/>
      <c r="AI462" s="242"/>
      <c r="AJ462" s="242"/>
      <c r="AK462" s="242"/>
      <c r="AL462" s="242"/>
      <c r="AM462" s="242"/>
      <c r="AN462" s="242"/>
      <c r="AO462" s="242"/>
      <c r="AP462" s="242"/>
      <c r="AQ462" s="242"/>
      <c r="AR462" s="242"/>
      <c r="AS462" s="242"/>
      <c r="AT462" s="242"/>
      <c r="AU462" s="242"/>
      <c r="AV462" s="242"/>
      <c r="AW462" s="240"/>
      <c r="AX462" s="240">
        <v>1</v>
      </c>
      <c r="AY462" s="240">
        <v>1</v>
      </c>
      <c r="AZ462" s="203">
        <v>1</v>
      </c>
      <c r="BA462" s="203">
        <v>1</v>
      </c>
      <c r="BB462" s="203">
        <v>1</v>
      </c>
      <c r="BC462" s="203">
        <v>1</v>
      </c>
    </row>
    <row r="463" spans="1:55" ht="21" hidden="1" customHeight="1">
      <c r="A463" s="212"/>
      <c r="B463" s="237">
        <v>46113</v>
      </c>
      <c r="C463" s="211" t="s">
        <v>384</v>
      </c>
      <c r="D463" s="238" t="s">
        <v>1065</v>
      </c>
      <c r="E463" s="203" t="s">
        <v>2531</v>
      </c>
      <c r="F463" s="242"/>
      <c r="G463" s="203"/>
      <c r="H463" s="242"/>
      <c r="I463" s="242"/>
      <c r="J463" s="242"/>
      <c r="K463" s="242"/>
      <c r="L463" s="242"/>
      <c r="M463" s="242"/>
      <c r="N463" s="242"/>
      <c r="O463" s="203">
        <v>1</v>
      </c>
      <c r="P463" s="211">
        <v>1</v>
      </c>
      <c r="Q463" s="242"/>
      <c r="R463" s="242"/>
      <c r="S463" s="242"/>
      <c r="T463" s="242"/>
      <c r="U463" s="242"/>
      <c r="V463" s="242"/>
      <c r="W463" s="242"/>
      <c r="X463" s="242"/>
      <c r="Y463" s="242"/>
      <c r="Z463" s="203">
        <v>1</v>
      </c>
      <c r="AA463" s="211">
        <v>1</v>
      </c>
      <c r="AB463" s="242"/>
      <c r="AC463" s="242"/>
      <c r="AD463" s="242"/>
      <c r="AE463" s="242"/>
      <c r="AF463" s="242"/>
      <c r="AG463" s="242"/>
      <c r="AH463" s="242"/>
      <c r="AI463" s="242"/>
      <c r="AJ463" s="242"/>
      <c r="AK463" s="242"/>
      <c r="AL463" s="211">
        <v>1</v>
      </c>
      <c r="AM463" s="242"/>
      <c r="AN463" s="242"/>
      <c r="AO463" s="242"/>
      <c r="AP463" s="242"/>
      <c r="AQ463" s="242"/>
      <c r="AR463" s="242"/>
      <c r="AS463" s="242"/>
      <c r="AT463" s="242"/>
      <c r="AU463" s="242"/>
      <c r="AV463" s="242"/>
      <c r="AW463" s="240"/>
      <c r="AX463" s="240">
        <v>1</v>
      </c>
      <c r="AY463" s="240">
        <v>1</v>
      </c>
      <c r="AZ463" s="203">
        <v>1</v>
      </c>
      <c r="BA463" s="203">
        <v>1</v>
      </c>
      <c r="BB463" s="203">
        <v>1</v>
      </c>
      <c r="BC463" s="203">
        <v>1</v>
      </c>
    </row>
    <row r="464" spans="1:55" ht="21" hidden="1" customHeight="1">
      <c r="A464" s="212"/>
      <c r="B464" s="237">
        <v>46113</v>
      </c>
      <c r="C464" s="211" t="s">
        <v>386</v>
      </c>
      <c r="D464" s="238" t="s">
        <v>1066</v>
      </c>
      <c r="E464" s="203" t="s">
        <v>2532</v>
      </c>
      <c r="F464" s="242"/>
      <c r="G464" s="203"/>
      <c r="H464" s="242"/>
      <c r="I464" s="242"/>
      <c r="J464" s="242"/>
      <c r="K464" s="242"/>
      <c r="L464" s="242"/>
      <c r="M464" s="242"/>
      <c r="N464" s="242"/>
      <c r="O464" s="203">
        <v>1</v>
      </c>
      <c r="P464" s="211">
        <v>1</v>
      </c>
      <c r="Q464" s="242"/>
      <c r="R464" s="242"/>
      <c r="S464" s="242"/>
      <c r="T464" s="242"/>
      <c r="U464" s="242"/>
      <c r="V464" s="242"/>
      <c r="W464" s="242"/>
      <c r="X464" s="242"/>
      <c r="Y464" s="242"/>
      <c r="Z464" s="203">
        <v>1</v>
      </c>
      <c r="AA464" s="211">
        <v>1</v>
      </c>
      <c r="AB464" s="242"/>
      <c r="AC464" s="242"/>
      <c r="AD464" s="242"/>
      <c r="AE464" s="242"/>
      <c r="AF464" s="242"/>
      <c r="AG464" s="242"/>
      <c r="AH464" s="242"/>
      <c r="AI464" s="242"/>
      <c r="AJ464" s="242"/>
      <c r="AK464" s="242"/>
      <c r="AL464" s="211">
        <v>1</v>
      </c>
      <c r="AM464" s="242"/>
      <c r="AN464" s="242"/>
      <c r="AO464" s="242"/>
      <c r="AP464" s="242"/>
      <c r="AQ464" s="242"/>
      <c r="AR464" s="242"/>
      <c r="AS464" s="242"/>
      <c r="AT464" s="242"/>
      <c r="AU464" s="242"/>
      <c r="AV464" s="242"/>
      <c r="AW464" s="240"/>
      <c r="AX464" s="240">
        <v>1</v>
      </c>
      <c r="AY464" s="240">
        <v>1</v>
      </c>
      <c r="AZ464" s="203">
        <v>1</v>
      </c>
      <c r="BA464" s="203">
        <v>1</v>
      </c>
      <c r="BB464" s="203">
        <v>1</v>
      </c>
      <c r="BC464" s="203">
        <v>1</v>
      </c>
    </row>
    <row r="465" spans="1:55" ht="21" hidden="1" customHeight="1">
      <c r="A465" s="212"/>
      <c r="B465" s="237">
        <v>46113</v>
      </c>
      <c r="C465" s="211" t="s">
        <v>384</v>
      </c>
      <c r="D465" s="238" t="s">
        <v>1067</v>
      </c>
      <c r="E465" s="203" t="s">
        <v>2533</v>
      </c>
      <c r="F465" s="242"/>
      <c r="G465" s="203"/>
      <c r="H465" s="242"/>
      <c r="I465" s="242"/>
      <c r="J465" s="242"/>
      <c r="K465" s="242"/>
      <c r="L465" s="242"/>
      <c r="M465" s="242"/>
      <c r="N465" s="242"/>
      <c r="O465" s="203">
        <v>1</v>
      </c>
      <c r="P465" s="211">
        <v>1</v>
      </c>
      <c r="Q465" s="242"/>
      <c r="R465" s="242"/>
      <c r="S465" s="242"/>
      <c r="T465" s="242"/>
      <c r="U465" s="242"/>
      <c r="V465" s="242"/>
      <c r="W465" s="242"/>
      <c r="X465" s="242"/>
      <c r="Y465" s="242"/>
      <c r="Z465" s="203">
        <v>1</v>
      </c>
      <c r="AA465" s="211">
        <v>1</v>
      </c>
      <c r="AB465" s="242"/>
      <c r="AC465" s="242"/>
      <c r="AD465" s="242"/>
      <c r="AE465" s="242"/>
      <c r="AF465" s="242"/>
      <c r="AG465" s="242"/>
      <c r="AH465" s="242"/>
      <c r="AI465" s="242"/>
      <c r="AJ465" s="242"/>
      <c r="AK465" s="242"/>
      <c r="AL465" s="242"/>
      <c r="AM465" s="242"/>
      <c r="AN465" s="242"/>
      <c r="AO465" s="242"/>
      <c r="AP465" s="242"/>
      <c r="AQ465" s="242"/>
      <c r="AR465" s="242"/>
      <c r="AS465" s="242"/>
      <c r="AT465" s="242"/>
      <c r="AU465" s="242"/>
      <c r="AV465" s="242"/>
      <c r="AW465" s="240"/>
      <c r="AX465" s="240">
        <v>1</v>
      </c>
      <c r="AY465" s="240">
        <v>1</v>
      </c>
      <c r="AZ465" s="203">
        <v>1</v>
      </c>
      <c r="BA465" s="203">
        <v>1</v>
      </c>
      <c r="BB465" s="203">
        <v>1</v>
      </c>
      <c r="BC465" s="203">
        <v>1</v>
      </c>
    </row>
    <row r="466" spans="1:55" ht="21" hidden="1" customHeight="1">
      <c r="A466" s="212"/>
      <c r="B466" s="237">
        <v>46113</v>
      </c>
      <c r="C466" s="211" t="s">
        <v>384</v>
      </c>
      <c r="D466" s="238" t="s">
        <v>1068</v>
      </c>
      <c r="E466" s="203" t="s">
        <v>2534</v>
      </c>
      <c r="F466" s="242"/>
      <c r="G466" s="203"/>
      <c r="H466" s="242"/>
      <c r="I466" s="242"/>
      <c r="J466" s="242"/>
      <c r="K466" s="242"/>
      <c r="L466" s="242"/>
      <c r="M466" s="242"/>
      <c r="N466" s="242"/>
      <c r="O466" s="203">
        <v>1</v>
      </c>
      <c r="P466" s="211">
        <v>1</v>
      </c>
      <c r="Q466" s="242"/>
      <c r="R466" s="242"/>
      <c r="S466" s="242"/>
      <c r="T466" s="242"/>
      <c r="U466" s="242"/>
      <c r="V466" s="242"/>
      <c r="W466" s="242"/>
      <c r="X466" s="242"/>
      <c r="Y466" s="242"/>
      <c r="Z466" s="203">
        <v>1</v>
      </c>
      <c r="AA466" s="211">
        <v>1</v>
      </c>
      <c r="AB466" s="242"/>
      <c r="AC466" s="242"/>
      <c r="AD466" s="242"/>
      <c r="AE466" s="242"/>
      <c r="AF466" s="242"/>
      <c r="AG466" s="242"/>
      <c r="AH466" s="242"/>
      <c r="AI466" s="242"/>
      <c r="AJ466" s="242"/>
      <c r="AK466" s="242"/>
      <c r="AL466" s="211">
        <v>1</v>
      </c>
      <c r="AM466" s="242"/>
      <c r="AN466" s="242"/>
      <c r="AO466" s="242"/>
      <c r="AP466" s="242"/>
      <c r="AQ466" s="242"/>
      <c r="AR466" s="242"/>
      <c r="AS466" s="242"/>
      <c r="AT466" s="242"/>
      <c r="AU466" s="242"/>
      <c r="AV466" s="242"/>
      <c r="AW466" s="240"/>
      <c r="AX466" s="240">
        <v>1</v>
      </c>
      <c r="AY466" s="240">
        <v>1</v>
      </c>
      <c r="AZ466" s="203">
        <v>1</v>
      </c>
      <c r="BA466" s="203">
        <v>1</v>
      </c>
      <c r="BB466" s="203">
        <v>1</v>
      </c>
      <c r="BC466" s="203">
        <v>1</v>
      </c>
    </row>
    <row r="467" spans="1:55" ht="21" hidden="1" customHeight="1">
      <c r="A467" s="212"/>
      <c r="B467" s="237">
        <v>46113</v>
      </c>
      <c r="C467" s="211" t="s">
        <v>384</v>
      </c>
      <c r="D467" s="238" t="s">
        <v>1069</v>
      </c>
      <c r="E467" s="203" t="s">
        <v>2535</v>
      </c>
      <c r="F467" s="242"/>
      <c r="G467" s="203"/>
      <c r="H467" s="242"/>
      <c r="I467" s="242"/>
      <c r="J467" s="242"/>
      <c r="K467" s="242"/>
      <c r="L467" s="242"/>
      <c r="M467" s="242"/>
      <c r="N467" s="242"/>
      <c r="O467" s="242"/>
      <c r="P467" s="211">
        <v>1</v>
      </c>
      <c r="Q467" s="242"/>
      <c r="R467" s="242"/>
      <c r="S467" s="242"/>
      <c r="T467" s="242"/>
      <c r="U467" s="242"/>
      <c r="V467" s="242"/>
      <c r="W467" s="242"/>
      <c r="X467" s="242"/>
      <c r="Y467" s="242"/>
      <c r="Z467" s="203"/>
      <c r="AA467" s="203"/>
      <c r="AB467" s="242"/>
      <c r="AC467" s="242"/>
      <c r="AD467" s="242"/>
      <c r="AE467" s="242"/>
      <c r="AF467" s="242"/>
      <c r="AG467" s="242"/>
      <c r="AH467" s="242"/>
      <c r="AI467" s="242"/>
      <c r="AJ467" s="242"/>
      <c r="AK467" s="242"/>
      <c r="AL467" s="242"/>
      <c r="AM467" s="242"/>
      <c r="AN467" s="242"/>
      <c r="AO467" s="242"/>
      <c r="AP467" s="242"/>
      <c r="AQ467" s="242"/>
      <c r="AR467" s="242"/>
      <c r="AS467" s="242"/>
      <c r="AT467" s="242"/>
      <c r="AU467" s="242"/>
      <c r="AV467" s="242"/>
      <c r="AW467" s="240"/>
      <c r="AX467" s="240"/>
      <c r="AY467" s="240">
        <v>1</v>
      </c>
      <c r="AZ467" s="242"/>
      <c r="BA467" s="203"/>
      <c r="BB467" s="203"/>
      <c r="BC467" s="203"/>
    </row>
    <row r="468" spans="1:55" ht="21" hidden="1" customHeight="1">
      <c r="A468" s="212"/>
      <c r="B468" s="237">
        <v>46113</v>
      </c>
      <c r="C468" s="211" t="s">
        <v>384</v>
      </c>
      <c r="D468" s="238" t="s">
        <v>1070</v>
      </c>
      <c r="E468" s="203" t="s">
        <v>2536</v>
      </c>
      <c r="F468" s="242"/>
      <c r="G468" s="203"/>
      <c r="H468" s="242"/>
      <c r="I468" s="242"/>
      <c r="J468" s="242"/>
      <c r="K468" s="242"/>
      <c r="L468" s="242"/>
      <c r="M468" s="242"/>
      <c r="N468" s="242"/>
      <c r="O468" s="203">
        <v>1</v>
      </c>
      <c r="P468" s="211">
        <v>1</v>
      </c>
      <c r="Q468" s="242"/>
      <c r="R468" s="242"/>
      <c r="S468" s="242"/>
      <c r="T468" s="242"/>
      <c r="U468" s="242"/>
      <c r="V468" s="242"/>
      <c r="W468" s="242"/>
      <c r="X468" s="242"/>
      <c r="Y468" s="242"/>
      <c r="Z468" s="203"/>
      <c r="AA468" s="203"/>
      <c r="AB468" s="242"/>
      <c r="AC468" s="242"/>
      <c r="AD468" s="242"/>
      <c r="AE468" s="242"/>
      <c r="AF468" s="242"/>
      <c r="AG468" s="242"/>
      <c r="AH468" s="242"/>
      <c r="AI468" s="242"/>
      <c r="AJ468" s="242"/>
      <c r="AK468" s="242"/>
      <c r="AL468" s="242"/>
      <c r="AM468" s="242"/>
      <c r="AN468" s="242"/>
      <c r="AO468" s="242"/>
      <c r="AP468" s="242"/>
      <c r="AQ468" s="242"/>
      <c r="AR468" s="242"/>
      <c r="AS468" s="242"/>
      <c r="AT468" s="242"/>
      <c r="AU468" s="242"/>
      <c r="AV468" s="242"/>
      <c r="AW468" s="240"/>
      <c r="AX468" s="240">
        <v>1</v>
      </c>
      <c r="AY468" s="240">
        <v>1</v>
      </c>
      <c r="AZ468" s="203">
        <v>1</v>
      </c>
      <c r="BA468" s="203">
        <v>1</v>
      </c>
      <c r="BB468" s="203">
        <v>1</v>
      </c>
      <c r="BC468" s="203">
        <v>1</v>
      </c>
    </row>
    <row r="469" spans="1:55" ht="21" hidden="1" customHeight="1">
      <c r="A469" s="212"/>
      <c r="B469" s="237">
        <v>46113</v>
      </c>
      <c r="C469" s="211" t="s">
        <v>384</v>
      </c>
      <c r="D469" s="238" t="s">
        <v>1071</v>
      </c>
      <c r="E469" s="203" t="s">
        <v>2537</v>
      </c>
      <c r="F469" s="242"/>
      <c r="G469" s="203"/>
      <c r="H469" s="242"/>
      <c r="I469" s="242"/>
      <c r="J469" s="242"/>
      <c r="K469" s="242"/>
      <c r="L469" s="242"/>
      <c r="M469" s="242"/>
      <c r="N469" s="242"/>
      <c r="O469" s="203">
        <v>1</v>
      </c>
      <c r="P469" s="211">
        <v>1</v>
      </c>
      <c r="Q469" s="242"/>
      <c r="R469" s="242"/>
      <c r="S469" s="242"/>
      <c r="T469" s="242"/>
      <c r="U469" s="242"/>
      <c r="V469" s="242"/>
      <c r="W469" s="242"/>
      <c r="X469" s="242"/>
      <c r="Y469" s="242"/>
      <c r="Z469" s="203">
        <v>1</v>
      </c>
      <c r="AA469" s="211">
        <v>1</v>
      </c>
      <c r="AB469" s="242"/>
      <c r="AC469" s="242"/>
      <c r="AD469" s="242"/>
      <c r="AE469" s="242"/>
      <c r="AF469" s="242"/>
      <c r="AG469" s="242"/>
      <c r="AH469" s="242"/>
      <c r="AI469" s="242"/>
      <c r="AJ469" s="242"/>
      <c r="AK469" s="242"/>
      <c r="AL469" s="211">
        <v>1</v>
      </c>
      <c r="AM469" s="242"/>
      <c r="AN469" s="242"/>
      <c r="AO469" s="242"/>
      <c r="AP469" s="242"/>
      <c r="AQ469" s="242"/>
      <c r="AR469" s="242"/>
      <c r="AS469" s="242"/>
      <c r="AT469" s="242"/>
      <c r="AU469" s="242"/>
      <c r="AV469" s="242"/>
      <c r="AW469" s="240"/>
      <c r="AX469" s="240">
        <v>1</v>
      </c>
      <c r="AY469" s="240">
        <v>1</v>
      </c>
      <c r="AZ469" s="203">
        <v>1</v>
      </c>
      <c r="BA469" s="203">
        <v>1</v>
      </c>
      <c r="BB469" s="203">
        <v>1</v>
      </c>
      <c r="BC469" s="203">
        <v>1</v>
      </c>
    </row>
    <row r="470" spans="1:55" ht="21" hidden="1" customHeight="1">
      <c r="A470" s="212"/>
      <c r="B470" s="237">
        <v>46113</v>
      </c>
      <c r="C470" s="211" t="s">
        <v>384</v>
      </c>
      <c r="D470" s="238" t="s">
        <v>1072</v>
      </c>
      <c r="E470" s="203" t="s">
        <v>2538</v>
      </c>
      <c r="F470" s="242"/>
      <c r="G470" s="203"/>
      <c r="H470" s="242"/>
      <c r="I470" s="242"/>
      <c r="J470" s="242"/>
      <c r="K470" s="242"/>
      <c r="L470" s="242"/>
      <c r="M470" s="242"/>
      <c r="N470" s="242"/>
      <c r="O470" s="203">
        <v>1</v>
      </c>
      <c r="P470" s="211">
        <v>1</v>
      </c>
      <c r="Q470" s="242"/>
      <c r="R470" s="242"/>
      <c r="S470" s="242"/>
      <c r="T470" s="242"/>
      <c r="U470" s="242"/>
      <c r="V470" s="242"/>
      <c r="W470" s="242"/>
      <c r="X470" s="242"/>
      <c r="Y470" s="242"/>
      <c r="Z470" s="203">
        <v>1</v>
      </c>
      <c r="AA470" s="211">
        <v>1</v>
      </c>
      <c r="AB470" s="242"/>
      <c r="AC470" s="242"/>
      <c r="AD470" s="242"/>
      <c r="AE470" s="242"/>
      <c r="AF470" s="242"/>
      <c r="AG470" s="242"/>
      <c r="AH470" s="242"/>
      <c r="AI470" s="242"/>
      <c r="AJ470" s="242"/>
      <c r="AK470" s="242"/>
      <c r="AL470" s="242"/>
      <c r="AM470" s="242"/>
      <c r="AN470" s="242"/>
      <c r="AO470" s="242"/>
      <c r="AP470" s="242"/>
      <c r="AQ470" s="242"/>
      <c r="AR470" s="242"/>
      <c r="AS470" s="242"/>
      <c r="AT470" s="242"/>
      <c r="AU470" s="242"/>
      <c r="AV470" s="242"/>
      <c r="AW470" s="240"/>
      <c r="AX470" s="240">
        <v>1</v>
      </c>
      <c r="AY470" s="240">
        <v>1</v>
      </c>
      <c r="AZ470" s="203">
        <v>1</v>
      </c>
      <c r="BA470" s="203">
        <v>1</v>
      </c>
      <c r="BB470" s="203">
        <v>1</v>
      </c>
      <c r="BC470" s="203">
        <v>1</v>
      </c>
    </row>
    <row r="471" spans="1:55" ht="21" hidden="1" customHeight="1">
      <c r="A471" s="212"/>
      <c r="B471" s="237">
        <v>46113</v>
      </c>
      <c r="C471" s="211" t="s">
        <v>384</v>
      </c>
      <c r="D471" s="238" t="s">
        <v>1073</v>
      </c>
      <c r="E471" s="203" t="s">
        <v>2539</v>
      </c>
      <c r="F471" s="242"/>
      <c r="G471" s="203"/>
      <c r="H471" s="242"/>
      <c r="I471" s="242"/>
      <c r="J471" s="242"/>
      <c r="K471" s="242"/>
      <c r="L471" s="242"/>
      <c r="M471" s="242"/>
      <c r="N471" s="242"/>
      <c r="O471" s="242"/>
      <c r="P471" s="211">
        <v>1</v>
      </c>
      <c r="Q471" s="242"/>
      <c r="R471" s="242"/>
      <c r="S471" s="242"/>
      <c r="T471" s="242"/>
      <c r="U471" s="242"/>
      <c r="V471" s="242"/>
      <c r="W471" s="242"/>
      <c r="X471" s="242"/>
      <c r="Y471" s="242"/>
      <c r="Z471" s="203">
        <v>1</v>
      </c>
      <c r="AA471" s="203"/>
      <c r="AB471" s="242"/>
      <c r="AC471" s="242"/>
      <c r="AD471" s="242"/>
      <c r="AE471" s="242"/>
      <c r="AF471" s="242"/>
      <c r="AG471" s="242"/>
      <c r="AH471" s="242"/>
      <c r="AI471" s="242"/>
      <c r="AJ471" s="242"/>
      <c r="AK471" s="242"/>
      <c r="AL471" s="242"/>
      <c r="AM471" s="242"/>
      <c r="AN471" s="242"/>
      <c r="AO471" s="242"/>
      <c r="AP471" s="242"/>
      <c r="AQ471" s="242"/>
      <c r="AR471" s="242"/>
      <c r="AS471" s="242"/>
      <c r="AT471" s="242"/>
      <c r="AU471" s="242"/>
      <c r="AV471" s="242"/>
      <c r="AW471" s="240"/>
      <c r="AX471" s="240">
        <v>1</v>
      </c>
      <c r="AY471" s="240">
        <v>1</v>
      </c>
      <c r="AZ471" s="203">
        <v>1</v>
      </c>
      <c r="BA471" s="203"/>
      <c r="BB471" s="203"/>
      <c r="BC471" s="203"/>
    </row>
    <row r="472" spans="1:55" ht="21" hidden="1" customHeight="1">
      <c r="A472" s="212"/>
      <c r="B472" s="237">
        <v>46113</v>
      </c>
      <c r="C472" s="211" t="s">
        <v>389</v>
      </c>
      <c r="D472" s="238" t="s">
        <v>1074</v>
      </c>
      <c r="E472" s="203" t="s">
        <v>2540</v>
      </c>
      <c r="F472" s="242"/>
      <c r="G472" s="203"/>
      <c r="H472" s="242"/>
      <c r="I472" s="242"/>
      <c r="J472" s="242"/>
      <c r="K472" s="242"/>
      <c r="L472" s="242"/>
      <c r="M472" s="242"/>
      <c r="N472" s="242"/>
      <c r="O472" s="203">
        <v>1</v>
      </c>
      <c r="P472" s="211"/>
      <c r="Q472" s="242"/>
      <c r="R472" s="242"/>
      <c r="S472" s="242"/>
      <c r="T472" s="242"/>
      <c r="U472" s="242"/>
      <c r="V472" s="242"/>
      <c r="W472" s="242"/>
      <c r="X472" s="242"/>
      <c r="Y472" s="242"/>
      <c r="Z472" s="203">
        <v>1</v>
      </c>
      <c r="AA472" s="211">
        <v>1</v>
      </c>
      <c r="AB472" s="242"/>
      <c r="AC472" s="242"/>
      <c r="AD472" s="242"/>
      <c r="AE472" s="242"/>
      <c r="AF472" s="242"/>
      <c r="AG472" s="242"/>
      <c r="AH472" s="242"/>
      <c r="AI472" s="242"/>
      <c r="AJ472" s="242"/>
      <c r="AK472" s="203">
        <v>1</v>
      </c>
      <c r="AL472" s="211">
        <v>1</v>
      </c>
      <c r="AM472" s="242"/>
      <c r="AN472" s="242"/>
      <c r="AO472" s="242"/>
      <c r="AP472" s="242"/>
      <c r="AQ472" s="242"/>
      <c r="AR472" s="242"/>
      <c r="AS472" s="242"/>
      <c r="AT472" s="242"/>
      <c r="AU472" s="242"/>
      <c r="AV472" s="240">
        <v>1</v>
      </c>
      <c r="AW472" s="240"/>
      <c r="AX472" s="240">
        <v>1</v>
      </c>
      <c r="AY472" s="240"/>
      <c r="AZ472" s="203">
        <v>1</v>
      </c>
      <c r="BA472" s="203">
        <v>1</v>
      </c>
      <c r="BB472" s="203">
        <v>1</v>
      </c>
      <c r="BC472" s="203">
        <v>1</v>
      </c>
    </row>
    <row r="473" spans="1:55" ht="21" hidden="1" customHeight="1">
      <c r="A473" s="212"/>
      <c r="B473" s="237">
        <v>46113</v>
      </c>
      <c r="C473" s="211" t="s">
        <v>384</v>
      </c>
      <c r="D473" s="238" t="s">
        <v>1075</v>
      </c>
      <c r="E473" s="203" t="s">
        <v>2541</v>
      </c>
      <c r="F473" s="242"/>
      <c r="G473" s="203"/>
      <c r="H473" s="242"/>
      <c r="I473" s="242"/>
      <c r="J473" s="242"/>
      <c r="K473" s="242"/>
      <c r="L473" s="242"/>
      <c r="M473" s="242"/>
      <c r="N473" s="242"/>
      <c r="O473" s="203">
        <v>1</v>
      </c>
      <c r="P473" s="211">
        <v>1</v>
      </c>
      <c r="Q473" s="242"/>
      <c r="R473" s="242"/>
      <c r="S473" s="242"/>
      <c r="T473" s="242"/>
      <c r="U473" s="242"/>
      <c r="V473" s="242"/>
      <c r="W473" s="242"/>
      <c r="X473" s="242"/>
      <c r="Y473" s="242"/>
      <c r="Z473" s="203">
        <v>1</v>
      </c>
      <c r="AA473" s="211">
        <v>1</v>
      </c>
      <c r="AB473" s="242"/>
      <c r="AC473" s="242"/>
      <c r="AD473" s="242"/>
      <c r="AE473" s="242"/>
      <c r="AF473" s="242"/>
      <c r="AG473" s="242"/>
      <c r="AH473" s="242"/>
      <c r="AI473" s="242"/>
      <c r="AJ473" s="242"/>
      <c r="AK473" s="242"/>
      <c r="AL473" s="242"/>
      <c r="AM473" s="242"/>
      <c r="AN473" s="242"/>
      <c r="AO473" s="242"/>
      <c r="AP473" s="242"/>
      <c r="AQ473" s="242"/>
      <c r="AR473" s="242"/>
      <c r="AS473" s="242"/>
      <c r="AT473" s="242"/>
      <c r="AU473" s="242"/>
      <c r="AV473" s="242"/>
      <c r="AW473" s="240"/>
      <c r="AX473" s="240">
        <v>1</v>
      </c>
      <c r="AY473" s="240">
        <v>1</v>
      </c>
      <c r="AZ473" s="203">
        <v>1</v>
      </c>
      <c r="BA473" s="203">
        <v>1</v>
      </c>
      <c r="BB473" s="203">
        <v>1</v>
      </c>
      <c r="BC473" s="203">
        <v>1</v>
      </c>
    </row>
    <row r="474" spans="1:55" ht="21" hidden="1" customHeight="1">
      <c r="A474" s="212"/>
      <c r="B474" s="237">
        <v>46113</v>
      </c>
      <c r="C474" s="211" t="s">
        <v>389</v>
      </c>
      <c r="D474" s="238" t="s">
        <v>1076</v>
      </c>
      <c r="E474" s="203" t="s">
        <v>2542</v>
      </c>
      <c r="F474" s="242"/>
      <c r="G474" s="203"/>
      <c r="H474" s="242"/>
      <c r="I474" s="242"/>
      <c r="J474" s="242"/>
      <c r="K474" s="242"/>
      <c r="L474" s="242"/>
      <c r="M474" s="242"/>
      <c r="N474" s="242"/>
      <c r="O474" s="203">
        <v>1</v>
      </c>
      <c r="P474" s="211">
        <v>1</v>
      </c>
      <c r="Q474" s="242"/>
      <c r="R474" s="242"/>
      <c r="S474" s="242"/>
      <c r="T474" s="242"/>
      <c r="U474" s="242"/>
      <c r="V474" s="242"/>
      <c r="W474" s="242"/>
      <c r="X474" s="242"/>
      <c r="Y474" s="242"/>
      <c r="Z474" s="203">
        <v>1</v>
      </c>
      <c r="AA474" s="211">
        <v>1</v>
      </c>
      <c r="AB474" s="242"/>
      <c r="AC474" s="242"/>
      <c r="AD474" s="242"/>
      <c r="AE474" s="242"/>
      <c r="AF474" s="242"/>
      <c r="AG474" s="242"/>
      <c r="AH474" s="242"/>
      <c r="AI474" s="242"/>
      <c r="AJ474" s="242"/>
      <c r="AK474" s="203">
        <v>1</v>
      </c>
      <c r="AL474" s="203">
        <v>1</v>
      </c>
      <c r="AM474" s="242"/>
      <c r="AN474" s="242"/>
      <c r="AO474" s="242"/>
      <c r="AP474" s="242"/>
      <c r="AQ474" s="242"/>
      <c r="AR474" s="242"/>
      <c r="AS474" s="242"/>
      <c r="AT474" s="242"/>
      <c r="AU474" s="242"/>
      <c r="AV474" s="240">
        <v>1</v>
      </c>
      <c r="AW474" s="240"/>
      <c r="AX474" s="240">
        <v>1</v>
      </c>
      <c r="AY474" s="240"/>
      <c r="AZ474" s="203">
        <v>1</v>
      </c>
      <c r="BA474" s="203">
        <v>1</v>
      </c>
      <c r="BB474" s="203">
        <v>1</v>
      </c>
      <c r="BC474" s="203">
        <v>1</v>
      </c>
    </row>
    <row r="475" spans="1:55" ht="21" hidden="1" customHeight="1">
      <c r="A475" s="212"/>
      <c r="B475" s="237">
        <v>46113</v>
      </c>
      <c r="C475" s="211" t="s">
        <v>386</v>
      </c>
      <c r="D475" s="238" t="s">
        <v>1077</v>
      </c>
      <c r="E475" s="203" t="s">
        <v>2543</v>
      </c>
      <c r="F475" s="242"/>
      <c r="G475" s="203"/>
      <c r="H475" s="242"/>
      <c r="I475" s="242"/>
      <c r="J475" s="242"/>
      <c r="K475" s="242"/>
      <c r="L475" s="242"/>
      <c r="M475" s="242"/>
      <c r="N475" s="242"/>
      <c r="O475" s="203">
        <v>1</v>
      </c>
      <c r="P475" s="211">
        <v>1</v>
      </c>
      <c r="Q475" s="242"/>
      <c r="R475" s="242"/>
      <c r="S475" s="242"/>
      <c r="T475" s="242"/>
      <c r="U475" s="242"/>
      <c r="V475" s="242"/>
      <c r="W475" s="242"/>
      <c r="X475" s="242"/>
      <c r="Y475" s="242"/>
      <c r="Z475" s="203">
        <v>1</v>
      </c>
      <c r="AA475" s="203"/>
      <c r="AB475" s="242"/>
      <c r="AC475" s="242"/>
      <c r="AD475" s="242"/>
      <c r="AE475" s="242"/>
      <c r="AF475" s="242"/>
      <c r="AG475" s="242"/>
      <c r="AH475" s="242"/>
      <c r="AI475" s="242"/>
      <c r="AJ475" s="242"/>
      <c r="AK475" s="242"/>
      <c r="AL475" s="211">
        <v>1</v>
      </c>
      <c r="AM475" s="242"/>
      <c r="AN475" s="242"/>
      <c r="AO475" s="242"/>
      <c r="AP475" s="242"/>
      <c r="AQ475" s="242"/>
      <c r="AR475" s="242"/>
      <c r="AS475" s="242"/>
      <c r="AT475" s="242"/>
      <c r="AU475" s="242"/>
      <c r="AV475" s="242"/>
      <c r="AW475" s="240"/>
      <c r="AX475" s="240">
        <v>1</v>
      </c>
      <c r="AY475" s="240">
        <v>1</v>
      </c>
      <c r="AZ475" s="203">
        <v>1</v>
      </c>
      <c r="BA475" s="203">
        <v>1</v>
      </c>
      <c r="BB475" s="203">
        <v>1</v>
      </c>
      <c r="BC475" s="203">
        <v>1</v>
      </c>
    </row>
    <row r="476" spans="1:55" ht="21" hidden="1" customHeight="1">
      <c r="A476" s="212"/>
      <c r="B476" s="237">
        <v>46113</v>
      </c>
      <c r="C476" s="211" t="s">
        <v>386</v>
      </c>
      <c r="D476" s="238" t="s">
        <v>1078</v>
      </c>
      <c r="E476" s="203" t="s">
        <v>2544</v>
      </c>
      <c r="F476" s="242"/>
      <c r="G476" s="203"/>
      <c r="H476" s="242"/>
      <c r="I476" s="242"/>
      <c r="J476" s="242"/>
      <c r="K476" s="242"/>
      <c r="L476" s="242"/>
      <c r="M476" s="242"/>
      <c r="N476" s="242"/>
      <c r="O476" s="203">
        <v>1</v>
      </c>
      <c r="P476" s="211">
        <v>1</v>
      </c>
      <c r="Q476" s="242"/>
      <c r="R476" s="242"/>
      <c r="S476" s="242"/>
      <c r="T476" s="242"/>
      <c r="U476" s="242"/>
      <c r="V476" s="242"/>
      <c r="W476" s="242"/>
      <c r="X476" s="242"/>
      <c r="Y476" s="242"/>
      <c r="Z476" s="203">
        <v>1</v>
      </c>
      <c r="AA476" s="211">
        <v>1</v>
      </c>
      <c r="AB476" s="242"/>
      <c r="AC476" s="242"/>
      <c r="AD476" s="242"/>
      <c r="AE476" s="242"/>
      <c r="AF476" s="242"/>
      <c r="AG476" s="242"/>
      <c r="AH476" s="242"/>
      <c r="AI476" s="242"/>
      <c r="AJ476" s="242"/>
      <c r="AK476" s="242"/>
      <c r="AL476" s="242"/>
      <c r="AM476" s="242"/>
      <c r="AN476" s="242"/>
      <c r="AO476" s="242"/>
      <c r="AP476" s="242"/>
      <c r="AQ476" s="242"/>
      <c r="AR476" s="242"/>
      <c r="AS476" s="242"/>
      <c r="AT476" s="242"/>
      <c r="AU476" s="242"/>
      <c r="AV476" s="242"/>
      <c r="AW476" s="240"/>
      <c r="AX476" s="240">
        <v>1</v>
      </c>
      <c r="AY476" s="240">
        <v>1</v>
      </c>
      <c r="AZ476" s="203">
        <v>1</v>
      </c>
      <c r="BA476" s="203">
        <v>1</v>
      </c>
      <c r="BB476" s="203">
        <v>1</v>
      </c>
      <c r="BC476" s="203">
        <v>1</v>
      </c>
    </row>
    <row r="477" spans="1:55" ht="21" hidden="1" customHeight="1">
      <c r="A477" s="212"/>
      <c r="B477" s="237">
        <v>46113</v>
      </c>
      <c r="C477" s="211" t="s">
        <v>389</v>
      </c>
      <c r="D477" s="238" t="s">
        <v>1079</v>
      </c>
      <c r="E477" s="203" t="s">
        <v>2545</v>
      </c>
      <c r="F477" s="242"/>
      <c r="G477" s="203"/>
      <c r="H477" s="242"/>
      <c r="I477" s="242"/>
      <c r="J477" s="242"/>
      <c r="K477" s="242"/>
      <c r="L477" s="242"/>
      <c r="M477" s="242"/>
      <c r="N477" s="242"/>
      <c r="O477" s="203">
        <v>1</v>
      </c>
      <c r="P477" s="211"/>
      <c r="Q477" s="242"/>
      <c r="R477" s="242"/>
      <c r="S477" s="242"/>
      <c r="T477" s="242"/>
      <c r="U477" s="242"/>
      <c r="V477" s="242"/>
      <c r="W477" s="242"/>
      <c r="X477" s="242"/>
      <c r="Y477" s="242"/>
      <c r="Z477" s="203">
        <v>1</v>
      </c>
      <c r="AA477" s="211"/>
      <c r="AB477" s="242"/>
      <c r="AC477" s="242"/>
      <c r="AD477" s="242"/>
      <c r="AE477" s="242"/>
      <c r="AF477" s="242"/>
      <c r="AG477" s="242"/>
      <c r="AH477" s="242"/>
      <c r="AI477" s="242"/>
      <c r="AJ477" s="242"/>
      <c r="AK477" s="242"/>
      <c r="AL477" s="203"/>
      <c r="AM477" s="242"/>
      <c r="AN477" s="242"/>
      <c r="AO477" s="242"/>
      <c r="AP477" s="242"/>
      <c r="AQ477" s="242"/>
      <c r="AR477" s="242"/>
      <c r="AS477" s="242"/>
      <c r="AT477" s="242"/>
      <c r="AU477" s="242"/>
      <c r="AV477" s="242"/>
      <c r="AW477" s="240"/>
      <c r="AX477" s="240">
        <v>1</v>
      </c>
      <c r="AY477" s="240"/>
      <c r="AZ477" s="203">
        <v>1</v>
      </c>
      <c r="BA477" s="203"/>
      <c r="BB477" s="203"/>
      <c r="BC477" s="203"/>
    </row>
    <row r="478" spans="1:55" ht="21" hidden="1" customHeight="1">
      <c r="A478" s="212"/>
      <c r="B478" s="237">
        <v>46113</v>
      </c>
      <c r="C478" s="211" t="s">
        <v>389</v>
      </c>
      <c r="D478" s="238" t="s">
        <v>1080</v>
      </c>
      <c r="E478" s="203" t="s">
        <v>2546</v>
      </c>
      <c r="F478" s="242"/>
      <c r="G478" s="203"/>
      <c r="H478" s="242"/>
      <c r="I478" s="242"/>
      <c r="J478" s="242"/>
      <c r="K478" s="242"/>
      <c r="L478" s="242"/>
      <c r="M478" s="242"/>
      <c r="N478" s="242"/>
      <c r="O478" s="242"/>
      <c r="P478" s="203"/>
      <c r="Q478" s="242"/>
      <c r="R478" s="242"/>
      <c r="S478" s="242"/>
      <c r="T478" s="242"/>
      <c r="U478" s="242"/>
      <c r="V478" s="242"/>
      <c r="W478" s="242"/>
      <c r="X478" s="242"/>
      <c r="Y478" s="242"/>
      <c r="Z478" s="203"/>
      <c r="AA478" s="203"/>
      <c r="AB478" s="242"/>
      <c r="AC478" s="242"/>
      <c r="AD478" s="242"/>
      <c r="AE478" s="242"/>
      <c r="AF478" s="242"/>
      <c r="AG478" s="242"/>
      <c r="AH478" s="242"/>
      <c r="AI478" s="242"/>
      <c r="AJ478" s="242"/>
      <c r="AK478" s="242"/>
      <c r="AL478" s="203"/>
      <c r="AM478" s="242"/>
      <c r="AN478" s="242"/>
      <c r="AO478" s="242"/>
      <c r="AP478" s="242"/>
      <c r="AQ478" s="242"/>
      <c r="AR478" s="242"/>
      <c r="AS478" s="242"/>
      <c r="AT478" s="242"/>
      <c r="AU478" s="242"/>
      <c r="AV478" s="242"/>
      <c r="AW478" s="240"/>
      <c r="AX478" s="240"/>
      <c r="AY478" s="240"/>
      <c r="AZ478" s="242"/>
      <c r="BA478" s="203"/>
      <c r="BB478" s="203"/>
      <c r="BC478" s="203"/>
    </row>
    <row r="479" spans="1:55" ht="21" hidden="1" customHeight="1">
      <c r="A479" s="212"/>
      <c r="B479" s="237">
        <v>46113</v>
      </c>
      <c r="C479" s="211" t="s">
        <v>389</v>
      </c>
      <c r="D479" s="238" t="s">
        <v>1081</v>
      </c>
      <c r="E479" s="203" t="s">
        <v>2547</v>
      </c>
      <c r="F479" s="242"/>
      <c r="G479" s="203"/>
      <c r="H479" s="242"/>
      <c r="I479" s="242"/>
      <c r="J479" s="242"/>
      <c r="K479" s="242"/>
      <c r="L479" s="242"/>
      <c r="M479" s="242"/>
      <c r="N479" s="242"/>
      <c r="O479" s="242"/>
      <c r="P479" s="203"/>
      <c r="Q479" s="242"/>
      <c r="R479" s="242"/>
      <c r="S479" s="242"/>
      <c r="T479" s="242"/>
      <c r="U479" s="242"/>
      <c r="V479" s="242"/>
      <c r="W479" s="242"/>
      <c r="X479" s="242"/>
      <c r="Y479" s="242"/>
      <c r="Z479" s="203"/>
      <c r="AA479" s="203"/>
      <c r="AB479" s="242"/>
      <c r="AC479" s="242"/>
      <c r="AD479" s="242"/>
      <c r="AE479" s="242"/>
      <c r="AF479" s="242"/>
      <c r="AG479" s="242"/>
      <c r="AH479" s="242"/>
      <c r="AI479" s="242"/>
      <c r="AJ479" s="242"/>
      <c r="AK479" s="242"/>
      <c r="AL479" s="203"/>
      <c r="AM479" s="242"/>
      <c r="AN479" s="242"/>
      <c r="AO479" s="242"/>
      <c r="AP479" s="242"/>
      <c r="AQ479" s="242"/>
      <c r="AR479" s="242"/>
      <c r="AS479" s="242"/>
      <c r="AT479" s="242"/>
      <c r="AU479" s="242"/>
      <c r="AV479" s="242"/>
      <c r="AW479" s="240"/>
      <c r="AX479" s="240"/>
      <c r="AY479" s="240"/>
      <c r="AZ479" s="203">
        <v>1</v>
      </c>
      <c r="BA479" s="203"/>
      <c r="BB479" s="203"/>
      <c r="BC479" s="203"/>
    </row>
    <row r="480" spans="1:55" ht="21" hidden="1" customHeight="1">
      <c r="A480" s="212"/>
      <c r="B480" s="237">
        <v>46082</v>
      </c>
      <c r="C480" s="211" t="s">
        <v>384</v>
      </c>
      <c r="D480" s="238" t="s">
        <v>1082</v>
      </c>
      <c r="E480" s="203" t="s">
        <v>2548</v>
      </c>
      <c r="F480" s="242"/>
      <c r="G480" s="203"/>
      <c r="H480" s="242"/>
      <c r="I480" s="242"/>
      <c r="J480" s="242"/>
      <c r="K480" s="242"/>
      <c r="L480" s="242"/>
      <c r="M480" s="242"/>
      <c r="N480" s="242"/>
      <c r="O480" s="203">
        <v>1</v>
      </c>
      <c r="P480" s="211">
        <v>1</v>
      </c>
      <c r="Q480" s="242"/>
      <c r="R480" s="242"/>
      <c r="S480" s="242"/>
      <c r="T480" s="242"/>
      <c r="U480" s="242"/>
      <c r="V480" s="242"/>
      <c r="W480" s="242"/>
      <c r="X480" s="242"/>
      <c r="Y480" s="242"/>
      <c r="Z480" s="203">
        <v>1</v>
      </c>
      <c r="AA480" s="211">
        <v>1</v>
      </c>
      <c r="AB480" s="242"/>
      <c r="AC480" s="242"/>
      <c r="AD480" s="242"/>
      <c r="AE480" s="242"/>
      <c r="AF480" s="242"/>
      <c r="AG480" s="242"/>
      <c r="AH480" s="242"/>
      <c r="AI480" s="242"/>
      <c r="AJ480" s="242"/>
      <c r="AK480" s="242"/>
      <c r="AL480" s="242"/>
      <c r="AM480" s="242"/>
      <c r="AN480" s="242"/>
      <c r="AO480" s="242"/>
      <c r="AP480" s="242"/>
      <c r="AQ480" s="242"/>
      <c r="AR480" s="242"/>
      <c r="AS480" s="242"/>
      <c r="AT480" s="242"/>
      <c r="AU480" s="242"/>
      <c r="AV480" s="242"/>
      <c r="AW480" s="240"/>
      <c r="AX480" s="240">
        <v>1</v>
      </c>
      <c r="AY480" s="240">
        <v>1</v>
      </c>
      <c r="AZ480" s="203">
        <v>1</v>
      </c>
      <c r="BA480" s="203">
        <v>1</v>
      </c>
      <c r="BB480" s="203">
        <v>1</v>
      </c>
      <c r="BC480" s="203">
        <v>1</v>
      </c>
    </row>
    <row r="481" spans="1:55" ht="21" customHeight="1">
      <c r="A481" s="212"/>
      <c r="B481" s="237">
        <v>46082</v>
      </c>
      <c r="C481" s="211" t="s">
        <v>395</v>
      </c>
      <c r="D481" s="238" t="s">
        <v>1083</v>
      </c>
      <c r="E481" s="203" t="s">
        <v>2549</v>
      </c>
      <c r="F481" s="242"/>
      <c r="G481" s="203"/>
      <c r="H481" s="242"/>
      <c r="I481" s="242"/>
      <c r="J481" s="242"/>
      <c r="K481" s="242"/>
      <c r="L481" s="242"/>
      <c r="M481" s="242"/>
      <c r="N481" s="242"/>
      <c r="O481" s="203">
        <v>1</v>
      </c>
      <c r="P481" s="211">
        <v>1</v>
      </c>
      <c r="Q481" s="242"/>
      <c r="R481" s="242"/>
      <c r="S481" s="242"/>
      <c r="T481" s="242"/>
      <c r="U481" s="242"/>
      <c r="V481" s="242"/>
      <c r="W481" s="242"/>
      <c r="X481" s="242"/>
      <c r="Y481" s="242"/>
      <c r="Z481" s="203">
        <v>1</v>
      </c>
      <c r="AA481" s="211">
        <v>1</v>
      </c>
      <c r="AB481" s="242"/>
      <c r="AC481" s="242"/>
      <c r="AD481" s="242"/>
      <c r="AE481" s="242"/>
      <c r="AF481" s="242"/>
      <c r="AG481" s="242"/>
      <c r="AH481" s="242"/>
      <c r="AI481" s="242"/>
      <c r="AJ481" s="242"/>
      <c r="AK481" s="242"/>
      <c r="AL481" s="211">
        <v>1</v>
      </c>
      <c r="AM481" s="242"/>
      <c r="AN481" s="242"/>
      <c r="AO481" s="242"/>
      <c r="AP481" s="242"/>
      <c r="AQ481" s="242"/>
      <c r="AR481" s="242"/>
      <c r="AS481" s="242"/>
      <c r="AT481" s="242"/>
      <c r="AU481" s="242"/>
      <c r="AV481" s="242"/>
      <c r="AW481" s="240"/>
      <c r="AX481" s="240">
        <v>1</v>
      </c>
      <c r="AY481" s="240">
        <v>1</v>
      </c>
      <c r="AZ481" s="203">
        <v>1</v>
      </c>
      <c r="BA481" s="203">
        <v>1</v>
      </c>
      <c r="BB481" s="203">
        <v>1</v>
      </c>
      <c r="BC481" s="203">
        <v>1</v>
      </c>
    </row>
    <row r="482" spans="1:55" ht="21" hidden="1" customHeight="1">
      <c r="A482" s="212"/>
      <c r="B482" s="237">
        <v>46082</v>
      </c>
      <c r="C482" s="211" t="s">
        <v>386</v>
      </c>
      <c r="D482" s="238" t="s">
        <v>1084</v>
      </c>
      <c r="E482" s="203" t="s">
        <v>2550</v>
      </c>
      <c r="F482" s="242"/>
      <c r="G482" s="203"/>
      <c r="H482" s="242"/>
      <c r="I482" s="242"/>
      <c r="J482" s="242"/>
      <c r="K482" s="242"/>
      <c r="L482" s="242"/>
      <c r="M482" s="242"/>
      <c r="N482" s="242"/>
      <c r="O482" s="203">
        <v>1</v>
      </c>
      <c r="P482" s="211">
        <v>1</v>
      </c>
      <c r="Q482" s="242"/>
      <c r="R482" s="242"/>
      <c r="S482" s="242"/>
      <c r="T482" s="242"/>
      <c r="U482" s="242"/>
      <c r="V482" s="242"/>
      <c r="W482" s="242"/>
      <c r="X482" s="242"/>
      <c r="Y482" s="242"/>
      <c r="Z482" s="203">
        <v>1</v>
      </c>
      <c r="AA482" s="211">
        <v>1</v>
      </c>
      <c r="AB482" s="242"/>
      <c r="AC482" s="242"/>
      <c r="AD482" s="242"/>
      <c r="AE482" s="242"/>
      <c r="AF482" s="242"/>
      <c r="AG482" s="242"/>
      <c r="AH482" s="242"/>
      <c r="AI482" s="242"/>
      <c r="AJ482" s="242"/>
      <c r="AK482" s="242"/>
      <c r="AL482" s="211">
        <v>1</v>
      </c>
      <c r="AM482" s="242"/>
      <c r="AN482" s="242"/>
      <c r="AO482" s="242"/>
      <c r="AP482" s="242"/>
      <c r="AQ482" s="242"/>
      <c r="AR482" s="242"/>
      <c r="AS482" s="242"/>
      <c r="AT482" s="242"/>
      <c r="AU482" s="242"/>
      <c r="AV482" s="242"/>
      <c r="AW482" s="240"/>
      <c r="AX482" s="240">
        <v>1</v>
      </c>
      <c r="AY482" s="240">
        <v>1</v>
      </c>
      <c r="AZ482" s="203">
        <v>1</v>
      </c>
      <c r="BA482" s="203">
        <v>1</v>
      </c>
      <c r="BB482" s="203">
        <v>1</v>
      </c>
      <c r="BC482" s="203">
        <v>1</v>
      </c>
    </row>
    <row r="483" spans="1:55" ht="21" hidden="1" customHeight="1">
      <c r="A483" s="212"/>
      <c r="B483" s="237">
        <v>46082</v>
      </c>
      <c r="C483" s="211" t="s">
        <v>386</v>
      </c>
      <c r="D483" s="238" t="s">
        <v>1085</v>
      </c>
      <c r="E483" s="203" t="s">
        <v>2551</v>
      </c>
      <c r="F483" s="242"/>
      <c r="G483" s="203"/>
      <c r="H483" s="242"/>
      <c r="I483" s="242"/>
      <c r="J483" s="242"/>
      <c r="K483" s="242"/>
      <c r="L483" s="242"/>
      <c r="M483" s="242"/>
      <c r="N483" s="242"/>
      <c r="O483" s="203">
        <v>1</v>
      </c>
      <c r="P483" s="211">
        <v>1</v>
      </c>
      <c r="Q483" s="242"/>
      <c r="R483" s="242"/>
      <c r="S483" s="242"/>
      <c r="T483" s="242"/>
      <c r="U483" s="242"/>
      <c r="V483" s="242"/>
      <c r="W483" s="242"/>
      <c r="X483" s="242"/>
      <c r="Y483" s="242"/>
      <c r="Z483" s="203">
        <v>1</v>
      </c>
      <c r="AA483" s="211">
        <v>1</v>
      </c>
      <c r="AB483" s="242"/>
      <c r="AC483" s="242"/>
      <c r="AD483" s="242"/>
      <c r="AE483" s="242"/>
      <c r="AF483" s="242"/>
      <c r="AG483" s="242"/>
      <c r="AH483" s="242"/>
      <c r="AI483" s="242"/>
      <c r="AJ483" s="242"/>
      <c r="AK483" s="242"/>
      <c r="AL483" s="242"/>
      <c r="AM483" s="242"/>
      <c r="AN483" s="242"/>
      <c r="AO483" s="242"/>
      <c r="AP483" s="242"/>
      <c r="AQ483" s="242"/>
      <c r="AR483" s="242"/>
      <c r="AS483" s="242"/>
      <c r="AT483" s="242"/>
      <c r="AU483" s="242"/>
      <c r="AV483" s="242"/>
      <c r="AW483" s="240"/>
      <c r="AX483" s="240">
        <v>1</v>
      </c>
      <c r="AY483" s="240">
        <v>1</v>
      </c>
      <c r="AZ483" s="203">
        <v>1</v>
      </c>
      <c r="BA483" s="203">
        <v>1</v>
      </c>
      <c r="BB483" s="203">
        <v>1</v>
      </c>
      <c r="BC483" s="203">
        <v>1</v>
      </c>
    </row>
    <row r="484" spans="1:55" ht="21" hidden="1" customHeight="1">
      <c r="A484" s="212"/>
      <c r="B484" s="237">
        <v>46082</v>
      </c>
      <c r="C484" s="211" t="s">
        <v>386</v>
      </c>
      <c r="D484" s="238" t="s">
        <v>1086</v>
      </c>
      <c r="E484" s="203" t="s">
        <v>2552</v>
      </c>
      <c r="F484" s="242"/>
      <c r="G484" s="203"/>
      <c r="H484" s="242"/>
      <c r="I484" s="242"/>
      <c r="J484" s="242"/>
      <c r="K484" s="242"/>
      <c r="L484" s="242"/>
      <c r="M484" s="242"/>
      <c r="N484" s="242"/>
      <c r="O484" s="203">
        <v>1</v>
      </c>
      <c r="P484" s="211">
        <v>1</v>
      </c>
      <c r="Q484" s="242"/>
      <c r="R484" s="242"/>
      <c r="S484" s="242"/>
      <c r="T484" s="242"/>
      <c r="U484" s="242"/>
      <c r="V484" s="242"/>
      <c r="W484" s="242"/>
      <c r="X484" s="242"/>
      <c r="Y484" s="242"/>
      <c r="Z484" s="203">
        <v>1</v>
      </c>
      <c r="AA484" s="211">
        <v>1</v>
      </c>
      <c r="AB484" s="242"/>
      <c r="AC484" s="242"/>
      <c r="AD484" s="242"/>
      <c r="AE484" s="242"/>
      <c r="AF484" s="242"/>
      <c r="AG484" s="242"/>
      <c r="AH484" s="242"/>
      <c r="AI484" s="242"/>
      <c r="AJ484" s="242"/>
      <c r="AK484" s="242"/>
      <c r="AL484" s="211">
        <v>1</v>
      </c>
      <c r="AM484" s="242"/>
      <c r="AN484" s="242"/>
      <c r="AO484" s="242"/>
      <c r="AP484" s="242"/>
      <c r="AQ484" s="242"/>
      <c r="AR484" s="242"/>
      <c r="AS484" s="242"/>
      <c r="AT484" s="242"/>
      <c r="AU484" s="242"/>
      <c r="AV484" s="242"/>
      <c r="AW484" s="240"/>
      <c r="AX484" s="240">
        <v>1</v>
      </c>
      <c r="AY484" s="240">
        <v>1</v>
      </c>
      <c r="AZ484" s="203">
        <v>1</v>
      </c>
      <c r="BA484" s="203">
        <v>1</v>
      </c>
      <c r="BB484" s="203">
        <v>1</v>
      </c>
      <c r="BC484" s="203">
        <v>1</v>
      </c>
    </row>
    <row r="485" spans="1:55" ht="21" hidden="1" customHeight="1">
      <c r="A485" s="212"/>
      <c r="B485" s="237">
        <v>46082</v>
      </c>
      <c r="C485" s="211" t="s">
        <v>384</v>
      </c>
      <c r="D485" s="238" t="s">
        <v>1087</v>
      </c>
      <c r="E485" s="203" t="s">
        <v>2553</v>
      </c>
      <c r="F485" s="242"/>
      <c r="G485" s="203"/>
      <c r="H485" s="242"/>
      <c r="I485" s="242"/>
      <c r="J485" s="242"/>
      <c r="K485" s="242"/>
      <c r="L485" s="242"/>
      <c r="M485" s="242"/>
      <c r="N485" s="242"/>
      <c r="O485" s="203">
        <v>1</v>
      </c>
      <c r="P485" s="211">
        <v>1</v>
      </c>
      <c r="Q485" s="242"/>
      <c r="R485" s="242"/>
      <c r="S485" s="242"/>
      <c r="T485" s="242"/>
      <c r="U485" s="242"/>
      <c r="V485" s="242"/>
      <c r="W485" s="242"/>
      <c r="X485" s="242"/>
      <c r="Y485" s="242"/>
      <c r="Z485" s="203">
        <v>1</v>
      </c>
      <c r="AA485" s="211">
        <v>1</v>
      </c>
      <c r="AB485" s="242"/>
      <c r="AC485" s="242"/>
      <c r="AD485" s="242"/>
      <c r="AE485" s="242"/>
      <c r="AF485" s="242"/>
      <c r="AG485" s="242"/>
      <c r="AH485" s="242"/>
      <c r="AI485" s="242"/>
      <c r="AJ485" s="242"/>
      <c r="AK485" s="242"/>
      <c r="AL485" s="242"/>
      <c r="AM485" s="242"/>
      <c r="AN485" s="242"/>
      <c r="AO485" s="242"/>
      <c r="AP485" s="242"/>
      <c r="AQ485" s="242"/>
      <c r="AR485" s="242"/>
      <c r="AS485" s="242"/>
      <c r="AT485" s="242"/>
      <c r="AU485" s="242"/>
      <c r="AV485" s="242"/>
      <c r="AW485" s="240"/>
      <c r="AX485" s="240">
        <v>1</v>
      </c>
      <c r="AY485" s="240">
        <v>1</v>
      </c>
      <c r="AZ485" s="203">
        <v>1</v>
      </c>
      <c r="BA485" s="203">
        <v>1</v>
      </c>
      <c r="BB485" s="203">
        <v>1</v>
      </c>
      <c r="BC485" s="203">
        <v>1</v>
      </c>
    </row>
    <row r="486" spans="1:55" ht="21" hidden="1" customHeight="1">
      <c r="A486" s="212"/>
      <c r="B486" s="237">
        <v>46082</v>
      </c>
      <c r="C486" s="211" t="s">
        <v>386</v>
      </c>
      <c r="D486" s="238" t="s">
        <v>1088</v>
      </c>
      <c r="E486" s="203" t="s">
        <v>2554</v>
      </c>
      <c r="F486" s="242"/>
      <c r="G486" s="203"/>
      <c r="H486" s="242"/>
      <c r="I486" s="242"/>
      <c r="J486" s="242"/>
      <c r="K486" s="242"/>
      <c r="L486" s="242"/>
      <c r="M486" s="242"/>
      <c r="N486" s="242"/>
      <c r="O486" s="203">
        <v>1</v>
      </c>
      <c r="P486" s="211">
        <v>1</v>
      </c>
      <c r="Q486" s="242"/>
      <c r="R486" s="242"/>
      <c r="S486" s="242"/>
      <c r="T486" s="242"/>
      <c r="U486" s="242"/>
      <c r="V486" s="242"/>
      <c r="W486" s="242"/>
      <c r="X486" s="242"/>
      <c r="Y486" s="242"/>
      <c r="Z486" s="203">
        <v>1</v>
      </c>
      <c r="AA486" s="211">
        <v>1</v>
      </c>
      <c r="AB486" s="242"/>
      <c r="AC486" s="242"/>
      <c r="AD486" s="242"/>
      <c r="AE486" s="242"/>
      <c r="AF486" s="242"/>
      <c r="AG486" s="242"/>
      <c r="AH486" s="242"/>
      <c r="AI486" s="242"/>
      <c r="AJ486" s="242"/>
      <c r="AK486" s="242"/>
      <c r="AL486" s="211">
        <v>1</v>
      </c>
      <c r="AM486" s="242"/>
      <c r="AN486" s="242"/>
      <c r="AO486" s="242"/>
      <c r="AP486" s="242"/>
      <c r="AQ486" s="242"/>
      <c r="AR486" s="242"/>
      <c r="AS486" s="242"/>
      <c r="AT486" s="242"/>
      <c r="AU486" s="242"/>
      <c r="AV486" s="242"/>
      <c r="AW486" s="240"/>
      <c r="AX486" s="240">
        <v>1</v>
      </c>
      <c r="AY486" s="240">
        <v>1</v>
      </c>
      <c r="AZ486" s="203">
        <v>1</v>
      </c>
      <c r="BA486" s="203">
        <v>1</v>
      </c>
      <c r="BB486" s="203">
        <v>1</v>
      </c>
      <c r="BC486" s="203">
        <v>1</v>
      </c>
    </row>
    <row r="487" spans="1:55" ht="21" hidden="1" customHeight="1">
      <c r="A487" s="212"/>
      <c r="B487" s="237">
        <v>46082</v>
      </c>
      <c r="C487" s="211" t="s">
        <v>386</v>
      </c>
      <c r="D487" s="238" t="s">
        <v>1089</v>
      </c>
      <c r="E487" s="203" t="s">
        <v>2555</v>
      </c>
      <c r="F487" s="242"/>
      <c r="G487" s="203"/>
      <c r="H487" s="242"/>
      <c r="I487" s="242"/>
      <c r="J487" s="242"/>
      <c r="K487" s="242"/>
      <c r="L487" s="242"/>
      <c r="M487" s="242"/>
      <c r="N487" s="242"/>
      <c r="O487" s="242"/>
      <c r="P487" s="242"/>
      <c r="Q487" s="242"/>
      <c r="R487" s="242"/>
      <c r="S487" s="242"/>
      <c r="T487" s="242"/>
      <c r="U487" s="242"/>
      <c r="V487" s="242"/>
      <c r="W487" s="242"/>
      <c r="X487" s="242"/>
      <c r="Y487" s="242"/>
      <c r="Z487" s="203"/>
      <c r="AA487" s="203"/>
      <c r="AB487" s="242"/>
      <c r="AC487" s="242"/>
      <c r="AD487" s="242"/>
      <c r="AE487" s="242"/>
      <c r="AF487" s="242"/>
      <c r="AG487" s="242"/>
      <c r="AH487" s="242"/>
      <c r="AI487" s="242"/>
      <c r="AJ487" s="242"/>
      <c r="AK487" s="242"/>
      <c r="AL487" s="242"/>
      <c r="AM487" s="242"/>
      <c r="AN487" s="242"/>
      <c r="AO487" s="242"/>
      <c r="AP487" s="242"/>
      <c r="AQ487" s="242"/>
      <c r="AR487" s="242"/>
      <c r="AS487" s="242"/>
      <c r="AT487" s="242"/>
      <c r="AU487" s="242"/>
      <c r="AV487" s="242"/>
      <c r="AW487" s="240"/>
      <c r="AX487" s="240"/>
      <c r="AY487" s="240"/>
      <c r="AZ487" s="242"/>
      <c r="BA487" s="203"/>
      <c r="BB487" s="203"/>
      <c r="BC487" s="203"/>
    </row>
    <row r="488" spans="1:55" ht="21" hidden="1" customHeight="1">
      <c r="A488" s="212"/>
      <c r="B488" s="237">
        <v>46082</v>
      </c>
      <c r="C488" s="211" t="s">
        <v>386</v>
      </c>
      <c r="D488" s="238" t="s">
        <v>1090</v>
      </c>
      <c r="E488" s="203" t="s">
        <v>2556</v>
      </c>
      <c r="F488" s="242"/>
      <c r="G488" s="203"/>
      <c r="H488" s="242"/>
      <c r="I488" s="242"/>
      <c r="J488" s="242"/>
      <c r="K488" s="242"/>
      <c r="L488" s="242"/>
      <c r="M488" s="242"/>
      <c r="N488" s="242"/>
      <c r="O488" s="242"/>
      <c r="P488" s="242"/>
      <c r="Q488" s="242"/>
      <c r="R488" s="242"/>
      <c r="S488" s="242"/>
      <c r="T488" s="242"/>
      <c r="U488" s="242"/>
      <c r="V488" s="242"/>
      <c r="W488" s="242"/>
      <c r="X488" s="242"/>
      <c r="Y488" s="242"/>
      <c r="Z488" s="203"/>
      <c r="AA488" s="203"/>
      <c r="AB488" s="242"/>
      <c r="AC488" s="242"/>
      <c r="AD488" s="242"/>
      <c r="AE488" s="242"/>
      <c r="AF488" s="242"/>
      <c r="AG488" s="242"/>
      <c r="AH488" s="242"/>
      <c r="AI488" s="242"/>
      <c r="AJ488" s="242"/>
      <c r="AK488" s="242"/>
      <c r="AL488" s="242"/>
      <c r="AM488" s="242"/>
      <c r="AN488" s="242"/>
      <c r="AO488" s="242"/>
      <c r="AP488" s="242"/>
      <c r="AQ488" s="242"/>
      <c r="AR488" s="242"/>
      <c r="AS488" s="242"/>
      <c r="AT488" s="242"/>
      <c r="AU488" s="242"/>
      <c r="AV488" s="242"/>
      <c r="AW488" s="240"/>
      <c r="AX488" s="240"/>
      <c r="AY488" s="240"/>
      <c r="AZ488" s="242"/>
      <c r="BA488" s="203"/>
      <c r="BB488" s="203"/>
      <c r="BC488" s="203"/>
    </row>
    <row r="489" spans="1:55" ht="21" hidden="1" customHeight="1">
      <c r="A489" s="212"/>
      <c r="B489" s="237">
        <v>46082</v>
      </c>
      <c r="C489" s="211" t="s">
        <v>386</v>
      </c>
      <c r="D489" s="238" t="s">
        <v>1091</v>
      </c>
      <c r="E489" s="203" t="s">
        <v>2557</v>
      </c>
      <c r="F489" s="242"/>
      <c r="G489" s="203"/>
      <c r="H489" s="242"/>
      <c r="I489" s="242"/>
      <c r="J489" s="242"/>
      <c r="K489" s="242"/>
      <c r="L489" s="242"/>
      <c r="M489" s="242"/>
      <c r="N489" s="242"/>
      <c r="O489" s="242">
        <v>1</v>
      </c>
      <c r="P489" s="242"/>
      <c r="Q489" s="242"/>
      <c r="R489" s="242"/>
      <c r="S489" s="242"/>
      <c r="T489" s="242"/>
      <c r="U489" s="242"/>
      <c r="V489" s="242"/>
      <c r="W489" s="242"/>
      <c r="X489" s="242"/>
      <c r="Y489" s="242"/>
      <c r="Z489" s="203"/>
      <c r="AA489" s="203"/>
      <c r="AB489" s="242"/>
      <c r="AC489" s="242"/>
      <c r="AD489" s="242"/>
      <c r="AE489" s="242"/>
      <c r="AF489" s="242"/>
      <c r="AG489" s="242"/>
      <c r="AH489" s="242"/>
      <c r="AI489" s="242"/>
      <c r="AJ489" s="242"/>
      <c r="AK489" s="242"/>
      <c r="AL489" s="242"/>
      <c r="AM489" s="242"/>
      <c r="AN489" s="242"/>
      <c r="AO489" s="242"/>
      <c r="AP489" s="242"/>
      <c r="AQ489" s="242"/>
      <c r="AR489" s="242"/>
      <c r="AS489" s="242"/>
      <c r="AT489" s="242"/>
      <c r="AU489" s="242"/>
      <c r="AV489" s="242"/>
      <c r="AW489" s="240"/>
      <c r="AX489" s="240"/>
      <c r="AY489" s="240"/>
      <c r="AZ489" s="242"/>
      <c r="BA489" s="203"/>
      <c r="BB489" s="203">
        <v>1</v>
      </c>
      <c r="BC489" s="203">
        <v>1</v>
      </c>
    </row>
    <row r="490" spans="1:55" ht="21" hidden="1" customHeight="1">
      <c r="A490" s="212"/>
      <c r="B490" s="237">
        <v>46082</v>
      </c>
      <c r="C490" s="211" t="s">
        <v>386</v>
      </c>
      <c r="D490" s="238" t="s">
        <v>1092</v>
      </c>
      <c r="E490" s="203" t="s">
        <v>2558</v>
      </c>
      <c r="F490" s="242"/>
      <c r="G490" s="203"/>
      <c r="H490" s="242"/>
      <c r="I490" s="242"/>
      <c r="J490" s="242"/>
      <c r="K490" s="242"/>
      <c r="L490" s="242"/>
      <c r="M490" s="242"/>
      <c r="N490" s="242"/>
      <c r="O490" s="242"/>
      <c r="P490" s="242"/>
      <c r="Q490" s="242"/>
      <c r="R490" s="242"/>
      <c r="S490" s="242"/>
      <c r="T490" s="242"/>
      <c r="U490" s="242"/>
      <c r="V490" s="242"/>
      <c r="W490" s="242"/>
      <c r="X490" s="242"/>
      <c r="Y490" s="242"/>
      <c r="Z490" s="203"/>
      <c r="AA490" s="203"/>
      <c r="AB490" s="242"/>
      <c r="AC490" s="242"/>
      <c r="AD490" s="242"/>
      <c r="AE490" s="242"/>
      <c r="AF490" s="242"/>
      <c r="AG490" s="242"/>
      <c r="AH490" s="242"/>
      <c r="AI490" s="242"/>
      <c r="AJ490" s="242"/>
      <c r="AK490" s="242"/>
      <c r="AL490" s="242"/>
      <c r="AM490" s="242"/>
      <c r="AN490" s="242"/>
      <c r="AO490" s="242"/>
      <c r="AP490" s="242"/>
      <c r="AQ490" s="242"/>
      <c r="AR490" s="242"/>
      <c r="AS490" s="242"/>
      <c r="AT490" s="242"/>
      <c r="AU490" s="242"/>
      <c r="AV490" s="242"/>
      <c r="AW490" s="240"/>
      <c r="AX490" s="240"/>
      <c r="AY490" s="240">
        <v>1</v>
      </c>
      <c r="AZ490" s="242"/>
      <c r="BA490" s="203"/>
      <c r="BB490" s="203"/>
      <c r="BC490" s="203"/>
    </row>
    <row r="491" spans="1:55" ht="21" hidden="1" customHeight="1">
      <c r="A491" s="212"/>
      <c r="B491" s="237">
        <v>46082</v>
      </c>
      <c r="C491" s="211" t="s">
        <v>386</v>
      </c>
      <c r="D491" s="238" t="s">
        <v>1093</v>
      </c>
      <c r="E491" s="203" t="s">
        <v>2559</v>
      </c>
      <c r="F491" s="242"/>
      <c r="G491" s="203"/>
      <c r="H491" s="242"/>
      <c r="I491" s="242"/>
      <c r="J491" s="242"/>
      <c r="K491" s="242"/>
      <c r="L491" s="242"/>
      <c r="M491" s="242"/>
      <c r="N491" s="242"/>
      <c r="O491" s="242"/>
      <c r="P491" s="211">
        <v>1</v>
      </c>
      <c r="Q491" s="242"/>
      <c r="R491" s="242"/>
      <c r="S491" s="242"/>
      <c r="T491" s="242"/>
      <c r="U491" s="242"/>
      <c r="V491" s="242"/>
      <c r="W491" s="242"/>
      <c r="X491" s="242"/>
      <c r="Y491" s="242"/>
      <c r="Z491" s="203"/>
      <c r="AA491" s="203"/>
      <c r="AB491" s="242"/>
      <c r="AC491" s="242"/>
      <c r="AD491" s="242"/>
      <c r="AE491" s="242"/>
      <c r="AF491" s="242"/>
      <c r="AG491" s="242"/>
      <c r="AH491" s="242"/>
      <c r="AI491" s="242"/>
      <c r="AJ491" s="242"/>
      <c r="AK491" s="242"/>
      <c r="AL491" s="242"/>
      <c r="AM491" s="242"/>
      <c r="AN491" s="242"/>
      <c r="AO491" s="242"/>
      <c r="AP491" s="242"/>
      <c r="AQ491" s="242"/>
      <c r="AR491" s="242"/>
      <c r="AS491" s="242"/>
      <c r="AT491" s="242"/>
      <c r="AU491" s="242"/>
      <c r="AV491" s="242"/>
      <c r="AW491" s="240"/>
      <c r="AX491" s="240"/>
      <c r="AY491" s="240">
        <v>1</v>
      </c>
      <c r="AZ491" s="242"/>
      <c r="BA491" s="203">
        <v>1</v>
      </c>
      <c r="BB491" s="203"/>
      <c r="BC491" s="203"/>
    </row>
    <row r="492" spans="1:55" ht="21" customHeight="1">
      <c r="A492" s="212"/>
      <c r="B492" s="237">
        <v>46082</v>
      </c>
      <c r="C492" s="211" t="s">
        <v>395</v>
      </c>
      <c r="D492" s="238" t="s">
        <v>1094</v>
      </c>
      <c r="E492" s="203" t="s">
        <v>2560</v>
      </c>
      <c r="F492" s="242"/>
      <c r="G492" s="203"/>
      <c r="H492" s="242"/>
      <c r="I492" s="242"/>
      <c r="J492" s="242"/>
      <c r="K492" s="242"/>
      <c r="L492" s="242"/>
      <c r="M492" s="242"/>
      <c r="N492" s="242"/>
      <c r="O492" s="203">
        <v>1</v>
      </c>
      <c r="P492" s="242"/>
      <c r="Q492" s="242"/>
      <c r="R492" s="242"/>
      <c r="S492" s="242"/>
      <c r="T492" s="242"/>
      <c r="U492" s="242"/>
      <c r="V492" s="242"/>
      <c r="W492" s="242"/>
      <c r="X492" s="242"/>
      <c r="Y492" s="242"/>
      <c r="Z492" s="203"/>
      <c r="AA492" s="203"/>
      <c r="AB492" s="242"/>
      <c r="AC492" s="242"/>
      <c r="AD492" s="242"/>
      <c r="AE492" s="242"/>
      <c r="AF492" s="242"/>
      <c r="AG492" s="242"/>
      <c r="AH492" s="242"/>
      <c r="AI492" s="242"/>
      <c r="AJ492" s="242"/>
      <c r="AK492" s="242"/>
      <c r="AL492" s="242"/>
      <c r="AM492" s="242"/>
      <c r="AN492" s="242"/>
      <c r="AO492" s="242"/>
      <c r="AP492" s="242"/>
      <c r="AQ492" s="242"/>
      <c r="AR492" s="242"/>
      <c r="AS492" s="242"/>
      <c r="AT492" s="242"/>
      <c r="AU492" s="242"/>
      <c r="AV492" s="242"/>
      <c r="AW492" s="240"/>
      <c r="AX492" s="240">
        <v>1</v>
      </c>
      <c r="AY492" s="240">
        <v>1</v>
      </c>
      <c r="AZ492" s="242"/>
      <c r="BA492" s="203"/>
      <c r="BB492" s="203"/>
      <c r="BC492" s="203"/>
    </row>
    <row r="493" spans="1:55" ht="21" customHeight="1">
      <c r="A493" s="212"/>
      <c r="B493" s="237">
        <v>46082</v>
      </c>
      <c r="C493" s="211" t="s">
        <v>395</v>
      </c>
      <c r="D493" s="238" t="s">
        <v>1095</v>
      </c>
      <c r="E493" s="203" t="s">
        <v>2561</v>
      </c>
      <c r="F493" s="242"/>
      <c r="G493" s="203"/>
      <c r="H493" s="242"/>
      <c r="I493" s="242"/>
      <c r="J493" s="242"/>
      <c r="K493" s="242"/>
      <c r="L493" s="242"/>
      <c r="M493" s="242"/>
      <c r="N493" s="242"/>
      <c r="O493" s="242"/>
      <c r="P493" s="242"/>
      <c r="Q493" s="242"/>
      <c r="R493" s="242"/>
      <c r="S493" s="242"/>
      <c r="T493" s="242"/>
      <c r="U493" s="242"/>
      <c r="V493" s="242"/>
      <c r="W493" s="242"/>
      <c r="X493" s="242"/>
      <c r="Y493" s="242"/>
      <c r="Z493" s="203"/>
      <c r="AA493" s="203"/>
      <c r="AB493" s="242"/>
      <c r="AC493" s="242"/>
      <c r="AD493" s="242"/>
      <c r="AE493" s="242"/>
      <c r="AF493" s="242"/>
      <c r="AG493" s="242"/>
      <c r="AH493" s="242"/>
      <c r="AI493" s="242"/>
      <c r="AJ493" s="242"/>
      <c r="AK493" s="242"/>
      <c r="AL493" s="242"/>
      <c r="AM493" s="242"/>
      <c r="AN493" s="242"/>
      <c r="AO493" s="242"/>
      <c r="AP493" s="242"/>
      <c r="AQ493" s="242"/>
      <c r="AR493" s="242"/>
      <c r="AS493" s="242"/>
      <c r="AT493" s="242"/>
      <c r="AU493" s="242"/>
      <c r="AV493" s="242"/>
      <c r="AW493" s="240"/>
      <c r="AX493" s="240"/>
      <c r="AY493" s="240"/>
      <c r="AZ493" s="242"/>
      <c r="BA493" s="203"/>
      <c r="BB493" s="203"/>
      <c r="BC493" s="203"/>
    </row>
    <row r="494" spans="1:55" ht="21" hidden="1" customHeight="1">
      <c r="A494" s="212"/>
      <c r="B494" s="237">
        <v>46082</v>
      </c>
      <c r="C494" s="211" t="s">
        <v>386</v>
      </c>
      <c r="D494" s="238" t="s">
        <v>1096</v>
      </c>
      <c r="E494" s="203" t="s">
        <v>2562</v>
      </c>
      <c r="F494" s="242"/>
      <c r="G494" s="203"/>
      <c r="H494" s="242"/>
      <c r="I494" s="242"/>
      <c r="J494" s="242"/>
      <c r="K494" s="242"/>
      <c r="L494" s="242"/>
      <c r="M494" s="242"/>
      <c r="N494" s="242"/>
      <c r="O494" s="242"/>
      <c r="P494" s="242"/>
      <c r="Q494" s="242"/>
      <c r="R494" s="242"/>
      <c r="S494" s="242"/>
      <c r="T494" s="242"/>
      <c r="U494" s="242"/>
      <c r="V494" s="242"/>
      <c r="W494" s="242"/>
      <c r="X494" s="242"/>
      <c r="Y494" s="242"/>
      <c r="Z494" s="203"/>
      <c r="AA494" s="203"/>
      <c r="AB494" s="242"/>
      <c r="AC494" s="242"/>
      <c r="AD494" s="242"/>
      <c r="AE494" s="242"/>
      <c r="AF494" s="242"/>
      <c r="AG494" s="242"/>
      <c r="AH494" s="242"/>
      <c r="AI494" s="242"/>
      <c r="AJ494" s="242"/>
      <c r="AK494" s="242"/>
      <c r="AL494" s="242"/>
      <c r="AM494" s="242"/>
      <c r="AN494" s="242"/>
      <c r="AO494" s="242"/>
      <c r="AP494" s="242"/>
      <c r="AQ494" s="242"/>
      <c r="AR494" s="242"/>
      <c r="AS494" s="242"/>
      <c r="AT494" s="242"/>
      <c r="AU494" s="242"/>
      <c r="AV494" s="242"/>
      <c r="AW494" s="240"/>
      <c r="AX494" s="240"/>
      <c r="AY494" s="240">
        <v>1</v>
      </c>
      <c r="AZ494" s="242"/>
      <c r="BA494" s="203"/>
      <c r="BB494" s="203"/>
      <c r="BC494" s="203"/>
    </row>
    <row r="495" spans="1:55" ht="21" hidden="1" customHeight="1">
      <c r="A495" s="212"/>
      <c r="B495" s="237">
        <v>46082</v>
      </c>
      <c r="C495" s="211" t="s">
        <v>386</v>
      </c>
      <c r="D495" s="238" t="s">
        <v>1097</v>
      </c>
      <c r="E495" s="203" t="s">
        <v>2563</v>
      </c>
      <c r="F495" s="242"/>
      <c r="G495" s="203"/>
      <c r="H495" s="242"/>
      <c r="I495" s="242"/>
      <c r="J495" s="242"/>
      <c r="K495" s="242"/>
      <c r="L495" s="242"/>
      <c r="M495" s="242"/>
      <c r="N495" s="242"/>
      <c r="O495" s="203">
        <v>1</v>
      </c>
      <c r="P495" s="242"/>
      <c r="Q495" s="242"/>
      <c r="R495" s="242"/>
      <c r="S495" s="242"/>
      <c r="T495" s="242"/>
      <c r="U495" s="242"/>
      <c r="V495" s="242"/>
      <c r="W495" s="242"/>
      <c r="X495" s="242"/>
      <c r="Y495" s="242"/>
      <c r="Z495" s="203"/>
      <c r="AA495" s="203"/>
      <c r="AB495" s="242"/>
      <c r="AC495" s="242"/>
      <c r="AD495" s="242"/>
      <c r="AE495" s="242"/>
      <c r="AF495" s="242"/>
      <c r="AG495" s="242"/>
      <c r="AH495" s="242"/>
      <c r="AI495" s="242"/>
      <c r="AJ495" s="242"/>
      <c r="AK495" s="242"/>
      <c r="AL495" s="242"/>
      <c r="AM495" s="242"/>
      <c r="AN495" s="242"/>
      <c r="AO495" s="242"/>
      <c r="AP495" s="242"/>
      <c r="AQ495" s="242"/>
      <c r="AR495" s="242"/>
      <c r="AS495" s="242"/>
      <c r="AT495" s="242"/>
      <c r="AU495" s="242"/>
      <c r="AV495" s="242"/>
      <c r="AW495" s="240"/>
      <c r="AX495" s="240">
        <v>1</v>
      </c>
      <c r="AY495" s="240"/>
      <c r="AZ495" s="242"/>
      <c r="BA495" s="203">
        <v>1</v>
      </c>
      <c r="BB495" s="203"/>
      <c r="BC495" s="203"/>
    </row>
    <row r="496" spans="1:55" ht="21" hidden="1" customHeight="1">
      <c r="A496" s="212"/>
      <c r="B496" s="237">
        <v>46082</v>
      </c>
      <c r="C496" s="211" t="s">
        <v>386</v>
      </c>
      <c r="D496" s="238" t="s">
        <v>1098</v>
      </c>
      <c r="E496" s="203" t="s">
        <v>2564</v>
      </c>
      <c r="F496" s="242"/>
      <c r="G496" s="203"/>
      <c r="H496" s="242"/>
      <c r="I496" s="242"/>
      <c r="J496" s="242"/>
      <c r="K496" s="242"/>
      <c r="L496" s="242"/>
      <c r="M496" s="242"/>
      <c r="N496" s="242"/>
      <c r="O496" s="242"/>
      <c r="P496" s="242"/>
      <c r="Q496" s="242"/>
      <c r="R496" s="242"/>
      <c r="S496" s="242"/>
      <c r="T496" s="242"/>
      <c r="U496" s="242"/>
      <c r="V496" s="242"/>
      <c r="W496" s="242"/>
      <c r="X496" s="242"/>
      <c r="Y496" s="242"/>
      <c r="Z496" s="203"/>
      <c r="AA496" s="203"/>
      <c r="AB496" s="242"/>
      <c r="AC496" s="242"/>
      <c r="AD496" s="242"/>
      <c r="AE496" s="242"/>
      <c r="AF496" s="242"/>
      <c r="AG496" s="242"/>
      <c r="AH496" s="242"/>
      <c r="AI496" s="242"/>
      <c r="AJ496" s="242"/>
      <c r="AK496" s="242"/>
      <c r="AL496" s="242"/>
      <c r="AM496" s="242"/>
      <c r="AN496" s="242"/>
      <c r="AO496" s="242"/>
      <c r="AP496" s="242"/>
      <c r="AQ496" s="242"/>
      <c r="AR496" s="242"/>
      <c r="AS496" s="242"/>
      <c r="AT496" s="242"/>
      <c r="AU496" s="242"/>
      <c r="AV496" s="242"/>
      <c r="AW496" s="240"/>
      <c r="AX496" s="240"/>
      <c r="AY496" s="240">
        <v>1</v>
      </c>
      <c r="AZ496" s="242"/>
      <c r="BA496" s="203"/>
      <c r="BB496" s="203"/>
      <c r="BC496" s="203"/>
    </row>
    <row r="497" spans="1:55" ht="21" hidden="1" customHeight="1">
      <c r="A497" s="212"/>
      <c r="B497" s="237">
        <v>46082</v>
      </c>
      <c r="C497" s="211" t="s">
        <v>386</v>
      </c>
      <c r="D497" s="238" t="s">
        <v>1099</v>
      </c>
      <c r="E497" s="203" t="s">
        <v>2565</v>
      </c>
      <c r="F497" s="242"/>
      <c r="G497" s="203"/>
      <c r="H497" s="242"/>
      <c r="I497" s="242"/>
      <c r="J497" s="242"/>
      <c r="K497" s="242"/>
      <c r="L497" s="242"/>
      <c r="M497" s="242"/>
      <c r="N497" s="242"/>
      <c r="O497" s="242"/>
      <c r="P497" s="242"/>
      <c r="Q497" s="242"/>
      <c r="R497" s="242"/>
      <c r="S497" s="242"/>
      <c r="T497" s="242"/>
      <c r="U497" s="242"/>
      <c r="V497" s="242"/>
      <c r="W497" s="242"/>
      <c r="X497" s="242"/>
      <c r="Y497" s="242"/>
      <c r="Z497" s="203"/>
      <c r="AA497" s="203"/>
      <c r="AB497" s="242"/>
      <c r="AC497" s="242"/>
      <c r="AD497" s="242"/>
      <c r="AE497" s="242"/>
      <c r="AF497" s="242"/>
      <c r="AG497" s="242"/>
      <c r="AH497" s="242"/>
      <c r="AI497" s="242"/>
      <c r="AJ497" s="242"/>
      <c r="AK497" s="242"/>
      <c r="AL497" s="242"/>
      <c r="AM497" s="242"/>
      <c r="AN497" s="242"/>
      <c r="AO497" s="242"/>
      <c r="AP497" s="242"/>
      <c r="AQ497" s="242"/>
      <c r="AR497" s="242"/>
      <c r="AS497" s="242"/>
      <c r="AT497" s="242"/>
      <c r="AU497" s="242"/>
      <c r="AV497" s="242"/>
      <c r="AW497" s="240"/>
      <c r="AX497" s="240"/>
      <c r="AY497" s="240"/>
      <c r="AZ497" s="242"/>
      <c r="BA497" s="203"/>
      <c r="BB497" s="203"/>
      <c r="BC497" s="203"/>
    </row>
    <row r="498" spans="1:55" ht="21" customHeight="1">
      <c r="A498" s="212"/>
      <c r="B498" s="237">
        <v>46082</v>
      </c>
      <c r="C498" s="211" t="s">
        <v>395</v>
      </c>
      <c r="D498" s="238" t="s">
        <v>1100</v>
      </c>
      <c r="E498" s="203" t="s">
        <v>2566</v>
      </c>
      <c r="F498" s="242"/>
      <c r="G498" s="203"/>
      <c r="H498" s="242"/>
      <c r="I498" s="242"/>
      <c r="J498" s="242"/>
      <c r="K498" s="242"/>
      <c r="L498" s="242"/>
      <c r="M498" s="242"/>
      <c r="N498" s="242"/>
      <c r="O498" s="242"/>
      <c r="P498" s="242"/>
      <c r="Q498" s="242"/>
      <c r="R498" s="242"/>
      <c r="S498" s="242"/>
      <c r="T498" s="242"/>
      <c r="U498" s="242"/>
      <c r="V498" s="242"/>
      <c r="W498" s="242"/>
      <c r="X498" s="242"/>
      <c r="Y498" s="242"/>
      <c r="Z498" s="203"/>
      <c r="AA498" s="203"/>
      <c r="AB498" s="242"/>
      <c r="AC498" s="242"/>
      <c r="AD498" s="242"/>
      <c r="AE498" s="242"/>
      <c r="AF498" s="242"/>
      <c r="AG498" s="242"/>
      <c r="AH498" s="242"/>
      <c r="AI498" s="242"/>
      <c r="AJ498" s="242"/>
      <c r="AK498" s="242"/>
      <c r="AL498" s="242"/>
      <c r="AM498" s="242"/>
      <c r="AN498" s="242"/>
      <c r="AO498" s="242"/>
      <c r="AP498" s="242"/>
      <c r="AQ498" s="242"/>
      <c r="AR498" s="242"/>
      <c r="AS498" s="242"/>
      <c r="AT498" s="242"/>
      <c r="AU498" s="242"/>
      <c r="AV498" s="242"/>
      <c r="AW498" s="240"/>
      <c r="AX498" s="240"/>
      <c r="AY498" s="240">
        <v>1</v>
      </c>
      <c r="AZ498" s="242"/>
      <c r="BA498" s="203"/>
      <c r="BB498" s="203"/>
      <c r="BC498" s="203"/>
    </row>
    <row r="499" spans="1:55" ht="21" hidden="1" customHeight="1">
      <c r="A499" s="212"/>
      <c r="B499" s="237">
        <v>46082</v>
      </c>
      <c r="C499" s="211" t="s">
        <v>388</v>
      </c>
      <c r="D499" s="238" t="s">
        <v>1101</v>
      </c>
      <c r="E499" s="203" t="s">
        <v>2567</v>
      </c>
      <c r="F499" s="242"/>
      <c r="G499" s="203"/>
      <c r="H499" s="242"/>
      <c r="I499" s="242"/>
      <c r="J499" s="242"/>
      <c r="K499" s="242"/>
      <c r="L499" s="242"/>
      <c r="M499" s="242"/>
      <c r="N499" s="242"/>
      <c r="O499" s="242"/>
      <c r="P499" s="242"/>
      <c r="Q499" s="242"/>
      <c r="R499" s="242"/>
      <c r="S499" s="242"/>
      <c r="T499" s="242"/>
      <c r="U499" s="242"/>
      <c r="V499" s="242"/>
      <c r="W499" s="242"/>
      <c r="X499" s="242"/>
      <c r="Y499" s="242"/>
      <c r="Z499" s="203"/>
      <c r="AA499" s="203"/>
      <c r="AB499" s="242"/>
      <c r="AC499" s="242"/>
      <c r="AD499" s="242"/>
      <c r="AE499" s="242"/>
      <c r="AF499" s="242"/>
      <c r="AG499" s="242"/>
      <c r="AH499" s="242"/>
      <c r="AI499" s="242"/>
      <c r="AJ499" s="242"/>
      <c r="AK499" s="242"/>
      <c r="AL499" s="242"/>
      <c r="AM499" s="242"/>
      <c r="AN499" s="242"/>
      <c r="AO499" s="242"/>
      <c r="AP499" s="242"/>
      <c r="AQ499" s="242"/>
      <c r="AR499" s="242"/>
      <c r="AS499" s="242"/>
      <c r="AT499" s="242"/>
      <c r="AU499" s="242"/>
      <c r="AV499" s="242"/>
      <c r="AW499" s="240"/>
      <c r="AX499" s="240"/>
      <c r="AY499" s="240">
        <v>1</v>
      </c>
      <c r="AZ499" s="242"/>
      <c r="BA499" s="203"/>
      <c r="BB499" s="203"/>
      <c r="BC499" s="203"/>
    </row>
    <row r="500" spans="1:55" ht="21" hidden="1" customHeight="1">
      <c r="A500" s="212"/>
      <c r="B500" s="237">
        <v>46082</v>
      </c>
      <c r="C500" s="211" t="s">
        <v>386</v>
      </c>
      <c r="D500" s="238" t="s">
        <v>1102</v>
      </c>
      <c r="E500" s="203" t="s">
        <v>2568</v>
      </c>
      <c r="F500" s="242"/>
      <c r="G500" s="203"/>
      <c r="H500" s="242"/>
      <c r="I500" s="242"/>
      <c r="J500" s="242"/>
      <c r="K500" s="242"/>
      <c r="L500" s="242"/>
      <c r="M500" s="242"/>
      <c r="N500" s="242"/>
      <c r="O500" s="242"/>
      <c r="P500" s="242"/>
      <c r="Q500" s="242"/>
      <c r="R500" s="242"/>
      <c r="S500" s="242"/>
      <c r="T500" s="242"/>
      <c r="U500" s="242"/>
      <c r="V500" s="242"/>
      <c r="W500" s="242"/>
      <c r="X500" s="242"/>
      <c r="Y500" s="242"/>
      <c r="Z500" s="203"/>
      <c r="AA500" s="203"/>
      <c r="AB500" s="242"/>
      <c r="AC500" s="242"/>
      <c r="AD500" s="242"/>
      <c r="AE500" s="242"/>
      <c r="AF500" s="242"/>
      <c r="AG500" s="242"/>
      <c r="AH500" s="242"/>
      <c r="AI500" s="242"/>
      <c r="AJ500" s="242"/>
      <c r="AK500" s="242"/>
      <c r="AL500" s="242"/>
      <c r="AM500" s="242"/>
      <c r="AN500" s="242"/>
      <c r="AO500" s="242"/>
      <c r="AP500" s="242"/>
      <c r="AQ500" s="242"/>
      <c r="AR500" s="242"/>
      <c r="AS500" s="242"/>
      <c r="AT500" s="242"/>
      <c r="AU500" s="242"/>
      <c r="AV500" s="242"/>
      <c r="AW500" s="240"/>
      <c r="AX500" s="240"/>
      <c r="AY500" s="240"/>
      <c r="AZ500" s="242"/>
      <c r="BA500" s="203"/>
      <c r="BB500" s="203"/>
      <c r="BC500" s="203"/>
    </row>
    <row r="501" spans="1:55" ht="21" hidden="1" customHeight="1">
      <c r="A501" s="212"/>
      <c r="B501" s="237">
        <v>46082</v>
      </c>
      <c r="C501" s="211" t="s">
        <v>386</v>
      </c>
      <c r="D501" s="238" t="s">
        <v>1103</v>
      </c>
      <c r="E501" s="203" t="s">
        <v>2569</v>
      </c>
      <c r="F501" s="242"/>
      <c r="G501" s="203"/>
      <c r="H501" s="242"/>
      <c r="I501" s="242"/>
      <c r="J501" s="242"/>
      <c r="K501" s="242"/>
      <c r="L501" s="242"/>
      <c r="M501" s="242"/>
      <c r="N501" s="242"/>
      <c r="O501" s="242"/>
      <c r="P501" s="211">
        <v>1</v>
      </c>
      <c r="Q501" s="242"/>
      <c r="R501" s="242"/>
      <c r="S501" s="242"/>
      <c r="T501" s="242"/>
      <c r="U501" s="242"/>
      <c r="V501" s="242"/>
      <c r="W501" s="242"/>
      <c r="X501" s="242"/>
      <c r="Y501" s="242"/>
      <c r="Z501" s="203"/>
      <c r="AA501" s="203"/>
      <c r="AB501" s="242"/>
      <c r="AC501" s="242"/>
      <c r="AD501" s="242"/>
      <c r="AE501" s="242"/>
      <c r="AF501" s="242"/>
      <c r="AG501" s="242"/>
      <c r="AH501" s="242"/>
      <c r="AI501" s="242"/>
      <c r="AJ501" s="242"/>
      <c r="AK501" s="242"/>
      <c r="AL501" s="242"/>
      <c r="AM501" s="242"/>
      <c r="AN501" s="242"/>
      <c r="AO501" s="242"/>
      <c r="AP501" s="242"/>
      <c r="AQ501" s="242"/>
      <c r="AR501" s="242"/>
      <c r="AS501" s="242"/>
      <c r="AT501" s="242"/>
      <c r="AU501" s="242"/>
      <c r="AV501" s="242"/>
      <c r="AW501" s="240"/>
      <c r="AX501" s="240"/>
      <c r="AY501" s="240"/>
      <c r="AZ501" s="242"/>
      <c r="BA501" s="203"/>
      <c r="BB501" s="203"/>
      <c r="BC501" s="203"/>
    </row>
    <row r="502" spans="1:55" ht="21" hidden="1" customHeight="1">
      <c r="A502" s="212"/>
      <c r="B502" s="237">
        <v>46082</v>
      </c>
      <c r="C502" s="211" t="s">
        <v>386</v>
      </c>
      <c r="D502" s="238" t="s">
        <v>1104</v>
      </c>
      <c r="E502" s="203" t="s">
        <v>2570</v>
      </c>
      <c r="F502" s="242"/>
      <c r="G502" s="203"/>
      <c r="H502" s="242"/>
      <c r="I502" s="242"/>
      <c r="J502" s="242"/>
      <c r="K502" s="242"/>
      <c r="L502" s="242"/>
      <c r="M502" s="242"/>
      <c r="N502" s="242"/>
      <c r="O502" s="242"/>
      <c r="P502" s="211">
        <v>1</v>
      </c>
      <c r="Q502" s="242"/>
      <c r="R502" s="242"/>
      <c r="S502" s="242"/>
      <c r="T502" s="242"/>
      <c r="U502" s="242"/>
      <c r="V502" s="242"/>
      <c r="W502" s="242"/>
      <c r="X502" s="242"/>
      <c r="Y502" s="242"/>
      <c r="Z502" s="203"/>
      <c r="AA502" s="203"/>
      <c r="AB502" s="242"/>
      <c r="AC502" s="242"/>
      <c r="AD502" s="242"/>
      <c r="AE502" s="242"/>
      <c r="AF502" s="242"/>
      <c r="AG502" s="242"/>
      <c r="AH502" s="242"/>
      <c r="AI502" s="242"/>
      <c r="AJ502" s="242"/>
      <c r="AK502" s="242"/>
      <c r="AL502" s="242"/>
      <c r="AM502" s="242"/>
      <c r="AN502" s="242"/>
      <c r="AO502" s="242"/>
      <c r="AP502" s="242"/>
      <c r="AQ502" s="242"/>
      <c r="AR502" s="242"/>
      <c r="AS502" s="242"/>
      <c r="AT502" s="242"/>
      <c r="AU502" s="242"/>
      <c r="AV502" s="242"/>
      <c r="AW502" s="240"/>
      <c r="AX502" s="240"/>
      <c r="AY502" s="240">
        <v>1</v>
      </c>
      <c r="AZ502" s="242"/>
      <c r="BA502" s="203"/>
      <c r="BB502" s="203"/>
      <c r="BC502" s="203"/>
    </row>
    <row r="503" spans="1:55" ht="21" hidden="1" customHeight="1">
      <c r="A503" s="212"/>
      <c r="B503" s="237">
        <v>46082</v>
      </c>
      <c r="C503" s="211" t="s">
        <v>386</v>
      </c>
      <c r="D503" s="238" t="s">
        <v>1105</v>
      </c>
      <c r="E503" s="203" t="s">
        <v>2571</v>
      </c>
      <c r="F503" s="242"/>
      <c r="G503" s="203"/>
      <c r="H503" s="242"/>
      <c r="I503" s="242"/>
      <c r="J503" s="242"/>
      <c r="K503" s="242"/>
      <c r="L503" s="242"/>
      <c r="M503" s="242"/>
      <c r="N503" s="242"/>
      <c r="O503" s="242"/>
      <c r="P503" s="242"/>
      <c r="Q503" s="242"/>
      <c r="R503" s="242"/>
      <c r="S503" s="242"/>
      <c r="T503" s="242"/>
      <c r="U503" s="242"/>
      <c r="V503" s="242"/>
      <c r="W503" s="242"/>
      <c r="X503" s="242"/>
      <c r="Y503" s="242"/>
      <c r="Z503" s="203"/>
      <c r="AA503" s="203"/>
      <c r="AB503" s="242"/>
      <c r="AC503" s="242"/>
      <c r="AD503" s="242"/>
      <c r="AE503" s="242"/>
      <c r="AF503" s="242"/>
      <c r="AG503" s="242"/>
      <c r="AH503" s="242"/>
      <c r="AI503" s="242"/>
      <c r="AJ503" s="242"/>
      <c r="AK503" s="242"/>
      <c r="AL503" s="242"/>
      <c r="AM503" s="242"/>
      <c r="AN503" s="242"/>
      <c r="AO503" s="242"/>
      <c r="AP503" s="242"/>
      <c r="AQ503" s="242"/>
      <c r="AR503" s="242"/>
      <c r="AS503" s="242"/>
      <c r="AT503" s="242"/>
      <c r="AU503" s="242"/>
      <c r="AV503" s="242"/>
      <c r="AW503" s="240"/>
      <c r="AX503" s="240"/>
      <c r="AY503" s="240"/>
      <c r="AZ503" s="242"/>
      <c r="BA503" s="203"/>
      <c r="BB503" s="203"/>
      <c r="BC503" s="203"/>
    </row>
    <row r="504" spans="1:55" ht="21" hidden="1" customHeight="1">
      <c r="A504" s="212"/>
      <c r="B504" s="237">
        <v>46082</v>
      </c>
      <c r="C504" s="211" t="s">
        <v>388</v>
      </c>
      <c r="D504" s="238" t="s">
        <v>1106</v>
      </c>
      <c r="E504" s="203" t="s">
        <v>2572</v>
      </c>
      <c r="F504" s="242"/>
      <c r="G504" s="203"/>
      <c r="H504" s="242"/>
      <c r="I504" s="242"/>
      <c r="J504" s="242"/>
      <c r="K504" s="242"/>
      <c r="L504" s="242"/>
      <c r="M504" s="242"/>
      <c r="N504" s="242"/>
      <c r="O504" s="242"/>
      <c r="P504" s="242"/>
      <c r="Q504" s="242"/>
      <c r="R504" s="242"/>
      <c r="S504" s="242"/>
      <c r="T504" s="242"/>
      <c r="U504" s="242"/>
      <c r="V504" s="242"/>
      <c r="W504" s="242"/>
      <c r="X504" s="242"/>
      <c r="Y504" s="242"/>
      <c r="Z504" s="203"/>
      <c r="AA504" s="203"/>
      <c r="AB504" s="242"/>
      <c r="AC504" s="242"/>
      <c r="AD504" s="242"/>
      <c r="AE504" s="242"/>
      <c r="AF504" s="242"/>
      <c r="AG504" s="242"/>
      <c r="AH504" s="242"/>
      <c r="AI504" s="242"/>
      <c r="AJ504" s="242"/>
      <c r="AK504" s="242"/>
      <c r="AL504" s="242"/>
      <c r="AM504" s="242"/>
      <c r="AN504" s="242"/>
      <c r="AO504" s="242"/>
      <c r="AP504" s="242"/>
      <c r="AQ504" s="242"/>
      <c r="AR504" s="242"/>
      <c r="AS504" s="242"/>
      <c r="AT504" s="242"/>
      <c r="AU504" s="242"/>
      <c r="AV504" s="242"/>
      <c r="AW504" s="240"/>
      <c r="AX504" s="240"/>
      <c r="AY504" s="240"/>
      <c r="AZ504" s="242"/>
      <c r="BA504" s="203"/>
      <c r="BB504" s="203"/>
      <c r="BC504" s="203"/>
    </row>
    <row r="505" spans="1:55" ht="21" hidden="1" customHeight="1">
      <c r="A505" s="212"/>
      <c r="B505" s="237">
        <v>46082</v>
      </c>
      <c r="C505" s="211" t="s">
        <v>387</v>
      </c>
      <c r="D505" s="238" t="s">
        <v>1107</v>
      </c>
      <c r="E505" s="203" t="s">
        <v>2573</v>
      </c>
      <c r="F505" s="242"/>
      <c r="G505" s="203"/>
      <c r="H505" s="242"/>
      <c r="I505" s="242"/>
      <c r="J505" s="242"/>
      <c r="K505" s="242"/>
      <c r="L505" s="242"/>
      <c r="M505" s="242"/>
      <c r="N505" s="242"/>
      <c r="O505" s="242"/>
      <c r="P505" s="242"/>
      <c r="Q505" s="242"/>
      <c r="R505" s="242"/>
      <c r="S505" s="242"/>
      <c r="T505" s="242"/>
      <c r="U505" s="242"/>
      <c r="V505" s="242"/>
      <c r="W505" s="242"/>
      <c r="X505" s="242"/>
      <c r="Y505" s="242"/>
      <c r="Z505" s="203"/>
      <c r="AA505" s="203"/>
      <c r="AB505" s="242"/>
      <c r="AC505" s="242"/>
      <c r="AD505" s="242"/>
      <c r="AE505" s="242"/>
      <c r="AF505" s="242"/>
      <c r="AG505" s="242"/>
      <c r="AH505" s="242"/>
      <c r="AI505" s="242"/>
      <c r="AJ505" s="242"/>
      <c r="AK505" s="242"/>
      <c r="AL505" s="242"/>
      <c r="AM505" s="242"/>
      <c r="AN505" s="242"/>
      <c r="AO505" s="242"/>
      <c r="AP505" s="242"/>
      <c r="AQ505" s="242"/>
      <c r="AR505" s="242"/>
      <c r="AS505" s="242"/>
      <c r="AT505" s="242"/>
      <c r="AU505" s="242"/>
      <c r="AV505" s="242"/>
      <c r="AW505" s="240"/>
      <c r="AX505" s="240"/>
      <c r="AY505" s="240">
        <v>1</v>
      </c>
      <c r="AZ505" s="242"/>
      <c r="BA505" s="203"/>
      <c r="BB505" s="203"/>
      <c r="BC505" s="203"/>
    </row>
    <row r="506" spans="1:55" ht="21" hidden="1" customHeight="1">
      <c r="A506" s="212"/>
      <c r="B506" s="237">
        <v>46082</v>
      </c>
      <c r="C506" s="211" t="s">
        <v>386</v>
      </c>
      <c r="D506" s="238" t="s">
        <v>1108</v>
      </c>
      <c r="E506" s="203" t="s">
        <v>2574</v>
      </c>
      <c r="F506" s="242"/>
      <c r="G506" s="203"/>
      <c r="H506" s="242"/>
      <c r="I506" s="242"/>
      <c r="J506" s="242"/>
      <c r="K506" s="242"/>
      <c r="L506" s="242"/>
      <c r="M506" s="242"/>
      <c r="N506" s="242"/>
      <c r="O506" s="242"/>
      <c r="P506" s="242"/>
      <c r="Q506" s="242"/>
      <c r="R506" s="242"/>
      <c r="S506" s="242"/>
      <c r="T506" s="242"/>
      <c r="U506" s="242"/>
      <c r="V506" s="242"/>
      <c r="W506" s="242"/>
      <c r="X506" s="242"/>
      <c r="Y506" s="242"/>
      <c r="Z506" s="203"/>
      <c r="AA506" s="203"/>
      <c r="AB506" s="242"/>
      <c r="AC506" s="242"/>
      <c r="AD506" s="242"/>
      <c r="AE506" s="242"/>
      <c r="AF506" s="242"/>
      <c r="AG506" s="242"/>
      <c r="AH506" s="242"/>
      <c r="AI506" s="242"/>
      <c r="AJ506" s="242"/>
      <c r="AK506" s="242"/>
      <c r="AL506" s="242"/>
      <c r="AM506" s="242"/>
      <c r="AN506" s="242"/>
      <c r="AO506" s="242"/>
      <c r="AP506" s="242"/>
      <c r="AQ506" s="242"/>
      <c r="AR506" s="242"/>
      <c r="AS506" s="242"/>
      <c r="AT506" s="242"/>
      <c r="AU506" s="242"/>
      <c r="AV506" s="242"/>
      <c r="AW506" s="240"/>
      <c r="AX506" s="240">
        <v>1</v>
      </c>
      <c r="AY506" s="240"/>
      <c r="AZ506" s="242"/>
      <c r="BA506" s="203"/>
      <c r="BB506" s="203"/>
      <c r="BC506" s="203"/>
    </row>
    <row r="507" spans="1:55" ht="21" customHeight="1">
      <c r="A507" s="212"/>
      <c r="B507" s="237">
        <v>46082</v>
      </c>
      <c r="C507" s="211" t="s">
        <v>395</v>
      </c>
      <c r="D507" s="238" t="s">
        <v>1109</v>
      </c>
      <c r="E507" s="203" t="s">
        <v>2575</v>
      </c>
      <c r="F507" s="242"/>
      <c r="G507" s="203"/>
      <c r="H507" s="242"/>
      <c r="I507" s="242"/>
      <c r="J507" s="242"/>
      <c r="K507" s="242"/>
      <c r="L507" s="242"/>
      <c r="M507" s="242"/>
      <c r="N507" s="242"/>
      <c r="O507" s="242"/>
      <c r="P507" s="242"/>
      <c r="Q507" s="242"/>
      <c r="R507" s="242"/>
      <c r="S507" s="242"/>
      <c r="T507" s="242"/>
      <c r="U507" s="242"/>
      <c r="V507" s="242"/>
      <c r="W507" s="242"/>
      <c r="X507" s="242"/>
      <c r="Y507" s="242"/>
      <c r="Z507" s="203"/>
      <c r="AA507" s="203"/>
      <c r="AB507" s="242"/>
      <c r="AC507" s="242"/>
      <c r="AD507" s="242"/>
      <c r="AE507" s="242"/>
      <c r="AF507" s="242"/>
      <c r="AG507" s="242"/>
      <c r="AH507" s="242"/>
      <c r="AI507" s="242"/>
      <c r="AJ507" s="242"/>
      <c r="AK507" s="242"/>
      <c r="AL507" s="242"/>
      <c r="AM507" s="242"/>
      <c r="AN507" s="242"/>
      <c r="AO507" s="242"/>
      <c r="AP507" s="242"/>
      <c r="AQ507" s="242"/>
      <c r="AR507" s="242"/>
      <c r="AS507" s="242"/>
      <c r="AT507" s="242"/>
      <c r="AU507" s="242"/>
      <c r="AV507" s="242"/>
      <c r="AW507" s="240"/>
      <c r="AX507" s="240"/>
      <c r="AY507" s="240"/>
      <c r="AZ507" s="242"/>
      <c r="BA507" s="203"/>
      <c r="BB507" s="203"/>
      <c r="BC507" s="203"/>
    </row>
    <row r="508" spans="1:55" ht="21" hidden="1" customHeight="1">
      <c r="A508" s="212"/>
      <c r="B508" s="237">
        <v>46082</v>
      </c>
      <c r="C508" s="211" t="s">
        <v>389</v>
      </c>
      <c r="D508" s="238" t="s">
        <v>1110</v>
      </c>
      <c r="E508" s="203" t="s">
        <v>2576</v>
      </c>
      <c r="F508" s="242"/>
      <c r="G508" s="203"/>
      <c r="H508" s="242"/>
      <c r="I508" s="242"/>
      <c r="J508" s="242"/>
      <c r="K508" s="242"/>
      <c r="L508" s="242"/>
      <c r="M508" s="242"/>
      <c r="N508" s="242"/>
      <c r="O508" s="242"/>
      <c r="P508" s="203"/>
      <c r="Q508" s="242"/>
      <c r="R508" s="242"/>
      <c r="S508" s="242"/>
      <c r="T508" s="242"/>
      <c r="U508" s="242"/>
      <c r="V508" s="242"/>
      <c r="W508" s="242"/>
      <c r="X508" s="242"/>
      <c r="Y508" s="242"/>
      <c r="Z508" s="203"/>
      <c r="AA508" s="203"/>
      <c r="AB508" s="242"/>
      <c r="AC508" s="242"/>
      <c r="AD508" s="242"/>
      <c r="AE508" s="242"/>
      <c r="AF508" s="242"/>
      <c r="AG508" s="242"/>
      <c r="AH508" s="242"/>
      <c r="AI508" s="242"/>
      <c r="AJ508" s="242"/>
      <c r="AK508" s="242"/>
      <c r="AL508" s="203"/>
      <c r="AM508" s="242"/>
      <c r="AN508" s="242"/>
      <c r="AO508" s="242"/>
      <c r="AP508" s="242"/>
      <c r="AQ508" s="242"/>
      <c r="AR508" s="242"/>
      <c r="AS508" s="242"/>
      <c r="AT508" s="242"/>
      <c r="AU508" s="242"/>
      <c r="AV508" s="242"/>
      <c r="AW508" s="240"/>
      <c r="AX508" s="240"/>
      <c r="AY508" s="240"/>
      <c r="AZ508" s="203">
        <v>1</v>
      </c>
      <c r="BA508" s="203"/>
      <c r="BB508" s="203"/>
      <c r="BC508" s="203"/>
    </row>
    <row r="509" spans="1:55" ht="21" hidden="1" customHeight="1">
      <c r="A509" s="212"/>
      <c r="B509" s="237">
        <v>46082</v>
      </c>
      <c r="C509" s="211" t="s">
        <v>386</v>
      </c>
      <c r="D509" s="238" t="s">
        <v>1111</v>
      </c>
      <c r="E509" s="203" t="s">
        <v>2577</v>
      </c>
      <c r="F509" s="242"/>
      <c r="G509" s="203"/>
      <c r="H509" s="242"/>
      <c r="I509" s="242"/>
      <c r="J509" s="242"/>
      <c r="K509" s="242"/>
      <c r="L509" s="242"/>
      <c r="M509" s="242"/>
      <c r="N509" s="242"/>
      <c r="O509" s="203">
        <v>1</v>
      </c>
      <c r="P509" s="242"/>
      <c r="Q509" s="242"/>
      <c r="R509" s="242"/>
      <c r="S509" s="242"/>
      <c r="T509" s="242"/>
      <c r="U509" s="242"/>
      <c r="V509" s="242"/>
      <c r="W509" s="242"/>
      <c r="X509" s="242"/>
      <c r="Y509" s="242"/>
      <c r="Z509" s="203"/>
      <c r="AA509" s="203"/>
      <c r="AB509" s="242"/>
      <c r="AC509" s="242"/>
      <c r="AD509" s="242"/>
      <c r="AE509" s="242"/>
      <c r="AF509" s="242"/>
      <c r="AG509" s="242"/>
      <c r="AH509" s="242"/>
      <c r="AI509" s="242"/>
      <c r="AJ509" s="242"/>
      <c r="AK509" s="242"/>
      <c r="AL509" s="242"/>
      <c r="AM509" s="242"/>
      <c r="AN509" s="242"/>
      <c r="AO509" s="242"/>
      <c r="AP509" s="242"/>
      <c r="AQ509" s="242"/>
      <c r="AR509" s="242"/>
      <c r="AS509" s="242"/>
      <c r="AT509" s="242"/>
      <c r="AU509" s="242"/>
      <c r="AV509" s="242"/>
      <c r="AW509" s="240"/>
      <c r="AX509" s="240"/>
      <c r="AY509" s="240">
        <v>1</v>
      </c>
      <c r="AZ509" s="203">
        <v>1</v>
      </c>
      <c r="BA509" s="203"/>
      <c r="BB509" s="203"/>
      <c r="BC509" s="203"/>
    </row>
    <row r="510" spans="1:55" ht="21" hidden="1" customHeight="1">
      <c r="A510" s="212"/>
      <c r="B510" s="237">
        <v>46082</v>
      </c>
      <c r="C510" s="211" t="s">
        <v>386</v>
      </c>
      <c r="D510" s="238" t="s">
        <v>1112</v>
      </c>
      <c r="E510" s="203" t="s">
        <v>2578</v>
      </c>
      <c r="F510" s="242"/>
      <c r="G510" s="203"/>
      <c r="H510" s="242"/>
      <c r="I510" s="242"/>
      <c r="J510" s="242"/>
      <c r="K510" s="242"/>
      <c r="L510" s="242"/>
      <c r="M510" s="242"/>
      <c r="N510" s="242"/>
      <c r="O510" s="203">
        <v>1</v>
      </c>
      <c r="P510" s="211">
        <v>1</v>
      </c>
      <c r="Q510" s="242"/>
      <c r="R510" s="242"/>
      <c r="S510" s="242"/>
      <c r="T510" s="242"/>
      <c r="U510" s="242"/>
      <c r="V510" s="242"/>
      <c r="W510" s="242"/>
      <c r="X510" s="242"/>
      <c r="Y510" s="242"/>
      <c r="Z510" s="203">
        <v>1</v>
      </c>
      <c r="AA510" s="211">
        <v>1</v>
      </c>
      <c r="AB510" s="242"/>
      <c r="AC510" s="242"/>
      <c r="AD510" s="242"/>
      <c r="AE510" s="242"/>
      <c r="AF510" s="242"/>
      <c r="AG510" s="242"/>
      <c r="AH510" s="242"/>
      <c r="AI510" s="242"/>
      <c r="AJ510" s="242"/>
      <c r="AK510" s="242"/>
      <c r="AL510" s="211">
        <v>1</v>
      </c>
      <c r="AM510" s="242"/>
      <c r="AN510" s="242"/>
      <c r="AO510" s="242"/>
      <c r="AP510" s="242"/>
      <c r="AQ510" s="242"/>
      <c r="AR510" s="242"/>
      <c r="AS510" s="242"/>
      <c r="AT510" s="242"/>
      <c r="AU510" s="242"/>
      <c r="AV510" s="242"/>
      <c r="AW510" s="240"/>
      <c r="AX510" s="240"/>
      <c r="AY510" s="240"/>
      <c r="AZ510" s="203">
        <v>1</v>
      </c>
      <c r="BA510" s="203">
        <v>1</v>
      </c>
      <c r="BB510" s="203"/>
      <c r="BC510" s="203"/>
    </row>
    <row r="511" spans="1:55" ht="21" hidden="1" customHeight="1">
      <c r="A511" s="212"/>
      <c r="B511" s="237">
        <v>46082</v>
      </c>
      <c r="C511" s="211" t="s">
        <v>386</v>
      </c>
      <c r="D511" s="238" t="s">
        <v>1113</v>
      </c>
      <c r="E511" s="203" t="s">
        <v>2579</v>
      </c>
      <c r="F511" s="242"/>
      <c r="G511" s="203"/>
      <c r="H511" s="242"/>
      <c r="I511" s="242"/>
      <c r="J511" s="242"/>
      <c r="K511" s="242"/>
      <c r="L511" s="242"/>
      <c r="M511" s="242"/>
      <c r="N511" s="242"/>
      <c r="O511" s="203">
        <v>1</v>
      </c>
      <c r="P511" s="211">
        <v>1</v>
      </c>
      <c r="Q511" s="242"/>
      <c r="R511" s="242"/>
      <c r="S511" s="242"/>
      <c r="T511" s="242"/>
      <c r="U511" s="242"/>
      <c r="V511" s="242"/>
      <c r="W511" s="242"/>
      <c r="X511" s="242"/>
      <c r="Y511" s="242"/>
      <c r="Z511" s="203">
        <v>1</v>
      </c>
      <c r="AA511" s="211">
        <v>1</v>
      </c>
      <c r="AB511" s="242"/>
      <c r="AC511" s="242"/>
      <c r="AD511" s="242"/>
      <c r="AE511" s="242"/>
      <c r="AF511" s="242"/>
      <c r="AG511" s="242"/>
      <c r="AH511" s="242"/>
      <c r="AI511" s="242"/>
      <c r="AJ511" s="242"/>
      <c r="AK511" s="242"/>
      <c r="AL511" s="242"/>
      <c r="AM511" s="242"/>
      <c r="AN511" s="242"/>
      <c r="AO511" s="242"/>
      <c r="AP511" s="242"/>
      <c r="AQ511" s="242"/>
      <c r="AR511" s="242"/>
      <c r="AS511" s="242"/>
      <c r="AT511" s="242"/>
      <c r="AU511" s="242"/>
      <c r="AV511" s="242"/>
      <c r="AW511" s="240"/>
      <c r="AX511" s="240">
        <v>1</v>
      </c>
      <c r="AY511" s="240">
        <v>1</v>
      </c>
      <c r="AZ511" s="203">
        <v>1</v>
      </c>
      <c r="BA511" s="203">
        <v>1</v>
      </c>
      <c r="BB511" s="203">
        <v>1</v>
      </c>
      <c r="BC511" s="203">
        <v>1</v>
      </c>
    </row>
    <row r="512" spans="1:55" ht="21" customHeight="1">
      <c r="A512" s="212"/>
      <c r="B512" s="237">
        <v>46082</v>
      </c>
      <c r="C512" s="211" t="s">
        <v>395</v>
      </c>
      <c r="D512" s="238" t="s">
        <v>1114</v>
      </c>
      <c r="E512" s="203" t="s">
        <v>2580</v>
      </c>
      <c r="F512" s="242"/>
      <c r="G512" s="203"/>
      <c r="H512" s="242"/>
      <c r="I512" s="242"/>
      <c r="J512" s="242"/>
      <c r="K512" s="242"/>
      <c r="L512" s="242"/>
      <c r="M512" s="242"/>
      <c r="N512" s="242"/>
      <c r="O512" s="203">
        <v>1</v>
      </c>
      <c r="P512" s="211">
        <v>1</v>
      </c>
      <c r="Q512" s="242"/>
      <c r="R512" s="242"/>
      <c r="S512" s="242"/>
      <c r="T512" s="242"/>
      <c r="U512" s="242"/>
      <c r="V512" s="242"/>
      <c r="W512" s="242"/>
      <c r="X512" s="242"/>
      <c r="Y512" s="242"/>
      <c r="Z512" s="203">
        <v>1</v>
      </c>
      <c r="AA512" s="211">
        <v>1</v>
      </c>
      <c r="AB512" s="242"/>
      <c r="AC512" s="242"/>
      <c r="AD512" s="242"/>
      <c r="AE512" s="242"/>
      <c r="AF512" s="242"/>
      <c r="AG512" s="242"/>
      <c r="AH512" s="242"/>
      <c r="AI512" s="242"/>
      <c r="AJ512" s="242"/>
      <c r="AK512" s="242"/>
      <c r="AL512" s="211">
        <v>1</v>
      </c>
      <c r="AM512" s="242"/>
      <c r="AN512" s="242"/>
      <c r="AO512" s="242"/>
      <c r="AP512" s="242"/>
      <c r="AQ512" s="242"/>
      <c r="AR512" s="242"/>
      <c r="AS512" s="242"/>
      <c r="AT512" s="242"/>
      <c r="AU512" s="242"/>
      <c r="AV512" s="242"/>
      <c r="AW512" s="240"/>
      <c r="AX512" s="240">
        <v>1</v>
      </c>
      <c r="AY512" s="240">
        <v>1</v>
      </c>
      <c r="AZ512" s="203">
        <v>1</v>
      </c>
      <c r="BA512" s="203">
        <v>1</v>
      </c>
      <c r="BB512" s="203">
        <v>1</v>
      </c>
      <c r="BC512" s="203">
        <v>1</v>
      </c>
    </row>
    <row r="513" spans="1:55" ht="21" hidden="1" customHeight="1">
      <c r="A513" s="212"/>
      <c r="B513" s="237">
        <v>46082</v>
      </c>
      <c r="C513" s="211" t="s">
        <v>1115</v>
      </c>
      <c r="D513" s="238" t="s">
        <v>1116</v>
      </c>
      <c r="E513" s="203" t="s">
        <v>2581</v>
      </c>
      <c r="F513" s="242"/>
      <c r="G513" s="203"/>
      <c r="H513" s="242"/>
      <c r="I513" s="242"/>
      <c r="J513" s="242"/>
      <c r="K513" s="242"/>
      <c r="L513" s="242"/>
      <c r="M513" s="242"/>
      <c r="N513" s="242"/>
      <c r="O513" s="203">
        <v>1</v>
      </c>
      <c r="P513" s="211">
        <v>1</v>
      </c>
      <c r="Q513" s="242"/>
      <c r="R513" s="242"/>
      <c r="S513" s="242"/>
      <c r="T513" s="242"/>
      <c r="U513" s="242"/>
      <c r="V513" s="242"/>
      <c r="W513" s="242"/>
      <c r="X513" s="242"/>
      <c r="Y513" s="242"/>
      <c r="Z513" s="203">
        <v>1</v>
      </c>
      <c r="AA513" s="211">
        <v>1</v>
      </c>
      <c r="AB513" s="242"/>
      <c r="AC513" s="242"/>
      <c r="AD513" s="242"/>
      <c r="AE513" s="242"/>
      <c r="AF513" s="242"/>
      <c r="AG513" s="242"/>
      <c r="AH513" s="242"/>
      <c r="AI513" s="242"/>
      <c r="AJ513" s="242"/>
      <c r="AK513" s="242"/>
      <c r="AL513" s="211">
        <v>1</v>
      </c>
      <c r="AM513" s="242"/>
      <c r="AN513" s="242"/>
      <c r="AO513" s="242"/>
      <c r="AP513" s="242"/>
      <c r="AQ513" s="242"/>
      <c r="AR513" s="242"/>
      <c r="AS513" s="242"/>
      <c r="AT513" s="242"/>
      <c r="AU513" s="242"/>
      <c r="AV513" s="242"/>
      <c r="AW513" s="240"/>
      <c r="AX513" s="240">
        <v>1</v>
      </c>
      <c r="AY513" s="240">
        <v>1</v>
      </c>
      <c r="AZ513" s="242"/>
      <c r="BA513" s="203">
        <v>1</v>
      </c>
      <c r="BB513" s="203">
        <v>1</v>
      </c>
      <c r="BC513" s="203">
        <v>1</v>
      </c>
    </row>
    <row r="514" spans="1:55" ht="21" customHeight="1">
      <c r="A514" s="212"/>
      <c r="B514" s="237">
        <v>46082</v>
      </c>
      <c r="C514" s="211" t="s">
        <v>395</v>
      </c>
      <c r="D514" s="238" t="s">
        <v>1117</v>
      </c>
      <c r="E514" s="203" t="s">
        <v>2582</v>
      </c>
      <c r="F514" s="242"/>
      <c r="G514" s="203"/>
      <c r="H514" s="242"/>
      <c r="I514" s="242"/>
      <c r="J514" s="242"/>
      <c r="K514" s="242"/>
      <c r="L514" s="242"/>
      <c r="M514" s="242"/>
      <c r="N514" s="242"/>
      <c r="O514" s="242"/>
      <c r="P514" s="242"/>
      <c r="Q514" s="242"/>
      <c r="R514" s="242"/>
      <c r="S514" s="242"/>
      <c r="T514" s="242"/>
      <c r="U514" s="242"/>
      <c r="V514" s="242"/>
      <c r="W514" s="242"/>
      <c r="X514" s="242"/>
      <c r="Y514" s="242"/>
      <c r="Z514" s="203"/>
      <c r="AA514" s="203"/>
      <c r="AB514" s="242"/>
      <c r="AC514" s="242"/>
      <c r="AD514" s="242"/>
      <c r="AE514" s="242"/>
      <c r="AF514" s="242"/>
      <c r="AG514" s="242"/>
      <c r="AH514" s="242"/>
      <c r="AI514" s="242"/>
      <c r="AJ514" s="242"/>
      <c r="AK514" s="242"/>
      <c r="AL514" s="242"/>
      <c r="AM514" s="242"/>
      <c r="AN514" s="242"/>
      <c r="AO514" s="242"/>
      <c r="AP514" s="242"/>
      <c r="AQ514" s="242"/>
      <c r="AR514" s="242"/>
      <c r="AS514" s="242"/>
      <c r="AT514" s="242"/>
      <c r="AU514" s="242"/>
      <c r="AV514" s="242"/>
      <c r="AW514" s="240"/>
      <c r="AX514" s="240"/>
      <c r="AY514" s="240"/>
      <c r="AZ514" s="242"/>
      <c r="BA514" s="203"/>
      <c r="BB514" s="203"/>
      <c r="BC514" s="203"/>
    </row>
    <row r="515" spans="1:55" ht="21" hidden="1" customHeight="1">
      <c r="A515" s="212"/>
      <c r="B515" s="237">
        <v>46082</v>
      </c>
      <c r="C515" s="211" t="s">
        <v>388</v>
      </c>
      <c r="D515" s="238" t="s">
        <v>1118</v>
      </c>
      <c r="E515" s="203" t="s">
        <v>2583</v>
      </c>
      <c r="F515" s="242"/>
      <c r="G515" s="203"/>
      <c r="H515" s="242"/>
      <c r="I515" s="242"/>
      <c r="J515" s="242"/>
      <c r="K515" s="242"/>
      <c r="L515" s="242"/>
      <c r="M515" s="242"/>
      <c r="N515" s="242"/>
      <c r="O515" s="203">
        <v>1</v>
      </c>
      <c r="P515" s="211">
        <v>1</v>
      </c>
      <c r="Q515" s="242"/>
      <c r="R515" s="242"/>
      <c r="S515" s="242"/>
      <c r="T515" s="242"/>
      <c r="U515" s="242"/>
      <c r="V515" s="242"/>
      <c r="W515" s="242"/>
      <c r="X515" s="242"/>
      <c r="Y515" s="242"/>
      <c r="Z515" s="203">
        <v>1</v>
      </c>
      <c r="AA515" s="211">
        <v>1</v>
      </c>
      <c r="AB515" s="242"/>
      <c r="AC515" s="242"/>
      <c r="AD515" s="242"/>
      <c r="AE515" s="242"/>
      <c r="AF515" s="242"/>
      <c r="AG515" s="242"/>
      <c r="AH515" s="242"/>
      <c r="AI515" s="242"/>
      <c r="AJ515" s="242"/>
      <c r="AK515" s="211">
        <v>1</v>
      </c>
      <c r="AL515" s="211">
        <v>1</v>
      </c>
      <c r="AM515" s="242"/>
      <c r="AN515" s="242"/>
      <c r="AO515" s="242"/>
      <c r="AP515" s="242"/>
      <c r="AQ515" s="242"/>
      <c r="AR515" s="242"/>
      <c r="AS515" s="242"/>
      <c r="AT515" s="242"/>
      <c r="AU515" s="242"/>
      <c r="AV515" s="242"/>
      <c r="AW515" s="240"/>
      <c r="AX515" s="240">
        <v>1</v>
      </c>
      <c r="AY515" s="240">
        <v>1</v>
      </c>
      <c r="AZ515" s="203">
        <v>1</v>
      </c>
      <c r="BA515" s="203">
        <v>1</v>
      </c>
      <c r="BB515" s="203">
        <v>1</v>
      </c>
      <c r="BC515" s="203">
        <v>1</v>
      </c>
    </row>
    <row r="516" spans="1:55" ht="21" customHeight="1">
      <c r="A516" s="212"/>
      <c r="B516" s="237">
        <v>46082</v>
      </c>
      <c r="C516" s="211" t="s">
        <v>395</v>
      </c>
      <c r="D516" s="238" t="s">
        <v>1119</v>
      </c>
      <c r="E516" s="203" t="s">
        <v>2584</v>
      </c>
      <c r="F516" s="242"/>
      <c r="G516" s="203"/>
      <c r="H516" s="242"/>
      <c r="I516" s="242"/>
      <c r="J516" s="242"/>
      <c r="K516" s="242"/>
      <c r="L516" s="242"/>
      <c r="M516" s="242"/>
      <c r="N516" s="242"/>
      <c r="O516" s="242"/>
      <c r="P516" s="242"/>
      <c r="Q516" s="242"/>
      <c r="R516" s="242"/>
      <c r="S516" s="242"/>
      <c r="T516" s="242"/>
      <c r="U516" s="242"/>
      <c r="V516" s="242"/>
      <c r="W516" s="242"/>
      <c r="X516" s="242"/>
      <c r="Y516" s="242"/>
      <c r="Z516" s="203"/>
      <c r="AA516" s="203"/>
      <c r="AB516" s="242"/>
      <c r="AC516" s="242"/>
      <c r="AD516" s="242"/>
      <c r="AE516" s="242"/>
      <c r="AF516" s="242"/>
      <c r="AG516" s="242"/>
      <c r="AH516" s="242"/>
      <c r="AI516" s="242"/>
      <c r="AJ516" s="242"/>
      <c r="AK516" s="242"/>
      <c r="AL516" s="242"/>
      <c r="AM516" s="242"/>
      <c r="AN516" s="242"/>
      <c r="AO516" s="242"/>
      <c r="AP516" s="242"/>
      <c r="AQ516" s="242"/>
      <c r="AR516" s="242"/>
      <c r="AS516" s="242"/>
      <c r="AT516" s="242"/>
      <c r="AU516" s="242"/>
      <c r="AV516" s="242"/>
      <c r="AW516" s="240"/>
      <c r="AX516" s="240"/>
      <c r="AY516" s="240"/>
      <c r="AZ516" s="242"/>
      <c r="BA516" s="203"/>
      <c r="BB516" s="203"/>
      <c r="BC516" s="203"/>
    </row>
    <row r="517" spans="1:55" ht="21" hidden="1" customHeight="1">
      <c r="A517" s="212"/>
      <c r="B517" s="237">
        <v>46082</v>
      </c>
      <c r="C517" s="211" t="s">
        <v>388</v>
      </c>
      <c r="D517" s="238" t="s">
        <v>1120</v>
      </c>
      <c r="E517" s="203" t="s">
        <v>2585</v>
      </c>
      <c r="F517" s="242"/>
      <c r="G517" s="203"/>
      <c r="H517" s="242"/>
      <c r="I517" s="242"/>
      <c r="J517" s="242"/>
      <c r="K517" s="242"/>
      <c r="L517" s="242"/>
      <c r="M517" s="242"/>
      <c r="N517" s="242"/>
      <c r="O517" s="242"/>
      <c r="P517" s="242"/>
      <c r="Q517" s="242"/>
      <c r="R517" s="242"/>
      <c r="S517" s="242"/>
      <c r="T517" s="242"/>
      <c r="U517" s="242"/>
      <c r="V517" s="242"/>
      <c r="W517" s="242"/>
      <c r="X517" s="242"/>
      <c r="Y517" s="242"/>
      <c r="Z517" s="203"/>
      <c r="AA517" s="203"/>
      <c r="AB517" s="242"/>
      <c r="AC517" s="242"/>
      <c r="AD517" s="242"/>
      <c r="AE517" s="242"/>
      <c r="AF517" s="242"/>
      <c r="AG517" s="242"/>
      <c r="AH517" s="242"/>
      <c r="AI517" s="242"/>
      <c r="AJ517" s="242"/>
      <c r="AK517" s="242"/>
      <c r="AL517" s="242"/>
      <c r="AM517" s="242"/>
      <c r="AN517" s="242"/>
      <c r="AO517" s="242"/>
      <c r="AP517" s="242"/>
      <c r="AQ517" s="242"/>
      <c r="AR517" s="242"/>
      <c r="AS517" s="242"/>
      <c r="AT517" s="242"/>
      <c r="AU517" s="242"/>
      <c r="AV517" s="242"/>
      <c r="AW517" s="240"/>
      <c r="AX517" s="240">
        <v>1</v>
      </c>
      <c r="AY517" s="240"/>
      <c r="AZ517" s="242"/>
      <c r="BA517" s="203"/>
      <c r="BB517" s="203"/>
      <c r="BC517" s="203"/>
    </row>
    <row r="518" spans="1:55" ht="21" hidden="1" customHeight="1">
      <c r="A518" s="212"/>
      <c r="B518" s="237">
        <v>46082</v>
      </c>
      <c r="C518" s="211" t="s">
        <v>388</v>
      </c>
      <c r="D518" s="238" t="s">
        <v>1121</v>
      </c>
      <c r="E518" s="203" t="s">
        <v>2586</v>
      </c>
      <c r="F518" s="242"/>
      <c r="G518" s="203"/>
      <c r="H518" s="242"/>
      <c r="I518" s="242"/>
      <c r="J518" s="242"/>
      <c r="K518" s="242"/>
      <c r="L518" s="242"/>
      <c r="M518" s="242"/>
      <c r="N518" s="242"/>
      <c r="O518" s="242"/>
      <c r="P518" s="242"/>
      <c r="Q518" s="242"/>
      <c r="R518" s="242"/>
      <c r="S518" s="242"/>
      <c r="T518" s="242"/>
      <c r="U518" s="242"/>
      <c r="V518" s="242"/>
      <c r="W518" s="242"/>
      <c r="X518" s="242"/>
      <c r="Y518" s="242"/>
      <c r="Z518" s="203"/>
      <c r="AA518" s="203"/>
      <c r="AB518" s="242"/>
      <c r="AC518" s="242"/>
      <c r="AD518" s="242"/>
      <c r="AE518" s="242"/>
      <c r="AF518" s="242"/>
      <c r="AG518" s="242"/>
      <c r="AH518" s="242"/>
      <c r="AI518" s="242"/>
      <c r="AJ518" s="242"/>
      <c r="AK518" s="242">
        <v>1</v>
      </c>
      <c r="AL518" s="242">
        <v>1</v>
      </c>
      <c r="AM518" s="242"/>
      <c r="AN518" s="242"/>
      <c r="AO518" s="242"/>
      <c r="AP518" s="242"/>
      <c r="AQ518" s="242"/>
      <c r="AR518" s="242"/>
      <c r="AS518" s="242"/>
      <c r="AT518" s="242"/>
      <c r="AU518" s="242"/>
      <c r="AV518" s="242"/>
      <c r="AW518" s="240"/>
      <c r="AX518" s="240">
        <v>1</v>
      </c>
      <c r="AY518" s="240">
        <v>1</v>
      </c>
      <c r="AZ518" s="242"/>
      <c r="BA518" s="203"/>
      <c r="BB518" s="203"/>
      <c r="BC518" s="203"/>
    </row>
    <row r="519" spans="1:55" ht="21" hidden="1" customHeight="1">
      <c r="A519" s="212"/>
      <c r="B519" s="237">
        <v>46082</v>
      </c>
      <c r="C519" s="211" t="s">
        <v>388</v>
      </c>
      <c r="D519" s="238" t="s">
        <v>1122</v>
      </c>
      <c r="E519" s="203" t="s">
        <v>2587</v>
      </c>
      <c r="F519" s="242"/>
      <c r="G519" s="203"/>
      <c r="H519" s="242"/>
      <c r="I519" s="242"/>
      <c r="J519" s="242"/>
      <c r="K519" s="242"/>
      <c r="L519" s="242"/>
      <c r="M519" s="242"/>
      <c r="N519" s="242"/>
      <c r="O519" s="242"/>
      <c r="P519" s="242"/>
      <c r="Q519" s="242"/>
      <c r="R519" s="242"/>
      <c r="S519" s="242"/>
      <c r="T519" s="242"/>
      <c r="U519" s="242"/>
      <c r="V519" s="242"/>
      <c r="W519" s="242"/>
      <c r="X519" s="242"/>
      <c r="Y519" s="242"/>
      <c r="Z519" s="203"/>
      <c r="AA519" s="203"/>
      <c r="AB519" s="242"/>
      <c r="AC519" s="242"/>
      <c r="AD519" s="242"/>
      <c r="AE519" s="242"/>
      <c r="AF519" s="242"/>
      <c r="AG519" s="242"/>
      <c r="AH519" s="242"/>
      <c r="AI519" s="242"/>
      <c r="AJ519" s="242"/>
      <c r="AK519" s="242"/>
      <c r="AL519" s="242"/>
      <c r="AM519" s="242"/>
      <c r="AN519" s="242"/>
      <c r="AO519" s="242"/>
      <c r="AP519" s="242"/>
      <c r="AQ519" s="242"/>
      <c r="AR519" s="242"/>
      <c r="AS519" s="242"/>
      <c r="AT519" s="242"/>
      <c r="AU519" s="242"/>
      <c r="AV519" s="242"/>
      <c r="AW519" s="240"/>
      <c r="AX519" s="240"/>
      <c r="AY519" s="240"/>
      <c r="AZ519" s="242"/>
      <c r="BA519" s="203"/>
      <c r="BB519" s="203"/>
      <c r="BC519" s="203"/>
    </row>
    <row r="520" spans="1:55" ht="21" hidden="1" customHeight="1">
      <c r="A520" s="212"/>
      <c r="B520" s="237">
        <v>46082</v>
      </c>
      <c r="C520" s="211" t="s">
        <v>388</v>
      </c>
      <c r="D520" s="238" t="s">
        <v>1123</v>
      </c>
      <c r="E520" s="203" t="s">
        <v>2588</v>
      </c>
      <c r="F520" s="242"/>
      <c r="G520" s="203"/>
      <c r="H520" s="242"/>
      <c r="I520" s="242"/>
      <c r="J520" s="242"/>
      <c r="K520" s="242"/>
      <c r="L520" s="242"/>
      <c r="M520" s="242"/>
      <c r="N520" s="242"/>
      <c r="O520" s="242"/>
      <c r="P520" s="242">
        <v>1</v>
      </c>
      <c r="Q520" s="242"/>
      <c r="R520" s="242"/>
      <c r="S520" s="242"/>
      <c r="T520" s="242"/>
      <c r="U520" s="242"/>
      <c r="V520" s="242"/>
      <c r="W520" s="242"/>
      <c r="X520" s="242"/>
      <c r="Y520" s="242"/>
      <c r="Z520" s="203">
        <v>1</v>
      </c>
      <c r="AA520" s="203"/>
      <c r="AB520" s="242"/>
      <c r="AC520" s="242"/>
      <c r="AD520" s="242"/>
      <c r="AE520" s="242"/>
      <c r="AF520" s="242"/>
      <c r="AG520" s="242"/>
      <c r="AH520" s="242"/>
      <c r="AI520" s="242"/>
      <c r="AJ520" s="242"/>
      <c r="AK520" s="242">
        <v>1</v>
      </c>
      <c r="AL520" s="242">
        <v>1</v>
      </c>
      <c r="AM520" s="242"/>
      <c r="AN520" s="242"/>
      <c r="AO520" s="242"/>
      <c r="AP520" s="242"/>
      <c r="AQ520" s="242"/>
      <c r="AR520" s="242"/>
      <c r="AS520" s="242"/>
      <c r="AT520" s="242"/>
      <c r="AU520" s="242"/>
      <c r="AV520" s="242"/>
      <c r="AW520" s="240"/>
      <c r="AX520" s="240">
        <v>1</v>
      </c>
      <c r="AY520" s="240">
        <v>1</v>
      </c>
      <c r="AZ520" s="242">
        <v>1</v>
      </c>
      <c r="BA520" s="203">
        <v>1</v>
      </c>
      <c r="BB520" s="203"/>
      <c r="BC520" s="203"/>
    </row>
    <row r="521" spans="1:55" ht="21" hidden="1" customHeight="1">
      <c r="A521" s="212"/>
      <c r="B521" s="237">
        <v>46082</v>
      </c>
      <c r="C521" s="211" t="s">
        <v>388</v>
      </c>
      <c r="D521" s="238" t="s">
        <v>1124</v>
      </c>
      <c r="E521" s="203" t="s">
        <v>2589</v>
      </c>
      <c r="F521" s="242"/>
      <c r="G521" s="203"/>
      <c r="H521" s="242"/>
      <c r="I521" s="242"/>
      <c r="J521" s="242"/>
      <c r="K521" s="242"/>
      <c r="L521" s="242"/>
      <c r="M521" s="242"/>
      <c r="N521" s="242"/>
      <c r="O521" s="242"/>
      <c r="P521" s="242"/>
      <c r="Q521" s="242"/>
      <c r="R521" s="242"/>
      <c r="S521" s="242"/>
      <c r="T521" s="242"/>
      <c r="U521" s="242"/>
      <c r="V521" s="242"/>
      <c r="W521" s="242"/>
      <c r="X521" s="242"/>
      <c r="Y521" s="242"/>
      <c r="Z521" s="203"/>
      <c r="AA521" s="203"/>
      <c r="AB521" s="242"/>
      <c r="AC521" s="242"/>
      <c r="AD521" s="242"/>
      <c r="AE521" s="242"/>
      <c r="AF521" s="242"/>
      <c r="AG521" s="242"/>
      <c r="AH521" s="242"/>
      <c r="AI521" s="242"/>
      <c r="AJ521" s="242"/>
      <c r="AK521" s="242"/>
      <c r="AL521" s="242"/>
      <c r="AM521" s="242"/>
      <c r="AN521" s="242"/>
      <c r="AO521" s="242"/>
      <c r="AP521" s="242"/>
      <c r="AQ521" s="242"/>
      <c r="AR521" s="242"/>
      <c r="AS521" s="242"/>
      <c r="AT521" s="242"/>
      <c r="AU521" s="242"/>
      <c r="AV521" s="242"/>
      <c r="AW521" s="240"/>
      <c r="AX521" s="240">
        <v>1</v>
      </c>
      <c r="AY521" s="240"/>
      <c r="AZ521" s="242"/>
      <c r="BA521" s="203"/>
      <c r="BB521" s="203"/>
      <c r="BC521" s="203"/>
    </row>
    <row r="522" spans="1:55" ht="21" customHeight="1">
      <c r="A522" s="212"/>
      <c r="B522" s="237">
        <v>46082</v>
      </c>
      <c r="C522" s="211" t="s">
        <v>395</v>
      </c>
      <c r="D522" s="238" t="s">
        <v>1125</v>
      </c>
      <c r="E522" s="203" t="s">
        <v>2590</v>
      </c>
      <c r="F522" s="242"/>
      <c r="G522" s="203"/>
      <c r="H522" s="242"/>
      <c r="I522" s="242"/>
      <c r="J522" s="242"/>
      <c r="K522" s="242"/>
      <c r="L522" s="242"/>
      <c r="M522" s="242"/>
      <c r="N522" s="242"/>
      <c r="O522" s="242"/>
      <c r="P522" s="242"/>
      <c r="Q522" s="242"/>
      <c r="R522" s="242"/>
      <c r="S522" s="242"/>
      <c r="T522" s="242"/>
      <c r="U522" s="242"/>
      <c r="V522" s="242"/>
      <c r="W522" s="242"/>
      <c r="X522" s="242"/>
      <c r="Y522" s="242"/>
      <c r="Z522" s="203"/>
      <c r="AA522" s="203"/>
      <c r="AB522" s="242"/>
      <c r="AC522" s="242"/>
      <c r="AD522" s="242"/>
      <c r="AE522" s="242"/>
      <c r="AF522" s="242"/>
      <c r="AG522" s="242"/>
      <c r="AH522" s="242"/>
      <c r="AI522" s="242"/>
      <c r="AJ522" s="242"/>
      <c r="AK522" s="242"/>
      <c r="AL522" s="242"/>
      <c r="AM522" s="242"/>
      <c r="AN522" s="242"/>
      <c r="AO522" s="242"/>
      <c r="AP522" s="242"/>
      <c r="AQ522" s="242"/>
      <c r="AR522" s="242"/>
      <c r="AS522" s="242"/>
      <c r="AT522" s="242"/>
      <c r="AU522" s="242"/>
      <c r="AV522" s="242"/>
      <c r="AW522" s="240"/>
      <c r="AX522" s="240"/>
      <c r="AY522" s="240"/>
      <c r="AZ522" s="242"/>
      <c r="BA522" s="203"/>
      <c r="BB522" s="203"/>
      <c r="BC522" s="203"/>
    </row>
    <row r="523" spans="1:55" ht="21" hidden="1" customHeight="1">
      <c r="A523" s="212"/>
      <c r="B523" s="237">
        <v>46082</v>
      </c>
      <c r="C523" s="211" t="s">
        <v>393</v>
      </c>
      <c r="D523" s="238" t="s">
        <v>1126</v>
      </c>
      <c r="E523" s="203" t="s">
        <v>2591</v>
      </c>
      <c r="F523" s="242"/>
      <c r="G523" s="203"/>
      <c r="H523" s="242"/>
      <c r="I523" s="242"/>
      <c r="J523" s="242"/>
      <c r="K523" s="242"/>
      <c r="L523" s="242"/>
      <c r="M523" s="242"/>
      <c r="N523" s="242"/>
      <c r="O523" s="242"/>
      <c r="P523" s="242"/>
      <c r="Q523" s="242"/>
      <c r="R523" s="242"/>
      <c r="S523" s="242"/>
      <c r="T523" s="242"/>
      <c r="U523" s="242"/>
      <c r="V523" s="242"/>
      <c r="W523" s="242"/>
      <c r="X523" s="242"/>
      <c r="Y523" s="242"/>
      <c r="Z523" s="203"/>
      <c r="AA523" s="203"/>
      <c r="AB523" s="242"/>
      <c r="AC523" s="242"/>
      <c r="AD523" s="242"/>
      <c r="AE523" s="242"/>
      <c r="AF523" s="242"/>
      <c r="AG523" s="242"/>
      <c r="AH523" s="242"/>
      <c r="AI523" s="242"/>
      <c r="AJ523" s="242"/>
      <c r="AK523" s="242"/>
      <c r="AL523" s="242"/>
      <c r="AM523" s="242"/>
      <c r="AN523" s="242"/>
      <c r="AO523" s="242"/>
      <c r="AP523" s="242"/>
      <c r="AQ523" s="242"/>
      <c r="AR523" s="242"/>
      <c r="AS523" s="242"/>
      <c r="AT523" s="242"/>
      <c r="AU523" s="242"/>
      <c r="AV523" s="242"/>
      <c r="AW523" s="240"/>
      <c r="AX523" s="240"/>
      <c r="AY523" s="240"/>
      <c r="AZ523" s="242"/>
      <c r="BA523" s="203"/>
      <c r="BB523" s="203"/>
      <c r="BC523" s="203"/>
    </row>
    <row r="524" spans="1:55" ht="21" customHeight="1">
      <c r="A524" s="212"/>
      <c r="B524" s="237">
        <v>46082</v>
      </c>
      <c r="C524" s="211" t="s">
        <v>395</v>
      </c>
      <c r="D524" s="238" t="s">
        <v>1127</v>
      </c>
      <c r="E524" s="203" t="s">
        <v>2592</v>
      </c>
      <c r="F524" s="242"/>
      <c r="G524" s="203"/>
      <c r="H524" s="242"/>
      <c r="I524" s="242"/>
      <c r="J524" s="242"/>
      <c r="K524" s="242"/>
      <c r="L524" s="242"/>
      <c r="M524" s="242"/>
      <c r="N524" s="242"/>
      <c r="O524" s="242"/>
      <c r="P524" s="242"/>
      <c r="Q524" s="242"/>
      <c r="R524" s="242"/>
      <c r="S524" s="242"/>
      <c r="T524" s="242"/>
      <c r="U524" s="242"/>
      <c r="V524" s="242"/>
      <c r="W524" s="242"/>
      <c r="X524" s="242"/>
      <c r="Y524" s="242"/>
      <c r="Z524" s="203"/>
      <c r="AA524" s="203"/>
      <c r="AB524" s="242"/>
      <c r="AC524" s="242"/>
      <c r="AD524" s="242"/>
      <c r="AE524" s="242"/>
      <c r="AF524" s="242"/>
      <c r="AG524" s="242"/>
      <c r="AH524" s="242"/>
      <c r="AI524" s="242"/>
      <c r="AJ524" s="242"/>
      <c r="AK524" s="242"/>
      <c r="AL524" s="242"/>
      <c r="AM524" s="242"/>
      <c r="AN524" s="242"/>
      <c r="AO524" s="242"/>
      <c r="AP524" s="242"/>
      <c r="AQ524" s="242"/>
      <c r="AR524" s="242"/>
      <c r="AS524" s="242"/>
      <c r="AT524" s="242"/>
      <c r="AU524" s="242"/>
      <c r="AV524" s="242"/>
      <c r="AW524" s="240"/>
      <c r="AX524" s="240"/>
      <c r="AY524" s="240"/>
      <c r="AZ524" s="242"/>
      <c r="BA524" s="203"/>
      <c r="BB524" s="203"/>
      <c r="BC524" s="203"/>
    </row>
    <row r="525" spans="1:55" ht="21" customHeight="1">
      <c r="A525" s="212"/>
      <c r="B525" s="237">
        <v>46082</v>
      </c>
      <c r="C525" s="211" t="s">
        <v>395</v>
      </c>
      <c r="D525" s="238" t="s">
        <v>1128</v>
      </c>
      <c r="E525" s="203" t="s">
        <v>2593</v>
      </c>
      <c r="F525" s="242"/>
      <c r="G525" s="203"/>
      <c r="H525" s="242"/>
      <c r="I525" s="242"/>
      <c r="J525" s="242"/>
      <c r="K525" s="242"/>
      <c r="L525" s="242"/>
      <c r="M525" s="242"/>
      <c r="N525" s="242"/>
      <c r="O525" s="242"/>
      <c r="P525" s="242"/>
      <c r="Q525" s="242"/>
      <c r="R525" s="242"/>
      <c r="S525" s="242"/>
      <c r="T525" s="242"/>
      <c r="U525" s="242"/>
      <c r="V525" s="242"/>
      <c r="W525" s="242"/>
      <c r="X525" s="242"/>
      <c r="Y525" s="242"/>
      <c r="Z525" s="203"/>
      <c r="AA525" s="203"/>
      <c r="AB525" s="242"/>
      <c r="AC525" s="242"/>
      <c r="AD525" s="242"/>
      <c r="AE525" s="242"/>
      <c r="AF525" s="242"/>
      <c r="AG525" s="242"/>
      <c r="AH525" s="242"/>
      <c r="AI525" s="242"/>
      <c r="AJ525" s="242"/>
      <c r="AK525" s="242">
        <v>1</v>
      </c>
      <c r="AL525" s="242">
        <v>1</v>
      </c>
      <c r="AM525" s="242"/>
      <c r="AN525" s="242"/>
      <c r="AO525" s="242"/>
      <c r="AP525" s="242"/>
      <c r="AQ525" s="242"/>
      <c r="AR525" s="242"/>
      <c r="AS525" s="242"/>
      <c r="AT525" s="242"/>
      <c r="AU525" s="242"/>
      <c r="AV525" s="242"/>
      <c r="AW525" s="240"/>
      <c r="AX525" s="240">
        <v>1</v>
      </c>
      <c r="AY525" s="240">
        <v>1</v>
      </c>
      <c r="AZ525" s="242"/>
      <c r="BA525" s="203"/>
      <c r="BB525" s="203"/>
      <c r="BC525" s="203"/>
    </row>
    <row r="526" spans="1:55" ht="21" hidden="1" customHeight="1">
      <c r="A526" s="212"/>
      <c r="B526" s="237">
        <v>46082</v>
      </c>
      <c r="C526" s="211" t="s">
        <v>386</v>
      </c>
      <c r="D526" s="238" t="s">
        <v>1129</v>
      </c>
      <c r="E526" s="203" t="s">
        <v>2594</v>
      </c>
      <c r="F526" s="242"/>
      <c r="G526" s="203"/>
      <c r="H526" s="242"/>
      <c r="I526" s="242"/>
      <c r="J526" s="242"/>
      <c r="K526" s="242"/>
      <c r="L526" s="242"/>
      <c r="M526" s="242"/>
      <c r="N526" s="242"/>
      <c r="O526" s="242"/>
      <c r="P526" s="242"/>
      <c r="Q526" s="242"/>
      <c r="R526" s="242"/>
      <c r="S526" s="242"/>
      <c r="T526" s="242"/>
      <c r="U526" s="242"/>
      <c r="V526" s="242"/>
      <c r="W526" s="242"/>
      <c r="X526" s="242"/>
      <c r="Y526" s="242"/>
      <c r="Z526" s="203"/>
      <c r="AA526" s="203"/>
      <c r="AB526" s="242"/>
      <c r="AC526" s="242"/>
      <c r="AD526" s="242"/>
      <c r="AE526" s="242"/>
      <c r="AF526" s="242"/>
      <c r="AG526" s="242"/>
      <c r="AH526" s="242"/>
      <c r="AI526" s="242"/>
      <c r="AJ526" s="242"/>
      <c r="AK526" s="242"/>
      <c r="AL526" s="242"/>
      <c r="AM526" s="242"/>
      <c r="AN526" s="242"/>
      <c r="AO526" s="242"/>
      <c r="AP526" s="242"/>
      <c r="AQ526" s="242"/>
      <c r="AR526" s="242"/>
      <c r="AS526" s="242"/>
      <c r="AT526" s="242"/>
      <c r="AU526" s="242"/>
      <c r="AV526" s="242"/>
      <c r="AW526" s="240"/>
      <c r="AX526" s="240"/>
      <c r="AY526" s="240"/>
      <c r="AZ526" s="242"/>
      <c r="BA526" s="203"/>
      <c r="BB526" s="203"/>
      <c r="BC526" s="203"/>
    </row>
    <row r="527" spans="1:55" ht="21" hidden="1" customHeight="1">
      <c r="A527" s="212"/>
      <c r="B527" s="237">
        <v>46082</v>
      </c>
      <c r="C527" s="211" t="s">
        <v>388</v>
      </c>
      <c r="D527" s="238" t="s">
        <v>1130</v>
      </c>
      <c r="E527" s="203" t="s">
        <v>2595</v>
      </c>
      <c r="F527" s="242"/>
      <c r="G527" s="203"/>
      <c r="H527" s="242"/>
      <c r="I527" s="242"/>
      <c r="J527" s="242"/>
      <c r="K527" s="242"/>
      <c r="L527" s="242"/>
      <c r="M527" s="242"/>
      <c r="N527" s="242"/>
      <c r="O527" s="242"/>
      <c r="P527" s="242"/>
      <c r="Q527" s="242"/>
      <c r="R527" s="242"/>
      <c r="S527" s="242"/>
      <c r="T527" s="242"/>
      <c r="U527" s="242"/>
      <c r="V527" s="242"/>
      <c r="W527" s="242"/>
      <c r="X527" s="242"/>
      <c r="Y527" s="242"/>
      <c r="Z527" s="203"/>
      <c r="AA527" s="203"/>
      <c r="AB527" s="242"/>
      <c r="AC527" s="242"/>
      <c r="AD527" s="242"/>
      <c r="AE527" s="242"/>
      <c r="AF527" s="242"/>
      <c r="AG527" s="242"/>
      <c r="AH527" s="242"/>
      <c r="AI527" s="242"/>
      <c r="AJ527" s="242"/>
      <c r="AK527" s="242"/>
      <c r="AL527" s="242"/>
      <c r="AM527" s="242"/>
      <c r="AN527" s="242"/>
      <c r="AO527" s="242"/>
      <c r="AP527" s="242"/>
      <c r="AQ527" s="242"/>
      <c r="AR527" s="242"/>
      <c r="AS527" s="242"/>
      <c r="AT527" s="242"/>
      <c r="AU527" s="242"/>
      <c r="AV527" s="242"/>
      <c r="AW527" s="240"/>
      <c r="AX527" s="240">
        <v>1</v>
      </c>
      <c r="AY527" s="240">
        <v>1</v>
      </c>
      <c r="AZ527" s="242"/>
      <c r="BA527" s="203"/>
      <c r="BB527" s="203"/>
      <c r="BC527" s="203"/>
    </row>
    <row r="528" spans="1:55" ht="21" hidden="1" customHeight="1">
      <c r="A528" s="212"/>
      <c r="B528" s="237">
        <v>46082</v>
      </c>
      <c r="C528" s="211" t="s">
        <v>388</v>
      </c>
      <c r="D528" s="238" t="s">
        <v>1131</v>
      </c>
      <c r="E528" s="203" t="s">
        <v>2596</v>
      </c>
      <c r="F528" s="242"/>
      <c r="G528" s="203"/>
      <c r="H528" s="242"/>
      <c r="I528" s="242"/>
      <c r="J528" s="242"/>
      <c r="K528" s="242"/>
      <c r="L528" s="242"/>
      <c r="M528" s="242"/>
      <c r="N528" s="242"/>
      <c r="O528" s="242"/>
      <c r="P528" s="242"/>
      <c r="Q528" s="242"/>
      <c r="R528" s="242"/>
      <c r="S528" s="242"/>
      <c r="T528" s="242"/>
      <c r="U528" s="242"/>
      <c r="V528" s="242"/>
      <c r="W528" s="242"/>
      <c r="X528" s="242"/>
      <c r="Y528" s="242"/>
      <c r="Z528" s="203"/>
      <c r="AA528" s="203"/>
      <c r="AB528" s="242"/>
      <c r="AC528" s="242"/>
      <c r="AD528" s="242"/>
      <c r="AE528" s="242"/>
      <c r="AF528" s="242"/>
      <c r="AG528" s="242"/>
      <c r="AH528" s="242"/>
      <c r="AI528" s="242"/>
      <c r="AJ528" s="242"/>
      <c r="AK528" s="242"/>
      <c r="AL528" s="242"/>
      <c r="AM528" s="242"/>
      <c r="AN528" s="242"/>
      <c r="AO528" s="242"/>
      <c r="AP528" s="242"/>
      <c r="AQ528" s="242"/>
      <c r="AR528" s="242"/>
      <c r="AS528" s="242"/>
      <c r="AT528" s="242"/>
      <c r="AU528" s="242"/>
      <c r="AV528" s="242"/>
      <c r="AW528" s="240"/>
      <c r="AX528" s="240"/>
      <c r="AY528" s="240">
        <v>1</v>
      </c>
      <c r="AZ528" s="242"/>
      <c r="BA528" s="203"/>
      <c r="BB528" s="203"/>
      <c r="BC528" s="203"/>
    </row>
    <row r="529" spans="1:55" ht="21" hidden="1" customHeight="1">
      <c r="A529" s="212"/>
      <c r="B529" s="237">
        <v>46082</v>
      </c>
      <c r="C529" s="211" t="s">
        <v>393</v>
      </c>
      <c r="D529" s="238" t="s">
        <v>1132</v>
      </c>
      <c r="E529" s="203" t="s">
        <v>2597</v>
      </c>
      <c r="F529" s="242"/>
      <c r="G529" s="203"/>
      <c r="H529" s="242"/>
      <c r="I529" s="242"/>
      <c r="J529" s="242"/>
      <c r="K529" s="242"/>
      <c r="L529" s="242"/>
      <c r="M529" s="242"/>
      <c r="N529" s="242"/>
      <c r="O529" s="242"/>
      <c r="P529" s="242"/>
      <c r="Q529" s="242"/>
      <c r="R529" s="242"/>
      <c r="S529" s="242"/>
      <c r="T529" s="242"/>
      <c r="U529" s="242"/>
      <c r="V529" s="242"/>
      <c r="W529" s="242"/>
      <c r="X529" s="242"/>
      <c r="Y529" s="242"/>
      <c r="Z529" s="203"/>
      <c r="AA529" s="203"/>
      <c r="AB529" s="242"/>
      <c r="AC529" s="242"/>
      <c r="AD529" s="242"/>
      <c r="AE529" s="242"/>
      <c r="AF529" s="242"/>
      <c r="AG529" s="242"/>
      <c r="AH529" s="242"/>
      <c r="AI529" s="242"/>
      <c r="AJ529" s="242"/>
      <c r="AK529" s="242"/>
      <c r="AL529" s="242"/>
      <c r="AM529" s="242"/>
      <c r="AN529" s="242"/>
      <c r="AO529" s="242"/>
      <c r="AP529" s="242"/>
      <c r="AQ529" s="242"/>
      <c r="AR529" s="242"/>
      <c r="AS529" s="242"/>
      <c r="AT529" s="242"/>
      <c r="AU529" s="242"/>
      <c r="AV529" s="242"/>
      <c r="AW529" s="240"/>
      <c r="AX529" s="240"/>
      <c r="AY529" s="240"/>
      <c r="AZ529" s="242"/>
      <c r="BA529" s="203"/>
      <c r="BB529" s="203"/>
      <c r="BC529" s="203"/>
    </row>
    <row r="530" spans="1:55" ht="21" hidden="1" customHeight="1">
      <c r="A530" s="212"/>
      <c r="B530" s="237">
        <v>46082</v>
      </c>
      <c r="C530" s="211" t="s">
        <v>388</v>
      </c>
      <c r="D530" s="238" t="s">
        <v>1133</v>
      </c>
      <c r="E530" s="203" t="s">
        <v>2598</v>
      </c>
      <c r="F530" s="242"/>
      <c r="G530" s="203"/>
      <c r="H530" s="242"/>
      <c r="I530" s="242"/>
      <c r="J530" s="242"/>
      <c r="K530" s="242"/>
      <c r="L530" s="242"/>
      <c r="M530" s="242"/>
      <c r="N530" s="242"/>
      <c r="O530" s="242"/>
      <c r="P530" s="242"/>
      <c r="Q530" s="242"/>
      <c r="R530" s="242"/>
      <c r="S530" s="242"/>
      <c r="T530" s="242"/>
      <c r="U530" s="242"/>
      <c r="V530" s="242"/>
      <c r="W530" s="242"/>
      <c r="X530" s="242"/>
      <c r="Y530" s="242"/>
      <c r="Z530" s="203"/>
      <c r="AA530" s="203"/>
      <c r="AB530" s="242"/>
      <c r="AC530" s="242"/>
      <c r="AD530" s="242"/>
      <c r="AE530" s="242"/>
      <c r="AF530" s="242"/>
      <c r="AG530" s="242"/>
      <c r="AH530" s="242"/>
      <c r="AI530" s="242"/>
      <c r="AJ530" s="242"/>
      <c r="AK530" s="242"/>
      <c r="AL530" s="242"/>
      <c r="AM530" s="242"/>
      <c r="AN530" s="242"/>
      <c r="AO530" s="242"/>
      <c r="AP530" s="242"/>
      <c r="AQ530" s="242"/>
      <c r="AR530" s="242"/>
      <c r="AS530" s="242"/>
      <c r="AT530" s="242"/>
      <c r="AU530" s="242"/>
      <c r="AV530" s="242"/>
      <c r="AW530" s="240"/>
      <c r="AX530" s="240">
        <v>1</v>
      </c>
      <c r="AY530" s="240"/>
      <c r="AZ530" s="242"/>
      <c r="BA530" s="203"/>
      <c r="BB530" s="203"/>
      <c r="BC530" s="203"/>
    </row>
    <row r="531" spans="1:55" ht="21" hidden="1" customHeight="1">
      <c r="A531" s="212"/>
      <c r="B531" s="237">
        <v>46082</v>
      </c>
      <c r="C531" s="211" t="s">
        <v>387</v>
      </c>
      <c r="D531" s="238" t="s">
        <v>1134</v>
      </c>
      <c r="E531" s="203" t="s">
        <v>2599</v>
      </c>
      <c r="F531" s="242"/>
      <c r="G531" s="203"/>
      <c r="H531" s="242"/>
      <c r="I531" s="242"/>
      <c r="J531" s="242"/>
      <c r="K531" s="242"/>
      <c r="L531" s="242"/>
      <c r="M531" s="242"/>
      <c r="N531" s="242"/>
      <c r="O531" s="242"/>
      <c r="P531" s="242"/>
      <c r="Q531" s="242"/>
      <c r="R531" s="242"/>
      <c r="S531" s="242"/>
      <c r="T531" s="242"/>
      <c r="U531" s="242"/>
      <c r="V531" s="242"/>
      <c r="W531" s="242"/>
      <c r="X531" s="242"/>
      <c r="Y531" s="242"/>
      <c r="Z531" s="203"/>
      <c r="AA531" s="203"/>
      <c r="AB531" s="242"/>
      <c r="AC531" s="242"/>
      <c r="AD531" s="242"/>
      <c r="AE531" s="242"/>
      <c r="AF531" s="242"/>
      <c r="AG531" s="242"/>
      <c r="AH531" s="242"/>
      <c r="AI531" s="242"/>
      <c r="AJ531" s="242"/>
      <c r="AK531" s="242"/>
      <c r="AL531" s="242"/>
      <c r="AM531" s="242"/>
      <c r="AN531" s="242"/>
      <c r="AO531" s="242"/>
      <c r="AP531" s="242"/>
      <c r="AQ531" s="242"/>
      <c r="AR531" s="242"/>
      <c r="AS531" s="242"/>
      <c r="AT531" s="242"/>
      <c r="AU531" s="242"/>
      <c r="AV531" s="242"/>
      <c r="AW531" s="240"/>
      <c r="AX531" s="240"/>
      <c r="AY531" s="240"/>
      <c r="AZ531" s="242"/>
      <c r="BA531" s="203"/>
      <c r="BB531" s="203"/>
      <c r="BC531" s="203"/>
    </row>
    <row r="532" spans="1:55" ht="21" hidden="1" customHeight="1">
      <c r="A532" s="212"/>
      <c r="B532" s="237">
        <v>46082</v>
      </c>
      <c r="C532" s="211" t="s">
        <v>393</v>
      </c>
      <c r="D532" s="238" t="s">
        <v>1135</v>
      </c>
      <c r="E532" s="203" t="s">
        <v>2600</v>
      </c>
      <c r="F532" s="242"/>
      <c r="G532" s="203"/>
      <c r="H532" s="242"/>
      <c r="I532" s="242"/>
      <c r="J532" s="242"/>
      <c r="K532" s="242"/>
      <c r="L532" s="242"/>
      <c r="M532" s="242"/>
      <c r="N532" s="242"/>
      <c r="O532" s="242"/>
      <c r="P532" s="211">
        <v>1</v>
      </c>
      <c r="Q532" s="242"/>
      <c r="R532" s="242"/>
      <c r="S532" s="242"/>
      <c r="T532" s="242"/>
      <c r="U532" s="242"/>
      <c r="V532" s="242"/>
      <c r="W532" s="242"/>
      <c r="X532" s="242"/>
      <c r="Y532" s="242"/>
      <c r="Z532" s="203"/>
      <c r="AA532" s="203"/>
      <c r="AB532" s="242"/>
      <c r="AC532" s="242"/>
      <c r="AD532" s="242"/>
      <c r="AE532" s="242"/>
      <c r="AF532" s="242"/>
      <c r="AG532" s="242"/>
      <c r="AH532" s="242"/>
      <c r="AI532" s="242"/>
      <c r="AJ532" s="242"/>
      <c r="AK532" s="211">
        <v>1</v>
      </c>
      <c r="AL532" s="242">
        <v>1</v>
      </c>
      <c r="AM532" s="242"/>
      <c r="AN532" s="242"/>
      <c r="AO532" s="242"/>
      <c r="AP532" s="242"/>
      <c r="AQ532" s="242"/>
      <c r="AR532" s="242"/>
      <c r="AS532" s="242"/>
      <c r="AT532" s="242"/>
      <c r="AU532" s="242"/>
      <c r="AV532" s="242"/>
      <c r="AW532" s="240"/>
      <c r="AX532" s="240"/>
      <c r="AY532" s="240"/>
      <c r="AZ532" s="242"/>
      <c r="BA532" s="203"/>
      <c r="BB532" s="203"/>
      <c r="BC532" s="203"/>
    </row>
    <row r="533" spans="1:55" ht="21" customHeight="1">
      <c r="A533" s="212"/>
      <c r="B533" s="237">
        <v>46082</v>
      </c>
      <c r="C533" s="211" t="s">
        <v>395</v>
      </c>
      <c r="D533" s="238" t="s">
        <v>1136</v>
      </c>
      <c r="E533" s="203" t="s">
        <v>2601</v>
      </c>
      <c r="F533" s="242"/>
      <c r="G533" s="203"/>
      <c r="H533" s="242"/>
      <c r="I533" s="242"/>
      <c r="J533" s="242"/>
      <c r="K533" s="242"/>
      <c r="L533" s="242"/>
      <c r="M533" s="242"/>
      <c r="N533" s="242"/>
      <c r="O533" s="242"/>
      <c r="P533" s="242"/>
      <c r="Q533" s="242"/>
      <c r="R533" s="242"/>
      <c r="S533" s="242"/>
      <c r="T533" s="242"/>
      <c r="U533" s="242"/>
      <c r="V533" s="242"/>
      <c r="W533" s="242"/>
      <c r="X533" s="242"/>
      <c r="Y533" s="242"/>
      <c r="Z533" s="203"/>
      <c r="AA533" s="203"/>
      <c r="AB533" s="242"/>
      <c r="AC533" s="242"/>
      <c r="AD533" s="242"/>
      <c r="AE533" s="242"/>
      <c r="AF533" s="242"/>
      <c r="AG533" s="242"/>
      <c r="AH533" s="242"/>
      <c r="AI533" s="242"/>
      <c r="AJ533" s="242"/>
      <c r="AK533" s="242"/>
      <c r="AL533" s="242"/>
      <c r="AM533" s="242"/>
      <c r="AN533" s="242"/>
      <c r="AO533" s="242"/>
      <c r="AP533" s="242"/>
      <c r="AQ533" s="242"/>
      <c r="AR533" s="242"/>
      <c r="AS533" s="242"/>
      <c r="AT533" s="242"/>
      <c r="AU533" s="242"/>
      <c r="AV533" s="242"/>
      <c r="AW533" s="240"/>
      <c r="AX533" s="240"/>
      <c r="AY533" s="240">
        <v>1</v>
      </c>
      <c r="AZ533" s="242"/>
      <c r="BA533" s="203"/>
      <c r="BB533" s="203"/>
      <c r="BC533" s="203"/>
    </row>
    <row r="534" spans="1:55" ht="21" hidden="1" customHeight="1">
      <c r="A534" s="212"/>
      <c r="B534" s="237">
        <v>46082</v>
      </c>
      <c r="C534" s="211" t="s">
        <v>386</v>
      </c>
      <c r="D534" s="238" t="s">
        <v>1137</v>
      </c>
      <c r="E534" s="203" t="s">
        <v>2602</v>
      </c>
      <c r="F534" s="242"/>
      <c r="G534" s="203"/>
      <c r="H534" s="242"/>
      <c r="I534" s="242"/>
      <c r="J534" s="242"/>
      <c r="K534" s="242"/>
      <c r="L534" s="242"/>
      <c r="M534" s="242"/>
      <c r="N534" s="242"/>
      <c r="O534" s="242"/>
      <c r="P534" s="211">
        <v>1</v>
      </c>
      <c r="Q534" s="242"/>
      <c r="R534" s="242"/>
      <c r="S534" s="242"/>
      <c r="T534" s="242"/>
      <c r="U534" s="242"/>
      <c r="V534" s="242"/>
      <c r="W534" s="242"/>
      <c r="X534" s="242"/>
      <c r="Y534" s="242"/>
      <c r="Z534" s="203"/>
      <c r="AA534" s="211">
        <v>1</v>
      </c>
      <c r="AB534" s="242"/>
      <c r="AC534" s="242"/>
      <c r="AD534" s="242"/>
      <c r="AE534" s="242"/>
      <c r="AF534" s="242"/>
      <c r="AG534" s="242"/>
      <c r="AH534" s="242"/>
      <c r="AI534" s="242"/>
      <c r="AJ534" s="242"/>
      <c r="AK534" s="211">
        <v>1</v>
      </c>
      <c r="AL534" s="242">
        <v>1</v>
      </c>
      <c r="AM534" s="242"/>
      <c r="AN534" s="242"/>
      <c r="AO534" s="242"/>
      <c r="AP534" s="242"/>
      <c r="AQ534" s="242"/>
      <c r="AR534" s="242"/>
      <c r="AS534" s="242"/>
      <c r="AT534" s="242"/>
      <c r="AU534" s="242"/>
      <c r="AV534" s="242"/>
      <c r="AW534" s="240"/>
      <c r="AX534" s="240">
        <v>1</v>
      </c>
      <c r="AY534" s="240">
        <v>1</v>
      </c>
      <c r="AZ534" s="203">
        <v>1</v>
      </c>
      <c r="BA534" s="203">
        <v>1</v>
      </c>
      <c r="BB534" s="203"/>
      <c r="BC534" s="203"/>
    </row>
    <row r="535" spans="1:55" ht="21" customHeight="1">
      <c r="A535" s="212"/>
      <c r="B535" s="237">
        <v>46082</v>
      </c>
      <c r="C535" s="211" t="s">
        <v>395</v>
      </c>
      <c r="D535" s="238" t="s">
        <v>1138</v>
      </c>
      <c r="E535" s="203" t="s">
        <v>2603</v>
      </c>
      <c r="F535" s="242"/>
      <c r="G535" s="203"/>
      <c r="H535" s="242"/>
      <c r="I535" s="242"/>
      <c r="J535" s="242"/>
      <c r="K535" s="242"/>
      <c r="L535" s="242"/>
      <c r="M535" s="242"/>
      <c r="N535" s="242"/>
      <c r="O535" s="203">
        <v>1</v>
      </c>
      <c r="P535" s="211">
        <v>1</v>
      </c>
      <c r="Q535" s="242"/>
      <c r="R535" s="242"/>
      <c r="S535" s="242"/>
      <c r="T535" s="242"/>
      <c r="U535" s="242"/>
      <c r="V535" s="242"/>
      <c r="W535" s="242"/>
      <c r="X535" s="242"/>
      <c r="Y535" s="242"/>
      <c r="Z535" s="203">
        <v>1</v>
      </c>
      <c r="AA535" s="211">
        <v>1</v>
      </c>
      <c r="AB535" s="242"/>
      <c r="AC535" s="242"/>
      <c r="AD535" s="242"/>
      <c r="AE535" s="242"/>
      <c r="AF535" s="242"/>
      <c r="AG535" s="242"/>
      <c r="AH535" s="242"/>
      <c r="AI535" s="242"/>
      <c r="AJ535" s="242"/>
      <c r="AK535" s="211">
        <v>1</v>
      </c>
      <c r="AL535" s="211">
        <v>1</v>
      </c>
      <c r="AM535" s="242"/>
      <c r="AN535" s="242"/>
      <c r="AO535" s="242"/>
      <c r="AP535" s="242"/>
      <c r="AQ535" s="242"/>
      <c r="AR535" s="242"/>
      <c r="AS535" s="242"/>
      <c r="AT535" s="242"/>
      <c r="AU535" s="242"/>
      <c r="AV535" s="242"/>
      <c r="AW535" s="240"/>
      <c r="AX535" s="240">
        <v>1</v>
      </c>
      <c r="AY535" s="240"/>
      <c r="AZ535" s="203">
        <v>1</v>
      </c>
      <c r="BA535" s="203">
        <v>1</v>
      </c>
      <c r="BB535" s="203"/>
      <c r="BC535" s="203"/>
    </row>
    <row r="536" spans="1:55" ht="21" customHeight="1">
      <c r="A536" s="212"/>
      <c r="B536" s="237">
        <v>46082</v>
      </c>
      <c r="C536" s="211" t="s">
        <v>395</v>
      </c>
      <c r="D536" s="238" t="s">
        <v>1139</v>
      </c>
      <c r="E536" s="203" t="s">
        <v>2604</v>
      </c>
      <c r="F536" s="242"/>
      <c r="G536" s="203"/>
      <c r="H536" s="242"/>
      <c r="I536" s="242"/>
      <c r="J536" s="242"/>
      <c r="K536" s="242"/>
      <c r="L536" s="242"/>
      <c r="M536" s="242"/>
      <c r="N536" s="242"/>
      <c r="O536" s="203">
        <v>1</v>
      </c>
      <c r="P536" s="211">
        <v>1</v>
      </c>
      <c r="Q536" s="242"/>
      <c r="R536" s="242"/>
      <c r="S536" s="242"/>
      <c r="T536" s="242"/>
      <c r="U536" s="242"/>
      <c r="V536" s="242"/>
      <c r="W536" s="242"/>
      <c r="X536" s="242"/>
      <c r="Y536" s="242"/>
      <c r="Z536" s="203">
        <v>1</v>
      </c>
      <c r="AA536" s="211">
        <v>1</v>
      </c>
      <c r="AB536" s="242"/>
      <c r="AC536" s="242"/>
      <c r="AD536" s="242"/>
      <c r="AE536" s="242"/>
      <c r="AF536" s="242"/>
      <c r="AG536" s="242"/>
      <c r="AH536" s="242"/>
      <c r="AI536" s="242"/>
      <c r="AJ536" s="242"/>
      <c r="AK536" s="211">
        <v>1</v>
      </c>
      <c r="AL536" s="211">
        <v>1</v>
      </c>
      <c r="AM536" s="242"/>
      <c r="AN536" s="242"/>
      <c r="AO536" s="242"/>
      <c r="AP536" s="242"/>
      <c r="AQ536" s="242"/>
      <c r="AR536" s="242"/>
      <c r="AS536" s="242"/>
      <c r="AT536" s="242"/>
      <c r="AU536" s="242"/>
      <c r="AV536" s="242"/>
      <c r="AW536" s="240"/>
      <c r="AX536" s="240">
        <v>1</v>
      </c>
      <c r="AY536" s="240">
        <v>1</v>
      </c>
      <c r="AZ536" s="203">
        <v>1</v>
      </c>
      <c r="BA536" s="203">
        <v>1</v>
      </c>
      <c r="BB536" s="203">
        <v>1</v>
      </c>
      <c r="BC536" s="203">
        <v>1</v>
      </c>
    </row>
    <row r="537" spans="1:55" ht="21" customHeight="1">
      <c r="A537" s="212"/>
      <c r="B537" s="237">
        <v>46082</v>
      </c>
      <c r="C537" s="211" t="s">
        <v>395</v>
      </c>
      <c r="D537" s="238" t="s">
        <v>1140</v>
      </c>
      <c r="E537" s="203" t="s">
        <v>2605</v>
      </c>
      <c r="F537" s="242"/>
      <c r="G537" s="203"/>
      <c r="H537" s="242"/>
      <c r="I537" s="242"/>
      <c r="J537" s="242"/>
      <c r="K537" s="242"/>
      <c r="L537" s="242"/>
      <c r="M537" s="242"/>
      <c r="N537" s="242"/>
      <c r="O537" s="242"/>
      <c r="P537" s="242"/>
      <c r="Q537" s="242"/>
      <c r="R537" s="242"/>
      <c r="S537" s="242"/>
      <c r="T537" s="242"/>
      <c r="U537" s="242"/>
      <c r="V537" s="242"/>
      <c r="W537" s="242"/>
      <c r="X537" s="242"/>
      <c r="Y537" s="242"/>
      <c r="Z537" s="203"/>
      <c r="AA537" s="203"/>
      <c r="AB537" s="242"/>
      <c r="AC537" s="242"/>
      <c r="AD537" s="242"/>
      <c r="AE537" s="242"/>
      <c r="AF537" s="242"/>
      <c r="AG537" s="242"/>
      <c r="AH537" s="242"/>
      <c r="AI537" s="242"/>
      <c r="AJ537" s="242"/>
      <c r="AK537" s="242"/>
      <c r="AL537" s="242"/>
      <c r="AM537" s="242"/>
      <c r="AN537" s="242"/>
      <c r="AO537" s="242"/>
      <c r="AP537" s="242"/>
      <c r="AQ537" s="242"/>
      <c r="AR537" s="242"/>
      <c r="AS537" s="242"/>
      <c r="AT537" s="242"/>
      <c r="AU537" s="242"/>
      <c r="AV537" s="242"/>
      <c r="AW537" s="240"/>
      <c r="AX537" s="240"/>
      <c r="AY537" s="240"/>
      <c r="AZ537" s="242"/>
      <c r="BA537" s="203"/>
      <c r="BB537" s="203"/>
      <c r="BC537" s="203"/>
    </row>
    <row r="538" spans="1:55" ht="21" hidden="1" customHeight="1">
      <c r="A538" s="212"/>
      <c r="B538" s="237">
        <v>46082</v>
      </c>
      <c r="C538" s="211" t="s">
        <v>386</v>
      </c>
      <c r="D538" s="238" t="s">
        <v>1141</v>
      </c>
      <c r="E538" s="203" t="s">
        <v>2606</v>
      </c>
      <c r="F538" s="242"/>
      <c r="G538" s="203"/>
      <c r="H538" s="242"/>
      <c r="I538" s="242"/>
      <c r="J538" s="242"/>
      <c r="K538" s="242"/>
      <c r="L538" s="242"/>
      <c r="M538" s="242"/>
      <c r="N538" s="242"/>
      <c r="O538" s="203">
        <v>1</v>
      </c>
      <c r="P538" s="211">
        <v>1</v>
      </c>
      <c r="Q538" s="242"/>
      <c r="R538" s="242"/>
      <c r="S538" s="242"/>
      <c r="T538" s="242"/>
      <c r="U538" s="242"/>
      <c r="V538" s="242"/>
      <c r="W538" s="242"/>
      <c r="X538" s="242"/>
      <c r="Y538" s="242"/>
      <c r="Z538" s="203">
        <v>1</v>
      </c>
      <c r="AA538" s="211">
        <v>1</v>
      </c>
      <c r="AB538" s="242"/>
      <c r="AC538" s="242"/>
      <c r="AD538" s="242"/>
      <c r="AE538" s="242"/>
      <c r="AF538" s="242"/>
      <c r="AG538" s="242"/>
      <c r="AH538" s="242"/>
      <c r="AI538" s="242"/>
      <c r="AJ538" s="242"/>
      <c r="AK538" s="211">
        <v>1</v>
      </c>
      <c r="AL538" s="211">
        <v>1</v>
      </c>
      <c r="AM538" s="242"/>
      <c r="AN538" s="242"/>
      <c r="AO538" s="242"/>
      <c r="AP538" s="242"/>
      <c r="AQ538" s="242"/>
      <c r="AR538" s="242"/>
      <c r="AS538" s="242"/>
      <c r="AT538" s="242"/>
      <c r="AU538" s="242"/>
      <c r="AV538" s="242"/>
      <c r="AW538" s="240"/>
      <c r="AX538" s="240">
        <v>1</v>
      </c>
      <c r="AY538" s="240">
        <v>1</v>
      </c>
      <c r="AZ538" s="203">
        <v>1</v>
      </c>
      <c r="BA538" s="203">
        <v>1</v>
      </c>
      <c r="BB538" s="203"/>
      <c r="BC538" s="203"/>
    </row>
    <row r="539" spans="1:55" ht="21" hidden="1" customHeight="1">
      <c r="A539" s="212"/>
      <c r="B539" s="237">
        <v>46082</v>
      </c>
      <c r="C539" s="211" t="s">
        <v>389</v>
      </c>
      <c r="D539" s="238" t="s">
        <v>1142</v>
      </c>
      <c r="E539" s="203" t="s">
        <v>2607</v>
      </c>
      <c r="F539" s="242"/>
      <c r="G539" s="203"/>
      <c r="H539" s="242"/>
      <c r="I539" s="242"/>
      <c r="J539" s="242"/>
      <c r="K539" s="242"/>
      <c r="L539" s="242"/>
      <c r="M539" s="242"/>
      <c r="N539" s="242"/>
      <c r="O539" s="203">
        <v>1</v>
      </c>
      <c r="P539" s="211">
        <v>1</v>
      </c>
      <c r="Q539" s="242"/>
      <c r="R539" s="242"/>
      <c r="S539" s="242"/>
      <c r="T539" s="242"/>
      <c r="U539" s="242"/>
      <c r="V539" s="242"/>
      <c r="W539" s="242"/>
      <c r="X539" s="242"/>
      <c r="Y539" s="242"/>
      <c r="Z539" s="203">
        <v>1</v>
      </c>
      <c r="AA539" s="211"/>
      <c r="AB539" s="242"/>
      <c r="AC539" s="242"/>
      <c r="AD539" s="242"/>
      <c r="AE539" s="242"/>
      <c r="AF539" s="242"/>
      <c r="AG539" s="242"/>
      <c r="AH539" s="242"/>
      <c r="AI539" s="242"/>
      <c r="AJ539" s="242"/>
      <c r="AK539" s="211">
        <v>1</v>
      </c>
      <c r="AL539" s="211"/>
      <c r="AM539" s="242"/>
      <c r="AN539" s="242"/>
      <c r="AO539" s="242"/>
      <c r="AP539" s="242"/>
      <c r="AQ539" s="242"/>
      <c r="AR539" s="242"/>
      <c r="AS539" s="242"/>
      <c r="AT539" s="242"/>
      <c r="AU539" s="242"/>
      <c r="AV539" s="242"/>
      <c r="AW539" s="240"/>
      <c r="AX539" s="240">
        <v>1</v>
      </c>
      <c r="AY539" s="240"/>
      <c r="AZ539" s="203">
        <v>1</v>
      </c>
      <c r="BA539" s="203"/>
      <c r="BB539" s="203">
        <v>1</v>
      </c>
      <c r="BC539" s="203">
        <v>1</v>
      </c>
    </row>
    <row r="540" spans="1:55" ht="21" hidden="1" customHeight="1">
      <c r="A540" s="212"/>
      <c r="B540" s="237">
        <v>46082</v>
      </c>
      <c r="C540" s="211" t="s">
        <v>392</v>
      </c>
      <c r="D540" s="238" t="s">
        <v>1143</v>
      </c>
      <c r="E540" s="203" t="s">
        <v>2608</v>
      </c>
      <c r="F540" s="242"/>
      <c r="G540" s="203"/>
      <c r="H540" s="242"/>
      <c r="I540" s="242"/>
      <c r="J540" s="242"/>
      <c r="K540" s="242"/>
      <c r="L540" s="242"/>
      <c r="M540" s="242"/>
      <c r="N540" s="242"/>
      <c r="O540" s="242"/>
      <c r="P540" s="242"/>
      <c r="Q540" s="242"/>
      <c r="R540" s="242"/>
      <c r="S540" s="242"/>
      <c r="T540" s="242"/>
      <c r="U540" s="242"/>
      <c r="V540" s="242"/>
      <c r="W540" s="242"/>
      <c r="X540" s="242"/>
      <c r="Y540" s="242"/>
      <c r="Z540" s="203"/>
      <c r="AA540" s="203"/>
      <c r="AB540" s="242"/>
      <c r="AC540" s="242"/>
      <c r="AD540" s="242"/>
      <c r="AE540" s="242"/>
      <c r="AF540" s="242"/>
      <c r="AG540" s="242"/>
      <c r="AH540" s="242"/>
      <c r="AI540" s="242"/>
      <c r="AJ540" s="242"/>
      <c r="AK540" s="242"/>
      <c r="AL540" s="242"/>
      <c r="AM540" s="242"/>
      <c r="AN540" s="242"/>
      <c r="AO540" s="242"/>
      <c r="AP540" s="242"/>
      <c r="AQ540" s="242"/>
      <c r="AR540" s="242"/>
      <c r="AS540" s="242"/>
      <c r="AT540" s="242"/>
      <c r="AU540" s="242"/>
      <c r="AV540" s="242"/>
      <c r="AW540" s="240"/>
      <c r="AX540" s="240"/>
      <c r="AY540" s="240"/>
      <c r="AZ540" s="203">
        <v>1</v>
      </c>
      <c r="BA540" s="203"/>
      <c r="BB540" s="203"/>
      <c r="BC540" s="203"/>
    </row>
    <row r="541" spans="1:55" ht="21" hidden="1" customHeight="1">
      <c r="A541" s="212"/>
      <c r="B541" s="237">
        <v>46082</v>
      </c>
      <c r="C541" s="211" t="s">
        <v>386</v>
      </c>
      <c r="D541" s="238" t="s">
        <v>1144</v>
      </c>
      <c r="E541" s="203" t="s">
        <v>2609</v>
      </c>
      <c r="F541" s="242"/>
      <c r="G541" s="203"/>
      <c r="H541" s="242"/>
      <c r="I541" s="242"/>
      <c r="J541" s="242"/>
      <c r="K541" s="242"/>
      <c r="L541" s="242"/>
      <c r="M541" s="242"/>
      <c r="N541" s="242"/>
      <c r="O541" s="203">
        <v>1</v>
      </c>
      <c r="P541" s="211">
        <v>1</v>
      </c>
      <c r="Q541" s="242"/>
      <c r="R541" s="242"/>
      <c r="S541" s="242"/>
      <c r="T541" s="242"/>
      <c r="U541" s="242"/>
      <c r="V541" s="242"/>
      <c r="W541" s="242"/>
      <c r="X541" s="242"/>
      <c r="Y541" s="242"/>
      <c r="Z541" s="203">
        <v>1</v>
      </c>
      <c r="AA541" s="211">
        <v>1</v>
      </c>
      <c r="AB541" s="242"/>
      <c r="AC541" s="242"/>
      <c r="AD541" s="242"/>
      <c r="AE541" s="242"/>
      <c r="AF541" s="242"/>
      <c r="AG541" s="242"/>
      <c r="AH541" s="242"/>
      <c r="AI541" s="242"/>
      <c r="AJ541" s="242"/>
      <c r="AK541" s="211">
        <v>1</v>
      </c>
      <c r="AL541" s="211">
        <v>1</v>
      </c>
      <c r="AM541" s="242"/>
      <c r="AN541" s="242"/>
      <c r="AO541" s="242"/>
      <c r="AP541" s="242"/>
      <c r="AQ541" s="242"/>
      <c r="AR541" s="242"/>
      <c r="AS541" s="242"/>
      <c r="AT541" s="242"/>
      <c r="AU541" s="242"/>
      <c r="AV541" s="242"/>
      <c r="AW541" s="240"/>
      <c r="AX541" s="240">
        <v>1</v>
      </c>
      <c r="AY541" s="240">
        <v>1</v>
      </c>
      <c r="AZ541" s="242"/>
      <c r="BA541" s="203"/>
      <c r="BB541" s="203">
        <v>1</v>
      </c>
      <c r="BC541" s="203">
        <v>1</v>
      </c>
    </row>
    <row r="542" spans="1:55" ht="21" hidden="1" customHeight="1">
      <c r="A542" s="212"/>
      <c r="B542" s="237">
        <v>46082</v>
      </c>
      <c r="C542" s="211" t="s">
        <v>386</v>
      </c>
      <c r="D542" s="238" t="s">
        <v>1145</v>
      </c>
      <c r="E542" s="203" t="s">
        <v>2610</v>
      </c>
      <c r="F542" s="242"/>
      <c r="G542" s="203"/>
      <c r="H542" s="242"/>
      <c r="I542" s="242"/>
      <c r="J542" s="242"/>
      <c r="K542" s="242"/>
      <c r="L542" s="242"/>
      <c r="M542" s="242"/>
      <c r="N542" s="242"/>
      <c r="O542" s="203">
        <v>1</v>
      </c>
      <c r="P542" s="211">
        <v>1</v>
      </c>
      <c r="Q542" s="242"/>
      <c r="R542" s="242"/>
      <c r="S542" s="242"/>
      <c r="T542" s="242"/>
      <c r="U542" s="242"/>
      <c r="V542" s="242"/>
      <c r="W542" s="242"/>
      <c r="X542" s="242"/>
      <c r="Y542" s="242"/>
      <c r="Z542" s="203">
        <v>1</v>
      </c>
      <c r="AA542" s="211">
        <v>1</v>
      </c>
      <c r="AB542" s="242"/>
      <c r="AC542" s="242"/>
      <c r="AD542" s="242"/>
      <c r="AE542" s="242"/>
      <c r="AF542" s="242"/>
      <c r="AG542" s="242"/>
      <c r="AH542" s="242"/>
      <c r="AI542" s="242"/>
      <c r="AJ542" s="242"/>
      <c r="AK542" s="211">
        <v>1</v>
      </c>
      <c r="AL542" s="211">
        <v>1</v>
      </c>
      <c r="AM542" s="242"/>
      <c r="AN542" s="242"/>
      <c r="AO542" s="242"/>
      <c r="AP542" s="242"/>
      <c r="AQ542" s="242"/>
      <c r="AR542" s="242"/>
      <c r="AS542" s="242"/>
      <c r="AT542" s="242"/>
      <c r="AU542" s="242"/>
      <c r="AV542" s="242"/>
      <c r="AW542" s="240"/>
      <c r="AX542" s="240">
        <v>1</v>
      </c>
      <c r="AY542" s="240">
        <v>1</v>
      </c>
      <c r="AZ542" s="203">
        <v>1</v>
      </c>
      <c r="BA542" s="203">
        <v>1</v>
      </c>
      <c r="BB542" s="203">
        <v>1</v>
      </c>
      <c r="BC542" s="203">
        <v>1</v>
      </c>
    </row>
    <row r="543" spans="1:55" ht="21" hidden="1" customHeight="1">
      <c r="A543" s="212"/>
      <c r="B543" s="237">
        <v>46082</v>
      </c>
      <c r="C543" s="211" t="s">
        <v>387</v>
      </c>
      <c r="D543" s="238" t="s">
        <v>1146</v>
      </c>
      <c r="E543" s="203" t="s">
        <v>2611</v>
      </c>
      <c r="F543" s="242"/>
      <c r="G543" s="203"/>
      <c r="H543" s="242"/>
      <c r="I543" s="242"/>
      <c r="J543" s="242"/>
      <c r="K543" s="242"/>
      <c r="L543" s="242"/>
      <c r="M543" s="242"/>
      <c r="N543" s="242"/>
      <c r="O543" s="242"/>
      <c r="P543" s="242"/>
      <c r="Q543" s="242"/>
      <c r="R543" s="242"/>
      <c r="S543" s="242"/>
      <c r="T543" s="242"/>
      <c r="U543" s="242"/>
      <c r="V543" s="242"/>
      <c r="W543" s="242"/>
      <c r="X543" s="242"/>
      <c r="Y543" s="242"/>
      <c r="Z543" s="203"/>
      <c r="AA543" s="203"/>
      <c r="AB543" s="242"/>
      <c r="AC543" s="242"/>
      <c r="AD543" s="242"/>
      <c r="AE543" s="242"/>
      <c r="AF543" s="242"/>
      <c r="AG543" s="242"/>
      <c r="AH543" s="242"/>
      <c r="AI543" s="242"/>
      <c r="AJ543" s="242"/>
      <c r="AK543" s="242"/>
      <c r="AL543" s="242"/>
      <c r="AM543" s="242"/>
      <c r="AN543" s="242"/>
      <c r="AO543" s="242"/>
      <c r="AP543" s="242"/>
      <c r="AQ543" s="242"/>
      <c r="AR543" s="242"/>
      <c r="AS543" s="242"/>
      <c r="AT543" s="242"/>
      <c r="AU543" s="242"/>
      <c r="AV543" s="242"/>
      <c r="AW543" s="240"/>
      <c r="AX543" s="240"/>
      <c r="AY543" s="240">
        <v>1</v>
      </c>
      <c r="AZ543" s="242"/>
      <c r="BA543" s="203"/>
      <c r="BB543" s="203"/>
      <c r="BC543" s="203"/>
    </row>
    <row r="544" spans="1:55" ht="21" customHeight="1">
      <c r="A544" s="212"/>
      <c r="B544" s="237">
        <v>46082</v>
      </c>
      <c r="C544" s="211" t="s">
        <v>395</v>
      </c>
      <c r="D544" s="238" t="s">
        <v>1147</v>
      </c>
      <c r="E544" s="203" t="s">
        <v>2612</v>
      </c>
      <c r="F544" s="242"/>
      <c r="G544" s="203"/>
      <c r="H544" s="242"/>
      <c r="I544" s="242"/>
      <c r="J544" s="242"/>
      <c r="K544" s="242"/>
      <c r="L544" s="242"/>
      <c r="M544" s="242"/>
      <c r="N544" s="242"/>
      <c r="O544" s="242"/>
      <c r="P544" s="211">
        <v>1</v>
      </c>
      <c r="Q544" s="242"/>
      <c r="R544" s="242"/>
      <c r="S544" s="242"/>
      <c r="T544" s="242"/>
      <c r="U544" s="242"/>
      <c r="V544" s="242"/>
      <c r="W544" s="242"/>
      <c r="X544" s="242"/>
      <c r="Y544" s="242"/>
      <c r="Z544" s="203"/>
      <c r="AA544" s="203"/>
      <c r="AB544" s="242"/>
      <c r="AC544" s="242"/>
      <c r="AD544" s="242"/>
      <c r="AE544" s="242"/>
      <c r="AF544" s="242"/>
      <c r="AG544" s="242"/>
      <c r="AH544" s="242"/>
      <c r="AI544" s="242"/>
      <c r="AJ544" s="242"/>
      <c r="AK544" s="242">
        <v>1</v>
      </c>
      <c r="AL544" s="242">
        <v>1</v>
      </c>
      <c r="AM544" s="242"/>
      <c r="AN544" s="242"/>
      <c r="AO544" s="242"/>
      <c r="AP544" s="242"/>
      <c r="AQ544" s="242"/>
      <c r="AR544" s="242"/>
      <c r="AS544" s="242"/>
      <c r="AT544" s="242"/>
      <c r="AU544" s="242"/>
      <c r="AV544" s="242"/>
      <c r="AW544" s="240"/>
      <c r="AX544" s="240"/>
      <c r="AY544" s="240">
        <v>1</v>
      </c>
      <c r="AZ544" s="242"/>
      <c r="BA544" s="203"/>
      <c r="BB544" s="203"/>
      <c r="BC544" s="203"/>
    </row>
    <row r="545" spans="1:55" ht="21" customHeight="1">
      <c r="A545" s="212"/>
      <c r="B545" s="237">
        <v>46082</v>
      </c>
      <c r="C545" s="211" t="s">
        <v>395</v>
      </c>
      <c r="D545" s="238" t="s">
        <v>1148</v>
      </c>
      <c r="E545" s="203" t="s">
        <v>2613</v>
      </c>
      <c r="F545" s="242"/>
      <c r="G545" s="203"/>
      <c r="H545" s="242"/>
      <c r="I545" s="242"/>
      <c r="J545" s="242"/>
      <c r="K545" s="242"/>
      <c r="L545" s="242"/>
      <c r="M545" s="242"/>
      <c r="N545" s="242"/>
      <c r="O545" s="203">
        <v>1</v>
      </c>
      <c r="P545" s="211">
        <v>1</v>
      </c>
      <c r="Q545" s="242"/>
      <c r="R545" s="242"/>
      <c r="S545" s="242"/>
      <c r="T545" s="242"/>
      <c r="U545" s="242"/>
      <c r="V545" s="242"/>
      <c r="W545" s="242"/>
      <c r="X545" s="242"/>
      <c r="Y545" s="242"/>
      <c r="Z545" s="203">
        <v>1</v>
      </c>
      <c r="AA545" s="211">
        <v>1</v>
      </c>
      <c r="AB545" s="242"/>
      <c r="AC545" s="242"/>
      <c r="AD545" s="242"/>
      <c r="AE545" s="242"/>
      <c r="AF545" s="242"/>
      <c r="AG545" s="242"/>
      <c r="AH545" s="242"/>
      <c r="AI545" s="242"/>
      <c r="AJ545" s="242"/>
      <c r="AK545" s="211">
        <v>1</v>
      </c>
      <c r="AL545" s="211">
        <v>1</v>
      </c>
      <c r="AM545" s="242"/>
      <c r="AN545" s="242"/>
      <c r="AO545" s="242"/>
      <c r="AP545" s="242"/>
      <c r="AQ545" s="242"/>
      <c r="AR545" s="242"/>
      <c r="AS545" s="242"/>
      <c r="AT545" s="242"/>
      <c r="AU545" s="242"/>
      <c r="AV545" s="242"/>
      <c r="AW545" s="240"/>
      <c r="AX545" s="240">
        <v>1</v>
      </c>
      <c r="AY545" s="240"/>
      <c r="AZ545" s="203">
        <v>1</v>
      </c>
      <c r="BA545" s="203">
        <v>1</v>
      </c>
      <c r="BB545" s="203"/>
      <c r="BC545" s="203"/>
    </row>
    <row r="546" spans="1:55" ht="21" customHeight="1">
      <c r="A546" s="212"/>
      <c r="B546" s="237">
        <v>46082</v>
      </c>
      <c r="C546" s="211" t="s">
        <v>395</v>
      </c>
      <c r="D546" s="238" t="s">
        <v>1149</v>
      </c>
      <c r="E546" s="203" t="s">
        <v>2614</v>
      </c>
      <c r="F546" s="242"/>
      <c r="G546" s="203"/>
      <c r="H546" s="242"/>
      <c r="I546" s="242"/>
      <c r="J546" s="242"/>
      <c r="K546" s="242"/>
      <c r="L546" s="242"/>
      <c r="M546" s="242"/>
      <c r="N546" s="242"/>
      <c r="O546" s="242"/>
      <c r="P546" s="211">
        <v>1</v>
      </c>
      <c r="Q546" s="242"/>
      <c r="R546" s="242"/>
      <c r="S546" s="242"/>
      <c r="T546" s="242"/>
      <c r="U546" s="242"/>
      <c r="V546" s="242"/>
      <c r="W546" s="242"/>
      <c r="X546" s="242"/>
      <c r="Y546" s="242"/>
      <c r="Z546" s="203"/>
      <c r="AA546" s="203">
        <v>1</v>
      </c>
      <c r="AB546" s="242"/>
      <c r="AC546" s="242"/>
      <c r="AD546" s="242"/>
      <c r="AE546" s="242"/>
      <c r="AF546" s="242"/>
      <c r="AG546" s="242"/>
      <c r="AH546" s="242"/>
      <c r="AI546" s="242"/>
      <c r="AJ546" s="242"/>
      <c r="AK546" s="211">
        <v>1</v>
      </c>
      <c r="AL546" s="211">
        <v>1</v>
      </c>
      <c r="AM546" s="242"/>
      <c r="AN546" s="242"/>
      <c r="AO546" s="242"/>
      <c r="AP546" s="242"/>
      <c r="AQ546" s="242"/>
      <c r="AR546" s="242"/>
      <c r="AS546" s="242"/>
      <c r="AT546" s="242"/>
      <c r="AU546" s="242"/>
      <c r="AV546" s="242"/>
      <c r="AW546" s="240"/>
      <c r="AX546" s="240">
        <v>1</v>
      </c>
      <c r="AY546" s="240">
        <v>1</v>
      </c>
      <c r="AZ546" s="242"/>
      <c r="BA546" s="203"/>
      <c r="BB546" s="203"/>
      <c r="BC546" s="203"/>
    </row>
    <row r="547" spans="1:55" ht="21" customHeight="1">
      <c r="A547" s="212"/>
      <c r="B547" s="237">
        <v>46082</v>
      </c>
      <c r="C547" s="211" t="s">
        <v>395</v>
      </c>
      <c r="D547" s="238" t="s">
        <v>1150</v>
      </c>
      <c r="E547" s="203" t="s">
        <v>2615</v>
      </c>
      <c r="F547" s="242"/>
      <c r="G547" s="203"/>
      <c r="H547" s="242"/>
      <c r="I547" s="242"/>
      <c r="J547" s="242"/>
      <c r="K547" s="242"/>
      <c r="L547" s="242"/>
      <c r="M547" s="242"/>
      <c r="N547" s="242"/>
      <c r="O547" s="203">
        <v>1</v>
      </c>
      <c r="P547" s="211">
        <v>1</v>
      </c>
      <c r="Q547" s="242"/>
      <c r="R547" s="242"/>
      <c r="S547" s="242"/>
      <c r="T547" s="242"/>
      <c r="U547" s="242"/>
      <c r="V547" s="242"/>
      <c r="W547" s="242"/>
      <c r="X547" s="242"/>
      <c r="Y547" s="242"/>
      <c r="Z547" s="203"/>
      <c r="AA547" s="203"/>
      <c r="AB547" s="242"/>
      <c r="AC547" s="242"/>
      <c r="AD547" s="242"/>
      <c r="AE547" s="242"/>
      <c r="AF547" s="242"/>
      <c r="AG547" s="242"/>
      <c r="AH547" s="242"/>
      <c r="AI547" s="242"/>
      <c r="AJ547" s="242"/>
      <c r="AK547" s="211">
        <v>1</v>
      </c>
      <c r="AL547" s="211">
        <v>1</v>
      </c>
      <c r="AM547" s="242"/>
      <c r="AN547" s="242"/>
      <c r="AO547" s="242"/>
      <c r="AP547" s="242"/>
      <c r="AQ547" s="242"/>
      <c r="AR547" s="242"/>
      <c r="AS547" s="242"/>
      <c r="AT547" s="242"/>
      <c r="AU547" s="242"/>
      <c r="AV547" s="242"/>
      <c r="AW547" s="240"/>
      <c r="AX547" s="240">
        <v>1</v>
      </c>
      <c r="AY547" s="240">
        <v>1</v>
      </c>
      <c r="AZ547" s="242"/>
      <c r="BA547" s="203"/>
      <c r="BB547" s="203">
        <v>1</v>
      </c>
      <c r="BC547" s="203">
        <v>1</v>
      </c>
    </row>
    <row r="548" spans="1:55" ht="21" customHeight="1">
      <c r="A548" s="212"/>
      <c r="B548" s="237">
        <v>46082</v>
      </c>
      <c r="C548" s="211" t="s">
        <v>395</v>
      </c>
      <c r="D548" s="238" t="s">
        <v>1151</v>
      </c>
      <c r="E548" s="203" t="s">
        <v>2616</v>
      </c>
      <c r="F548" s="242"/>
      <c r="G548" s="203"/>
      <c r="H548" s="242"/>
      <c r="I548" s="242"/>
      <c r="J548" s="242"/>
      <c r="K548" s="242"/>
      <c r="L548" s="242"/>
      <c r="M548" s="242"/>
      <c r="N548" s="242"/>
      <c r="O548" s="242"/>
      <c r="P548" s="211">
        <v>1</v>
      </c>
      <c r="Q548" s="242"/>
      <c r="R548" s="242"/>
      <c r="S548" s="242"/>
      <c r="T548" s="242"/>
      <c r="U548" s="242"/>
      <c r="V548" s="242"/>
      <c r="W548" s="242"/>
      <c r="X548" s="242"/>
      <c r="Y548" s="242"/>
      <c r="Z548" s="203"/>
      <c r="AA548" s="203">
        <v>1</v>
      </c>
      <c r="AB548" s="242"/>
      <c r="AC548" s="242"/>
      <c r="AD548" s="242"/>
      <c r="AE548" s="242"/>
      <c r="AF548" s="242"/>
      <c r="AG548" s="242"/>
      <c r="AH548" s="242"/>
      <c r="AI548" s="242"/>
      <c r="AJ548" s="242"/>
      <c r="AK548" s="211">
        <v>1</v>
      </c>
      <c r="AL548" s="211">
        <v>1</v>
      </c>
      <c r="AM548" s="242"/>
      <c r="AN548" s="242"/>
      <c r="AO548" s="242"/>
      <c r="AP548" s="242"/>
      <c r="AQ548" s="242"/>
      <c r="AR548" s="242"/>
      <c r="AS548" s="242"/>
      <c r="AT548" s="242"/>
      <c r="AU548" s="242"/>
      <c r="AV548" s="242"/>
      <c r="AW548" s="240"/>
      <c r="AX548" s="240"/>
      <c r="AY548" s="240"/>
      <c r="AZ548" s="242"/>
      <c r="BA548" s="203">
        <v>1</v>
      </c>
      <c r="BB548" s="203"/>
      <c r="BC548" s="203"/>
    </row>
    <row r="549" spans="1:55" ht="21" hidden="1" customHeight="1">
      <c r="A549" s="212"/>
      <c r="B549" s="237">
        <v>46082</v>
      </c>
      <c r="C549" s="211" t="s">
        <v>386</v>
      </c>
      <c r="D549" s="238" t="s">
        <v>1152</v>
      </c>
      <c r="E549" s="203" t="s">
        <v>2617</v>
      </c>
      <c r="F549" s="242"/>
      <c r="G549" s="203"/>
      <c r="H549" s="242"/>
      <c r="I549" s="242"/>
      <c r="J549" s="242"/>
      <c r="K549" s="242"/>
      <c r="L549" s="242"/>
      <c r="M549" s="242"/>
      <c r="N549" s="242"/>
      <c r="O549" s="203">
        <v>1</v>
      </c>
      <c r="P549" s="211">
        <v>1</v>
      </c>
      <c r="Q549" s="242"/>
      <c r="R549" s="242"/>
      <c r="S549" s="242"/>
      <c r="T549" s="242"/>
      <c r="U549" s="242"/>
      <c r="V549" s="242"/>
      <c r="W549" s="242"/>
      <c r="X549" s="242"/>
      <c r="Y549" s="242"/>
      <c r="Z549" s="203">
        <v>1</v>
      </c>
      <c r="AA549" s="211">
        <v>1</v>
      </c>
      <c r="AB549" s="242"/>
      <c r="AC549" s="242"/>
      <c r="AD549" s="242"/>
      <c r="AE549" s="242"/>
      <c r="AF549" s="242"/>
      <c r="AG549" s="242"/>
      <c r="AH549" s="242"/>
      <c r="AI549" s="242"/>
      <c r="AJ549" s="242"/>
      <c r="AK549" s="211">
        <v>1</v>
      </c>
      <c r="AL549" s="211">
        <v>1</v>
      </c>
      <c r="AM549" s="242"/>
      <c r="AN549" s="242"/>
      <c r="AO549" s="242"/>
      <c r="AP549" s="242"/>
      <c r="AQ549" s="242"/>
      <c r="AR549" s="242"/>
      <c r="AS549" s="242"/>
      <c r="AT549" s="242"/>
      <c r="AU549" s="242"/>
      <c r="AV549" s="242"/>
      <c r="AW549" s="240"/>
      <c r="AX549" s="240">
        <v>1</v>
      </c>
      <c r="AY549" s="240">
        <v>1</v>
      </c>
      <c r="AZ549" s="203">
        <v>1</v>
      </c>
      <c r="BA549" s="203">
        <v>1</v>
      </c>
      <c r="BB549" s="203">
        <v>1</v>
      </c>
      <c r="BC549" s="203">
        <v>1</v>
      </c>
    </row>
    <row r="550" spans="1:55" ht="21" hidden="1" customHeight="1">
      <c r="A550" s="212"/>
      <c r="B550" s="237">
        <v>46082</v>
      </c>
      <c r="C550" s="211" t="s">
        <v>386</v>
      </c>
      <c r="D550" s="238" t="s">
        <v>1153</v>
      </c>
      <c r="E550" s="203" t="s">
        <v>2618</v>
      </c>
      <c r="F550" s="242"/>
      <c r="G550" s="203"/>
      <c r="H550" s="242"/>
      <c r="I550" s="242"/>
      <c r="J550" s="242"/>
      <c r="K550" s="242"/>
      <c r="L550" s="242"/>
      <c r="M550" s="242"/>
      <c r="N550" s="242"/>
      <c r="O550" s="203">
        <v>1</v>
      </c>
      <c r="P550" s="211">
        <v>1</v>
      </c>
      <c r="Q550" s="242"/>
      <c r="R550" s="242"/>
      <c r="S550" s="242"/>
      <c r="T550" s="242"/>
      <c r="U550" s="242"/>
      <c r="V550" s="242"/>
      <c r="W550" s="242"/>
      <c r="X550" s="242"/>
      <c r="Y550" s="242"/>
      <c r="Z550" s="203"/>
      <c r="AA550" s="203"/>
      <c r="AB550" s="242"/>
      <c r="AC550" s="242"/>
      <c r="AD550" s="242"/>
      <c r="AE550" s="242"/>
      <c r="AF550" s="242"/>
      <c r="AG550" s="242"/>
      <c r="AH550" s="242"/>
      <c r="AI550" s="242"/>
      <c r="AJ550" s="242"/>
      <c r="AK550" s="211">
        <v>1</v>
      </c>
      <c r="AL550" s="211">
        <v>1</v>
      </c>
      <c r="AM550" s="242"/>
      <c r="AN550" s="242"/>
      <c r="AO550" s="242"/>
      <c r="AP550" s="242"/>
      <c r="AQ550" s="242"/>
      <c r="AR550" s="242"/>
      <c r="AS550" s="242"/>
      <c r="AT550" s="242"/>
      <c r="AU550" s="242"/>
      <c r="AV550" s="242"/>
      <c r="AW550" s="240"/>
      <c r="AX550" s="240">
        <v>1</v>
      </c>
      <c r="AY550" s="240">
        <v>1</v>
      </c>
      <c r="AZ550" s="242"/>
      <c r="BA550" s="203">
        <v>1</v>
      </c>
      <c r="BB550" s="203">
        <v>1</v>
      </c>
      <c r="BC550" s="203">
        <v>1</v>
      </c>
    </row>
    <row r="551" spans="1:55" ht="21" hidden="1" customHeight="1">
      <c r="A551" s="212"/>
      <c r="B551" s="237">
        <v>46082</v>
      </c>
      <c r="C551" s="211" t="s">
        <v>384</v>
      </c>
      <c r="D551" s="238" t="s">
        <v>1154</v>
      </c>
      <c r="E551" s="203" t="s">
        <v>2619</v>
      </c>
      <c r="F551" s="242"/>
      <c r="G551" s="203"/>
      <c r="H551" s="242"/>
      <c r="I551" s="242"/>
      <c r="J551" s="242"/>
      <c r="K551" s="242"/>
      <c r="L551" s="242"/>
      <c r="M551" s="242"/>
      <c r="N551" s="242"/>
      <c r="O551" s="203">
        <v>1</v>
      </c>
      <c r="P551" s="211">
        <v>1</v>
      </c>
      <c r="Q551" s="242"/>
      <c r="R551" s="242"/>
      <c r="S551" s="242"/>
      <c r="T551" s="242"/>
      <c r="U551" s="242"/>
      <c r="V551" s="242"/>
      <c r="W551" s="242"/>
      <c r="X551" s="242"/>
      <c r="Y551" s="242"/>
      <c r="Z551" s="203">
        <v>1</v>
      </c>
      <c r="AA551" s="211">
        <v>1</v>
      </c>
      <c r="AB551" s="242"/>
      <c r="AC551" s="242"/>
      <c r="AD551" s="242"/>
      <c r="AE551" s="242"/>
      <c r="AF551" s="242"/>
      <c r="AG551" s="242"/>
      <c r="AH551" s="242"/>
      <c r="AI551" s="242"/>
      <c r="AJ551" s="242"/>
      <c r="AK551" s="211">
        <v>1</v>
      </c>
      <c r="AL551" s="242">
        <v>1</v>
      </c>
      <c r="AM551" s="242"/>
      <c r="AN551" s="242"/>
      <c r="AO551" s="242"/>
      <c r="AP551" s="242"/>
      <c r="AQ551" s="242"/>
      <c r="AR551" s="242"/>
      <c r="AS551" s="242"/>
      <c r="AT551" s="242"/>
      <c r="AU551" s="242"/>
      <c r="AV551" s="242"/>
      <c r="AW551" s="242"/>
      <c r="AX551" s="242"/>
      <c r="AY551" s="203"/>
      <c r="AZ551" s="203">
        <v>1</v>
      </c>
      <c r="BA551" s="203">
        <v>1</v>
      </c>
      <c r="BB551" s="242"/>
      <c r="BC551" s="242"/>
    </row>
    <row r="552" spans="1:55" ht="21" hidden="1" customHeight="1">
      <c r="A552" s="212"/>
      <c r="B552" s="237">
        <v>46082</v>
      </c>
      <c r="C552" s="211" t="s">
        <v>392</v>
      </c>
      <c r="D552" s="238" t="s">
        <v>1155</v>
      </c>
      <c r="E552" s="203" t="s">
        <v>2620</v>
      </c>
      <c r="F552" s="242"/>
      <c r="G552" s="203"/>
      <c r="H552" s="242"/>
      <c r="I552" s="242"/>
      <c r="J552" s="242"/>
      <c r="K552" s="242"/>
      <c r="L552" s="242"/>
      <c r="M552" s="242"/>
      <c r="N552" s="242"/>
      <c r="O552" s="242"/>
      <c r="P552" s="242"/>
      <c r="Q552" s="242"/>
      <c r="R552" s="242"/>
      <c r="S552" s="242"/>
      <c r="T552" s="242"/>
      <c r="U552" s="242"/>
      <c r="V552" s="242"/>
      <c r="W552" s="242"/>
      <c r="X552" s="242"/>
      <c r="Y552" s="242"/>
      <c r="Z552" s="203"/>
      <c r="AA552" s="203"/>
      <c r="AB552" s="242"/>
      <c r="AC552" s="242"/>
      <c r="AD552" s="242"/>
      <c r="AE552" s="242"/>
      <c r="AF552" s="242"/>
      <c r="AG552" s="242"/>
      <c r="AH552" s="242"/>
      <c r="AI552" s="242"/>
      <c r="AJ552" s="242"/>
      <c r="AK552" s="242"/>
      <c r="AL552" s="242"/>
      <c r="AM552" s="242"/>
      <c r="AN552" s="242"/>
      <c r="AO552" s="242"/>
      <c r="AP552" s="242"/>
      <c r="AQ552" s="242"/>
      <c r="AR552" s="242"/>
      <c r="AS552" s="242"/>
      <c r="AT552" s="242"/>
      <c r="AU552" s="242"/>
      <c r="AV552" s="242"/>
      <c r="AW552" s="242"/>
      <c r="AX552" s="242"/>
      <c r="AY552" s="242"/>
      <c r="AZ552" s="242"/>
      <c r="BA552" s="203"/>
      <c r="BB552" s="242"/>
      <c r="BC552" s="242"/>
    </row>
    <row r="553" spans="1:55" ht="21" customHeight="1">
      <c r="A553" s="212"/>
      <c r="B553" s="237">
        <v>46082</v>
      </c>
      <c r="C553" s="211" t="s">
        <v>395</v>
      </c>
      <c r="D553" s="238" t="s">
        <v>1156</v>
      </c>
      <c r="E553" s="203" t="s">
        <v>2621</v>
      </c>
      <c r="F553" s="242"/>
      <c r="G553" s="203"/>
      <c r="H553" s="242"/>
      <c r="I553" s="242"/>
      <c r="J553" s="242"/>
      <c r="K553" s="242"/>
      <c r="L553" s="242"/>
      <c r="M553" s="242"/>
      <c r="N553" s="242"/>
      <c r="O553" s="242"/>
      <c r="P553" s="242"/>
      <c r="Q553" s="242"/>
      <c r="R553" s="242"/>
      <c r="S553" s="242"/>
      <c r="T553" s="242"/>
      <c r="U553" s="242"/>
      <c r="V553" s="242"/>
      <c r="W553" s="242"/>
      <c r="X553" s="242"/>
      <c r="Y553" s="242"/>
      <c r="Z553" s="203"/>
      <c r="AA553" s="203"/>
      <c r="AB553" s="242"/>
      <c r="AC553" s="242"/>
      <c r="AD553" s="242"/>
      <c r="AE553" s="242"/>
      <c r="AF553" s="242"/>
      <c r="AG553" s="242"/>
      <c r="AH553" s="242"/>
      <c r="AI553" s="242"/>
      <c r="AJ553" s="242"/>
      <c r="AK553" s="242"/>
      <c r="AL553" s="242"/>
      <c r="AM553" s="242"/>
      <c r="AN553" s="242"/>
      <c r="AO553" s="242"/>
      <c r="AP553" s="242"/>
      <c r="AQ553" s="242"/>
      <c r="AR553" s="242"/>
      <c r="AS553" s="242"/>
      <c r="AT553" s="242"/>
      <c r="AU553" s="242"/>
      <c r="AV553" s="242"/>
      <c r="AW553" s="242"/>
      <c r="AX553" s="242"/>
      <c r="AY553" s="242"/>
      <c r="AZ553" s="242"/>
      <c r="BA553" s="203"/>
      <c r="BB553" s="242"/>
      <c r="BC553" s="242"/>
    </row>
    <row r="554" spans="1:55" ht="21" customHeight="1">
      <c r="A554" s="212"/>
      <c r="B554" s="237">
        <v>46082</v>
      </c>
      <c r="C554" s="211" t="s">
        <v>395</v>
      </c>
      <c r="D554" s="238" t="s">
        <v>1157</v>
      </c>
      <c r="E554" s="203" t="s">
        <v>2622</v>
      </c>
      <c r="F554" s="242"/>
      <c r="G554" s="203"/>
      <c r="H554" s="242"/>
      <c r="I554" s="242"/>
      <c r="J554" s="242"/>
      <c r="K554" s="242"/>
      <c r="L554" s="242"/>
      <c r="M554" s="242"/>
      <c r="N554" s="242"/>
      <c r="O554" s="242"/>
      <c r="P554" s="242"/>
      <c r="Q554" s="242"/>
      <c r="R554" s="242"/>
      <c r="S554" s="242"/>
      <c r="T554" s="242"/>
      <c r="U554" s="242"/>
      <c r="V554" s="242"/>
      <c r="W554" s="242"/>
      <c r="X554" s="242"/>
      <c r="Y554" s="242"/>
      <c r="Z554" s="203"/>
      <c r="AA554" s="203"/>
      <c r="AB554" s="242"/>
      <c r="AC554" s="242"/>
      <c r="AD554" s="242"/>
      <c r="AE554" s="242"/>
      <c r="AF554" s="242"/>
      <c r="AG554" s="242"/>
      <c r="AH554" s="242"/>
      <c r="AI554" s="242"/>
      <c r="AJ554" s="242"/>
      <c r="AK554" s="242"/>
      <c r="AL554" s="242"/>
      <c r="AM554" s="242"/>
      <c r="AN554" s="242"/>
      <c r="AO554" s="242"/>
      <c r="AP554" s="242"/>
      <c r="AQ554" s="242"/>
      <c r="AR554" s="242"/>
      <c r="AS554" s="242"/>
      <c r="AT554" s="242"/>
      <c r="AU554" s="242"/>
      <c r="AV554" s="242"/>
      <c r="AW554" s="242"/>
      <c r="AX554" s="242"/>
      <c r="AY554" s="242"/>
      <c r="AZ554" s="242"/>
      <c r="BA554" s="203"/>
      <c r="BB554" s="242"/>
      <c r="BC554" s="242"/>
    </row>
    <row r="555" spans="1:55" ht="21" hidden="1" customHeight="1">
      <c r="A555" s="212"/>
      <c r="B555" s="237">
        <v>46082</v>
      </c>
      <c r="C555" s="211" t="s">
        <v>392</v>
      </c>
      <c r="D555" s="238" t="s">
        <v>1158</v>
      </c>
      <c r="E555" s="203" t="s">
        <v>2623</v>
      </c>
      <c r="F555" s="242"/>
      <c r="G555" s="203"/>
      <c r="H555" s="242"/>
      <c r="I555" s="242"/>
      <c r="J555" s="242"/>
      <c r="K555" s="242"/>
      <c r="L555" s="242"/>
      <c r="M555" s="242"/>
      <c r="N555" s="242"/>
      <c r="O555" s="242"/>
      <c r="P555" s="242"/>
      <c r="Q555" s="242"/>
      <c r="R555" s="242"/>
      <c r="S555" s="242"/>
      <c r="T555" s="242"/>
      <c r="U555" s="242"/>
      <c r="V555" s="242"/>
      <c r="W555" s="242"/>
      <c r="X555" s="242"/>
      <c r="Y555" s="242"/>
      <c r="Z555" s="203"/>
      <c r="AA555" s="211">
        <v>1</v>
      </c>
      <c r="AB555" s="242"/>
      <c r="AC555" s="242"/>
      <c r="AD555" s="242"/>
      <c r="AE555" s="242"/>
      <c r="AF555" s="242"/>
      <c r="AG555" s="242"/>
      <c r="AH555" s="242"/>
      <c r="AI555" s="242"/>
      <c r="AJ555" s="242"/>
      <c r="AK555" s="242"/>
      <c r="AL555" s="242"/>
      <c r="AM555" s="242"/>
      <c r="AN555" s="242"/>
      <c r="AO555" s="242"/>
      <c r="AP555" s="242"/>
      <c r="AQ555" s="242"/>
      <c r="AR555" s="242"/>
      <c r="AS555" s="242"/>
      <c r="AT555" s="242"/>
      <c r="AU555" s="242"/>
      <c r="AV555" s="242"/>
      <c r="AW555" s="242"/>
      <c r="AX555" s="242"/>
      <c r="AY555" s="203"/>
      <c r="AZ555" s="203">
        <v>1</v>
      </c>
      <c r="BA555" s="203"/>
      <c r="BB555" s="242"/>
      <c r="BC555" s="242"/>
    </row>
    <row r="556" spans="1:55" ht="21" customHeight="1">
      <c r="A556" s="212"/>
      <c r="B556" s="237">
        <v>46082</v>
      </c>
      <c r="C556" s="211" t="s">
        <v>395</v>
      </c>
      <c r="D556" s="238" t="s">
        <v>1159</v>
      </c>
      <c r="E556" s="203" t="s">
        <v>2624</v>
      </c>
      <c r="F556" s="242"/>
      <c r="G556" s="203"/>
      <c r="H556" s="242"/>
      <c r="I556" s="242"/>
      <c r="J556" s="242"/>
      <c r="K556" s="242"/>
      <c r="L556" s="242"/>
      <c r="M556" s="242"/>
      <c r="N556" s="242"/>
      <c r="O556" s="242"/>
      <c r="P556" s="242"/>
      <c r="Q556" s="242"/>
      <c r="R556" s="242"/>
      <c r="S556" s="242"/>
      <c r="T556" s="242"/>
      <c r="U556" s="242"/>
      <c r="V556" s="242"/>
      <c r="W556" s="242"/>
      <c r="X556" s="242"/>
      <c r="Y556" s="242"/>
      <c r="Z556" s="203"/>
      <c r="AA556" s="211">
        <v>1</v>
      </c>
      <c r="AB556" s="242"/>
      <c r="AC556" s="242"/>
      <c r="AD556" s="242"/>
      <c r="AE556" s="242"/>
      <c r="AF556" s="242"/>
      <c r="AG556" s="242"/>
      <c r="AH556" s="242"/>
      <c r="AI556" s="242"/>
      <c r="AJ556" s="242"/>
      <c r="AK556" s="242"/>
      <c r="AL556" s="242"/>
      <c r="AM556" s="242"/>
      <c r="AN556" s="242"/>
      <c r="AO556" s="242"/>
      <c r="AP556" s="242"/>
      <c r="AQ556" s="242"/>
      <c r="AR556" s="242"/>
      <c r="AS556" s="242"/>
      <c r="AT556" s="242"/>
      <c r="AU556" s="242"/>
      <c r="AV556" s="242"/>
      <c r="AW556" s="242"/>
      <c r="AX556" s="242"/>
      <c r="AY556" s="203"/>
      <c r="AZ556" s="203">
        <v>1</v>
      </c>
      <c r="BA556" s="203"/>
      <c r="BB556" s="242"/>
      <c r="BC556" s="242"/>
    </row>
    <row r="557" spans="1:55" ht="21" customHeight="1">
      <c r="A557" s="212"/>
      <c r="B557" s="243"/>
      <c r="C557" s="244"/>
      <c r="D557" s="245"/>
      <c r="E557" s="213"/>
      <c r="F557" s="212"/>
      <c r="G557" s="213"/>
      <c r="H557" s="212"/>
      <c r="I557" s="212"/>
      <c r="J557" s="212"/>
      <c r="K557" s="212"/>
      <c r="L557" s="212"/>
      <c r="M557" s="212"/>
      <c r="N557" s="212"/>
      <c r="O557" s="212"/>
      <c r="P557" s="212"/>
      <c r="Q557" s="212"/>
      <c r="R557" s="212"/>
      <c r="S557" s="212"/>
      <c r="T557" s="212"/>
      <c r="U557" s="212"/>
      <c r="V557" s="212"/>
      <c r="W557" s="212"/>
      <c r="X557" s="212"/>
      <c r="Y557" s="212"/>
      <c r="Z557" s="213"/>
      <c r="AA557" s="213"/>
      <c r="AB557" s="212"/>
      <c r="AC557" s="212"/>
      <c r="AD557" s="212"/>
      <c r="AE557" s="212"/>
      <c r="AF557" s="212"/>
      <c r="AG557" s="212"/>
      <c r="AH557" s="212"/>
      <c r="AI557" s="212"/>
      <c r="AJ557" s="212"/>
      <c r="AK557" s="212"/>
      <c r="AL557" s="212"/>
      <c r="AM557" s="212"/>
      <c r="AN557" s="212"/>
      <c r="AO557" s="212"/>
      <c r="AP557" s="212"/>
      <c r="AQ557" s="212"/>
      <c r="AR557" s="212"/>
      <c r="AS557" s="212"/>
      <c r="AT557" s="212"/>
      <c r="AU557" s="212"/>
      <c r="AV557" s="212"/>
      <c r="AW557" s="212"/>
      <c r="AX557" s="212"/>
      <c r="AY557" s="212"/>
      <c r="AZ557" s="212"/>
      <c r="BA557" s="212"/>
      <c r="BB557" s="212"/>
      <c r="BC557" s="212"/>
    </row>
    <row r="558" spans="1:55" ht="21" customHeight="1">
      <c r="A558" s="212"/>
      <c r="B558" s="243"/>
      <c r="C558" s="244"/>
      <c r="D558" s="245"/>
      <c r="E558" s="213"/>
      <c r="F558" s="212"/>
      <c r="G558" s="213"/>
      <c r="H558" s="212"/>
      <c r="I558" s="212"/>
      <c r="J558" s="212"/>
      <c r="K558" s="212"/>
      <c r="L558" s="212"/>
      <c r="M558" s="212"/>
      <c r="N558" s="212"/>
      <c r="O558" s="212"/>
      <c r="P558" s="212"/>
      <c r="Q558" s="212"/>
      <c r="R558" s="212"/>
      <c r="S558" s="212"/>
      <c r="T558" s="212"/>
      <c r="U558" s="212"/>
      <c r="V558" s="212"/>
      <c r="W558" s="212"/>
      <c r="X558" s="212"/>
      <c r="Y558" s="212"/>
      <c r="Z558" s="213"/>
      <c r="AA558" s="213"/>
      <c r="AB558" s="212"/>
      <c r="AC558" s="212"/>
      <c r="AD558" s="212"/>
      <c r="AE558" s="212"/>
      <c r="AF558" s="212"/>
      <c r="AG558" s="212"/>
      <c r="AH558" s="212"/>
      <c r="AI558" s="212"/>
      <c r="AJ558" s="212"/>
      <c r="AK558" s="212"/>
      <c r="AL558" s="212"/>
      <c r="AM558" s="212"/>
      <c r="AN558" s="212"/>
      <c r="AO558" s="212"/>
      <c r="AP558" s="212"/>
      <c r="AQ558" s="212"/>
      <c r="AR558" s="212"/>
      <c r="AS558" s="212"/>
      <c r="AT558" s="212"/>
      <c r="AU558" s="212"/>
      <c r="AV558" s="212"/>
      <c r="AW558" s="212"/>
      <c r="AX558" s="212"/>
      <c r="AY558" s="212"/>
      <c r="AZ558" s="212"/>
      <c r="BA558" s="212"/>
      <c r="BB558" s="212"/>
      <c r="BC558" s="212"/>
    </row>
    <row r="559" spans="1:55" ht="21" customHeight="1">
      <c r="A559" s="212"/>
      <c r="B559" s="243"/>
      <c r="C559" s="244"/>
      <c r="D559" s="245"/>
      <c r="E559" s="213"/>
      <c r="F559" s="212"/>
      <c r="G559" s="213"/>
      <c r="H559" s="212"/>
      <c r="I559" s="212"/>
      <c r="J559" s="212"/>
      <c r="K559" s="212"/>
      <c r="L559" s="212"/>
      <c r="M559" s="212"/>
      <c r="N559" s="212"/>
      <c r="O559" s="212"/>
      <c r="P559" s="212"/>
      <c r="Q559" s="212"/>
      <c r="R559" s="212"/>
      <c r="S559" s="212"/>
      <c r="T559" s="212"/>
      <c r="U559" s="212"/>
      <c r="V559" s="212"/>
      <c r="W559" s="212"/>
      <c r="X559" s="212"/>
      <c r="Y559" s="212"/>
      <c r="Z559" s="213"/>
      <c r="AA559" s="213"/>
      <c r="AB559" s="212"/>
      <c r="AC559" s="212"/>
      <c r="AD559" s="212"/>
      <c r="AE559" s="212"/>
      <c r="AF559" s="212"/>
      <c r="AG559" s="212"/>
      <c r="AH559" s="212"/>
      <c r="AI559" s="212"/>
      <c r="AJ559" s="212"/>
      <c r="AK559" s="212"/>
      <c r="AL559" s="212"/>
      <c r="AM559" s="212"/>
      <c r="AN559" s="212"/>
      <c r="AO559" s="212"/>
      <c r="AP559" s="212"/>
      <c r="AQ559" s="212"/>
      <c r="AR559" s="212"/>
      <c r="AS559" s="212"/>
      <c r="AT559" s="212"/>
      <c r="AU559" s="212"/>
      <c r="AV559" s="212"/>
      <c r="AW559" s="212"/>
      <c r="AX559" s="212"/>
      <c r="AY559" s="212"/>
      <c r="AZ559" s="212"/>
      <c r="BA559" s="212"/>
      <c r="BB559" s="212"/>
      <c r="BC559" s="212"/>
    </row>
    <row r="560" spans="1:55" ht="21" customHeight="1">
      <c r="A560" s="212"/>
      <c r="B560" s="243"/>
      <c r="C560" s="244"/>
      <c r="D560" s="245"/>
      <c r="E560" s="213"/>
      <c r="F560" s="212"/>
      <c r="G560" s="213"/>
      <c r="H560" s="212"/>
      <c r="I560" s="212"/>
      <c r="J560" s="212"/>
      <c r="K560" s="212"/>
      <c r="L560" s="212"/>
      <c r="M560" s="212"/>
      <c r="N560" s="212"/>
      <c r="O560" s="212"/>
      <c r="P560" s="212"/>
      <c r="Q560" s="212"/>
      <c r="R560" s="212"/>
      <c r="S560" s="212"/>
      <c r="T560" s="212"/>
      <c r="U560" s="212"/>
      <c r="V560" s="212"/>
      <c r="W560" s="212"/>
      <c r="X560" s="212"/>
      <c r="Y560" s="212"/>
      <c r="Z560" s="213"/>
      <c r="AA560" s="213"/>
      <c r="AB560" s="212"/>
      <c r="AC560" s="212"/>
      <c r="AD560" s="212"/>
      <c r="AE560" s="212"/>
      <c r="AF560" s="212"/>
      <c r="AG560" s="212"/>
      <c r="AH560" s="212"/>
      <c r="AI560" s="212"/>
      <c r="AJ560" s="212"/>
      <c r="AK560" s="212"/>
      <c r="AL560" s="212"/>
      <c r="AM560" s="212"/>
      <c r="AN560" s="212"/>
      <c r="AO560" s="212"/>
      <c r="AP560" s="212"/>
      <c r="AQ560" s="212"/>
      <c r="AR560" s="212"/>
      <c r="AS560" s="212"/>
      <c r="AT560" s="212"/>
      <c r="AU560" s="212"/>
      <c r="AV560" s="212"/>
      <c r="AW560" s="212"/>
      <c r="AX560" s="212"/>
      <c r="AY560" s="212"/>
      <c r="AZ560" s="212"/>
      <c r="BA560" s="212"/>
      <c r="BB560" s="212"/>
      <c r="BC560" s="212"/>
    </row>
    <row r="561" spans="1:55" ht="21" customHeight="1">
      <c r="A561" s="212"/>
      <c r="B561" s="243"/>
      <c r="C561" s="244"/>
      <c r="D561" s="245"/>
      <c r="E561" s="213"/>
      <c r="F561" s="212"/>
      <c r="G561" s="213"/>
      <c r="H561" s="212"/>
      <c r="I561" s="212"/>
      <c r="J561" s="212"/>
      <c r="K561" s="212"/>
      <c r="L561" s="212"/>
      <c r="M561" s="212"/>
      <c r="N561" s="212"/>
      <c r="O561" s="212"/>
      <c r="P561" s="212"/>
      <c r="Q561" s="212"/>
      <c r="R561" s="212"/>
      <c r="S561" s="212"/>
      <c r="T561" s="212"/>
      <c r="U561" s="212"/>
      <c r="V561" s="212"/>
      <c r="W561" s="212"/>
      <c r="X561" s="212"/>
      <c r="Y561" s="212"/>
      <c r="Z561" s="213"/>
      <c r="AA561" s="213"/>
      <c r="AB561" s="212"/>
      <c r="AC561" s="212"/>
      <c r="AD561" s="212"/>
      <c r="AE561" s="212"/>
      <c r="AF561" s="212"/>
      <c r="AG561" s="212"/>
      <c r="AH561" s="212"/>
      <c r="AI561" s="212"/>
      <c r="AJ561" s="212"/>
      <c r="AK561" s="212"/>
      <c r="AL561" s="212"/>
      <c r="AM561" s="212"/>
      <c r="AN561" s="212"/>
      <c r="AO561" s="212"/>
      <c r="AP561" s="212"/>
      <c r="AQ561" s="212"/>
      <c r="AR561" s="212"/>
      <c r="AS561" s="212"/>
      <c r="AT561" s="212"/>
      <c r="AU561" s="212"/>
      <c r="AV561" s="212"/>
      <c r="AW561" s="212"/>
      <c r="AX561" s="212"/>
      <c r="AY561" s="212"/>
      <c r="AZ561" s="212"/>
      <c r="BA561" s="212"/>
      <c r="BB561" s="212"/>
      <c r="BC561" s="212"/>
    </row>
    <row r="562" spans="1:55" ht="21" customHeight="1">
      <c r="A562" s="212"/>
      <c r="B562" s="243"/>
      <c r="C562" s="244"/>
      <c r="D562" s="245"/>
      <c r="E562" s="213"/>
      <c r="F562" s="212"/>
      <c r="G562" s="213"/>
      <c r="H562" s="212"/>
      <c r="I562" s="212"/>
      <c r="J562" s="212"/>
      <c r="K562" s="212"/>
      <c r="L562" s="212"/>
      <c r="M562" s="212"/>
      <c r="N562" s="212"/>
      <c r="O562" s="212"/>
      <c r="P562" s="212"/>
      <c r="Q562" s="212"/>
      <c r="R562" s="212"/>
      <c r="S562" s="212"/>
      <c r="T562" s="212"/>
      <c r="U562" s="212"/>
      <c r="V562" s="212"/>
      <c r="W562" s="212"/>
      <c r="X562" s="212"/>
      <c r="Y562" s="212"/>
      <c r="Z562" s="213"/>
      <c r="AA562" s="213"/>
      <c r="AB562" s="212"/>
      <c r="AC562" s="212"/>
      <c r="AD562" s="212"/>
      <c r="AE562" s="212"/>
      <c r="AF562" s="212"/>
      <c r="AG562" s="212"/>
      <c r="AH562" s="212"/>
      <c r="AI562" s="212"/>
      <c r="AJ562" s="212"/>
      <c r="AK562" s="212"/>
      <c r="AL562" s="212"/>
      <c r="AM562" s="212"/>
      <c r="AN562" s="212"/>
      <c r="AO562" s="212"/>
      <c r="AP562" s="212"/>
      <c r="AQ562" s="212"/>
      <c r="AR562" s="212"/>
      <c r="AS562" s="212"/>
      <c r="AT562" s="212"/>
      <c r="AU562" s="212"/>
      <c r="AV562" s="212"/>
      <c r="AW562" s="212"/>
      <c r="AX562" s="212"/>
      <c r="AY562" s="212"/>
      <c r="AZ562" s="212"/>
      <c r="BA562" s="212"/>
      <c r="BB562" s="212"/>
      <c r="BC562" s="212"/>
    </row>
    <row r="563" spans="1:55" ht="21" customHeight="1">
      <c r="A563" s="212"/>
      <c r="B563" s="212"/>
      <c r="C563" s="212"/>
      <c r="D563" s="212"/>
      <c r="E563" s="212"/>
      <c r="F563" s="212"/>
      <c r="G563" s="212"/>
      <c r="H563" s="212"/>
      <c r="I563" s="212"/>
      <c r="J563" s="212"/>
      <c r="K563" s="212"/>
      <c r="L563" s="212"/>
      <c r="M563" s="212"/>
      <c r="N563" s="212"/>
      <c r="O563" s="212"/>
      <c r="P563" s="212"/>
      <c r="Q563" s="212"/>
      <c r="R563" s="212"/>
      <c r="S563" s="212"/>
      <c r="T563" s="212"/>
      <c r="U563" s="212"/>
      <c r="V563" s="212"/>
      <c r="W563" s="212"/>
      <c r="X563" s="212"/>
      <c r="Y563" s="212"/>
      <c r="Z563" s="212"/>
      <c r="AA563" s="212"/>
      <c r="AB563" s="212"/>
      <c r="AC563" s="212"/>
      <c r="AD563" s="212"/>
      <c r="AE563" s="212"/>
      <c r="AF563" s="212"/>
      <c r="AG563" s="212"/>
      <c r="AH563" s="212"/>
      <c r="AI563" s="212"/>
      <c r="AJ563" s="212"/>
      <c r="AK563" s="212"/>
      <c r="AL563" s="212"/>
      <c r="AM563" s="212"/>
      <c r="AN563" s="212"/>
      <c r="AO563" s="212"/>
      <c r="AP563" s="212"/>
      <c r="AQ563" s="212"/>
      <c r="AR563" s="212"/>
      <c r="AS563" s="212"/>
      <c r="AT563" s="212"/>
      <c r="AU563" s="212"/>
      <c r="AV563" s="212"/>
      <c r="AW563" s="212"/>
      <c r="AX563" s="212"/>
      <c r="AY563" s="212"/>
      <c r="AZ563" s="212"/>
      <c r="BA563" s="212"/>
      <c r="BB563" s="212"/>
      <c r="BC563" s="212"/>
    </row>
    <row r="564" spans="1:55" ht="21" customHeight="1">
      <c r="A564" s="212"/>
      <c r="B564" s="212"/>
      <c r="C564" s="212"/>
      <c r="D564" s="212"/>
      <c r="E564" s="212"/>
      <c r="F564" s="212"/>
      <c r="G564" s="212"/>
      <c r="H564" s="212"/>
      <c r="I564" s="212"/>
      <c r="J564" s="212"/>
      <c r="K564" s="212"/>
      <c r="L564" s="212"/>
      <c r="M564" s="212"/>
      <c r="N564" s="212"/>
      <c r="O564" s="212"/>
      <c r="P564" s="212"/>
      <c r="Q564" s="212"/>
      <c r="R564" s="212"/>
      <c r="S564" s="212"/>
      <c r="T564" s="212"/>
      <c r="U564" s="212"/>
      <c r="V564" s="212"/>
      <c r="W564" s="212"/>
      <c r="X564" s="212"/>
      <c r="Y564" s="212"/>
      <c r="Z564" s="212"/>
      <c r="AA564" s="212"/>
      <c r="AB564" s="212"/>
      <c r="AC564" s="212"/>
      <c r="AD564" s="212"/>
      <c r="AE564" s="212"/>
      <c r="AF564" s="212"/>
      <c r="AG564" s="212"/>
      <c r="AH564" s="212"/>
      <c r="AI564" s="212"/>
      <c r="AJ564" s="212"/>
      <c r="AK564" s="212"/>
      <c r="AL564" s="212"/>
      <c r="AM564" s="212"/>
      <c r="AN564" s="212"/>
      <c r="AO564" s="212"/>
      <c r="AP564" s="212"/>
      <c r="AQ564" s="212"/>
      <c r="AR564" s="212"/>
      <c r="AS564" s="212"/>
      <c r="AT564" s="212"/>
      <c r="AU564" s="212"/>
      <c r="AV564" s="212"/>
      <c r="AW564" s="212"/>
      <c r="AX564" s="212"/>
      <c r="AY564" s="212"/>
      <c r="AZ564" s="212"/>
      <c r="BA564" s="212"/>
      <c r="BB564" s="212"/>
      <c r="BC564" s="212"/>
    </row>
    <row r="565" spans="1:55" ht="21" customHeight="1">
      <c r="A565" s="212"/>
      <c r="B565" s="473" t="s">
        <v>373</v>
      </c>
      <c r="C565" s="473" t="s">
        <v>373</v>
      </c>
      <c r="D565" s="473" t="s">
        <v>1160</v>
      </c>
      <c r="E565" s="473" t="s">
        <v>398</v>
      </c>
      <c r="F565" s="455" t="s">
        <v>59</v>
      </c>
      <c r="G565" s="467"/>
      <c r="H565" s="467"/>
      <c r="I565" s="467"/>
      <c r="J565" s="467"/>
      <c r="K565" s="467"/>
      <c r="L565" s="467"/>
      <c r="M565" s="467"/>
      <c r="N565" s="467"/>
      <c r="O565" s="467"/>
      <c r="P565" s="467"/>
      <c r="Q565" s="468" t="s">
        <v>128</v>
      </c>
      <c r="R565" s="467"/>
      <c r="S565" s="467"/>
      <c r="T565" s="467"/>
      <c r="U565" s="467"/>
      <c r="V565" s="467"/>
      <c r="W565" s="467"/>
      <c r="X565" s="467"/>
      <c r="Y565" s="467"/>
      <c r="Z565" s="469"/>
      <c r="AA565" s="469"/>
      <c r="AB565" s="455" t="s">
        <v>44</v>
      </c>
      <c r="AC565" s="467"/>
      <c r="AD565" s="467"/>
      <c r="AE565" s="467"/>
      <c r="AF565" s="467"/>
      <c r="AG565" s="467"/>
      <c r="AH565" s="467"/>
      <c r="AI565" s="467"/>
      <c r="AJ565" s="467"/>
      <c r="AK565" s="467"/>
      <c r="AL565" s="467"/>
      <c r="AM565" s="457" t="s">
        <v>114</v>
      </c>
      <c r="AN565" s="467"/>
      <c r="AO565" s="467"/>
      <c r="AP565" s="467"/>
      <c r="AQ565" s="467"/>
      <c r="AR565" s="467"/>
      <c r="AS565" s="467"/>
      <c r="AT565" s="467"/>
      <c r="AU565" s="467"/>
      <c r="AV565" s="467"/>
      <c r="AW565" s="467"/>
      <c r="AX565" s="458" t="s">
        <v>306</v>
      </c>
      <c r="AY565" s="467"/>
      <c r="AZ565" s="459" t="s">
        <v>97</v>
      </c>
      <c r="BA565" s="467"/>
      <c r="BB565" s="215" t="s">
        <v>118</v>
      </c>
      <c r="BC565" s="215" t="s">
        <v>118</v>
      </c>
    </row>
    <row r="566" spans="1:55" ht="21" customHeight="1">
      <c r="A566" s="212"/>
      <c r="B566" s="467"/>
      <c r="C566" s="467"/>
      <c r="D566" s="467"/>
      <c r="E566" s="467"/>
      <c r="F566" s="217" t="s">
        <v>375</v>
      </c>
      <c r="G566" s="217" t="s">
        <v>376</v>
      </c>
      <c r="H566" s="217" t="s">
        <v>377</v>
      </c>
      <c r="I566" s="217" t="s">
        <v>378</v>
      </c>
      <c r="J566" s="217" t="s">
        <v>379</v>
      </c>
      <c r="K566" s="217" t="s">
        <v>380</v>
      </c>
      <c r="L566" s="217" t="s">
        <v>381</v>
      </c>
      <c r="M566" s="217" t="s">
        <v>380</v>
      </c>
      <c r="N566" s="217" t="s">
        <v>382</v>
      </c>
      <c r="O566" s="217" t="s">
        <v>383</v>
      </c>
      <c r="P566" s="217" t="s">
        <v>127</v>
      </c>
      <c r="Q566" s="218" t="s">
        <v>375</v>
      </c>
      <c r="R566" s="218" t="s">
        <v>376</v>
      </c>
      <c r="S566" s="218" t="s">
        <v>377</v>
      </c>
      <c r="T566" s="218" t="s">
        <v>378</v>
      </c>
      <c r="U566" s="218" t="s">
        <v>379</v>
      </c>
      <c r="V566" s="218" t="s">
        <v>380</v>
      </c>
      <c r="W566" s="218" t="s">
        <v>381</v>
      </c>
      <c r="X566" s="218" t="s">
        <v>380</v>
      </c>
      <c r="Y566" s="218" t="s">
        <v>382</v>
      </c>
      <c r="Z566" s="218" t="s">
        <v>383</v>
      </c>
      <c r="AA566" s="218" t="s">
        <v>127</v>
      </c>
      <c r="AB566" s="217" t="s">
        <v>375</v>
      </c>
      <c r="AC566" s="217" t="s">
        <v>376</v>
      </c>
      <c r="AD566" s="217" t="s">
        <v>377</v>
      </c>
      <c r="AE566" s="217" t="s">
        <v>378</v>
      </c>
      <c r="AF566" s="217" t="s">
        <v>379</v>
      </c>
      <c r="AG566" s="217" t="s">
        <v>380</v>
      </c>
      <c r="AH566" s="217" t="s">
        <v>381</v>
      </c>
      <c r="AI566" s="217" t="s">
        <v>380</v>
      </c>
      <c r="AJ566" s="217" t="s">
        <v>382</v>
      </c>
      <c r="AK566" s="217" t="s">
        <v>383</v>
      </c>
      <c r="AL566" s="217" t="s">
        <v>127</v>
      </c>
      <c r="AM566" s="246" t="s">
        <v>375</v>
      </c>
      <c r="AN566" s="246" t="s">
        <v>376</v>
      </c>
      <c r="AO566" s="246" t="s">
        <v>377</v>
      </c>
      <c r="AP566" s="246" t="s">
        <v>378</v>
      </c>
      <c r="AQ566" s="246" t="s">
        <v>379</v>
      </c>
      <c r="AR566" s="246" t="s">
        <v>380</v>
      </c>
      <c r="AS566" s="246" t="s">
        <v>381</v>
      </c>
      <c r="AT566" s="246" t="s">
        <v>380</v>
      </c>
      <c r="AU566" s="246" t="s">
        <v>382</v>
      </c>
      <c r="AV566" s="246" t="s">
        <v>383</v>
      </c>
      <c r="AW566" s="246" t="s">
        <v>127</v>
      </c>
      <c r="AX566" s="247" t="s">
        <v>383</v>
      </c>
      <c r="AY566" s="247" t="s">
        <v>127</v>
      </c>
      <c r="AZ566" s="248" t="s">
        <v>383</v>
      </c>
      <c r="BA566" s="248" t="s">
        <v>127</v>
      </c>
      <c r="BB566" s="215" t="s">
        <v>383</v>
      </c>
      <c r="BC566" s="215" t="s">
        <v>127</v>
      </c>
    </row>
    <row r="567" spans="1:55" ht="21" customHeight="1">
      <c r="A567" s="212"/>
      <c r="B567" s="249">
        <v>46023</v>
      </c>
      <c r="C567" s="250" t="s">
        <v>395</v>
      </c>
      <c r="D567" s="250" t="s">
        <v>1161</v>
      </c>
      <c r="E567" s="250"/>
      <c r="F567" s="250"/>
      <c r="G567" s="251"/>
      <c r="H567" s="251"/>
      <c r="I567" s="251"/>
      <c r="J567" s="252"/>
      <c r="K567" s="250"/>
      <c r="L567" s="250"/>
      <c r="M567" s="250">
        <v>1</v>
      </c>
      <c r="N567" s="250"/>
      <c r="O567" s="250"/>
      <c r="P567" s="250"/>
      <c r="Q567" s="250"/>
      <c r="R567" s="251"/>
      <c r="S567" s="251"/>
      <c r="T567" s="251"/>
      <c r="U567" s="252"/>
      <c r="V567" s="250"/>
      <c r="W567" s="250"/>
      <c r="X567" s="250"/>
      <c r="Y567" s="250"/>
      <c r="Z567" s="250"/>
      <c r="AA567" s="250"/>
      <c r="AB567" s="250"/>
      <c r="AC567" s="251"/>
      <c r="AD567" s="251"/>
      <c r="AE567" s="251"/>
      <c r="AF567" s="252"/>
      <c r="AG567" s="250"/>
      <c r="AH567" s="250"/>
      <c r="AI567" s="250">
        <v>1</v>
      </c>
      <c r="AJ567" s="250"/>
      <c r="AK567" s="250"/>
      <c r="AL567" s="250"/>
      <c r="AM567" s="250"/>
      <c r="AN567" s="251"/>
      <c r="AO567" s="251"/>
      <c r="AP567" s="251"/>
      <c r="AQ567" s="252"/>
      <c r="AR567" s="252"/>
      <c r="AS567" s="252"/>
      <c r="AT567" s="252">
        <v>1</v>
      </c>
      <c r="AU567" s="252">
        <v>1</v>
      </c>
      <c r="AV567" s="225"/>
      <c r="AW567" s="252"/>
      <c r="AX567" s="252"/>
      <c r="AY567" s="252"/>
      <c r="AZ567" s="225"/>
      <c r="BA567" s="225"/>
      <c r="BB567" s="225"/>
      <c r="BC567" s="225"/>
    </row>
    <row r="568" spans="1:55" ht="21" customHeight="1">
      <c r="A568" s="212"/>
      <c r="B568" s="249">
        <v>46054</v>
      </c>
      <c r="C568" s="250" t="s">
        <v>394</v>
      </c>
      <c r="D568" s="250" t="s">
        <v>1162</v>
      </c>
      <c r="E568" s="250" t="s">
        <v>1163</v>
      </c>
      <c r="F568" s="250"/>
      <c r="G568" s="250"/>
      <c r="H568" s="250"/>
      <c r="I568" s="250"/>
      <c r="J568" s="252"/>
      <c r="K568" s="250"/>
      <c r="L568" s="250"/>
      <c r="M568" s="250">
        <v>1</v>
      </c>
      <c r="N568" s="250"/>
      <c r="O568" s="250"/>
      <c r="P568" s="250"/>
      <c r="Q568" s="250"/>
      <c r="R568" s="250"/>
      <c r="S568" s="250"/>
      <c r="T568" s="250"/>
      <c r="U568" s="252"/>
      <c r="V568" s="250"/>
      <c r="W568" s="250"/>
      <c r="X568" s="250">
        <v>1</v>
      </c>
      <c r="Y568" s="250"/>
      <c r="Z568" s="250"/>
      <c r="AA568" s="250"/>
      <c r="AB568" s="250"/>
      <c r="AC568" s="250"/>
      <c r="AD568" s="250"/>
      <c r="AE568" s="250"/>
      <c r="AF568" s="252"/>
      <c r="AG568" s="250"/>
      <c r="AH568" s="250"/>
      <c r="AI568" s="250">
        <v>1</v>
      </c>
      <c r="AJ568" s="250"/>
      <c r="AK568" s="250"/>
      <c r="AL568" s="250"/>
      <c r="AM568" s="250"/>
      <c r="AN568" s="250"/>
      <c r="AO568" s="250"/>
      <c r="AP568" s="250"/>
      <c r="AQ568" s="252"/>
      <c r="AR568" s="252"/>
      <c r="AS568" s="252"/>
      <c r="AT568" s="250"/>
      <c r="AU568" s="250"/>
      <c r="AV568" s="253"/>
      <c r="AW568" s="252"/>
      <c r="AX568" s="252"/>
      <c r="AY568" s="252"/>
      <c r="AZ568" s="253"/>
      <c r="BA568" s="225"/>
      <c r="BB568" s="225"/>
      <c r="BC568" s="225"/>
    </row>
    <row r="569" spans="1:55" ht="21" customHeight="1">
      <c r="A569" s="212"/>
      <c r="B569" s="249">
        <v>46054</v>
      </c>
      <c r="C569" s="250" t="s">
        <v>389</v>
      </c>
      <c r="D569" s="250" t="s">
        <v>1164</v>
      </c>
      <c r="E569" s="250" t="s">
        <v>1165</v>
      </c>
      <c r="F569" s="250"/>
      <c r="G569" s="250"/>
      <c r="H569" s="250"/>
      <c r="I569" s="250"/>
      <c r="J569" s="252"/>
      <c r="K569" s="250"/>
      <c r="L569" s="250"/>
      <c r="M569" s="250">
        <v>1</v>
      </c>
      <c r="N569" s="250"/>
      <c r="O569" s="250"/>
      <c r="P569" s="250">
        <v>1</v>
      </c>
      <c r="Q569" s="250"/>
      <c r="R569" s="250"/>
      <c r="S569" s="250"/>
      <c r="T569" s="250"/>
      <c r="U569" s="252"/>
      <c r="V569" s="250"/>
      <c r="W569" s="250"/>
      <c r="X569" s="250">
        <v>1</v>
      </c>
      <c r="Y569" s="250">
        <v>1</v>
      </c>
      <c r="Z569" s="250">
        <v>1</v>
      </c>
      <c r="AA569" s="250">
        <v>1</v>
      </c>
      <c r="AB569" s="250"/>
      <c r="AC569" s="250"/>
      <c r="AD569" s="250"/>
      <c r="AE569" s="250"/>
      <c r="AF569" s="252"/>
      <c r="AG569" s="250"/>
      <c r="AH569" s="250"/>
      <c r="AI569" s="250">
        <v>1</v>
      </c>
      <c r="AJ569" s="250"/>
      <c r="AK569" s="250">
        <v>1</v>
      </c>
      <c r="AL569" s="250">
        <v>1</v>
      </c>
      <c r="AM569" s="250"/>
      <c r="AN569" s="250"/>
      <c r="AO569" s="250"/>
      <c r="AP569" s="250"/>
      <c r="AQ569" s="252"/>
      <c r="AR569" s="252"/>
      <c r="AS569" s="252"/>
      <c r="AT569" s="250"/>
      <c r="AU569" s="250"/>
      <c r="AV569" s="252">
        <v>1</v>
      </c>
      <c r="AW569" s="252">
        <v>1</v>
      </c>
      <c r="AX569" s="252"/>
      <c r="AY569" s="252">
        <v>1</v>
      </c>
      <c r="AZ569" s="253"/>
      <c r="BA569" s="225">
        <v>1</v>
      </c>
      <c r="BB569" s="225">
        <v>1</v>
      </c>
      <c r="BC569" s="225">
        <v>1</v>
      </c>
    </row>
    <row r="570" spans="1:55" ht="21" customHeight="1">
      <c r="A570" s="212"/>
      <c r="B570" s="249">
        <v>46054</v>
      </c>
      <c r="C570" s="250" t="s">
        <v>395</v>
      </c>
      <c r="D570" s="250" t="s">
        <v>1166</v>
      </c>
      <c r="E570" s="250" t="s">
        <v>408</v>
      </c>
      <c r="F570" s="250"/>
      <c r="G570" s="250"/>
      <c r="H570" s="250">
        <v>1</v>
      </c>
      <c r="I570" s="250">
        <v>1</v>
      </c>
      <c r="J570" s="252">
        <v>1</v>
      </c>
      <c r="K570" s="250">
        <v>1</v>
      </c>
      <c r="L570" s="250">
        <v>1</v>
      </c>
      <c r="M570" s="250"/>
      <c r="N570" s="250">
        <v>1</v>
      </c>
      <c r="O570" s="250">
        <v>1</v>
      </c>
      <c r="P570" s="250">
        <v>1</v>
      </c>
      <c r="Q570" s="250"/>
      <c r="R570" s="250">
        <v>1</v>
      </c>
      <c r="S570" s="250">
        <v>1</v>
      </c>
      <c r="T570" s="250">
        <v>1</v>
      </c>
      <c r="U570" s="252"/>
      <c r="V570" s="250">
        <v>1</v>
      </c>
      <c r="W570" s="250">
        <v>1</v>
      </c>
      <c r="X570" s="250">
        <v>1</v>
      </c>
      <c r="Y570" s="250">
        <v>1</v>
      </c>
      <c r="Z570" s="250">
        <v>1</v>
      </c>
      <c r="AA570" s="250">
        <v>1</v>
      </c>
      <c r="AB570" s="250"/>
      <c r="AC570" s="250">
        <v>1</v>
      </c>
      <c r="AD570" s="250">
        <v>1</v>
      </c>
      <c r="AE570" s="250">
        <v>1</v>
      </c>
      <c r="AF570" s="252">
        <v>1</v>
      </c>
      <c r="AG570" s="250">
        <v>1</v>
      </c>
      <c r="AH570" s="250">
        <v>1</v>
      </c>
      <c r="AI570" s="250"/>
      <c r="AJ570" s="250">
        <v>1</v>
      </c>
      <c r="AK570" s="250">
        <v>1</v>
      </c>
      <c r="AL570" s="250">
        <v>1</v>
      </c>
      <c r="AM570" s="250"/>
      <c r="AN570" s="250"/>
      <c r="AO570" s="250"/>
      <c r="AP570" s="250"/>
      <c r="AQ570" s="252">
        <v>1</v>
      </c>
      <c r="AR570" s="252">
        <v>1</v>
      </c>
      <c r="AS570" s="252">
        <v>1</v>
      </c>
      <c r="AT570" s="250">
        <v>1</v>
      </c>
      <c r="AU570" s="250">
        <v>1</v>
      </c>
      <c r="AV570" s="252">
        <v>1</v>
      </c>
      <c r="AW570" s="252">
        <v>1</v>
      </c>
      <c r="AX570" s="252">
        <v>1</v>
      </c>
      <c r="AY570" s="252">
        <v>1</v>
      </c>
      <c r="AZ570" s="225">
        <v>1</v>
      </c>
      <c r="BA570" s="225">
        <v>1</v>
      </c>
      <c r="BB570" s="225">
        <v>1</v>
      </c>
      <c r="BC570" s="225">
        <v>1</v>
      </c>
    </row>
    <row r="571" spans="1:55" ht="21" customHeight="1">
      <c r="A571" s="212"/>
      <c r="B571" s="249">
        <v>46054</v>
      </c>
      <c r="C571" s="250" t="s">
        <v>393</v>
      </c>
      <c r="D571" s="250" t="s">
        <v>1167</v>
      </c>
      <c r="E571" s="225" t="s">
        <v>1168</v>
      </c>
      <c r="F571" s="253"/>
      <c r="G571" s="225"/>
      <c r="H571" s="253"/>
      <c r="I571" s="253"/>
      <c r="J571" s="253"/>
      <c r="K571" s="253"/>
      <c r="L571" s="253"/>
      <c r="M571" s="250"/>
      <c r="N571" s="250"/>
      <c r="O571" s="253"/>
      <c r="P571" s="253"/>
      <c r="Q571" s="253"/>
      <c r="R571" s="253"/>
      <c r="S571" s="253"/>
      <c r="T571" s="253"/>
      <c r="U571" s="253"/>
      <c r="V571" s="253"/>
      <c r="W571" s="253"/>
      <c r="X571" s="250"/>
      <c r="Y571" s="250">
        <v>1</v>
      </c>
      <c r="Z571" s="225"/>
      <c r="AA571" s="225"/>
      <c r="AB571" s="253"/>
      <c r="AC571" s="253"/>
      <c r="AD571" s="253"/>
      <c r="AE571" s="253"/>
      <c r="AF571" s="253"/>
      <c r="AG571" s="253"/>
      <c r="AH571" s="253"/>
      <c r="AI571" s="250"/>
      <c r="AJ571" s="250"/>
      <c r="AK571" s="253"/>
      <c r="AL571" s="253"/>
      <c r="AM571" s="253"/>
      <c r="AN571" s="253"/>
      <c r="AO571" s="253"/>
      <c r="AP571" s="253"/>
      <c r="AQ571" s="253"/>
      <c r="AR571" s="253"/>
      <c r="AS571" s="253"/>
      <c r="AT571" s="250"/>
      <c r="AU571" s="250"/>
      <c r="AV571" s="253">
        <v>1</v>
      </c>
      <c r="AW571" s="252">
        <v>1</v>
      </c>
      <c r="AX571" s="252"/>
      <c r="AY571" s="252">
        <v>1</v>
      </c>
      <c r="AZ571" s="253"/>
      <c r="BA571" s="225"/>
      <c r="BB571" s="225"/>
      <c r="BC571" s="225"/>
    </row>
    <row r="572" spans="1:55" ht="21" customHeight="1">
      <c r="A572" s="212"/>
      <c r="B572" s="249">
        <v>46054</v>
      </c>
      <c r="C572" s="250" t="s">
        <v>393</v>
      </c>
      <c r="D572" s="250" t="s">
        <v>1169</v>
      </c>
      <c r="E572" s="225" t="s">
        <v>1170</v>
      </c>
      <c r="F572" s="253"/>
      <c r="G572" s="225"/>
      <c r="H572" s="253"/>
      <c r="I572" s="253"/>
      <c r="J572" s="253"/>
      <c r="K572" s="253"/>
      <c r="L572" s="253"/>
      <c r="M572" s="250"/>
      <c r="N572" s="250"/>
      <c r="O572" s="253"/>
      <c r="P572" s="253"/>
      <c r="Q572" s="253"/>
      <c r="R572" s="253"/>
      <c r="S572" s="253"/>
      <c r="T572" s="253"/>
      <c r="U572" s="253"/>
      <c r="V572" s="253"/>
      <c r="W572" s="253"/>
      <c r="X572" s="250"/>
      <c r="Y572" s="250"/>
      <c r="Z572" s="225"/>
      <c r="AA572" s="225"/>
      <c r="AB572" s="253"/>
      <c r="AC572" s="253"/>
      <c r="AD572" s="253"/>
      <c r="AE572" s="253"/>
      <c r="AF572" s="253"/>
      <c r="AG572" s="253"/>
      <c r="AH572" s="253"/>
      <c r="AI572" s="250"/>
      <c r="AJ572" s="250"/>
      <c r="AK572" s="253"/>
      <c r="AL572" s="253"/>
      <c r="AM572" s="253"/>
      <c r="AN572" s="253"/>
      <c r="AO572" s="253"/>
      <c r="AP572" s="253"/>
      <c r="AQ572" s="253"/>
      <c r="AR572" s="253"/>
      <c r="AS572" s="253"/>
      <c r="AT572" s="250"/>
      <c r="AU572" s="250"/>
      <c r="AV572" s="253"/>
      <c r="AW572" s="252"/>
      <c r="AX572" s="252"/>
      <c r="AY572" s="252"/>
      <c r="AZ572" s="253"/>
      <c r="BA572" s="225"/>
      <c r="BB572" s="225"/>
      <c r="BC572" s="225"/>
    </row>
    <row r="573" spans="1:55" ht="21" customHeight="1">
      <c r="A573" s="212"/>
      <c r="B573" s="249">
        <v>46054</v>
      </c>
      <c r="C573" s="250" t="s">
        <v>395</v>
      </c>
      <c r="D573" s="250" t="s">
        <v>1171</v>
      </c>
      <c r="E573" s="225" t="s">
        <v>1172</v>
      </c>
      <c r="F573" s="253"/>
      <c r="G573" s="225"/>
      <c r="H573" s="253"/>
      <c r="I573" s="253"/>
      <c r="J573" s="253"/>
      <c r="K573" s="253"/>
      <c r="L573" s="253"/>
      <c r="M573" s="250"/>
      <c r="N573" s="250"/>
      <c r="O573" s="253"/>
      <c r="P573" s="253"/>
      <c r="Q573" s="253"/>
      <c r="R573" s="253"/>
      <c r="S573" s="253"/>
      <c r="T573" s="253"/>
      <c r="U573" s="253"/>
      <c r="V573" s="253"/>
      <c r="W573" s="253"/>
      <c r="X573" s="250"/>
      <c r="Y573" s="250"/>
      <c r="Z573" s="225"/>
      <c r="AA573" s="225"/>
      <c r="AB573" s="253"/>
      <c r="AC573" s="253"/>
      <c r="AD573" s="253"/>
      <c r="AE573" s="253"/>
      <c r="AF573" s="253"/>
      <c r="AG573" s="253"/>
      <c r="AH573" s="253"/>
      <c r="AI573" s="250"/>
      <c r="AJ573" s="250"/>
      <c r="AK573" s="253"/>
      <c r="AL573" s="253"/>
      <c r="AM573" s="253"/>
      <c r="AN573" s="253"/>
      <c r="AO573" s="253"/>
      <c r="AP573" s="253"/>
      <c r="AQ573" s="253"/>
      <c r="AR573" s="253"/>
      <c r="AS573" s="253"/>
      <c r="AT573" s="250"/>
      <c r="AU573" s="250"/>
      <c r="AV573" s="253"/>
      <c r="AW573" s="252"/>
      <c r="AX573" s="252"/>
      <c r="AY573" s="252"/>
      <c r="AZ573" s="253"/>
      <c r="BA573" s="225"/>
      <c r="BB573" s="225"/>
      <c r="BC573" s="225"/>
    </row>
    <row r="574" spans="1:55" ht="21" customHeight="1">
      <c r="A574" s="212"/>
      <c r="B574" s="249">
        <v>46054</v>
      </c>
      <c r="C574" s="250" t="s">
        <v>395</v>
      </c>
      <c r="D574" s="250" t="s">
        <v>1173</v>
      </c>
      <c r="E574" s="225" t="s">
        <v>1174</v>
      </c>
      <c r="F574" s="253"/>
      <c r="G574" s="225"/>
      <c r="H574" s="253"/>
      <c r="I574" s="253"/>
      <c r="J574" s="253"/>
      <c r="K574" s="253"/>
      <c r="L574" s="253"/>
      <c r="M574" s="250"/>
      <c r="N574" s="250">
        <v>1</v>
      </c>
      <c r="O574" s="253">
        <v>1</v>
      </c>
      <c r="P574" s="253"/>
      <c r="Q574" s="253"/>
      <c r="R574" s="253"/>
      <c r="S574" s="253"/>
      <c r="T574" s="253"/>
      <c r="U574" s="253"/>
      <c r="V574" s="253"/>
      <c r="W574" s="253"/>
      <c r="X574" s="250">
        <v>1</v>
      </c>
      <c r="Y574" s="250"/>
      <c r="Z574" s="225"/>
      <c r="AA574" s="225"/>
      <c r="AB574" s="253"/>
      <c r="AC574" s="253"/>
      <c r="AD574" s="253"/>
      <c r="AE574" s="253"/>
      <c r="AF574" s="253"/>
      <c r="AG574" s="253"/>
      <c r="AH574" s="253"/>
      <c r="AI574" s="250">
        <v>1</v>
      </c>
      <c r="AJ574" s="250">
        <v>1</v>
      </c>
      <c r="AK574" s="253"/>
      <c r="AL574" s="253"/>
      <c r="AM574" s="253"/>
      <c r="AN574" s="253"/>
      <c r="AO574" s="253"/>
      <c r="AP574" s="253"/>
      <c r="AQ574" s="253"/>
      <c r="AR574" s="253"/>
      <c r="AS574" s="253"/>
      <c r="AT574" s="250"/>
      <c r="AU574" s="250"/>
      <c r="AV574" s="253"/>
      <c r="AW574" s="252"/>
      <c r="AX574" s="252"/>
      <c r="AY574" s="252"/>
      <c r="AZ574" s="253"/>
      <c r="BA574" s="225"/>
      <c r="BB574" s="225"/>
      <c r="BC574" s="225"/>
    </row>
    <row r="575" spans="1:55" ht="21" customHeight="1">
      <c r="A575" s="212"/>
      <c r="B575" s="249">
        <v>46054</v>
      </c>
      <c r="C575" s="250" t="s">
        <v>386</v>
      </c>
      <c r="D575" s="250" t="s">
        <v>1175</v>
      </c>
      <c r="E575" s="225" t="s">
        <v>1176</v>
      </c>
      <c r="F575" s="253"/>
      <c r="G575" s="225"/>
      <c r="H575" s="253"/>
      <c r="I575" s="253"/>
      <c r="J575" s="253"/>
      <c r="K575" s="253"/>
      <c r="L575" s="253"/>
      <c r="M575" s="250"/>
      <c r="N575" s="250">
        <v>1</v>
      </c>
      <c r="O575" s="250">
        <v>1</v>
      </c>
      <c r="P575" s="250">
        <v>1</v>
      </c>
      <c r="Q575" s="253"/>
      <c r="R575" s="253"/>
      <c r="S575" s="253"/>
      <c r="T575" s="253"/>
      <c r="U575" s="253"/>
      <c r="V575" s="253"/>
      <c r="W575" s="253"/>
      <c r="X575" s="250"/>
      <c r="Y575" s="250">
        <v>1</v>
      </c>
      <c r="Z575" s="250">
        <v>1</v>
      </c>
      <c r="AA575" s="250">
        <v>1</v>
      </c>
      <c r="AB575" s="253"/>
      <c r="AC575" s="253"/>
      <c r="AD575" s="253"/>
      <c r="AE575" s="253"/>
      <c r="AF575" s="253"/>
      <c r="AG575" s="253"/>
      <c r="AH575" s="253"/>
      <c r="AI575" s="250"/>
      <c r="AJ575" s="250">
        <v>1</v>
      </c>
      <c r="AK575" s="250"/>
      <c r="AL575" s="253"/>
      <c r="AM575" s="253"/>
      <c r="AN575" s="253"/>
      <c r="AO575" s="253"/>
      <c r="AP575" s="253"/>
      <c r="AQ575" s="253"/>
      <c r="AR575" s="253"/>
      <c r="AS575" s="253"/>
      <c r="AT575" s="253"/>
      <c r="AU575" s="253"/>
      <c r="AV575" s="253">
        <v>1</v>
      </c>
      <c r="AW575" s="252">
        <v>1</v>
      </c>
      <c r="AX575" s="252">
        <v>1</v>
      </c>
      <c r="AY575" s="252">
        <v>1</v>
      </c>
      <c r="AZ575" s="225">
        <v>1</v>
      </c>
      <c r="BA575" s="225">
        <v>1</v>
      </c>
      <c r="BB575" s="225">
        <v>1</v>
      </c>
      <c r="BC575" s="225">
        <v>1</v>
      </c>
    </row>
    <row r="576" spans="1:55" ht="21" customHeight="1">
      <c r="A576" s="212"/>
      <c r="B576" s="249">
        <v>46054</v>
      </c>
      <c r="C576" s="250" t="s">
        <v>386</v>
      </c>
      <c r="D576" s="250" t="s">
        <v>1177</v>
      </c>
      <c r="E576" s="225" t="s">
        <v>1178</v>
      </c>
      <c r="F576" s="253"/>
      <c r="G576" s="225"/>
      <c r="H576" s="253"/>
      <c r="I576" s="253"/>
      <c r="J576" s="253"/>
      <c r="K576" s="253"/>
      <c r="L576" s="253"/>
      <c r="M576" s="250"/>
      <c r="N576" s="250"/>
      <c r="O576" s="253"/>
      <c r="P576" s="253"/>
      <c r="Q576" s="253"/>
      <c r="R576" s="253"/>
      <c r="S576" s="253"/>
      <c r="T576" s="253"/>
      <c r="U576" s="253"/>
      <c r="V576" s="253"/>
      <c r="W576" s="253"/>
      <c r="X576" s="250"/>
      <c r="Y576" s="250"/>
      <c r="Z576" s="225"/>
      <c r="AA576" s="225"/>
      <c r="AB576" s="253"/>
      <c r="AC576" s="253"/>
      <c r="AD576" s="253"/>
      <c r="AE576" s="253"/>
      <c r="AF576" s="253"/>
      <c r="AG576" s="253"/>
      <c r="AH576" s="253"/>
      <c r="AI576" s="250"/>
      <c r="AJ576" s="250"/>
      <c r="AK576" s="253"/>
      <c r="AL576" s="253"/>
      <c r="AM576" s="253"/>
      <c r="AN576" s="253"/>
      <c r="AO576" s="253"/>
      <c r="AP576" s="253"/>
      <c r="AQ576" s="253"/>
      <c r="AR576" s="253"/>
      <c r="AS576" s="253"/>
      <c r="AT576" s="253"/>
      <c r="AU576" s="253"/>
      <c r="AV576" s="253"/>
      <c r="AW576" s="252"/>
      <c r="AX576" s="252"/>
      <c r="AY576" s="252"/>
      <c r="AZ576" s="253"/>
      <c r="BA576" s="225"/>
      <c r="BB576" s="225"/>
      <c r="BC576" s="225"/>
    </row>
    <row r="577" spans="1:55" ht="21" customHeight="1">
      <c r="A577" s="212"/>
      <c r="B577" s="249">
        <v>46054</v>
      </c>
      <c r="C577" s="250" t="s">
        <v>393</v>
      </c>
      <c r="D577" s="250" t="s">
        <v>1179</v>
      </c>
      <c r="E577" s="225" t="s">
        <v>1180</v>
      </c>
      <c r="F577" s="253"/>
      <c r="G577" s="225"/>
      <c r="H577" s="253"/>
      <c r="I577" s="253"/>
      <c r="J577" s="253"/>
      <c r="K577" s="253"/>
      <c r="L577" s="253"/>
      <c r="M577" s="253"/>
      <c r="N577" s="250"/>
      <c r="O577" s="253"/>
      <c r="P577" s="253"/>
      <c r="Q577" s="253"/>
      <c r="R577" s="253"/>
      <c r="S577" s="253"/>
      <c r="T577" s="253"/>
      <c r="U577" s="253"/>
      <c r="V577" s="253"/>
      <c r="W577" s="253"/>
      <c r="X577" s="250"/>
      <c r="Y577" s="250"/>
      <c r="Z577" s="225"/>
      <c r="AA577" s="225"/>
      <c r="AB577" s="253"/>
      <c r="AC577" s="253"/>
      <c r="AD577" s="253"/>
      <c r="AE577" s="253"/>
      <c r="AF577" s="253"/>
      <c r="AG577" s="253"/>
      <c r="AH577" s="253"/>
      <c r="AI577" s="253"/>
      <c r="AJ577" s="250"/>
      <c r="AK577" s="253"/>
      <c r="AL577" s="253"/>
      <c r="AM577" s="253"/>
      <c r="AN577" s="253"/>
      <c r="AO577" s="253"/>
      <c r="AP577" s="253"/>
      <c r="AQ577" s="253"/>
      <c r="AR577" s="253"/>
      <c r="AS577" s="253"/>
      <c r="AT577" s="253"/>
      <c r="AU577" s="253"/>
      <c r="AV577" s="253"/>
      <c r="AW577" s="252"/>
      <c r="AX577" s="252"/>
      <c r="AY577" s="252"/>
      <c r="AZ577" s="253"/>
      <c r="BA577" s="225"/>
      <c r="BB577" s="225"/>
      <c r="BC577" s="225"/>
    </row>
    <row r="578" spans="1:55" ht="21" customHeight="1">
      <c r="A578" s="212"/>
      <c r="B578" s="249">
        <v>46113</v>
      </c>
      <c r="C578" s="250" t="s">
        <v>389</v>
      </c>
      <c r="D578" s="250" t="s">
        <v>1181</v>
      </c>
      <c r="E578" s="225" t="s">
        <v>2625</v>
      </c>
      <c r="F578" s="253"/>
      <c r="G578" s="225"/>
      <c r="H578" s="253"/>
      <c r="I578" s="253"/>
      <c r="J578" s="253"/>
      <c r="K578" s="253"/>
      <c r="L578" s="253"/>
      <c r="M578" s="253"/>
      <c r="N578" s="253"/>
      <c r="O578" s="225">
        <v>1</v>
      </c>
      <c r="P578" s="225">
        <v>1</v>
      </c>
      <c r="Q578" s="253"/>
      <c r="R578" s="253"/>
      <c r="S578" s="253"/>
      <c r="T578" s="253"/>
      <c r="U578" s="253"/>
      <c r="V578" s="253"/>
      <c r="W578" s="253"/>
      <c r="X578" s="253"/>
      <c r="Y578" s="253"/>
      <c r="Z578" s="225"/>
      <c r="AA578" s="225">
        <v>1</v>
      </c>
      <c r="AB578" s="253"/>
      <c r="AC578" s="253"/>
      <c r="AD578" s="253"/>
      <c r="AE578" s="253"/>
      <c r="AF578" s="253"/>
      <c r="AG578" s="253"/>
      <c r="AH578" s="253"/>
      <c r="AI578" s="253"/>
      <c r="AJ578" s="253"/>
      <c r="AK578" s="253"/>
      <c r="AL578" s="225">
        <v>1</v>
      </c>
      <c r="AM578" s="253"/>
      <c r="AN578" s="253"/>
      <c r="AO578" s="253"/>
      <c r="AP578" s="253"/>
      <c r="AQ578" s="253"/>
      <c r="AR578" s="253"/>
      <c r="AS578" s="253"/>
      <c r="AT578" s="253"/>
      <c r="AU578" s="253"/>
      <c r="AV578" s="253"/>
      <c r="AW578" s="252">
        <v>1</v>
      </c>
      <c r="AX578" s="252"/>
      <c r="AY578" s="252">
        <v>1</v>
      </c>
      <c r="AZ578" s="253"/>
      <c r="BA578" s="225">
        <v>1</v>
      </c>
      <c r="BB578" s="225">
        <v>1</v>
      </c>
      <c r="BC578" s="225">
        <v>1</v>
      </c>
    </row>
    <row r="579" spans="1:55" ht="21" customHeight="1">
      <c r="A579" s="212"/>
      <c r="B579" s="249">
        <v>46113</v>
      </c>
      <c r="C579" s="250" t="s">
        <v>389</v>
      </c>
      <c r="D579" s="250" t="s">
        <v>1182</v>
      </c>
      <c r="E579" s="225" t="s">
        <v>2626</v>
      </c>
      <c r="F579" s="253"/>
      <c r="G579" s="225"/>
      <c r="H579" s="253"/>
      <c r="I579" s="253"/>
      <c r="J579" s="253"/>
      <c r="K579" s="253"/>
      <c r="L579" s="253"/>
      <c r="M579" s="253"/>
      <c r="N579" s="253"/>
      <c r="O579" s="253"/>
      <c r="P579" s="225"/>
      <c r="Q579" s="253"/>
      <c r="R579" s="253"/>
      <c r="S579" s="253"/>
      <c r="T579" s="253"/>
      <c r="U579" s="253"/>
      <c r="V579" s="253"/>
      <c r="W579" s="253"/>
      <c r="X579" s="253"/>
      <c r="Y579" s="253"/>
      <c r="Z579" s="225"/>
      <c r="AA579" s="225">
        <v>1</v>
      </c>
      <c r="AB579" s="253"/>
      <c r="AC579" s="253"/>
      <c r="AD579" s="253"/>
      <c r="AE579" s="253"/>
      <c r="AF579" s="253"/>
      <c r="AG579" s="253"/>
      <c r="AH579" s="253"/>
      <c r="AI579" s="253"/>
      <c r="AJ579" s="253"/>
      <c r="AK579" s="253"/>
      <c r="AL579" s="225">
        <v>1</v>
      </c>
      <c r="AM579" s="253"/>
      <c r="AN579" s="253"/>
      <c r="AO579" s="253"/>
      <c r="AP579" s="253"/>
      <c r="AQ579" s="253"/>
      <c r="AR579" s="253"/>
      <c r="AS579" s="253"/>
      <c r="AT579" s="253"/>
      <c r="AU579" s="253"/>
      <c r="AV579" s="253"/>
      <c r="AW579" s="252">
        <v>1</v>
      </c>
      <c r="AX579" s="252"/>
      <c r="AY579" s="252">
        <v>1</v>
      </c>
      <c r="AZ579" s="253"/>
      <c r="BA579" s="225"/>
      <c r="BB579" s="225"/>
      <c r="BC579" s="225"/>
    </row>
    <row r="580" spans="1:55" ht="21" customHeight="1">
      <c r="A580" s="212"/>
      <c r="B580" s="249">
        <v>46113</v>
      </c>
      <c r="C580" s="250" t="s">
        <v>389</v>
      </c>
      <c r="D580" s="250" t="s">
        <v>1183</v>
      </c>
      <c r="E580" s="225" t="s">
        <v>2627</v>
      </c>
      <c r="F580" s="253"/>
      <c r="G580" s="225"/>
      <c r="H580" s="253"/>
      <c r="I580" s="253"/>
      <c r="J580" s="253"/>
      <c r="K580" s="253"/>
      <c r="L580" s="253"/>
      <c r="M580" s="253"/>
      <c r="N580" s="253"/>
      <c r="O580" s="253"/>
      <c r="P580" s="225">
        <v>1</v>
      </c>
      <c r="Q580" s="253"/>
      <c r="R580" s="253"/>
      <c r="S580" s="253"/>
      <c r="T580" s="253"/>
      <c r="U580" s="253"/>
      <c r="V580" s="253"/>
      <c r="W580" s="253"/>
      <c r="X580" s="253"/>
      <c r="Y580" s="253"/>
      <c r="Z580" s="225"/>
      <c r="AA580" s="225">
        <v>1</v>
      </c>
      <c r="AB580" s="253"/>
      <c r="AC580" s="253"/>
      <c r="AD580" s="253"/>
      <c r="AE580" s="253"/>
      <c r="AF580" s="253"/>
      <c r="AG580" s="253"/>
      <c r="AH580" s="253"/>
      <c r="AI580" s="253"/>
      <c r="AJ580" s="253"/>
      <c r="AK580" s="253"/>
      <c r="AL580" s="225">
        <v>1</v>
      </c>
      <c r="AM580" s="253"/>
      <c r="AN580" s="253"/>
      <c r="AO580" s="253"/>
      <c r="AP580" s="253"/>
      <c r="AQ580" s="253"/>
      <c r="AR580" s="253"/>
      <c r="AS580" s="253"/>
      <c r="AT580" s="253"/>
      <c r="AU580" s="253"/>
      <c r="AV580" s="253"/>
      <c r="AW580" s="252">
        <v>1</v>
      </c>
      <c r="AX580" s="252"/>
      <c r="AY580" s="252">
        <v>1</v>
      </c>
      <c r="AZ580" s="253"/>
      <c r="BA580" s="225">
        <v>1</v>
      </c>
      <c r="BB580" s="225"/>
      <c r="BC580" s="225"/>
    </row>
    <row r="581" spans="1:55" ht="21" customHeight="1">
      <c r="A581" s="212"/>
      <c r="B581" s="249">
        <v>46113</v>
      </c>
      <c r="C581" s="250" t="s">
        <v>389</v>
      </c>
      <c r="D581" s="250" t="s">
        <v>1184</v>
      </c>
      <c r="E581" s="225" t="s">
        <v>2628</v>
      </c>
      <c r="F581" s="253"/>
      <c r="G581" s="225"/>
      <c r="H581" s="253"/>
      <c r="I581" s="253"/>
      <c r="J581" s="253"/>
      <c r="K581" s="253"/>
      <c r="L581" s="253"/>
      <c r="M581" s="253"/>
      <c r="N581" s="253"/>
      <c r="O581" s="253"/>
      <c r="P581" s="225">
        <v>1</v>
      </c>
      <c r="Q581" s="253"/>
      <c r="R581" s="253"/>
      <c r="S581" s="253"/>
      <c r="T581" s="253"/>
      <c r="U581" s="253"/>
      <c r="V581" s="253"/>
      <c r="W581" s="253"/>
      <c r="X581" s="253"/>
      <c r="Y581" s="253"/>
      <c r="Z581" s="225"/>
      <c r="AA581" s="225">
        <v>1</v>
      </c>
      <c r="AB581" s="253"/>
      <c r="AC581" s="253"/>
      <c r="AD581" s="253"/>
      <c r="AE581" s="253"/>
      <c r="AF581" s="253"/>
      <c r="AG581" s="253"/>
      <c r="AH581" s="253"/>
      <c r="AI581" s="253"/>
      <c r="AJ581" s="253"/>
      <c r="AK581" s="253"/>
      <c r="AL581" s="225">
        <v>1</v>
      </c>
      <c r="AM581" s="253"/>
      <c r="AN581" s="253"/>
      <c r="AO581" s="253"/>
      <c r="AP581" s="253"/>
      <c r="AQ581" s="253"/>
      <c r="AR581" s="253"/>
      <c r="AS581" s="253"/>
      <c r="AT581" s="253"/>
      <c r="AU581" s="253"/>
      <c r="AV581" s="253"/>
      <c r="AW581" s="252">
        <v>1</v>
      </c>
      <c r="AX581" s="252"/>
      <c r="AY581" s="252">
        <v>1</v>
      </c>
      <c r="AZ581" s="253"/>
      <c r="BA581" s="225">
        <v>1</v>
      </c>
      <c r="BB581" s="225"/>
      <c r="BC581" s="225"/>
    </row>
    <row r="582" spans="1:55" ht="21" customHeight="1">
      <c r="A582" s="212"/>
      <c r="B582" s="249">
        <v>46113</v>
      </c>
      <c r="C582" s="250" t="s">
        <v>389</v>
      </c>
      <c r="D582" s="250" t="s">
        <v>1185</v>
      </c>
      <c r="E582" s="225" t="s">
        <v>2629</v>
      </c>
      <c r="F582" s="253"/>
      <c r="G582" s="225"/>
      <c r="H582" s="253"/>
      <c r="I582" s="253"/>
      <c r="J582" s="253"/>
      <c r="K582" s="253"/>
      <c r="L582" s="253"/>
      <c r="M582" s="253"/>
      <c r="N582" s="253"/>
      <c r="O582" s="253"/>
      <c r="P582" s="225"/>
      <c r="Q582" s="253"/>
      <c r="R582" s="253"/>
      <c r="S582" s="253"/>
      <c r="T582" s="253"/>
      <c r="U582" s="253"/>
      <c r="V582" s="253"/>
      <c r="W582" s="253"/>
      <c r="X582" s="253"/>
      <c r="Y582" s="253"/>
      <c r="Z582" s="225"/>
      <c r="AA582" s="225"/>
      <c r="AB582" s="253"/>
      <c r="AC582" s="253"/>
      <c r="AD582" s="253"/>
      <c r="AE582" s="253"/>
      <c r="AF582" s="253"/>
      <c r="AG582" s="253"/>
      <c r="AH582" s="253"/>
      <c r="AI582" s="253"/>
      <c r="AJ582" s="253"/>
      <c r="AK582" s="253"/>
      <c r="AL582" s="225"/>
      <c r="AM582" s="253"/>
      <c r="AN582" s="253"/>
      <c r="AO582" s="253"/>
      <c r="AP582" s="253"/>
      <c r="AQ582" s="253"/>
      <c r="AR582" s="253"/>
      <c r="AS582" s="253"/>
      <c r="AT582" s="253"/>
      <c r="AU582" s="253"/>
      <c r="AV582" s="253"/>
      <c r="AW582" s="252"/>
      <c r="AX582" s="252"/>
      <c r="AY582" s="252"/>
      <c r="AZ582" s="253"/>
      <c r="BA582" s="225">
        <v>1</v>
      </c>
      <c r="BB582" s="225"/>
      <c r="BC582" s="225"/>
    </row>
    <row r="583" spans="1:55" ht="21" customHeight="1">
      <c r="A583" s="212"/>
      <c r="B583" s="249">
        <v>46113</v>
      </c>
      <c r="C583" s="250" t="s">
        <v>389</v>
      </c>
      <c r="D583" s="250" t="s">
        <v>1186</v>
      </c>
      <c r="E583" s="225" t="s">
        <v>2630</v>
      </c>
      <c r="F583" s="253"/>
      <c r="G583" s="225"/>
      <c r="H583" s="253"/>
      <c r="I583" s="253"/>
      <c r="J583" s="253"/>
      <c r="K583" s="253"/>
      <c r="L583" s="253"/>
      <c r="M583" s="253"/>
      <c r="N583" s="253"/>
      <c r="O583" s="253"/>
      <c r="P583" s="225">
        <v>1</v>
      </c>
      <c r="Q583" s="253"/>
      <c r="R583" s="253"/>
      <c r="S583" s="253"/>
      <c r="T583" s="253"/>
      <c r="U583" s="253"/>
      <c r="V583" s="253"/>
      <c r="W583" s="253"/>
      <c r="X583" s="253"/>
      <c r="Y583" s="253"/>
      <c r="Z583" s="225"/>
      <c r="AA583" s="225">
        <v>1</v>
      </c>
      <c r="AB583" s="253"/>
      <c r="AC583" s="253"/>
      <c r="AD583" s="253"/>
      <c r="AE583" s="253"/>
      <c r="AF583" s="253"/>
      <c r="AG583" s="253"/>
      <c r="AH583" s="253"/>
      <c r="AI583" s="253"/>
      <c r="AJ583" s="253"/>
      <c r="AK583" s="253"/>
      <c r="AL583" s="225">
        <v>1</v>
      </c>
      <c r="AM583" s="253"/>
      <c r="AN583" s="253"/>
      <c r="AO583" s="253"/>
      <c r="AP583" s="253"/>
      <c r="AQ583" s="253"/>
      <c r="AR583" s="253"/>
      <c r="AS583" s="253"/>
      <c r="AT583" s="253"/>
      <c r="AU583" s="253"/>
      <c r="AV583" s="253"/>
      <c r="AW583" s="252">
        <v>1</v>
      </c>
      <c r="AX583" s="252"/>
      <c r="AY583" s="252"/>
      <c r="AZ583" s="253"/>
      <c r="BA583" s="225">
        <v>1</v>
      </c>
      <c r="BB583" s="225"/>
      <c r="BC583" s="225"/>
    </row>
    <row r="584" spans="1:55" ht="21" customHeight="1">
      <c r="A584" s="212"/>
      <c r="B584" s="249">
        <v>46113</v>
      </c>
      <c r="C584" s="250" t="s">
        <v>389</v>
      </c>
      <c r="D584" s="250" t="s">
        <v>1187</v>
      </c>
      <c r="E584" s="225" t="s">
        <v>2631</v>
      </c>
      <c r="F584" s="253"/>
      <c r="G584" s="225"/>
      <c r="H584" s="253"/>
      <c r="I584" s="253"/>
      <c r="J584" s="253"/>
      <c r="K584" s="253"/>
      <c r="L584" s="253"/>
      <c r="M584" s="253"/>
      <c r="N584" s="253"/>
      <c r="O584" s="253"/>
      <c r="P584" s="225">
        <v>1</v>
      </c>
      <c r="Q584" s="253"/>
      <c r="R584" s="253"/>
      <c r="S584" s="253"/>
      <c r="T584" s="253"/>
      <c r="U584" s="253"/>
      <c r="V584" s="253"/>
      <c r="W584" s="253"/>
      <c r="X584" s="253"/>
      <c r="Y584" s="253"/>
      <c r="Z584" s="225"/>
      <c r="AA584" s="225">
        <v>1</v>
      </c>
      <c r="AB584" s="253"/>
      <c r="AC584" s="253"/>
      <c r="AD584" s="253"/>
      <c r="AE584" s="253"/>
      <c r="AF584" s="253"/>
      <c r="AG584" s="253"/>
      <c r="AH584" s="253"/>
      <c r="AI584" s="253"/>
      <c r="AJ584" s="253"/>
      <c r="AK584" s="253"/>
      <c r="AL584" s="225">
        <v>1</v>
      </c>
      <c r="AM584" s="253"/>
      <c r="AN584" s="253"/>
      <c r="AO584" s="253"/>
      <c r="AP584" s="253"/>
      <c r="AQ584" s="253"/>
      <c r="AR584" s="253"/>
      <c r="AS584" s="253"/>
      <c r="AT584" s="253"/>
      <c r="AU584" s="253"/>
      <c r="AV584" s="253"/>
      <c r="AW584" s="252">
        <v>1</v>
      </c>
      <c r="AX584" s="252"/>
      <c r="AY584" s="252">
        <v>1</v>
      </c>
      <c r="AZ584" s="253"/>
      <c r="BA584" s="225">
        <v>1</v>
      </c>
      <c r="BB584" s="225"/>
      <c r="BC584" s="225"/>
    </row>
    <row r="585" spans="1:55" ht="21" customHeight="1">
      <c r="A585" s="212"/>
      <c r="B585" s="249">
        <v>46113</v>
      </c>
      <c r="C585" s="250" t="s">
        <v>389</v>
      </c>
      <c r="D585" s="250" t="s">
        <v>1188</v>
      </c>
      <c r="E585" s="225" t="s">
        <v>2632</v>
      </c>
      <c r="F585" s="253"/>
      <c r="G585" s="225"/>
      <c r="H585" s="253"/>
      <c r="I585" s="253"/>
      <c r="J585" s="253"/>
      <c r="K585" s="253"/>
      <c r="L585" s="253"/>
      <c r="M585" s="253"/>
      <c r="N585" s="253"/>
      <c r="O585" s="253"/>
      <c r="P585" s="225"/>
      <c r="Q585" s="253"/>
      <c r="R585" s="253"/>
      <c r="S585" s="253"/>
      <c r="T585" s="253"/>
      <c r="U585" s="253"/>
      <c r="V585" s="253"/>
      <c r="W585" s="253"/>
      <c r="X585" s="253"/>
      <c r="Y585" s="253"/>
      <c r="Z585" s="225"/>
      <c r="AA585" s="225">
        <v>1</v>
      </c>
      <c r="AB585" s="253"/>
      <c r="AC585" s="253"/>
      <c r="AD585" s="253"/>
      <c r="AE585" s="253"/>
      <c r="AF585" s="253"/>
      <c r="AG585" s="253"/>
      <c r="AH585" s="253"/>
      <c r="AI585" s="253"/>
      <c r="AJ585" s="253"/>
      <c r="AK585" s="253"/>
      <c r="AL585" s="225">
        <v>1</v>
      </c>
      <c r="AM585" s="253"/>
      <c r="AN585" s="253"/>
      <c r="AO585" s="253"/>
      <c r="AP585" s="253"/>
      <c r="AQ585" s="253"/>
      <c r="AR585" s="253"/>
      <c r="AS585" s="253"/>
      <c r="AT585" s="253"/>
      <c r="AU585" s="253"/>
      <c r="AV585" s="253"/>
      <c r="AW585" s="252">
        <v>1</v>
      </c>
      <c r="AX585" s="252"/>
      <c r="AY585" s="252">
        <v>1</v>
      </c>
      <c r="AZ585" s="253"/>
      <c r="BA585" s="225">
        <v>1</v>
      </c>
      <c r="BB585" s="225"/>
      <c r="BC585" s="225"/>
    </row>
    <row r="586" spans="1:55" ht="21" customHeight="1">
      <c r="A586" s="212"/>
      <c r="B586" s="249">
        <v>46113</v>
      </c>
      <c r="C586" s="250" t="s">
        <v>389</v>
      </c>
      <c r="D586" s="250" t="s">
        <v>1189</v>
      </c>
      <c r="E586" s="225" t="s">
        <v>2633</v>
      </c>
      <c r="F586" s="253"/>
      <c r="G586" s="225"/>
      <c r="H586" s="253"/>
      <c r="I586" s="253"/>
      <c r="J586" s="253"/>
      <c r="K586" s="253"/>
      <c r="L586" s="253"/>
      <c r="M586" s="253"/>
      <c r="N586" s="253"/>
      <c r="O586" s="253"/>
      <c r="P586" s="225">
        <v>1</v>
      </c>
      <c r="Q586" s="253"/>
      <c r="R586" s="253"/>
      <c r="S586" s="253"/>
      <c r="T586" s="253"/>
      <c r="U586" s="253"/>
      <c r="V586" s="253"/>
      <c r="W586" s="253"/>
      <c r="X586" s="253"/>
      <c r="Y586" s="253"/>
      <c r="Z586" s="225"/>
      <c r="AA586" s="225">
        <v>1</v>
      </c>
      <c r="AB586" s="253"/>
      <c r="AC586" s="253"/>
      <c r="AD586" s="253"/>
      <c r="AE586" s="253"/>
      <c r="AF586" s="253"/>
      <c r="AG586" s="253"/>
      <c r="AH586" s="253"/>
      <c r="AI586" s="253"/>
      <c r="AJ586" s="253"/>
      <c r="AK586" s="253"/>
      <c r="AL586" s="225">
        <v>1</v>
      </c>
      <c r="AM586" s="253"/>
      <c r="AN586" s="253"/>
      <c r="AO586" s="253"/>
      <c r="AP586" s="253"/>
      <c r="AQ586" s="253"/>
      <c r="AR586" s="253"/>
      <c r="AS586" s="253"/>
      <c r="AT586" s="253"/>
      <c r="AU586" s="253"/>
      <c r="AV586" s="253"/>
      <c r="AW586" s="252">
        <v>1</v>
      </c>
      <c r="AX586" s="252"/>
      <c r="AY586" s="252">
        <v>1</v>
      </c>
      <c r="AZ586" s="253"/>
      <c r="BA586" s="225">
        <v>1</v>
      </c>
      <c r="BB586" s="225"/>
      <c r="BC586" s="225"/>
    </row>
    <row r="587" spans="1:55" ht="21" customHeight="1">
      <c r="A587" s="212"/>
      <c r="B587" s="249">
        <v>46113</v>
      </c>
      <c r="C587" s="250" t="s">
        <v>389</v>
      </c>
      <c r="D587" s="250" t="s">
        <v>1190</v>
      </c>
      <c r="E587" s="225" t="s">
        <v>2634</v>
      </c>
      <c r="F587" s="253"/>
      <c r="G587" s="225"/>
      <c r="H587" s="253"/>
      <c r="I587" s="253"/>
      <c r="J587" s="253"/>
      <c r="K587" s="253"/>
      <c r="L587" s="253"/>
      <c r="M587" s="253"/>
      <c r="N587" s="253"/>
      <c r="O587" s="253"/>
      <c r="P587" s="225">
        <v>1</v>
      </c>
      <c r="Q587" s="253"/>
      <c r="R587" s="253"/>
      <c r="S587" s="253"/>
      <c r="T587" s="253"/>
      <c r="U587" s="253"/>
      <c r="V587" s="253"/>
      <c r="W587" s="253"/>
      <c r="X587" s="253"/>
      <c r="Y587" s="253"/>
      <c r="Z587" s="225"/>
      <c r="AA587" s="225">
        <v>1</v>
      </c>
      <c r="AB587" s="253"/>
      <c r="AC587" s="253"/>
      <c r="AD587" s="253"/>
      <c r="AE587" s="253"/>
      <c r="AF587" s="253"/>
      <c r="AG587" s="253"/>
      <c r="AH587" s="253"/>
      <c r="AI587" s="253"/>
      <c r="AJ587" s="253"/>
      <c r="AK587" s="253"/>
      <c r="AL587" s="225">
        <v>1</v>
      </c>
      <c r="AM587" s="253"/>
      <c r="AN587" s="253"/>
      <c r="AO587" s="253"/>
      <c r="AP587" s="253"/>
      <c r="AQ587" s="253"/>
      <c r="AR587" s="253"/>
      <c r="AS587" s="253"/>
      <c r="AT587" s="253"/>
      <c r="AU587" s="253"/>
      <c r="AV587" s="253"/>
      <c r="AW587" s="252">
        <v>1</v>
      </c>
      <c r="AX587" s="252"/>
      <c r="AY587" s="252">
        <v>1</v>
      </c>
      <c r="AZ587" s="253"/>
      <c r="BA587" s="225">
        <v>1</v>
      </c>
      <c r="BB587" s="225"/>
      <c r="BC587" s="225"/>
    </row>
    <row r="588" spans="1:55" ht="21" customHeight="1">
      <c r="A588" s="212"/>
      <c r="B588" s="249">
        <v>46113</v>
      </c>
      <c r="C588" s="250" t="s">
        <v>389</v>
      </c>
      <c r="D588" s="250" t="s">
        <v>1191</v>
      </c>
      <c r="E588" s="225" t="s">
        <v>2635</v>
      </c>
      <c r="F588" s="253"/>
      <c r="G588" s="225"/>
      <c r="H588" s="253"/>
      <c r="I588" s="253"/>
      <c r="J588" s="253"/>
      <c r="K588" s="253"/>
      <c r="L588" s="253"/>
      <c r="M588" s="253"/>
      <c r="N588" s="253"/>
      <c r="O588" s="253"/>
      <c r="P588" s="225">
        <v>1</v>
      </c>
      <c r="Q588" s="253"/>
      <c r="R588" s="253"/>
      <c r="S588" s="253"/>
      <c r="T588" s="253"/>
      <c r="U588" s="253"/>
      <c r="V588" s="253"/>
      <c r="W588" s="253"/>
      <c r="X588" s="253"/>
      <c r="Y588" s="253"/>
      <c r="Z588" s="225"/>
      <c r="AA588" s="225">
        <v>1</v>
      </c>
      <c r="AB588" s="253"/>
      <c r="AC588" s="253"/>
      <c r="AD588" s="253"/>
      <c r="AE588" s="253"/>
      <c r="AF588" s="253"/>
      <c r="AG588" s="253"/>
      <c r="AH588" s="253"/>
      <c r="AI588" s="253"/>
      <c r="AJ588" s="253"/>
      <c r="AK588" s="253"/>
      <c r="AL588" s="225">
        <v>1</v>
      </c>
      <c r="AM588" s="253"/>
      <c r="AN588" s="253"/>
      <c r="AO588" s="253"/>
      <c r="AP588" s="253"/>
      <c r="AQ588" s="253"/>
      <c r="AR588" s="253"/>
      <c r="AS588" s="253"/>
      <c r="AT588" s="253"/>
      <c r="AU588" s="253"/>
      <c r="AV588" s="253"/>
      <c r="AW588" s="252">
        <v>1</v>
      </c>
      <c r="AX588" s="252"/>
      <c r="AY588" s="252">
        <v>1</v>
      </c>
      <c r="AZ588" s="253"/>
      <c r="BA588" s="225">
        <v>1</v>
      </c>
      <c r="BB588" s="225"/>
      <c r="BC588" s="225"/>
    </row>
    <row r="589" spans="1:55" ht="21" customHeight="1">
      <c r="A589" s="212"/>
      <c r="B589" s="249">
        <v>46113</v>
      </c>
      <c r="C589" s="250" t="s">
        <v>389</v>
      </c>
      <c r="D589" s="250" t="s">
        <v>1192</v>
      </c>
      <c r="E589" s="225" t="s">
        <v>2636</v>
      </c>
      <c r="F589" s="253"/>
      <c r="G589" s="225"/>
      <c r="H589" s="253"/>
      <c r="I589" s="253"/>
      <c r="J589" s="253"/>
      <c r="K589" s="253"/>
      <c r="L589" s="253"/>
      <c r="M589" s="253"/>
      <c r="N589" s="253"/>
      <c r="O589" s="253"/>
      <c r="P589" s="225">
        <v>1</v>
      </c>
      <c r="Q589" s="253"/>
      <c r="R589" s="253"/>
      <c r="S589" s="253"/>
      <c r="T589" s="253"/>
      <c r="U589" s="253"/>
      <c r="V589" s="253"/>
      <c r="W589" s="253"/>
      <c r="X589" s="253"/>
      <c r="Y589" s="253"/>
      <c r="Z589" s="225"/>
      <c r="AA589" s="225">
        <v>1</v>
      </c>
      <c r="AB589" s="253"/>
      <c r="AC589" s="253"/>
      <c r="AD589" s="253"/>
      <c r="AE589" s="253"/>
      <c r="AF589" s="253"/>
      <c r="AG589" s="253"/>
      <c r="AH589" s="253"/>
      <c r="AI589" s="253"/>
      <c r="AJ589" s="253"/>
      <c r="AK589" s="253"/>
      <c r="AL589" s="225">
        <v>1</v>
      </c>
      <c r="AM589" s="253"/>
      <c r="AN589" s="253"/>
      <c r="AO589" s="253"/>
      <c r="AP589" s="253"/>
      <c r="AQ589" s="253"/>
      <c r="AR589" s="253"/>
      <c r="AS589" s="253"/>
      <c r="AT589" s="253"/>
      <c r="AU589" s="253"/>
      <c r="AV589" s="253"/>
      <c r="AW589" s="252">
        <v>1</v>
      </c>
      <c r="AX589" s="252"/>
      <c r="AY589" s="252">
        <v>1</v>
      </c>
      <c r="AZ589" s="253"/>
      <c r="BA589" s="225">
        <v>1</v>
      </c>
      <c r="BB589" s="225"/>
      <c r="BC589" s="225"/>
    </row>
    <row r="590" spans="1:55" ht="21" customHeight="1">
      <c r="A590" s="212"/>
      <c r="B590" s="249">
        <v>46113</v>
      </c>
      <c r="C590" s="250" t="s">
        <v>389</v>
      </c>
      <c r="D590" s="250" t="s">
        <v>1193</v>
      </c>
      <c r="E590" s="225" t="s">
        <v>2637</v>
      </c>
      <c r="F590" s="253"/>
      <c r="G590" s="225"/>
      <c r="H590" s="253"/>
      <c r="I590" s="253"/>
      <c r="J590" s="253"/>
      <c r="K590" s="253"/>
      <c r="L590" s="253"/>
      <c r="M590" s="253"/>
      <c r="N590" s="253"/>
      <c r="O590" s="253"/>
      <c r="P590" s="225">
        <v>1</v>
      </c>
      <c r="Q590" s="253"/>
      <c r="R590" s="253"/>
      <c r="S590" s="253"/>
      <c r="T590" s="253"/>
      <c r="U590" s="253"/>
      <c r="V590" s="253"/>
      <c r="W590" s="253"/>
      <c r="X590" s="253"/>
      <c r="Y590" s="253"/>
      <c r="Z590" s="225"/>
      <c r="AA590" s="225">
        <v>1</v>
      </c>
      <c r="AB590" s="253"/>
      <c r="AC590" s="253"/>
      <c r="AD590" s="253"/>
      <c r="AE590" s="253"/>
      <c r="AF590" s="253"/>
      <c r="AG590" s="253"/>
      <c r="AH590" s="253"/>
      <c r="AI590" s="253"/>
      <c r="AJ590" s="253"/>
      <c r="AK590" s="253"/>
      <c r="AL590" s="225">
        <v>1</v>
      </c>
      <c r="AM590" s="253"/>
      <c r="AN590" s="253"/>
      <c r="AO590" s="253"/>
      <c r="AP590" s="253"/>
      <c r="AQ590" s="253"/>
      <c r="AR590" s="253"/>
      <c r="AS590" s="253"/>
      <c r="AT590" s="253"/>
      <c r="AU590" s="253"/>
      <c r="AV590" s="253"/>
      <c r="AW590" s="252">
        <v>1</v>
      </c>
      <c r="AX590" s="252">
        <v>1</v>
      </c>
      <c r="AY590" s="252">
        <v>1</v>
      </c>
      <c r="AZ590" s="253"/>
      <c r="BA590" s="225">
        <v>1</v>
      </c>
      <c r="BB590" s="225"/>
      <c r="BC590" s="225"/>
    </row>
    <row r="591" spans="1:55" ht="21" customHeight="1">
      <c r="A591" s="212"/>
      <c r="B591" s="249">
        <v>46113</v>
      </c>
      <c r="C591" s="250" t="s">
        <v>389</v>
      </c>
      <c r="D591" s="250" t="s">
        <v>1194</v>
      </c>
      <c r="E591" s="225" t="s">
        <v>2638</v>
      </c>
      <c r="F591" s="253"/>
      <c r="G591" s="225"/>
      <c r="H591" s="253"/>
      <c r="I591" s="253"/>
      <c r="J591" s="253"/>
      <c r="K591" s="253"/>
      <c r="L591" s="253"/>
      <c r="M591" s="253"/>
      <c r="N591" s="253"/>
      <c r="O591" s="253"/>
      <c r="P591" s="225">
        <v>1</v>
      </c>
      <c r="Q591" s="253"/>
      <c r="R591" s="253"/>
      <c r="S591" s="253"/>
      <c r="T591" s="253"/>
      <c r="U591" s="253"/>
      <c r="V591" s="253"/>
      <c r="W591" s="253"/>
      <c r="X591" s="253"/>
      <c r="Y591" s="253"/>
      <c r="Z591" s="225"/>
      <c r="AA591" s="225">
        <v>1</v>
      </c>
      <c r="AB591" s="253"/>
      <c r="AC591" s="253"/>
      <c r="AD591" s="253"/>
      <c r="AE591" s="253"/>
      <c r="AF591" s="253"/>
      <c r="AG591" s="253"/>
      <c r="AH591" s="253"/>
      <c r="AI591" s="253"/>
      <c r="AJ591" s="253"/>
      <c r="AK591" s="253"/>
      <c r="AL591" s="225">
        <v>1</v>
      </c>
      <c r="AM591" s="253"/>
      <c r="AN591" s="253"/>
      <c r="AO591" s="253"/>
      <c r="AP591" s="253"/>
      <c r="AQ591" s="253"/>
      <c r="AR591" s="253"/>
      <c r="AS591" s="253"/>
      <c r="AT591" s="253"/>
      <c r="AU591" s="253"/>
      <c r="AV591" s="253"/>
      <c r="AW591" s="252">
        <v>1</v>
      </c>
      <c r="AX591" s="252"/>
      <c r="AY591" s="252">
        <v>1</v>
      </c>
      <c r="AZ591" s="253"/>
      <c r="BA591" s="225">
        <v>1</v>
      </c>
      <c r="BB591" s="225"/>
      <c r="BC591" s="225"/>
    </row>
    <row r="592" spans="1:55" ht="21" customHeight="1">
      <c r="A592" s="212"/>
      <c r="B592" s="249">
        <v>46113</v>
      </c>
      <c r="C592" s="250" t="s">
        <v>389</v>
      </c>
      <c r="D592" s="250" t="s">
        <v>1195</v>
      </c>
      <c r="E592" s="225" t="s">
        <v>2639</v>
      </c>
      <c r="F592" s="253"/>
      <c r="G592" s="225"/>
      <c r="H592" s="253"/>
      <c r="I592" s="253"/>
      <c r="J592" s="253"/>
      <c r="K592" s="253"/>
      <c r="L592" s="253"/>
      <c r="M592" s="253"/>
      <c r="N592" s="253"/>
      <c r="O592" s="253"/>
      <c r="P592" s="225"/>
      <c r="Q592" s="253"/>
      <c r="R592" s="253"/>
      <c r="S592" s="253"/>
      <c r="T592" s="253"/>
      <c r="U592" s="253"/>
      <c r="V592" s="253"/>
      <c r="W592" s="253"/>
      <c r="X592" s="253"/>
      <c r="Y592" s="253"/>
      <c r="Z592" s="225"/>
      <c r="AA592" s="225">
        <v>1</v>
      </c>
      <c r="AB592" s="253"/>
      <c r="AC592" s="253"/>
      <c r="AD592" s="253"/>
      <c r="AE592" s="253"/>
      <c r="AF592" s="253"/>
      <c r="AG592" s="253"/>
      <c r="AH592" s="253"/>
      <c r="AI592" s="253"/>
      <c r="AJ592" s="253"/>
      <c r="AK592" s="253"/>
      <c r="AL592" s="225">
        <v>1</v>
      </c>
      <c r="AM592" s="253"/>
      <c r="AN592" s="253"/>
      <c r="AO592" s="253"/>
      <c r="AP592" s="253"/>
      <c r="AQ592" s="253"/>
      <c r="AR592" s="253"/>
      <c r="AS592" s="253"/>
      <c r="AT592" s="253"/>
      <c r="AU592" s="253"/>
      <c r="AV592" s="253"/>
      <c r="AW592" s="252">
        <v>1</v>
      </c>
      <c r="AX592" s="252"/>
      <c r="AY592" s="252">
        <v>1</v>
      </c>
      <c r="AZ592" s="253"/>
      <c r="BA592" s="225"/>
      <c r="BB592" s="225"/>
      <c r="BC592" s="225"/>
    </row>
    <row r="593" spans="1:55" ht="21" customHeight="1">
      <c r="A593" s="212"/>
      <c r="B593" s="249">
        <v>46113</v>
      </c>
      <c r="C593" s="250" t="s">
        <v>389</v>
      </c>
      <c r="D593" s="250" t="s">
        <v>1196</v>
      </c>
      <c r="E593" s="225" t="s">
        <v>2640</v>
      </c>
      <c r="F593" s="253"/>
      <c r="G593" s="225"/>
      <c r="H593" s="253"/>
      <c r="I593" s="253"/>
      <c r="J593" s="253"/>
      <c r="K593" s="253"/>
      <c r="L593" s="253"/>
      <c r="M593" s="253"/>
      <c r="N593" s="253"/>
      <c r="O593" s="253"/>
      <c r="P593" s="225">
        <v>1</v>
      </c>
      <c r="Q593" s="253"/>
      <c r="R593" s="253"/>
      <c r="S593" s="253"/>
      <c r="T593" s="253"/>
      <c r="U593" s="253"/>
      <c r="V593" s="253"/>
      <c r="W593" s="253"/>
      <c r="X593" s="253"/>
      <c r="Y593" s="253"/>
      <c r="Z593" s="225"/>
      <c r="AA593" s="225">
        <v>1</v>
      </c>
      <c r="AB593" s="253"/>
      <c r="AC593" s="253"/>
      <c r="AD593" s="253"/>
      <c r="AE593" s="253"/>
      <c r="AF593" s="253"/>
      <c r="AG593" s="253"/>
      <c r="AH593" s="253"/>
      <c r="AI593" s="253"/>
      <c r="AJ593" s="253"/>
      <c r="AK593" s="253"/>
      <c r="AL593" s="225">
        <v>1</v>
      </c>
      <c r="AM593" s="253"/>
      <c r="AN593" s="253"/>
      <c r="AO593" s="253"/>
      <c r="AP593" s="253"/>
      <c r="AQ593" s="253"/>
      <c r="AR593" s="253"/>
      <c r="AS593" s="253"/>
      <c r="AT593" s="253"/>
      <c r="AU593" s="253"/>
      <c r="AV593" s="253"/>
      <c r="AW593" s="252">
        <v>1</v>
      </c>
      <c r="AX593" s="252"/>
      <c r="AY593" s="252">
        <v>1</v>
      </c>
      <c r="AZ593" s="253"/>
      <c r="BA593" s="225">
        <v>1</v>
      </c>
      <c r="BB593" s="225"/>
      <c r="BC593" s="225"/>
    </row>
    <row r="594" spans="1:55" ht="21" customHeight="1">
      <c r="A594" s="212"/>
      <c r="B594" s="249">
        <v>46113</v>
      </c>
      <c r="C594" s="250" t="s">
        <v>389</v>
      </c>
      <c r="D594" s="250" t="s">
        <v>1197</v>
      </c>
      <c r="E594" s="225" t="s">
        <v>2641</v>
      </c>
      <c r="F594" s="253"/>
      <c r="G594" s="225"/>
      <c r="H594" s="253"/>
      <c r="I594" s="253"/>
      <c r="J594" s="253"/>
      <c r="K594" s="253"/>
      <c r="L594" s="253"/>
      <c r="M594" s="253"/>
      <c r="N594" s="253"/>
      <c r="O594" s="253"/>
      <c r="P594" s="225">
        <v>1</v>
      </c>
      <c r="Q594" s="253"/>
      <c r="R594" s="253"/>
      <c r="S594" s="253"/>
      <c r="T594" s="253"/>
      <c r="U594" s="253"/>
      <c r="V594" s="253"/>
      <c r="W594" s="253"/>
      <c r="X594" s="253"/>
      <c r="Y594" s="253"/>
      <c r="Z594" s="225"/>
      <c r="AA594" s="225">
        <v>1</v>
      </c>
      <c r="AB594" s="253"/>
      <c r="AC594" s="253"/>
      <c r="AD594" s="253"/>
      <c r="AE594" s="253"/>
      <c r="AF594" s="253"/>
      <c r="AG594" s="253"/>
      <c r="AH594" s="253"/>
      <c r="AI594" s="253"/>
      <c r="AJ594" s="253"/>
      <c r="AK594" s="253"/>
      <c r="AL594" s="225">
        <v>1</v>
      </c>
      <c r="AM594" s="253"/>
      <c r="AN594" s="253"/>
      <c r="AO594" s="253"/>
      <c r="AP594" s="253"/>
      <c r="AQ594" s="253"/>
      <c r="AR594" s="253"/>
      <c r="AS594" s="253"/>
      <c r="AT594" s="253"/>
      <c r="AU594" s="253"/>
      <c r="AV594" s="253"/>
      <c r="AW594" s="252">
        <v>1</v>
      </c>
      <c r="AX594" s="252"/>
      <c r="AY594" s="252">
        <v>1</v>
      </c>
      <c r="AZ594" s="253"/>
      <c r="BA594" s="225">
        <v>1</v>
      </c>
      <c r="BB594" s="225"/>
      <c r="BC594" s="225"/>
    </row>
    <row r="595" spans="1:55" ht="21" customHeight="1">
      <c r="A595" s="212"/>
      <c r="B595" s="249">
        <v>46113</v>
      </c>
      <c r="C595" s="250" t="s">
        <v>389</v>
      </c>
      <c r="D595" s="250" t="s">
        <v>1198</v>
      </c>
      <c r="E595" s="225" t="s">
        <v>2642</v>
      </c>
      <c r="F595" s="253"/>
      <c r="G595" s="225"/>
      <c r="H595" s="253"/>
      <c r="I595" s="253"/>
      <c r="J595" s="253"/>
      <c r="K595" s="253"/>
      <c r="L595" s="253"/>
      <c r="M595" s="253"/>
      <c r="N595" s="253"/>
      <c r="O595" s="253"/>
      <c r="P595" s="225">
        <v>1</v>
      </c>
      <c r="Q595" s="253"/>
      <c r="R595" s="253"/>
      <c r="S595" s="253"/>
      <c r="T595" s="253"/>
      <c r="U595" s="253"/>
      <c r="V595" s="253"/>
      <c r="W595" s="253"/>
      <c r="X595" s="253"/>
      <c r="Y595" s="253"/>
      <c r="Z595" s="225"/>
      <c r="AA595" s="225"/>
      <c r="AB595" s="253"/>
      <c r="AC595" s="253"/>
      <c r="AD595" s="253"/>
      <c r="AE595" s="253"/>
      <c r="AF595" s="253"/>
      <c r="AG595" s="253"/>
      <c r="AH595" s="253"/>
      <c r="AI595" s="253"/>
      <c r="AJ595" s="253"/>
      <c r="AK595" s="253"/>
      <c r="AL595" s="225">
        <v>1</v>
      </c>
      <c r="AM595" s="253"/>
      <c r="AN595" s="253"/>
      <c r="AO595" s="253"/>
      <c r="AP595" s="253"/>
      <c r="AQ595" s="253"/>
      <c r="AR595" s="253"/>
      <c r="AS595" s="253"/>
      <c r="AT595" s="253"/>
      <c r="AU595" s="253"/>
      <c r="AV595" s="253"/>
      <c r="AW595" s="252">
        <v>1</v>
      </c>
      <c r="AX595" s="252"/>
      <c r="AY595" s="252">
        <v>1</v>
      </c>
      <c r="AZ595" s="253"/>
      <c r="BA595" s="225">
        <v>1</v>
      </c>
      <c r="BB595" s="225"/>
      <c r="BC595" s="225"/>
    </row>
    <row r="596" spans="1:55" ht="21" customHeight="1">
      <c r="A596" s="212"/>
      <c r="B596" s="249">
        <v>46113</v>
      </c>
      <c r="C596" s="250" t="s">
        <v>389</v>
      </c>
      <c r="D596" s="250" t="s">
        <v>1199</v>
      </c>
      <c r="E596" s="225" t="s">
        <v>2643</v>
      </c>
      <c r="F596" s="253"/>
      <c r="G596" s="225"/>
      <c r="H596" s="253"/>
      <c r="I596" s="253"/>
      <c r="J596" s="253"/>
      <c r="K596" s="253"/>
      <c r="L596" s="253"/>
      <c r="M596" s="253"/>
      <c r="N596" s="253"/>
      <c r="O596" s="253"/>
      <c r="P596" s="225">
        <v>1</v>
      </c>
      <c r="Q596" s="253"/>
      <c r="R596" s="253"/>
      <c r="S596" s="253"/>
      <c r="T596" s="253"/>
      <c r="U596" s="253"/>
      <c r="V596" s="253"/>
      <c r="W596" s="253"/>
      <c r="X596" s="253"/>
      <c r="Y596" s="253"/>
      <c r="Z596" s="225"/>
      <c r="AA596" s="225">
        <v>1</v>
      </c>
      <c r="AB596" s="253"/>
      <c r="AC596" s="253"/>
      <c r="AD596" s="253"/>
      <c r="AE596" s="253"/>
      <c r="AF596" s="253"/>
      <c r="AG596" s="253"/>
      <c r="AH596" s="253"/>
      <c r="AI596" s="253"/>
      <c r="AJ596" s="253"/>
      <c r="AK596" s="253"/>
      <c r="AL596" s="225">
        <v>1</v>
      </c>
      <c r="AM596" s="253"/>
      <c r="AN596" s="253"/>
      <c r="AO596" s="253"/>
      <c r="AP596" s="253"/>
      <c r="AQ596" s="253"/>
      <c r="AR596" s="253"/>
      <c r="AS596" s="253"/>
      <c r="AT596" s="253"/>
      <c r="AU596" s="253"/>
      <c r="AV596" s="253"/>
      <c r="AW596" s="252">
        <v>1</v>
      </c>
      <c r="AX596" s="252"/>
      <c r="AY596" s="252">
        <v>1</v>
      </c>
      <c r="AZ596" s="253"/>
      <c r="BA596" s="225">
        <v>1</v>
      </c>
      <c r="BB596" s="225"/>
      <c r="BC596" s="225"/>
    </row>
    <row r="597" spans="1:55" ht="21" customHeight="1">
      <c r="A597" s="212"/>
      <c r="B597" s="249">
        <v>46113</v>
      </c>
      <c r="C597" s="250" t="s">
        <v>389</v>
      </c>
      <c r="D597" s="250" t="s">
        <v>1200</v>
      </c>
      <c r="E597" s="225" t="s">
        <v>2644</v>
      </c>
      <c r="F597" s="253"/>
      <c r="G597" s="225"/>
      <c r="H597" s="253"/>
      <c r="I597" s="253"/>
      <c r="J597" s="253"/>
      <c r="K597" s="253"/>
      <c r="L597" s="253"/>
      <c r="M597" s="253"/>
      <c r="N597" s="253"/>
      <c r="O597" s="253"/>
      <c r="P597" s="225">
        <v>1</v>
      </c>
      <c r="Q597" s="253"/>
      <c r="R597" s="253"/>
      <c r="S597" s="253"/>
      <c r="T597" s="253"/>
      <c r="U597" s="253"/>
      <c r="V597" s="253"/>
      <c r="W597" s="253"/>
      <c r="X597" s="253"/>
      <c r="Y597" s="253"/>
      <c r="Z597" s="225"/>
      <c r="AA597" s="225">
        <v>1</v>
      </c>
      <c r="AB597" s="253"/>
      <c r="AC597" s="253"/>
      <c r="AD597" s="253"/>
      <c r="AE597" s="253"/>
      <c r="AF597" s="253"/>
      <c r="AG597" s="253"/>
      <c r="AH597" s="253"/>
      <c r="AI597" s="253"/>
      <c r="AJ597" s="253"/>
      <c r="AK597" s="253"/>
      <c r="AL597" s="225">
        <v>1</v>
      </c>
      <c r="AM597" s="253"/>
      <c r="AN597" s="253"/>
      <c r="AO597" s="253"/>
      <c r="AP597" s="253"/>
      <c r="AQ597" s="253"/>
      <c r="AR597" s="253"/>
      <c r="AS597" s="253"/>
      <c r="AT597" s="253"/>
      <c r="AU597" s="253"/>
      <c r="AV597" s="253"/>
      <c r="AW597" s="252">
        <v>1</v>
      </c>
      <c r="AX597" s="252"/>
      <c r="AY597" s="252"/>
      <c r="AZ597" s="253"/>
      <c r="BA597" s="225">
        <v>1</v>
      </c>
      <c r="BB597" s="225"/>
      <c r="BC597" s="225"/>
    </row>
    <row r="598" spans="1:55" ht="21" customHeight="1">
      <c r="A598" s="212"/>
      <c r="B598" s="249">
        <v>46113</v>
      </c>
      <c r="C598" s="250" t="s">
        <v>390</v>
      </c>
      <c r="D598" s="250" t="s">
        <v>1201</v>
      </c>
      <c r="E598" s="225" t="s">
        <v>2645</v>
      </c>
      <c r="F598" s="253"/>
      <c r="G598" s="225"/>
      <c r="H598" s="253"/>
      <c r="I598" s="253"/>
      <c r="J598" s="253"/>
      <c r="K598" s="253"/>
      <c r="L598" s="253"/>
      <c r="M598" s="253"/>
      <c r="N598" s="253"/>
      <c r="O598" s="225">
        <v>1</v>
      </c>
      <c r="P598" s="250">
        <v>1</v>
      </c>
      <c r="Q598" s="253"/>
      <c r="R598" s="253"/>
      <c r="S598" s="253"/>
      <c r="T598" s="253"/>
      <c r="U598" s="253"/>
      <c r="V598" s="253"/>
      <c r="W598" s="253"/>
      <c r="X598" s="253"/>
      <c r="Y598" s="253"/>
      <c r="Z598" s="225"/>
      <c r="AA598" s="250">
        <v>1</v>
      </c>
      <c r="AB598" s="253"/>
      <c r="AC598" s="253"/>
      <c r="AD598" s="253"/>
      <c r="AE598" s="253"/>
      <c r="AF598" s="253"/>
      <c r="AG598" s="253"/>
      <c r="AH598" s="253"/>
      <c r="AI598" s="253"/>
      <c r="AJ598" s="253"/>
      <c r="AK598" s="253"/>
      <c r="AL598" s="253"/>
      <c r="AM598" s="253"/>
      <c r="AN598" s="253"/>
      <c r="AO598" s="253"/>
      <c r="AP598" s="253"/>
      <c r="AQ598" s="253"/>
      <c r="AR598" s="253"/>
      <c r="AS598" s="253"/>
      <c r="AT598" s="253"/>
      <c r="AU598" s="253"/>
      <c r="AV598" s="253"/>
      <c r="AW598" s="252"/>
      <c r="AX598" s="252"/>
      <c r="AY598" s="252">
        <v>1</v>
      </c>
      <c r="AZ598" s="253"/>
      <c r="BA598" s="225"/>
      <c r="BB598" s="225"/>
      <c r="BC598" s="225"/>
    </row>
    <row r="599" spans="1:55" ht="21" customHeight="1">
      <c r="A599" s="212"/>
      <c r="B599" s="249">
        <v>46113</v>
      </c>
      <c r="C599" s="250" t="s">
        <v>390</v>
      </c>
      <c r="D599" s="250" t="s">
        <v>1202</v>
      </c>
      <c r="E599" s="225" t="s">
        <v>2646</v>
      </c>
      <c r="F599" s="253"/>
      <c r="G599" s="225"/>
      <c r="H599" s="253"/>
      <c r="I599" s="253"/>
      <c r="J599" s="253"/>
      <c r="K599" s="253"/>
      <c r="L599" s="253"/>
      <c r="M599" s="253"/>
      <c r="N599" s="253"/>
      <c r="O599" s="225">
        <v>1</v>
      </c>
      <c r="P599" s="250">
        <v>1</v>
      </c>
      <c r="Q599" s="253"/>
      <c r="R599" s="253"/>
      <c r="S599" s="253"/>
      <c r="T599" s="253"/>
      <c r="U599" s="253"/>
      <c r="V599" s="253"/>
      <c r="W599" s="253"/>
      <c r="X599" s="253"/>
      <c r="Y599" s="253"/>
      <c r="Z599" s="225">
        <v>1</v>
      </c>
      <c r="AA599" s="250">
        <v>1</v>
      </c>
      <c r="AB599" s="253"/>
      <c r="AC599" s="253"/>
      <c r="AD599" s="253"/>
      <c r="AE599" s="253"/>
      <c r="AF599" s="253"/>
      <c r="AG599" s="253"/>
      <c r="AH599" s="253"/>
      <c r="AI599" s="253"/>
      <c r="AJ599" s="253"/>
      <c r="AK599" s="253"/>
      <c r="AL599" s="253"/>
      <c r="AM599" s="253"/>
      <c r="AN599" s="253"/>
      <c r="AO599" s="253"/>
      <c r="AP599" s="253"/>
      <c r="AQ599" s="253"/>
      <c r="AR599" s="253"/>
      <c r="AS599" s="253"/>
      <c r="AT599" s="253"/>
      <c r="AU599" s="253"/>
      <c r="AV599" s="253"/>
      <c r="AW599" s="252"/>
      <c r="AX599" s="252"/>
      <c r="AY599" s="252">
        <v>1</v>
      </c>
      <c r="AZ599" s="253"/>
      <c r="BA599" s="225"/>
      <c r="BB599" s="225"/>
      <c r="BC599" s="225"/>
    </row>
    <row r="600" spans="1:55" ht="21" customHeight="1">
      <c r="A600" s="212"/>
      <c r="B600" s="249">
        <v>46113</v>
      </c>
      <c r="C600" s="250" t="s">
        <v>390</v>
      </c>
      <c r="D600" s="250" t="s">
        <v>1203</v>
      </c>
      <c r="E600" s="225" t="s">
        <v>2647</v>
      </c>
      <c r="F600" s="253"/>
      <c r="G600" s="225"/>
      <c r="H600" s="253"/>
      <c r="I600" s="253"/>
      <c r="J600" s="253"/>
      <c r="K600" s="253"/>
      <c r="L600" s="253"/>
      <c r="M600" s="253"/>
      <c r="N600" s="253"/>
      <c r="O600" s="225">
        <v>1</v>
      </c>
      <c r="P600" s="250">
        <v>1</v>
      </c>
      <c r="Q600" s="253"/>
      <c r="R600" s="253"/>
      <c r="S600" s="253"/>
      <c r="T600" s="253"/>
      <c r="U600" s="253"/>
      <c r="V600" s="253"/>
      <c r="W600" s="253"/>
      <c r="X600" s="253"/>
      <c r="Y600" s="253"/>
      <c r="Z600" s="225"/>
      <c r="AA600" s="250">
        <v>1</v>
      </c>
      <c r="AB600" s="253"/>
      <c r="AC600" s="253"/>
      <c r="AD600" s="253"/>
      <c r="AE600" s="253"/>
      <c r="AF600" s="253"/>
      <c r="AG600" s="253"/>
      <c r="AH600" s="253"/>
      <c r="AI600" s="253"/>
      <c r="AJ600" s="253"/>
      <c r="AK600" s="253"/>
      <c r="AL600" s="253"/>
      <c r="AM600" s="253"/>
      <c r="AN600" s="253"/>
      <c r="AO600" s="253"/>
      <c r="AP600" s="253"/>
      <c r="AQ600" s="253"/>
      <c r="AR600" s="253"/>
      <c r="AS600" s="253"/>
      <c r="AT600" s="253"/>
      <c r="AU600" s="253"/>
      <c r="AV600" s="253"/>
      <c r="AW600" s="252"/>
      <c r="AX600" s="252"/>
      <c r="AY600" s="252"/>
      <c r="AZ600" s="253"/>
      <c r="BA600" s="225"/>
      <c r="BB600" s="225"/>
      <c r="BC600" s="225"/>
    </row>
    <row r="601" spans="1:55" ht="21" customHeight="1">
      <c r="A601" s="212"/>
      <c r="B601" s="249">
        <v>46113</v>
      </c>
      <c r="C601" s="250" t="s">
        <v>390</v>
      </c>
      <c r="D601" s="250" t="s">
        <v>1204</v>
      </c>
      <c r="E601" s="225" t="s">
        <v>2648</v>
      </c>
      <c r="F601" s="253"/>
      <c r="G601" s="225"/>
      <c r="H601" s="253"/>
      <c r="I601" s="253"/>
      <c r="J601" s="253"/>
      <c r="K601" s="253"/>
      <c r="L601" s="253"/>
      <c r="M601" s="253"/>
      <c r="N601" s="253"/>
      <c r="O601" s="225">
        <v>1</v>
      </c>
      <c r="P601" s="250">
        <v>1</v>
      </c>
      <c r="Q601" s="253"/>
      <c r="R601" s="253"/>
      <c r="S601" s="253"/>
      <c r="T601" s="253"/>
      <c r="U601" s="253"/>
      <c r="V601" s="253"/>
      <c r="W601" s="253"/>
      <c r="X601" s="253"/>
      <c r="Y601" s="253"/>
      <c r="Z601" s="225">
        <v>1</v>
      </c>
      <c r="AA601" s="250">
        <v>1</v>
      </c>
      <c r="AB601" s="253"/>
      <c r="AC601" s="253"/>
      <c r="AD601" s="253"/>
      <c r="AE601" s="253"/>
      <c r="AF601" s="253"/>
      <c r="AG601" s="253"/>
      <c r="AH601" s="253"/>
      <c r="AI601" s="253"/>
      <c r="AJ601" s="253"/>
      <c r="AK601" s="253"/>
      <c r="AL601" s="253"/>
      <c r="AM601" s="253"/>
      <c r="AN601" s="253"/>
      <c r="AO601" s="253"/>
      <c r="AP601" s="253"/>
      <c r="AQ601" s="253"/>
      <c r="AR601" s="253"/>
      <c r="AS601" s="253"/>
      <c r="AT601" s="253"/>
      <c r="AU601" s="253"/>
      <c r="AV601" s="253"/>
      <c r="AW601" s="252"/>
      <c r="AX601" s="252"/>
      <c r="AY601" s="252"/>
      <c r="AZ601" s="253"/>
      <c r="BA601" s="225"/>
      <c r="BB601" s="225"/>
      <c r="BC601" s="225"/>
    </row>
    <row r="602" spans="1:55" ht="21" customHeight="1">
      <c r="A602" s="212"/>
      <c r="B602" s="249">
        <v>46113</v>
      </c>
      <c r="C602" s="250" t="s">
        <v>394</v>
      </c>
      <c r="D602" s="250" t="s">
        <v>1205</v>
      </c>
      <c r="E602" s="225" t="s">
        <v>2649</v>
      </c>
      <c r="F602" s="253"/>
      <c r="G602" s="225"/>
      <c r="H602" s="253"/>
      <c r="I602" s="253"/>
      <c r="J602" s="253"/>
      <c r="K602" s="253"/>
      <c r="L602" s="253"/>
      <c r="M602" s="253"/>
      <c r="N602" s="253"/>
      <c r="O602" s="253"/>
      <c r="P602" s="225">
        <v>1</v>
      </c>
      <c r="Q602" s="253"/>
      <c r="R602" s="253"/>
      <c r="S602" s="253"/>
      <c r="T602" s="253"/>
      <c r="U602" s="253"/>
      <c r="V602" s="253"/>
      <c r="W602" s="253"/>
      <c r="X602" s="253"/>
      <c r="Y602" s="253"/>
      <c r="Z602" s="225"/>
      <c r="AA602" s="225">
        <v>1</v>
      </c>
      <c r="AB602" s="253"/>
      <c r="AC602" s="253"/>
      <c r="AD602" s="253"/>
      <c r="AE602" s="253"/>
      <c r="AF602" s="253"/>
      <c r="AG602" s="253"/>
      <c r="AH602" s="253"/>
      <c r="AI602" s="253"/>
      <c r="AJ602" s="253"/>
      <c r="AK602" s="253"/>
      <c r="AL602" s="225">
        <v>1</v>
      </c>
      <c r="AM602" s="253"/>
      <c r="AN602" s="253"/>
      <c r="AO602" s="253"/>
      <c r="AP602" s="253"/>
      <c r="AQ602" s="253"/>
      <c r="AR602" s="253"/>
      <c r="AS602" s="253"/>
      <c r="AT602" s="253"/>
      <c r="AU602" s="253"/>
      <c r="AV602" s="253"/>
      <c r="AW602" s="252">
        <v>1</v>
      </c>
      <c r="AX602" s="252"/>
      <c r="AY602" s="252">
        <v>1</v>
      </c>
      <c r="AZ602" s="253"/>
      <c r="BA602" s="225">
        <v>1</v>
      </c>
      <c r="BB602" s="225"/>
      <c r="BC602" s="225"/>
    </row>
    <row r="603" spans="1:55" ht="21" customHeight="1">
      <c r="A603" s="212"/>
      <c r="B603" s="249">
        <v>46113</v>
      </c>
      <c r="C603" s="250" t="s">
        <v>390</v>
      </c>
      <c r="D603" s="250" t="s">
        <v>1206</v>
      </c>
      <c r="E603" s="225" t="s">
        <v>2650</v>
      </c>
      <c r="F603" s="253"/>
      <c r="G603" s="225"/>
      <c r="H603" s="253"/>
      <c r="I603" s="253"/>
      <c r="J603" s="253"/>
      <c r="K603" s="253"/>
      <c r="L603" s="253"/>
      <c r="M603" s="253"/>
      <c r="N603" s="253"/>
      <c r="O603" s="225"/>
      <c r="P603" s="250">
        <v>1</v>
      </c>
      <c r="Q603" s="253"/>
      <c r="R603" s="253"/>
      <c r="S603" s="253"/>
      <c r="T603" s="253"/>
      <c r="U603" s="253"/>
      <c r="V603" s="253"/>
      <c r="W603" s="253"/>
      <c r="X603" s="253"/>
      <c r="Y603" s="253"/>
      <c r="Z603" s="225">
        <v>1</v>
      </c>
      <c r="AA603" s="250">
        <v>1</v>
      </c>
      <c r="AB603" s="253"/>
      <c r="AC603" s="253"/>
      <c r="AD603" s="253"/>
      <c r="AE603" s="253"/>
      <c r="AF603" s="253"/>
      <c r="AG603" s="253"/>
      <c r="AH603" s="253"/>
      <c r="AI603" s="253"/>
      <c r="AJ603" s="253"/>
      <c r="AK603" s="253"/>
      <c r="AL603" s="253"/>
      <c r="AM603" s="253"/>
      <c r="AN603" s="253"/>
      <c r="AO603" s="253"/>
      <c r="AP603" s="253"/>
      <c r="AQ603" s="253"/>
      <c r="AR603" s="253"/>
      <c r="AS603" s="253"/>
      <c r="AT603" s="253"/>
      <c r="AU603" s="253"/>
      <c r="AV603" s="253"/>
      <c r="AW603" s="252"/>
      <c r="AX603" s="252"/>
      <c r="AY603" s="252"/>
      <c r="AZ603" s="253"/>
      <c r="BA603" s="225"/>
      <c r="BB603" s="225"/>
      <c r="BC603" s="225"/>
    </row>
    <row r="604" spans="1:55" ht="21" customHeight="1">
      <c r="A604" s="212"/>
      <c r="B604" s="249">
        <v>46113</v>
      </c>
      <c r="C604" s="250" t="s">
        <v>390</v>
      </c>
      <c r="D604" s="250" t="s">
        <v>1207</v>
      </c>
      <c r="E604" s="225" t="s">
        <v>2651</v>
      </c>
      <c r="F604" s="253"/>
      <c r="G604" s="225"/>
      <c r="H604" s="253"/>
      <c r="I604" s="253"/>
      <c r="J604" s="253"/>
      <c r="K604" s="253"/>
      <c r="L604" s="253"/>
      <c r="M604" s="253"/>
      <c r="N604" s="253"/>
      <c r="O604" s="225">
        <v>1</v>
      </c>
      <c r="P604" s="250">
        <v>1</v>
      </c>
      <c r="Q604" s="253"/>
      <c r="R604" s="253"/>
      <c r="S604" s="253"/>
      <c r="T604" s="253"/>
      <c r="U604" s="253"/>
      <c r="V604" s="253"/>
      <c r="W604" s="253"/>
      <c r="X604" s="253"/>
      <c r="Y604" s="253"/>
      <c r="Z604" s="225">
        <v>1</v>
      </c>
      <c r="AA604" s="250">
        <v>1</v>
      </c>
      <c r="AB604" s="253"/>
      <c r="AC604" s="253"/>
      <c r="AD604" s="253"/>
      <c r="AE604" s="253"/>
      <c r="AF604" s="253"/>
      <c r="AG604" s="253"/>
      <c r="AH604" s="253"/>
      <c r="AI604" s="253"/>
      <c r="AJ604" s="253"/>
      <c r="AK604" s="253"/>
      <c r="AL604" s="253"/>
      <c r="AM604" s="253"/>
      <c r="AN604" s="253"/>
      <c r="AO604" s="253"/>
      <c r="AP604" s="253"/>
      <c r="AQ604" s="253"/>
      <c r="AR604" s="253"/>
      <c r="AS604" s="253"/>
      <c r="AT604" s="253"/>
      <c r="AU604" s="253"/>
      <c r="AV604" s="253"/>
      <c r="AW604" s="252"/>
      <c r="AX604" s="252"/>
      <c r="AY604" s="252"/>
      <c r="AZ604" s="253"/>
      <c r="BA604" s="225"/>
      <c r="BB604" s="225"/>
      <c r="BC604" s="225"/>
    </row>
    <row r="605" spans="1:55" ht="21" customHeight="1">
      <c r="A605" s="212"/>
      <c r="B605" s="249">
        <v>46143</v>
      </c>
      <c r="C605" s="250" t="s">
        <v>394</v>
      </c>
      <c r="D605" s="250" t="s">
        <v>1208</v>
      </c>
      <c r="E605" s="225" t="s">
        <v>2652</v>
      </c>
      <c r="F605" s="253"/>
      <c r="G605" s="225"/>
      <c r="H605" s="253"/>
      <c r="I605" s="253"/>
      <c r="J605" s="253"/>
      <c r="K605" s="253"/>
      <c r="L605" s="253"/>
      <c r="M605" s="253"/>
      <c r="N605" s="253"/>
      <c r="O605" s="253"/>
      <c r="P605" s="225">
        <v>1</v>
      </c>
      <c r="Q605" s="253"/>
      <c r="R605" s="253"/>
      <c r="S605" s="253"/>
      <c r="T605" s="253"/>
      <c r="U605" s="253"/>
      <c r="V605" s="253"/>
      <c r="W605" s="253"/>
      <c r="X605" s="253"/>
      <c r="Y605" s="253"/>
      <c r="Z605" s="225"/>
      <c r="AA605" s="225">
        <v>1</v>
      </c>
      <c r="AB605" s="253"/>
      <c r="AC605" s="253"/>
      <c r="AD605" s="253"/>
      <c r="AE605" s="253"/>
      <c r="AF605" s="253"/>
      <c r="AG605" s="253"/>
      <c r="AH605" s="253"/>
      <c r="AI605" s="253"/>
      <c r="AJ605" s="253"/>
      <c r="AK605" s="253"/>
      <c r="AL605" s="225">
        <v>1</v>
      </c>
      <c r="AM605" s="253"/>
      <c r="AN605" s="253"/>
      <c r="AO605" s="253"/>
      <c r="AP605" s="253"/>
      <c r="AQ605" s="253"/>
      <c r="AR605" s="253"/>
      <c r="AS605" s="253"/>
      <c r="AT605" s="253"/>
      <c r="AU605" s="253"/>
      <c r="AV605" s="253"/>
      <c r="AW605" s="252">
        <v>1</v>
      </c>
      <c r="AX605" s="252"/>
      <c r="AY605" s="252">
        <v>1</v>
      </c>
      <c r="AZ605" s="253"/>
      <c r="BA605" s="225">
        <v>1</v>
      </c>
      <c r="BB605" s="225"/>
      <c r="BC605" s="225"/>
    </row>
    <row r="606" spans="1:55" ht="21" customHeight="1">
      <c r="A606" s="212"/>
      <c r="B606" s="249">
        <v>46143</v>
      </c>
      <c r="C606" s="250" t="s">
        <v>390</v>
      </c>
      <c r="D606" s="250" t="s">
        <v>1209</v>
      </c>
      <c r="E606" s="225" t="s">
        <v>2653</v>
      </c>
      <c r="F606" s="253"/>
      <c r="G606" s="225"/>
      <c r="H606" s="253"/>
      <c r="I606" s="253"/>
      <c r="J606" s="253"/>
      <c r="K606" s="253"/>
      <c r="L606" s="253"/>
      <c r="M606" s="253"/>
      <c r="N606" s="253"/>
      <c r="O606" s="225">
        <v>1</v>
      </c>
      <c r="P606" s="250">
        <v>1</v>
      </c>
      <c r="Q606" s="253"/>
      <c r="R606" s="253"/>
      <c r="S606" s="253"/>
      <c r="T606" s="253"/>
      <c r="U606" s="253"/>
      <c r="V606" s="253"/>
      <c r="W606" s="253"/>
      <c r="X606" s="253"/>
      <c r="Y606" s="253"/>
      <c r="Z606" s="225">
        <v>1</v>
      </c>
      <c r="AA606" s="250">
        <v>1</v>
      </c>
      <c r="AB606" s="253"/>
      <c r="AC606" s="253"/>
      <c r="AD606" s="253"/>
      <c r="AE606" s="253"/>
      <c r="AF606" s="253"/>
      <c r="AG606" s="253"/>
      <c r="AH606" s="253"/>
      <c r="AI606" s="253"/>
      <c r="AJ606" s="253"/>
      <c r="AK606" s="253"/>
      <c r="AL606" s="253"/>
      <c r="AM606" s="253"/>
      <c r="AN606" s="253"/>
      <c r="AO606" s="253"/>
      <c r="AP606" s="253"/>
      <c r="AQ606" s="253"/>
      <c r="AR606" s="253"/>
      <c r="AS606" s="253"/>
      <c r="AT606" s="253"/>
      <c r="AU606" s="253"/>
      <c r="AV606" s="253"/>
      <c r="AW606" s="252"/>
      <c r="AX606" s="252"/>
      <c r="AY606" s="252"/>
      <c r="AZ606" s="253"/>
      <c r="BA606" s="225"/>
      <c r="BB606" s="225"/>
      <c r="BC606" s="225"/>
    </row>
    <row r="607" spans="1:55" ht="21" customHeight="1">
      <c r="A607" s="212"/>
      <c r="B607" s="249">
        <v>46143</v>
      </c>
      <c r="C607" s="250" t="s">
        <v>388</v>
      </c>
      <c r="D607" s="250" t="s">
        <v>1210</v>
      </c>
      <c r="E607" s="225" t="s">
        <v>2654</v>
      </c>
      <c r="F607" s="253"/>
      <c r="G607" s="225"/>
      <c r="H607" s="253"/>
      <c r="I607" s="253"/>
      <c r="J607" s="253"/>
      <c r="K607" s="253"/>
      <c r="L607" s="253"/>
      <c r="M607" s="253"/>
      <c r="N607" s="253"/>
      <c r="O607" s="253"/>
      <c r="P607" s="253"/>
      <c r="Q607" s="253"/>
      <c r="R607" s="253"/>
      <c r="S607" s="253"/>
      <c r="T607" s="253"/>
      <c r="U607" s="253"/>
      <c r="V607" s="253"/>
      <c r="W607" s="253"/>
      <c r="X607" s="253"/>
      <c r="Y607" s="253"/>
      <c r="Z607" s="225"/>
      <c r="AA607" s="225"/>
      <c r="AB607" s="253"/>
      <c r="AC607" s="253"/>
      <c r="AD607" s="253"/>
      <c r="AE607" s="253"/>
      <c r="AF607" s="253"/>
      <c r="AG607" s="253"/>
      <c r="AH607" s="253"/>
      <c r="AI607" s="253"/>
      <c r="AJ607" s="253"/>
      <c r="AK607" s="253"/>
      <c r="AL607" s="253"/>
      <c r="AM607" s="253"/>
      <c r="AN607" s="253"/>
      <c r="AO607" s="253"/>
      <c r="AP607" s="253"/>
      <c r="AQ607" s="253"/>
      <c r="AR607" s="253"/>
      <c r="AS607" s="253"/>
      <c r="AT607" s="253"/>
      <c r="AU607" s="253"/>
      <c r="AV607" s="253"/>
      <c r="AW607" s="252"/>
      <c r="AX607" s="252"/>
      <c r="AY607" s="252"/>
      <c r="AZ607" s="253"/>
      <c r="BA607" s="225"/>
      <c r="BB607" s="225"/>
      <c r="BC607" s="225"/>
    </row>
    <row r="608" spans="1:55" ht="21" customHeight="1">
      <c r="A608" s="212"/>
      <c r="B608" s="249">
        <v>46143</v>
      </c>
      <c r="C608" s="250" t="s">
        <v>394</v>
      </c>
      <c r="D608" s="250" t="s">
        <v>1211</v>
      </c>
      <c r="E608" s="225" t="s">
        <v>2655</v>
      </c>
      <c r="F608" s="253"/>
      <c r="G608" s="225"/>
      <c r="H608" s="253"/>
      <c r="I608" s="253"/>
      <c r="J608" s="253"/>
      <c r="K608" s="253"/>
      <c r="L608" s="253"/>
      <c r="M608" s="253"/>
      <c r="N608" s="253"/>
      <c r="O608" s="253"/>
      <c r="P608" s="225">
        <v>1</v>
      </c>
      <c r="Q608" s="253"/>
      <c r="R608" s="253"/>
      <c r="S608" s="253"/>
      <c r="T608" s="253"/>
      <c r="U608" s="253"/>
      <c r="V608" s="253"/>
      <c r="W608" s="253"/>
      <c r="X608" s="253"/>
      <c r="Y608" s="253"/>
      <c r="Z608" s="225"/>
      <c r="AA608" s="225">
        <v>1</v>
      </c>
      <c r="AB608" s="253"/>
      <c r="AC608" s="253"/>
      <c r="AD608" s="253"/>
      <c r="AE608" s="253"/>
      <c r="AF608" s="253"/>
      <c r="AG608" s="253"/>
      <c r="AH608" s="253"/>
      <c r="AI608" s="253"/>
      <c r="AJ608" s="253"/>
      <c r="AK608" s="253"/>
      <c r="AL608" s="225">
        <v>1</v>
      </c>
      <c r="AM608" s="253"/>
      <c r="AN608" s="253"/>
      <c r="AO608" s="253"/>
      <c r="AP608" s="253"/>
      <c r="AQ608" s="253"/>
      <c r="AR608" s="253"/>
      <c r="AS608" s="253"/>
      <c r="AT608" s="253"/>
      <c r="AU608" s="253"/>
      <c r="AV608" s="253"/>
      <c r="AW608" s="252">
        <v>1</v>
      </c>
      <c r="AX608" s="252"/>
      <c r="AY608" s="252">
        <v>1</v>
      </c>
      <c r="AZ608" s="253"/>
      <c r="BA608" s="225">
        <v>1</v>
      </c>
      <c r="BB608" s="225"/>
      <c r="BC608" s="225"/>
    </row>
    <row r="609" spans="1:55" ht="21" customHeight="1">
      <c r="A609" s="212"/>
      <c r="B609" s="249">
        <v>46143</v>
      </c>
      <c r="C609" s="250" t="s">
        <v>394</v>
      </c>
      <c r="D609" s="250" t="s">
        <v>1212</v>
      </c>
      <c r="E609" s="225" t="s">
        <v>2656</v>
      </c>
      <c r="F609" s="253"/>
      <c r="G609" s="225"/>
      <c r="H609" s="253"/>
      <c r="I609" s="253"/>
      <c r="J609" s="253"/>
      <c r="K609" s="253"/>
      <c r="L609" s="253"/>
      <c r="M609" s="253"/>
      <c r="N609" s="253"/>
      <c r="O609" s="253"/>
      <c r="P609" s="225"/>
      <c r="Q609" s="253"/>
      <c r="R609" s="253"/>
      <c r="S609" s="253"/>
      <c r="T609" s="253"/>
      <c r="U609" s="253"/>
      <c r="V609" s="253"/>
      <c r="W609" s="253"/>
      <c r="X609" s="253"/>
      <c r="Y609" s="253"/>
      <c r="Z609" s="225"/>
      <c r="AA609" s="225">
        <v>1</v>
      </c>
      <c r="AB609" s="253"/>
      <c r="AC609" s="253"/>
      <c r="AD609" s="253"/>
      <c r="AE609" s="253"/>
      <c r="AF609" s="253"/>
      <c r="AG609" s="253"/>
      <c r="AH609" s="253"/>
      <c r="AI609" s="253"/>
      <c r="AJ609" s="253"/>
      <c r="AK609" s="253"/>
      <c r="AL609" s="225">
        <v>1</v>
      </c>
      <c r="AM609" s="253"/>
      <c r="AN609" s="253"/>
      <c r="AO609" s="253"/>
      <c r="AP609" s="253"/>
      <c r="AQ609" s="253"/>
      <c r="AR609" s="253"/>
      <c r="AS609" s="253"/>
      <c r="AT609" s="253"/>
      <c r="AU609" s="253"/>
      <c r="AV609" s="253"/>
      <c r="AW609" s="252">
        <v>1</v>
      </c>
      <c r="AX609" s="252">
        <v>1</v>
      </c>
      <c r="AY609" s="252">
        <v>1</v>
      </c>
      <c r="AZ609" s="253"/>
      <c r="BA609" s="225">
        <v>1</v>
      </c>
      <c r="BB609" s="225"/>
      <c r="BC609" s="225"/>
    </row>
    <row r="610" spans="1:55" ht="21" customHeight="1">
      <c r="A610" s="212"/>
      <c r="B610" s="249">
        <v>46143</v>
      </c>
      <c r="C610" s="250" t="s">
        <v>394</v>
      </c>
      <c r="D610" s="250" t="s">
        <v>1213</v>
      </c>
      <c r="E610" s="225" t="s">
        <v>2657</v>
      </c>
      <c r="F610" s="253"/>
      <c r="G610" s="225"/>
      <c r="H610" s="253"/>
      <c r="I610" s="253"/>
      <c r="J610" s="253"/>
      <c r="K610" s="253"/>
      <c r="L610" s="253"/>
      <c r="M610" s="253"/>
      <c r="N610" s="253"/>
      <c r="O610" s="253"/>
      <c r="P610" s="225">
        <v>1</v>
      </c>
      <c r="Q610" s="253"/>
      <c r="R610" s="253"/>
      <c r="S610" s="253"/>
      <c r="T610" s="253"/>
      <c r="U610" s="253"/>
      <c r="V610" s="253"/>
      <c r="W610" s="253"/>
      <c r="X610" s="253"/>
      <c r="Y610" s="253"/>
      <c r="Z610" s="225"/>
      <c r="AA610" s="225"/>
      <c r="AB610" s="253"/>
      <c r="AC610" s="253"/>
      <c r="AD610" s="253"/>
      <c r="AE610" s="253"/>
      <c r="AF610" s="253"/>
      <c r="AG610" s="253"/>
      <c r="AH610" s="253"/>
      <c r="AI610" s="253"/>
      <c r="AJ610" s="253"/>
      <c r="AK610" s="253"/>
      <c r="AL610" s="225">
        <v>1</v>
      </c>
      <c r="AM610" s="253"/>
      <c r="AN610" s="253"/>
      <c r="AO610" s="253"/>
      <c r="AP610" s="253"/>
      <c r="AQ610" s="253"/>
      <c r="AR610" s="253"/>
      <c r="AS610" s="253"/>
      <c r="AT610" s="253"/>
      <c r="AU610" s="253"/>
      <c r="AV610" s="253"/>
      <c r="AW610" s="252">
        <v>1</v>
      </c>
      <c r="AX610" s="252"/>
      <c r="AY610" s="252"/>
      <c r="AZ610" s="253"/>
      <c r="BA610" s="225">
        <v>1</v>
      </c>
      <c r="BB610" s="225"/>
      <c r="BC610" s="225"/>
    </row>
    <row r="611" spans="1:55" ht="21" customHeight="1">
      <c r="A611" s="212"/>
      <c r="B611" s="249">
        <v>46143</v>
      </c>
      <c r="C611" s="250" t="s">
        <v>388</v>
      </c>
      <c r="D611" s="250" t="s">
        <v>1214</v>
      </c>
      <c r="E611" s="225" t="s">
        <v>2658</v>
      </c>
      <c r="F611" s="253"/>
      <c r="G611" s="225"/>
      <c r="H611" s="253"/>
      <c r="I611" s="253"/>
      <c r="J611" s="253"/>
      <c r="K611" s="253"/>
      <c r="L611" s="253"/>
      <c r="M611" s="253"/>
      <c r="N611" s="253"/>
      <c r="O611" s="253"/>
      <c r="P611" s="253"/>
      <c r="Q611" s="253"/>
      <c r="R611" s="253"/>
      <c r="S611" s="253"/>
      <c r="T611" s="253"/>
      <c r="U611" s="253"/>
      <c r="V611" s="253"/>
      <c r="W611" s="253"/>
      <c r="X611" s="253"/>
      <c r="Y611" s="253"/>
      <c r="Z611" s="225"/>
      <c r="AA611" s="225"/>
      <c r="AB611" s="253"/>
      <c r="AC611" s="253"/>
      <c r="AD611" s="253"/>
      <c r="AE611" s="253"/>
      <c r="AF611" s="253"/>
      <c r="AG611" s="253"/>
      <c r="AH611" s="253"/>
      <c r="AI611" s="253"/>
      <c r="AJ611" s="253"/>
      <c r="AK611" s="253"/>
      <c r="AL611" s="253"/>
      <c r="AM611" s="253"/>
      <c r="AN611" s="253"/>
      <c r="AO611" s="253"/>
      <c r="AP611" s="253"/>
      <c r="AQ611" s="253"/>
      <c r="AR611" s="253"/>
      <c r="AS611" s="253"/>
      <c r="AT611" s="253"/>
      <c r="AU611" s="253"/>
      <c r="AV611" s="253"/>
      <c r="AW611" s="252"/>
      <c r="AX611" s="252"/>
      <c r="AY611" s="252"/>
      <c r="AZ611" s="253"/>
      <c r="BA611" s="225"/>
      <c r="BB611" s="225"/>
      <c r="BC611" s="225"/>
    </row>
    <row r="612" spans="1:55" ht="21" customHeight="1">
      <c r="A612" s="212"/>
      <c r="B612" s="249">
        <v>46143</v>
      </c>
      <c r="C612" s="250" t="s">
        <v>394</v>
      </c>
      <c r="D612" s="250" t="s">
        <v>1215</v>
      </c>
      <c r="E612" s="225" t="s">
        <v>2659</v>
      </c>
      <c r="F612" s="253"/>
      <c r="G612" s="225"/>
      <c r="H612" s="253"/>
      <c r="I612" s="253"/>
      <c r="J612" s="253"/>
      <c r="K612" s="253"/>
      <c r="L612" s="253"/>
      <c r="M612" s="253"/>
      <c r="N612" s="253"/>
      <c r="O612" s="253"/>
      <c r="P612" s="225">
        <v>1</v>
      </c>
      <c r="Q612" s="253"/>
      <c r="R612" s="253"/>
      <c r="S612" s="253"/>
      <c r="T612" s="253"/>
      <c r="U612" s="253"/>
      <c r="V612" s="253"/>
      <c r="W612" s="253"/>
      <c r="X612" s="253"/>
      <c r="Y612" s="253"/>
      <c r="Z612" s="225"/>
      <c r="AA612" s="225"/>
      <c r="AB612" s="253"/>
      <c r="AC612" s="253"/>
      <c r="AD612" s="253"/>
      <c r="AE612" s="253"/>
      <c r="AF612" s="253"/>
      <c r="AG612" s="253"/>
      <c r="AH612" s="253"/>
      <c r="AI612" s="253"/>
      <c r="AJ612" s="253"/>
      <c r="AK612" s="253"/>
      <c r="AL612" s="225">
        <v>1</v>
      </c>
      <c r="AM612" s="253"/>
      <c r="AN612" s="253"/>
      <c r="AO612" s="253"/>
      <c r="AP612" s="253"/>
      <c r="AQ612" s="253"/>
      <c r="AR612" s="253"/>
      <c r="AS612" s="253"/>
      <c r="AT612" s="253"/>
      <c r="AU612" s="253"/>
      <c r="AV612" s="253"/>
      <c r="AW612" s="252">
        <v>1</v>
      </c>
      <c r="AX612" s="252"/>
      <c r="AY612" s="252">
        <v>1</v>
      </c>
      <c r="AZ612" s="253"/>
      <c r="BA612" s="225"/>
      <c r="BB612" s="225"/>
      <c r="BC612" s="225"/>
    </row>
    <row r="613" spans="1:55" ht="21" customHeight="1">
      <c r="A613" s="212"/>
      <c r="B613" s="249">
        <v>46143</v>
      </c>
      <c r="C613" s="250" t="s">
        <v>394</v>
      </c>
      <c r="D613" s="250" t="s">
        <v>1216</v>
      </c>
      <c r="E613" s="225" t="s">
        <v>2660</v>
      </c>
      <c r="F613" s="253"/>
      <c r="G613" s="225"/>
      <c r="H613" s="253"/>
      <c r="I613" s="253"/>
      <c r="J613" s="253"/>
      <c r="K613" s="253"/>
      <c r="L613" s="253"/>
      <c r="M613" s="253"/>
      <c r="N613" s="253"/>
      <c r="O613" s="253"/>
      <c r="P613" s="225">
        <v>1</v>
      </c>
      <c r="Q613" s="253"/>
      <c r="R613" s="253"/>
      <c r="S613" s="253"/>
      <c r="T613" s="253"/>
      <c r="U613" s="253"/>
      <c r="V613" s="253"/>
      <c r="W613" s="253"/>
      <c r="X613" s="253"/>
      <c r="Y613" s="253"/>
      <c r="Z613" s="225"/>
      <c r="AA613" s="225">
        <v>1</v>
      </c>
      <c r="AB613" s="253"/>
      <c r="AC613" s="253"/>
      <c r="AD613" s="253"/>
      <c r="AE613" s="253"/>
      <c r="AF613" s="253"/>
      <c r="AG613" s="253"/>
      <c r="AH613" s="253"/>
      <c r="AI613" s="253"/>
      <c r="AJ613" s="253"/>
      <c r="AK613" s="253"/>
      <c r="AL613" s="225">
        <v>1</v>
      </c>
      <c r="AM613" s="253"/>
      <c r="AN613" s="253"/>
      <c r="AO613" s="253"/>
      <c r="AP613" s="253"/>
      <c r="AQ613" s="253"/>
      <c r="AR613" s="253"/>
      <c r="AS613" s="253"/>
      <c r="AT613" s="253"/>
      <c r="AU613" s="253"/>
      <c r="AV613" s="253"/>
      <c r="AW613" s="252">
        <v>1</v>
      </c>
      <c r="AX613" s="252"/>
      <c r="AY613" s="252">
        <v>1</v>
      </c>
      <c r="AZ613" s="253"/>
      <c r="BA613" s="225"/>
      <c r="BB613" s="225"/>
      <c r="BC613" s="225"/>
    </row>
    <row r="614" spans="1:55" ht="21" customHeight="1">
      <c r="A614" s="212"/>
      <c r="B614" s="249">
        <v>46143</v>
      </c>
      <c r="C614" s="250" t="s">
        <v>394</v>
      </c>
      <c r="D614" s="250" t="s">
        <v>1217</v>
      </c>
      <c r="E614" s="225" t="s">
        <v>2661</v>
      </c>
      <c r="F614" s="253"/>
      <c r="G614" s="225"/>
      <c r="H614" s="253"/>
      <c r="I614" s="253"/>
      <c r="J614" s="253"/>
      <c r="K614" s="253"/>
      <c r="L614" s="253"/>
      <c r="M614" s="253"/>
      <c r="N614" s="253"/>
      <c r="O614" s="253"/>
      <c r="P614" s="225"/>
      <c r="Q614" s="253"/>
      <c r="R614" s="253"/>
      <c r="S614" s="253"/>
      <c r="T614" s="253"/>
      <c r="U614" s="253"/>
      <c r="V614" s="253"/>
      <c r="W614" s="253"/>
      <c r="X614" s="253"/>
      <c r="Y614" s="253"/>
      <c r="Z614" s="225"/>
      <c r="AA614" s="225">
        <v>1</v>
      </c>
      <c r="AB614" s="253"/>
      <c r="AC614" s="253"/>
      <c r="AD614" s="253"/>
      <c r="AE614" s="253"/>
      <c r="AF614" s="253"/>
      <c r="AG614" s="253"/>
      <c r="AH614" s="253"/>
      <c r="AI614" s="253"/>
      <c r="AJ614" s="253"/>
      <c r="AK614" s="253"/>
      <c r="AL614" s="225">
        <v>1</v>
      </c>
      <c r="AM614" s="253"/>
      <c r="AN614" s="253"/>
      <c r="AO614" s="253"/>
      <c r="AP614" s="253"/>
      <c r="AQ614" s="253"/>
      <c r="AR614" s="253"/>
      <c r="AS614" s="253"/>
      <c r="AT614" s="253"/>
      <c r="AU614" s="253"/>
      <c r="AV614" s="253"/>
      <c r="AW614" s="252">
        <v>1</v>
      </c>
      <c r="AX614" s="252"/>
      <c r="AY614" s="252">
        <v>1</v>
      </c>
      <c r="AZ614" s="253"/>
      <c r="BA614" s="225">
        <v>1</v>
      </c>
      <c r="BB614" s="225"/>
      <c r="BC614" s="225"/>
    </row>
    <row r="615" spans="1:55" ht="21" customHeight="1">
      <c r="A615" s="212"/>
      <c r="B615" s="249">
        <v>46143</v>
      </c>
      <c r="C615" s="250" t="s">
        <v>394</v>
      </c>
      <c r="D615" s="250" t="s">
        <v>1218</v>
      </c>
      <c r="E615" s="225" t="s">
        <v>2662</v>
      </c>
      <c r="F615" s="253"/>
      <c r="G615" s="225"/>
      <c r="H615" s="253"/>
      <c r="I615" s="253"/>
      <c r="J615" s="253"/>
      <c r="K615" s="253"/>
      <c r="L615" s="253"/>
      <c r="M615" s="253"/>
      <c r="N615" s="253"/>
      <c r="O615" s="253"/>
      <c r="P615" s="225">
        <v>1</v>
      </c>
      <c r="Q615" s="253"/>
      <c r="R615" s="253"/>
      <c r="S615" s="253"/>
      <c r="T615" s="253"/>
      <c r="U615" s="253"/>
      <c r="V615" s="253"/>
      <c r="W615" s="253"/>
      <c r="X615" s="253"/>
      <c r="Y615" s="253"/>
      <c r="Z615" s="225"/>
      <c r="AA615" s="225">
        <v>1</v>
      </c>
      <c r="AB615" s="253"/>
      <c r="AC615" s="253"/>
      <c r="AD615" s="253"/>
      <c r="AE615" s="253"/>
      <c r="AF615" s="253"/>
      <c r="AG615" s="253"/>
      <c r="AH615" s="253"/>
      <c r="AI615" s="253"/>
      <c r="AJ615" s="253"/>
      <c r="AK615" s="253"/>
      <c r="AL615" s="225"/>
      <c r="AM615" s="253"/>
      <c r="AN615" s="253"/>
      <c r="AO615" s="253"/>
      <c r="AP615" s="253"/>
      <c r="AQ615" s="253"/>
      <c r="AR615" s="253"/>
      <c r="AS615" s="253"/>
      <c r="AT615" s="253"/>
      <c r="AU615" s="253"/>
      <c r="AV615" s="253"/>
      <c r="AW615" s="252"/>
      <c r="AX615" s="252"/>
      <c r="AY615" s="252">
        <v>1</v>
      </c>
      <c r="AZ615" s="253"/>
      <c r="BA615" s="225"/>
      <c r="BB615" s="225"/>
      <c r="BC615" s="225"/>
    </row>
    <row r="616" spans="1:55" ht="21" customHeight="1">
      <c r="A616" s="212"/>
      <c r="B616" s="249">
        <v>46143</v>
      </c>
      <c r="C616" s="250" t="s">
        <v>394</v>
      </c>
      <c r="D616" s="250" t="s">
        <v>1219</v>
      </c>
      <c r="E616" s="225" t="s">
        <v>2663</v>
      </c>
      <c r="F616" s="253"/>
      <c r="G616" s="225"/>
      <c r="H616" s="253"/>
      <c r="I616" s="253"/>
      <c r="J616" s="253"/>
      <c r="K616" s="253"/>
      <c r="L616" s="253"/>
      <c r="M616" s="253"/>
      <c r="N616" s="253"/>
      <c r="O616" s="253"/>
      <c r="P616" s="225"/>
      <c r="Q616" s="253"/>
      <c r="R616" s="253"/>
      <c r="S616" s="253"/>
      <c r="T616" s="253"/>
      <c r="U616" s="253"/>
      <c r="V616" s="253"/>
      <c r="W616" s="253"/>
      <c r="X616" s="253"/>
      <c r="Y616" s="253"/>
      <c r="Z616" s="225"/>
      <c r="AA616" s="225">
        <v>1</v>
      </c>
      <c r="AB616" s="253"/>
      <c r="AC616" s="253"/>
      <c r="AD616" s="253"/>
      <c r="AE616" s="253"/>
      <c r="AF616" s="253"/>
      <c r="AG616" s="253"/>
      <c r="AH616" s="253"/>
      <c r="AI616" s="253"/>
      <c r="AJ616" s="253"/>
      <c r="AK616" s="253"/>
      <c r="AL616" s="225">
        <v>1</v>
      </c>
      <c r="AM616" s="253"/>
      <c r="AN616" s="253"/>
      <c r="AO616" s="253"/>
      <c r="AP616" s="253"/>
      <c r="AQ616" s="253"/>
      <c r="AR616" s="253"/>
      <c r="AS616" s="253"/>
      <c r="AT616" s="253"/>
      <c r="AU616" s="253"/>
      <c r="AV616" s="253"/>
      <c r="AW616" s="252">
        <v>1</v>
      </c>
      <c r="AX616" s="252"/>
      <c r="AY616" s="252">
        <v>1</v>
      </c>
      <c r="AZ616" s="253"/>
      <c r="BA616" s="225">
        <v>1</v>
      </c>
      <c r="BB616" s="225"/>
      <c r="BC616" s="225"/>
    </row>
    <row r="617" spans="1:55" ht="21" customHeight="1">
      <c r="A617" s="212"/>
      <c r="B617" s="249">
        <v>46143</v>
      </c>
      <c r="C617" s="250" t="s">
        <v>394</v>
      </c>
      <c r="D617" s="250" t="s">
        <v>1220</v>
      </c>
      <c r="E617" s="225" t="s">
        <v>2664</v>
      </c>
      <c r="F617" s="253"/>
      <c r="G617" s="225"/>
      <c r="H617" s="253"/>
      <c r="I617" s="253"/>
      <c r="J617" s="253"/>
      <c r="K617" s="253"/>
      <c r="L617" s="253"/>
      <c r="M617" s="253"/>
      <c r="N617" s="253"/>
      <c r="O617" s="253"/>
      <c r="P617" s="225"/>
      <c r="Q617" s="253"/>
      <c r="R617" s="253"/>
      <c r="S617" s="253"/>
      <c r="T617" s="253"/>
      <c r="U617" s="253"/>
      <c r="V617" s="253"/>
      <c r="W617" s="253"/>
      <c r="X617" s="253"/>
      <c r="Y617" s="253"/>
      <c r="Z617" s="225"/>
      <c r="AA617" s="225">
        <v>1</v>
      </c>
      <c r="AB617" s="253"/>
      <c r="AC617" s="253"/>
      <c r="AD617" s="253"/>
      <c r="AE617" s="253"/>
      <c r="AF617" s="253"/>
      <c r="AG617" s="253"/>
      <c r="AH617" s="253"/>
      <c r="AI617" s="253"/>
      <c r="AJ617" s="253"/>
      <c r="AK617" s="253"/>
      <c r="AL617" s="225">
        <v>1</v>
      </c>
      <c r="AM617" s="253"/>
      <c r="AN617" s="253"/>
      <c r="AO617" s="253"/>
      <c r="AP617" s="253"/>
      <c r="AQ617" s="253"/>
      <c r="AR617" s="253"/>
      <c r="AS617" s="253"/>
      <c r="AT617" s="253"/>
      <c r="AU617" s="253"/>
      <c r="AV617" s="253"/>
      <c r="AW617" s="252">
        <v>1</v>
      </c>
      <c r="AX617" s="252"/>
      <c r="AY617" s="252">
        <v>1</v>
      </c>
      <c r="AZ617" s="253"/>
      <c r="BA617" s="225"/>
      <c r="BB617" s="225"/>
      <c r="BC617" s="225"/>
    </row>
    <row r="618" spans="1:55" ht="21" customHeight="1">
      <c r="A618" s="212"/>
      <c r="B618" s="249">
        <v>46143</v>
      </c>
      <c r="C618" s="250" t="s">
        <v>394</v>
      </c>
      <c r="D618" s="250" t="s">
        <v>1221</v>
      </c>
      <c r="E618" s="225" t="s">
        <v>2665</v>
      </c>
      <c r="F618" s="253"/>
      <c r="G618" s="225"/>
      <c r="H618" s="253"/>
      <c r="I618" s="253"/>
      <c r="J618" s="253"/>
      <c r="K618" s="253"/>
      <c r="L618" s="253"/>
      <c r="M618" s="253"/>
      <c r="N618" s="253"/>
      <c r="O618" s="253"/>
      <c r="P618" s="225"/>
      <c r="Q618" s="253"/>
      <c r="R618" s="253"/>
      <c r="S618" s="253"/>
      <c r="T618" s="253"/>
      <c r="U618" s="253"/>
      <c r="V618" s="253"/>
      <c r="W618" s="253"/>
      <c r="X618" s="253"/>
      <c r="Y618" s="253"/>
      <c r="Z618" s="225"/>
      <c r="AA618" s="225">
        <v>1</v>
      </c>
      <c r="AB618" s="253"/>
      <c r="AC618" s="253"/>
      <c r="AD618" s="253"/>
      <c r="AE618" s="253"/>
      <c r="AF618" s="253"/>
      <c r="AG618" s="253"/>
      <c r="AH618" s="253"/>
      <c r="AI618" s="253"/>
      <c r="AJ618" s="253"/>
      <c r="AK618" s="253"/>
      <c r="AL618" s="225">
        <v>1</v>
      </c>
      <c r="AM618" s="253"/>
      <c r="AN618" s="253"/>
      <c r="AO618" s="253"/>
      <c r="AP618" s="253"/>
      <c r="AQ618" s="253"/>
      <c r="AR618" s="253"/>
      <c r="AS618" s="253"/>
      <c r="AT618" s="253"/>
      <c r="AU618" s="253"/>
      <c r="AV618" s="253"/>
      <c r="AW618" s="252">
        <v>1</v>
      </c>
      <c r="AX618" s="252"/>
      <c r="AY618" s="252">
        <v>1</v>
      </c>
      <c r="AZ618" s="253"/>
      <c r="BA618" s="225">
        <v>1</v>
      </c>
      <c r="BB618" s="225"/>
      <c r="BC618" s="225"/>
    </row>
    <row r="619" spans="1:55" ht="21" customHeight="1">
      <c r="A619" s="212"/>
      <c r="B619" s="249">
        <v>46143</v>
      </c>
      <c r="C619" s="250" t="s">
        <v>390</v>
      </c>
      <c r="D619" s="250" t="s">
        <v>1222</v>
      </c>
      <c r="E619" s="225" t="s">
        <v>2666</v>
      </c>
      <c r="F619" s="253"/>
      <c r="G619" s="225"/>
      <c r="H619" s="253"/>
      <c r="I619" s="253"/>
      <c r="J619" s="253"/>
      <c r="K619" s="253"/>
      <c r="L619" s="253"/>
      <c r="M619" s="253"/>
      <c r="N619" s="253"/>
      <c r="O619" s="225">
        <v>1</v>
      </c>
      <c r="P619" s="250">
        <v>1</v>
      </c>
      <c r="Q619" s="253"/>
      <c r="R619" s="253"/>
      <c r="S619" s="253"/>
      <c r="T619" s="253"/>
      <c r="U619" s="253"/>
      <c r="V619" s="253"/>
      <c r="W619" s="253"/>
      <c r="X619" s="253"/>
      <c r="Y619" s="253"/>
      <c r="Z619" s="225">
        <v>1</v>
      </c>
      <c r="AA619" s="250">
        <v>1</v>
      </c>
      <c r="AB619" s="253"/>
      <c r="AC619" s="253"/>
      <c r="AD619" s="253"/>
      <c r="AE619" s="253"/>
      <c r="AF619" s="253"/>
      <c r="AG619" s="253"/>
      <c r="AH619" s="253"/>
      <c r="AI619" s="253"/>
      <c r="AJ619" s="253"/>
      <c r="AK619" s="253"/>
      <c r="AL619" s="253"/>
      <c r="AM619" s="253"/>
      <c r="AN619" s="253"/>
      <c r="AO619" s="253"/>
      <c r="AP619" s="253"/>
      <c r="AQ619" s="253"/>
      <c r="AR619" s="253"/>
      <c r="AS619" s="253"/>
      <c r="AT619" s="253"/>
      <c r="AU619" s="253"/>
      <c r="AV619" s="253"/>
      <c r="AW619" s="252"/>
      <c r="AX619" s="252"/>
      <c r="AY619" s="252"/>
      <c r="AZ619" s="253"/>
      <c r="BA619" s="225"/>
      <c r="BB619" s="225"/>
      <c r="BC619" s="225"/>
    </row>
    <row r="620" spans="1:55" ht="21" customHeight="1">
      <c r="A620" s="212"/>
      <c r="B620" s="249">
        <v>46143</v>
      </c>
      <c r="C620" s="250" t="s">
        <v>394</v>
      </c>
      <c r="D620" s="250" t="s">
        <v>1223</v>
      </c>
      <c r="E620" s="225" t="s">
        <v>2667</v>
      </c>
      <c r="F620" s="253"/>
      <c r="G620" s="225"/>
      <c r="H620" s="253"/>
      <c r="I620" s="253"/>
      <c r="J620" s="253"/>
      <c r="K620" s="253"/>
      <c r="L620" s="253"/>
      <c r="M620" s="253"/>
      <c r="N620" s="253"/>
      <c r="O620" s="253"/>
      <c r="P620" s="225">
        <v>1</v>
      </c>
      <c r="Q620" s="253"/>
      <c r="R620" s="253"/>
      <c r="S620" s="253"/>
      <c r="T620" s="253"/>
      <c r="U620" s="253"/>
      <c r="V620" s="253"/>
      <c r="W620" s="253"/>
      <c r="X620" s="253"/>
      <c r="Y620" s="253"/>
      <c r="Z620" s="225"/>
      <c r="AA620" s="225">
        <v>1</v>
      </c>
      <c r="AB620" s="253"/>
      <c r="AC620" s="253"/>
      <c r="AD620" s="253"/>
      <c r="AE620" s="253"/>
      <c r="AF620" s="253"/>
      <c r="AG620" s="253"/>
      <c r="AH620" s="253"/>
      <c r="AI620" s="253"/>
      <c r="AJ620" s="253"/>
      <c r="AK620" s="253"/>
      <c r="AL620" s="225">
        <v>1</v>
      </c>
      <c r="AM620" s="253"/>
      <c r="AN620" s="253"/>
      <c r="AO620" s="253"/>
      <c r="AP620" s="253"/>
      <c r="AQ620" s="253"/>
      <c r="AR620" s="253"/>
      <c r="AS620" s="253"/>
      <c r="AT620" s="253"/>
      <c r="AU620" s="253"/>
      <c r="AV620" s="253"/>
      <c r="AW620" s="252">
        <v>1</v>
      </c>
      <c r="AX620" s="252"/>
      <c r="AY620" s="252">
        <v>1</v>
      </c>
      <c r="AZ620" s="253"/>
      <c r="BA620" s="225"/>
      <c r="BB620" s="225"/>
      <c r="BC620" s="225"/>
    </row>
    <row r="621" spans="1:55" ht="21" customHeight="1">
      <c r="A621" s="212"/>
      <c r="B621" s="249">
        <v>46143</v>
      </c>
      <c r="C621" s="250" t="s">
        <v>394</v>
      </c>
      <c r="D621" s="250" t="s">
        <v>1224</v>
      </c>
      <c r="E621" s="225" t="s">
        <v>2668</v>
      </c>
      <c r="F621" s="253"/>
      <c r="G621" s="225"/>
      <c r="H621" s="253"/>
      <c r="I621" s="253"/>
      <c r="J621" s="253"/>
      <c r="K621" s="253"/>
      <c r="L621" s="253"/>
      <c r="M621" s="253"/>
      <c r="N621" s="253"/>
      <c r="O621" s="253"/>
      <c r="P621" s="225">
        <v>1</v>
      </c>
      <c r="Q621" s="253"/>
      <c r="R621" s="253"/>
      <c r="S621" s="253"/>
      <c r="T621" s="253"/>
      <c r="U621" s="253"/>
      <c r="V621" s="253"/>
      <c r="W621" s="253"/>
      <c r="X621" s="253"/>
      <c r="Y621" s="253"/>
      <c r="Z621" s="225"/>
      <c r="AA621" s="225">
        <v>1</v>
      </c>
      <c r="AB621" s="253"/>
      <c r="AC621" s="253"/>
      <c r="AD621" s="253"/>
      <c r="AE621" s="253"/>
      <c r="AF621" s="253"/>
      <c r="AG621" s="253"/>
      <c r="AH621" s="253"/>
      <c r="AI621" s="253"/>
      <c r="AJ621" s="253"/>
      <c r="AK621" s="253"/>
      <c r="AL621" s="225">
        <v>1</v>
      </c>
      <c r="AM621" s="253"/>
      <c r="AN621" s="253"/>
      <c r="AO621" s="253"/>
      <c r="AP621" s="253"/>
      <c r="AQ621" s="253"/>
      <c r="AR621" s="253"/>
      <c r="AS621" s="253"/>
      <c r="AT621" s="253"/>
      <c r="AU621" s="253"/>
      <c r="AV621" s="253"/>
      <c r="AW621" s="252">
        <v>1</v>
      </c>
      <c r="AX621" s="252"/>
      <c r="AY621" s="252">
        <v>1</v>
      </c>
      <c r="AZ621" s="253"/>
      <c r="BA621" s="225">
        <v>1</v>
      </c>
      <c r="BB621" s="225"/>
      <c r="BC621" s="225"/>
    </row>
    <row r="622" spans="1:55" ht="21" customHeight="1">
      <c r="A622" s="212"/>
      <c r="B622" s="249">
        <v>46143</v>
      </c>
      <c r="C622" s="250" t="s">
        <v>394</v>
      </c>
      <c r="D622" s="250" t="s">
        <v>1225</v>
      </c>
      <c r="E622" s="225" t="s">
        <v>2669</v>
      </c>
      <c r="F622" s="253"/>
      <c r="G622" s="225"/>
      <c r="H622" s="253"/>
      <c r="I622" s="253"/>
      <c r="J622" s="253"/>
      <c r="K622" s="253"/>
      <c r="L622" s="253"/>
      <c r="M622" s="253"/>
      <c r="N622" s="253"/>
      <c r="O622" s="253"/>
      <c r="P622" s="225">
        <v>1</v>
      </c>
      <c r="Q622" s="253"/>
      <c r="R622" s="253"/>
      <c r="S622" s="253"/>
      <c r="T622" s="253"/>
      <c r="U622" s="253"/>
      <c r="V622" s="253"/>
      <c r="W622" s="253"/>
      <c r="X622" s="253"/>
      <c r="Y622" s="253"/>
      <c r="Z622" s="225"/>
      <c r="AA622" s="225">
        <v>1</v>
      </c>
      <c r="AB622" s="253"/>
      <c r="AC622" s="253"/>
      <c r="AD622" s="253"/>
      <c r="AE622" s="253"/>
      <c r="AF622" s="253"/>
      <c r="AG622" s="253"/>
      <c r="AH622" s="253"/>
      <c r="AI622" s="253"/>
      <c r="AJ622" s="253"/>
      <c r="AK622" s="253"/>
      <c r="AL622" s="225">
        <v>1</v>
      </c>
      <c r="AM622" s="253"/>
      <c r="AN622" s="253"/>
      <c r="AO622" s="253"/>
      <c r="AP622" s="253"/>
      <c r="AQ622" s="253"/>
      <c r="AR622" s="253"/>
      <c r="AS622" s="253"/>
      <c r="AT622" s="253"/>
      <c r="AU622" s="253"/>
      <c r="AV622" s="253"/>
      <c r="AW622" s="252">
        <v>1</v>
      </c>
      <c r="AX622" s="252"/>
      <c r="AY622" s="252">
        <v>1</v>
      </c>
      <c r="AZ622" s="253"/>
      <c r="BA622" s="225">
        <v>1</v>
      </c>
      <c r="BB622" s="225"/>
      <c r="BC622" s="225"/>
    </row>
    <row r="623" spans="1:55" ht="21" customHeight="1">
      <c r="A623" s="212"/>
      <c r="B623" s="249">
        <v>46143</v>
      </c>
      <c r="C623" s="250" t="s">
        <v>394</v>
      </c>
      <c r="D623" s="250" t="s">
        <v>1226</v>
      </c>
      <c r="E623" s="225" t="s">
        <v>2670</v>
      </c>
      <c r="F623" s="253"/>
      <c r="G623" s="225"/>
      <c r="H623" s="253"/>
      <c r="I623" s="253"/>
      <c r="J623" s="253"/>
      <c r="K623" s="253"/>
      <c r="L623" s="253"/>
      <c r="M623" s="253"/>
      <c r="N623" s="253"/>
      <c r="O623" s="253"/>
      <c r="P623" s="225">
        <v>1</v>
      </c>
      <c r="Q623" s="253"/>
      <c r="R623" s="253"/>
      <c r="S623" s="253"/>
      <c r="T623" s="253"/>
      <c r="U623" s="253"/>
      <c r="V623" s="253"/>
      <c r="W623" s="253"/>
      <c r="X623" s="253"/>
      <c r="Y623" s="253"/>
      <c r="Z623" s="225"/>
      <c r="AA623" s="225">
        <v>1</v>
      </c>
      <c r="AB623" s="253"/>
      <c r="AC623" s="253"/>
      <c r="AD623" s="253"/>
      <c r="AE623" s="253"/>
      <c r="AF623" s="253"/>
      <c r="AG623" s="253"/>
      <c r="AH623" s="253"/>
      <c r="AI623" s="253"/>
      <c r="AJ623" s="253"/>
      <c r="AK623" s="253"/>
      <c r="AL623" s="225">
        <v>1</v>
      </c>
      <c r="AM623" s="253"/>
      <c r="AN623" s="253"/>
      <c r="AO623" s="253"/>
      <c r="AP623" s="253"/>
      <c r="AQ623" s="253"/>
      <c r="AR623" s="253"/>
      <c r="AS623" s="253"/>
      <c r="AT623" s="253"/>
      <c r="AU623" s="253"/>
      <c r="AV623" s="253"/>
      <c r="AW623" s="252">
        <v>1</v>
      </c>
      <c r="AX623" s="252"/>
      <c r="AY623" s="252">
        <v>1</v>
      </c>
      <c r="AZ623" s="253"/>
      <c r="BA623" s="225"/>
      <c r="BB623" s="225"/>
      <c r="BC623" s="225"/>
    </row>
    <row r="624" spans="1:55" ht="21" customHeight="1">
      <c r="A624" s="212"/>
      <c r="B624" s="249">
        <v>46143</v>
      </c>
      <c r="C624" s="250" t="s">
        <v>390</v>
      </c>
      <c r="D624" s="250" t="s">
        <v>1227</v>
      </c>
      <c r="E624" s="225" t="s">
        <v>2671</v>
      </c>
      <c r="F624" s="253"/>
      <c r="G624" s="225"/>
      <c r="H624" s="253"/>
      <c r="I624" s="253"/>
      <c r="J624" s="253"/>
      <c r="K624" s="253"/>
      <c r="L624" s="253"/>
      <c r="M624" s="253"/>
      <c r="N624" s="253"/>
      <c r="O624" s="225">
        <v>1</v>
      </c>
      <c r="P624" s="250">
        <v>1</v>
      </c>
      <c r="Q624" s="253"/>
      <c r="R624" s="253"/>
      <c r="S624" s="253"/>
      <c r="T624" s="253"/>
      <c r="U624" s="253"/>
      <c r="V624" s="253"/>
      <c r="W624" s="253"/>
      <c r="X624" s="253"/>
      <c r="Y624" s="253"/>
      <c r="Z624" s="225">
        <v>1</v>
      </c>
      <c r="AA624" s="250">
        <v>1</v>
      </c>
      <c r="AB624" s="253"/>
      <c r="AC624" s="253"/>
      <c r="AD624" s="253"/>
      <c r="AE624" s="253"/>
      <c r="AF624" s="253"/>
      <c r="AG624" s="253"/>
      <c r="AH624" s="253"/>
      <c r="AI624" s="253"/>
      <c r="AJ624" s="253"/>
      <c r="AK624" s="253"/>
      <c r="AL624" s="253"/>
      <c r="AM624" s="253"/>
      <c r="AN624" s="253"/>
      <c r="AO624" s="253"/>
      <c r="AP624" s="253"/>
      <c r="AQ624" s="253"/>
      <c r="AR624" s="253"/>
      <c r="AS624" s="253"/>
      <c r="AT624" s="253"/>
      <c r="AU624" s="253"/>
      <c r="AV624" s="253"/>
      <c r="AW624" s="252"/>
      <c r="AX624" s="252"/>
      <c r="AY624" s="252"/>
      <c r="AZ624" s="253"/>
      <c r="BA624" s="225"/>
      <c r="BB624" s="225"/>
      <c r="BC624" s="225"/>
    </row>
    <row r="625" spans="1:55" ht="21" customHeight="1">
      <c r="A625" s="212"/>
      <c r="B625" s="249">
        <v>46143</v>
      </c>
      <c r="C625" s="250" t="s">
        <v>394</v>
      </c>
      <c r="D625" s="250" t="s">
        <v>1228</v>
      </c>
      <c r="E625" s="225" t="s">
        <v>2672</v>
      </c>
      <c r="F625" s="253"/>
      <c r="G625" s="225"/>
      <c r="H625" s="253"/>
      <c r="I625" s="253"/>
      <c r="J625" s="253"/>
      <c r="K625" s="253"/>
      <c r="L625" s="253"/>
      <c r="M625" s="253"/>
      <c r="N625" s="253"/>
      <c r="O625" s="253"/>
      <c r="P625" s="225">
        <v>1</v>
      </c>
      <c r="Q625" s="253"/>
      <c r="R625" s="253"/>
      <c r="S625" s="253"/>
      <c r="T625" s="253"/>
      <c r="U625" s="253"/>
      <c r="V625" s="253"/>
      <c r="W625" s="253"/>
      <c r="X625" s="253"/>
      <c r="Y625" s="253"/>
      <c r="Z625" s="225"/>
      <c r="AA625" s="225">
        <v>1</v>
      </c>
      <c r="AB625" s="253"/>
      <c r="AC625" s="253"/>
      <c r="AD625" s="253"/>
      <c r="AE625" s="253"/>
      <c r="AF625" s="253"/>
      <c r="AG625" s="253"/>
      <c r="AH625" s="253"/>
      <c r="AI625" s="253"/>
      <c r="AJ625" s="253"/>
      <c r="AK625" s="253"/>
      <c r="AL625" s="225">
        <v>1</v>
      </c>
      <c r="AM625" s="253"/>
      <c r="AN625" s="253"/>
      <c r="AO625" s="253"/>
      <c r="AP625" s="253"/>
      <c r="AQ625" s="253"/>
      <c r="AR625" s="253"/>
      <c r="AS625" s="253"/>
      <c r="AT625" s="253"/>
      <c r="AU625" s="253"/>
      <c r="AV625" s="253"/>
      <c r="AW625" s="252">
        <v>1</v>
      </c>
      <c r="AX625" s="252"/>
      <c r="AY625" s="252">
        <v>1</v>
      </c>
      <c r="AZ625" s="253"/>
      <c r="BA625" s="225">
        <v>1</v>
      </c>
      <c r="BB625" s="225"/>
      <c r="BC625" s="225"/>
    </row>
    <row r="626" spans="1:55" ht="21" customHeight="1">
      <c r="A626" s="212"/>
      <c r="B626" s="249">
        <v>46143</v>
      </c>
      <c r="C626" s="250" t="s">
        <v>394</v>
      </c>
      <c r="D626" s="250" t="s">
        <v>1229</v>
      </c>
      <c r="E626" s="225" t="s">
        <v>2673</v>
      </c>
      <c r="F626" s="253"/>
      <c r="G626" s="225"/>
      <c r="H626" s="253"/>
      <c r="I626" s="253"/>
      <c r="J626" s="253"/>
      <c r="K626" s="253"/>
      <c r="L626" s="253"/>
      <c r="M626" s="253"/>
      <c r="N626" s="253"/>
      <c r="O626" s="253"/>
      <c r="P626" s="225">
        <v>1</v>
      </c>
      <c r="Q626" s="253"/>
      <c r="R626" s="253"/>
      <c r="S626" s="253"/>
      <c r="T626" s="253"/>
      <c r="U626" s="253"/>
      <c r="V626" s="253"/>
      <c r="W626" s="253"/>
      <c r="X626" s="253"/>
      <c r="Y626" s="253"/>
      <c r="Z626" s="225"/>
      <c r="AA626" s="225">
        <v>1</v>
      </c>
      <c r="AB626" s="253"/>
      <c r="AC626" s="253"/>
      <c r="AD626" s="253"/>
      <c r="AE626" s="253"/>
      <c r="AF626" s="253"/>
      <c r="AG626" s="253"/>
      <c r="AH626" s="253"/>
      <c r="AI626" s="253"/>
      <c r="AJ626" s="253"/>
      <c r="AK626" s="253"/>
      <c r="AL626" s="225">
        <v>1</v>
      </c>
      <c r="AM626" s="253"/>
      <c r="AN626" s="253"/>
      <c r="AO626" s="253"/>
      <c r="AP626" s="253"/>
      <c r="AQ626" s="253"/>
      <c r="AR626" s="253"/>
      <c r="AS626" s="253"/>
      <c r="AT626" s="253"/>
      <c r="AU626" s="253"/>
      <c r="AV626" s="253"/>
      <c r="AW626" s="252">
        <v>1</v>
      </c>
      <c r="AX626" s="252"/>
      <c r="AY626" s="252">
        <v>1</v>
      </c>
      <c r="AZ626" s="253"/>
      <c r="BA626" s="225">
        <v>1</v>
      </c>
      <c r="BB626" s="225"/>
      <c r="BC626" s="225"/>
    </row>
    <row r="627" spans="1:55" ht="21" customHeight="1">
      <c r="A627" s="212"/>
      <c r="B627" s="249">
        <v>46143</v>
      </c>
      <c r="C627" s="250" t="s">
        <v>390</v>
      </c>
      <c r="D627" s="250" t="s">
        <v>1230</v>
      </c>
      <c r="E627" s="225" t="s">
        <v>2674</v>
      </c>
      <c r="F627" s="253"/>
      <c r="G627" s="225"/>
      <c r="H627" s="253"/>
      <c r="I627" s="253"/>
      <c r="J627" s="253"/>
      <c r="K627" s="253"/>
      <c r="L627" s="253"/>
      <c r="M627" s="253"/>
      <c r="N627" s="253"/>
      <c r="O627" s="225"/>
      <c r="P627" s="250">
        <v>1</v>
      </c>
      <c r="Q627" s="253"/>
      <c r="R627" s="253"/>
      <c r="S627" s="253"/>
      <c r="T627" s="253"/>
      <c r="U627" s="253"/>
      <c r="V627" s="253"/>
      <c r="W627" s="253"/>
      <c r="X627" s="253"/>
      <c r="Y627" s="253"/>
      <c r="Z627" s="225"/>
      <c r="AA627" s="250">
        <v>1</v>
      </c>
      <c r="AB627" s="253"/>
      <c r="AC627" s="253"/>
      <c r="AD627" s="253"/>
      <c r="AE627" s="253"/>
      <c r="AF627" s="253"/>
      <c r="AG627" s="253"/>
      <c r="AH627" s="253"/>
      <c r="AI627" s="253"/>
      <c r="AJ627" s="253"/>
      <c r="AK627" s="253"/>
      <c r="AL627" s="253"/>
      <c r="AM627" s="253"/>
      <c r="AN627" s="253"/>
      <c r="AO627" s="253"/>
      <c r="AP627" s="253"/>
      <c r="AQ627" s="253"/>
      <c r="AR627" s="253"/>
      <c r="AS627" s="253"/>
      <c r="AT627" s="253"/>
      <c r="AU627" s="253"/>
      <c r="AV627" s="253"/>
      <c r="AW627" s="252"/>
      <c r="AX627" s="252"/>
      <c r="AY627" s="252"/>
      <c r="AZ627" s="253"/>
      <c r="BA627" s="225"/>
      <c r="BB627" s="225"/>
      <c r="BC627" s="225"/>
    </row>
    <row r="628" spans="1:55" ht="21" customHeight="1">
      <c r="A628" s="212"/>
      <c r="B628" s="249">
        <v>46143</v>
      </c>
      <c r="C628" s="250" t="s">
        <v>394</v>
      </c>
      <c r="D628" s="250" t="s">
        <v>1231</v>
      </c>
      <c r="E628" s="225" t="s">
        <v>2675</v>
      </c>
      <c r="F628" s="253"/>
      <c r="G628" s="225"/>
      <c r="H628" s="253"/>
      <c r="I628" s="253"/>
      <c r="J628" s="253"/>
      <c r="K628" s="253"/>
      <c r="L628" s="253"/>
      <c r="M628" s="253"/>
      <c r="N628" s="253"/>
      <c r="O628" s="253"/>
      <c r="P628" s="225">
        <v>1</v>
      </c>
      <c r="Q628" s="253"/>
      <c r="R628" s="253"/>
      <c r="S628" s="253"/>
      <c r="T628" s="253"/>
      <c r="U628" s="253"/>
      <c r="V628" s="253"/>
      <c r="W628" s="253"/>
      <c r="X628" s="253"/>
      <c r="Y628" s="253"/>
      <c r="Z628" s="225"/>
      <c r="AA628" s="225">
        <v>1</v>
      </c>
      <c r="AB628" s="253"/>
      <c r="AC628" s="253"/>
      <c r="AD628" s="253"/>
      <c r="AE628" s="253"/>
      <c r="AF628" s="253"/>
      <c r="AG628" s="253"/>
      <c r="AH628" s="253"/>
      <c r="AI628" s="253"/>
      <c r="AJ628" s="253"/>
      <c r="AK628" s="253"/>
      <c r="AL628" s="225">
        <v>1</v>
      </c>
      <c r="AM628" s="253"/>
      <c r="AN628" s="253"/>
      <c r="AO628" s="253"/>
      <c r="AP628" s="253"/>
      <c r="AQ628" s="253"/>
      <c r="AR628" s="253"/>
      <c r="AS628" s="253"/>
      <c r="AT628" s="253"/>
      <c r="AU628" s="253"/>
      <c r="AV628" s="253"/>
      <c r="AW628" s="252">
        <v>1</v>
      </c>
      <c r="AX628" s="252"/>
      <c r="AY628" s="252">
        <v>1</v>
      </c>
      <c r="AZ628" s="253"/>
      <c r="BA628" s="225"/>
      <c r="BB628" s="225"/>
      <c r="BC628" s="225"/>
    </row>
    <row r="629" spans="1:55" ht="21" customHeight="1">
      <c r="A629" s="212"/>
      <c r="B629" s="249">
        <v>46143</v>
      </c>
      <c r="C629" s="250" t="s">
        <v>394</v>
      </c>
      <c r="D629" s="250" t="s">
        <v>1232</v>
      </c>
      <c r="E629" s="225" t="s">
        <v>2676</v>
      </c>
      <c r="F629" s="253"/>
      <c r="G629" s="225"/>
      <c r="H629" s="253"/>
      <c r="I629" s="253"/>
      <c r="J629" s="253"/>
      <c r="K629" s="253"/>
      <c r="L629" s="253"/>
      <c r="M629" s="253"/>
      <c r="N629" s="253"/>
      <c r="O629" s="253"/>
      <c r="P629" s="225">
        <v>1</v>
      </c>
      <c r="Q629" s="253"/>
      <c r="R629" s="253"/>
      <c r="S629" s="253"/>
      <c r="T629" s="253"/>
      <c r="U629" s="253"/>
      <c r="V629" s="253"/>
      <c r="W629" s="253"/>
      <c r="X629" s="253"/>
      <c r="Y629" s="253"/>
      <c r="Z629" s="225"/>
      <c r="AA629" s="225">
        <v>1</v>
      </c>
      <c r="AB629" s="253"/>
      <c r="AC629" s="253"/>
      <c r="AD629" s="253"/>
      <c r="AE629" s="253"/>
      <c r="AF629" s="253"/>
      <c r="AG629" s="253"/>
      <c r="AH629" s="253"/>
      <c r="AI629" s="253"/>
      <c r="AJ629" s="253"/>
      <c r="AK629" s="253"/>
      <c r="AL629" s="225">
        <v>1</v>
      </c>
      <c r="AM629" s="253"/>
      <c r="AN629" s="253"/>
      <c r="AO629" s="253"/>
      <c r="AP629" s="253"/>
      <c r="AQ629" s="253"/>
      <c r="AR629" s="253"/>
      <c r="AS629" s="253"/>
      <c r="AT629" s="253"/>
      <c r="AU629" s="253"/>
      <c r="AV629" s="253"/>
      <c r="AW629" s="252">
        <v>1</v>
      </c>
      <c r="AX629" s="252"/>
      <c r="AY629" s="252">
        <v>1</v>
      </c>
      <c r="AZ629" s="253"/>
      <c r="BA629" s="225">
        <v>1</v>
      </c>
      <c r="BB629" s="225"/>
      <c r="BC629" s="225"/>
    </row>
    <row r="630" spans="1:55" ht="21" customHeight="1">
      <c r="A630" s="212"/>
      <c r="B630" s="249">
        <v>46143</v>
      </c>
      <c r="C630" s="250" t="s">
        <v>390</v>
      </c>
      <c r="D630" s="250" t="s">
        <v>1233</v>
      </c>
      <c r="E630" s="225" t="s">
        <v>2677</v>
      </c>
      <c r="F630" s="253"/>
      <c r="G630" s="225"/>
      <c r="H630" s="253"/>
      <c r="I630" s="253"/>
      <c r="J630" s="253"/>
      <c r="K630" s="253"/>
      <c r="L630" s="253"/>
      <c r="M630" s="253"/>
      <c r="N630" s="253"/>
      <c r="O630" s="225">
        <v>1</v>
      </c>
      <c r="P630" s="250">
        <v>1</v>
      </c>
      <c r="Q630" s="253"/>
      <c r="R630" s="253"/>
      <c r="S630" s="253"/>
      <c r="T630" s="253"/>
      <c r="U630" s="253"/>
      <c r="V630" s="253"/>
      <c r="W630" s="253"/>
      <c r="X630" s="253"/>
      <c r="Y630" s="253"/>
      <c r="Z630" s="225">
        <v>1</v>
      </c>
      <c r="AA630" s="250">
        <v>1</v>
      </c>
      <c r="AB630" s="253"/>
      <c r="AC630" s="253"/>
      <c r="AD630" s="253"/>
      <c r="AE630" s="253"/>
      <c r="AF630" s="253"/>
      <c r="AG630" s="253"/>
      <c r="AH630" s="253"/>
      <c r="AI630" s="253"/>
      <c r="AJ630" s="253"/>
      <c r="AK630" s="253"/>
      <c r="AL630" s="253"/>
      <c r="AM630" s="253"/>
      <c r="AN630" s="253"/>
      <c r="AO630" s="253"/>
      <c r="AP630" s="253"/>
      <c r="AQ630" s="253"/>
      <c r="AR630" s="253"/>
      <c r="AS630" s="253"/>
      <c r="AT630" s="253"/>
      <c r="AU630" s="253"/>
      <c r="AV630" s="253"/>
      <c r="AW630" s="252"/>
      <c r="AX630" s="252"/>
      <c r="AY630" s="252"/>
      <c r="AZ630" s="253"/>
      <c r="BA630" s="225"/>
      <c r="BB630" s="225"/>
      <c r="BC630" s="225"/>
    </row>
    <row r="631" spans="1:55" ht="21" customHeight="1">
      <c r="A631" s="212"/>
      <c r="B631" s="249">
        <v>46143</v>
      </c>
      <c r="C631" s="250" t="s">
        <v>394</v>
      </c>
      <c r="D631" s="250" t="s">
        <v>1234</v>
      </c>
      <c r="E631" s="225" t="s">
        <v>2678</v>
      </c>
      <c r="F631" s="253"/>
      <c r="G631" s="225"/>
      <c r="H631" s="253"/>
      <c r="I631" s="253"/>
      <c r="J631" s="253"/>
      <c r="K631" s="253"/>
      <c r="L631" s="253"/>
      <c r="M631" s="253"/>
      <c r="N631" s="253"/>
      <c r="O631" s="253"/>
      <c r="P631" s="225">
        <v>1</v>
      </c>
      <c r="Q631" s="253"/>
      <c r="R631" s="253"/>
      <c r="S631" s="253"/>
      <c r="T631" s="253"/>
      <c r="U631" s="253"/>
      <c r="V631" s="253"/>
      <c r="W631" s="253"/>
      <c r="X631" s="253"/>
      <c r="Y631" s="253"/>
      <c r="Z631" s="225"/>
      <c r="AA631" s="225">
        <v>1</v>
      </c>
      <c r="AB631" s="253"/>
      <c r="AC631" s="253"/>
      <c r="AD631" s="253"/>
      <c r="AE631" s="253"/>
      <c r="AF631" s="253"/>
      <c r="AG631" s="253"/>
      <c r="AH631" s="253"/>
      <c r="AI631" s="253"/>
      <c r="AJ631" s="253"/>
      <c r="AK631" s="253"/>
      <c r="AL631" s="225">
        <v>1</v>
      </c>
      <c r="AM631" s="253"/>
      <c r="AN631" s="253"/>
      <c r="AO631" s="253"/>
      <c r="AP631" s="253"/>
      <c r="AQ631" s="253"/>
      <c r="AR631" s="253"/>
      <c r="AS631" s="253"/>
      <c r="AT631" s="253"/>
      <c r="AU631" s="253"/>
      <c r="AV631" s="253"/>
      <c r="AW631" s="252">
        <v>1</v>
      </c>
      <c r="AX631" s="252"/>
      <c r="AY631" s="252">
        <v>1</v>
      </c>
      <c r="AZ631" s="253"/>
      <c r="BA631" s="225">
        <v>1</v>
      </c>
      <c r="BB631" s="225"/>
      <c r="BC631" s="225"/>
    </row>
    <row r="632" spans="1:55" ht="21" customHeight="1">
      <c r="A632" s="212"/>
      <c r="B632" s="249">
        <v>46143</v>
      </c>
      <c r="C632" s="250" t="s">
        <v>390</v>
      </c>
      <c r="D632" s="250" t="s">
        <v>1235</v>
      </c>
      <c r="E632" s="225" t="s">
        <v>2679</v>
      </c>
      <c r="F632" s="253"/>
      <c r="G632" s="225"/>
      <c r="H632" s="253"/>
      <c r="I632" s="253"/>
      <c r="J632" s="253"/>
      <c r="K632" s="253"/>
      <c r="L632" s="253"/>
      <c r="M632" s="253"/>
      <c r="N632" s="253"/>
      <c r="O632" s="225">
        <v>1</v>
      </c>
      <c r="P632" s="250">
        <v>1</v>
      </c>
      <c r="Q632" s="253"/>
      <c r="R632" s="253"/>
      <c r="S632" s="253"/>
      <c r="T632" s="253"/>
      <c r="U632" s="253"/>
      <c r="V632" s="253"/>
      <c r="W632" s="253"/>
      <c r="X632" s="253"/>
      <c r="Y632" s="253"/>
      <c r="Z632" s="225">
        <v>1</v>
      </c>
      <c r="AA632" s="250">
        <v>1</v>
      </c>
      <c r="AB632" s="253"/>
      <c r="AC632" s="253"/>
      <c r="AD632" s="253"/>
      <c r="AE632" s="253"/>
      <c r="AF632" s="253"/>
      <c r="AG632" s="253"/>
      <c r="AH632" s="253"/>
      <c r="AI632" s="253"/>
      <c r="AJ632" s="253"/>
      <c r="AK632" s="253"/>
      <c r="AL632" s="253"/>
      <c r="AM632" s="253"/>
      <c r="AN632" s="253"/>
      <c r="AO632" s="253"/>
      <c r="AP632" s="253"/>
      <c r="AQ632" s="253"/>
      <c r="AR632" s="253"/>
      <c r="AS632" s="253"/>
      <c r="AT632" s="253"/>
      <c r="AU632" s="253"/>
      <c r="AV632" s="253"/>
      <c r="AW632" s="252"/>
      <c r="AX632" s="252"/>
      <c r="AY632" s="252">
        <v>1</v>
      </c>
      <c r="AZ632" s="253"/>
      <c r="BA632" s="225"/>
      <c r="BB632" s="225"/>
      <c r="BC632" s="225"/>
    </row>
    <row r="633" spans="1:55" ht="21" customHeight="1">
      <c r="A633" s="212"/>
      <c r="B633" s="249">
        <v>46143</v>
      </c>
      <c r="C633" s="250" t="s">
        <v>394</v>
      </c>
      <c r="D633" s="250" t="s">
        <v>1236</v>
      </c>
      <c r="E633" s="225" t="s">
        <v>2680</v>
      </c>
      <c r="F633" s="253"/>
      <c r="G633" s="225"/>
      <c r="H633" s="253"/>
      <c r="I633" s="253"/>
      <c r="J633" s="253"/>
      <c r="K633" s="253"/>
      <c r="L633" s="253"/>
      <c r="M633" s="253"/>
      <c r="N633" s="253"/>
      <c r="O633" s="253"/>
      <c r="P633" s="225"/>
      <c r="Q633" s="253"/>
      <c r="R633" s="253"/>
      <c r="S633" s="253"/>
      <c r="T633" s="253"/>
      <c r="U633" s="253"/>
      <c r="V633" s="253"/>
      <c r="W633" s="253"/>
      <c r="X633" s="253"/>
      <c r="Y633" s="253"/>
      <c r="Z633" s="225"/>
      <c r="AA633" s="225"/>
      <c r="AB633" s="253"/>
      <c r="AC633" s="253"/>
      <c r="AD633" s="253"/>
      <c r="AE633" s="253"/>
      <c r="AF633" s="253"/>
      <c r="AG633" s="253"/>
      <c r="AH633" s="253"/>
      <c r="AI633" s="253"/>
      <c r="AJ633" s="253"/>
      <c r="AK633" s="253"/>
      <c r="AL633" s="225"/>
      <c r="AM633" s="253"/>
      <c r="AN633" s="253"/>
      <c r="AO633" s="253"/>
      <c r="AP633" s="253"/>
      <c r="AQ633" s="253"/>
      <c r="AR633" s="253"/>
      <c r="AS633" s="253"/>
      <c r="AT633" s="253"/>
      <c r="AU633" s="253"/>
      <c r="AV633" s="253"/>
      <c r="AW633" s="252"/>
      <c r="AX633" s="252"/>
      <c r="AY633" s="252"/>
      <c r="AZ633" s="253"/>
      <c r="BA633" s="225"/>
      <c r="BB633" s="225"/>
      <c r="BC633" s="225"/>
    </row>
    <row r="634" spans="1:55" ht="21" customHeight="1">
      <c r="A634" s="212"/>
      <c r="B634" s="249">
        <v>46143</v>
      </c>
      <c r="C634" s="250" t="s">
        <v>394</v>
      </c>
      <c r="D634" s="250" t="s">
        <v>1237</v>
      </c>
      <c r="E634" s="225" t="s">
        <v>2681</v>
      </c>
      <c r="F634" s="253"/>
      <c r="G634" s="225"/>
      <c r="H634" s="253"/>
      <c r="I634" s="253"/>
      <c r="J634" s="253"/>
      <c r="K634" s="253"/>
      <c r="L634" s="253"/>
      <c r="M634" s="253"/>
      <c r="N634" s="253"/>
      <c r="O634" s="253"/>
      <c r="P634" s="225">
        <v>1</v>
      </c>
      <c r="Q634" s="253"/>
      <c r="R634" s="253"/>
      <c r="S634" s="253"/>
      <c r="T634" s="253"/>
      <c r="U634" s="253"/>
      <c r="V634" s="253"/>
      <c r="W634" s="253"/>
      <c r="X634" s="253"/>
      <c r="Y634" s="253"/>
      <c r="Z634" s="225"/>
      <c r="AA634" s="225">
        <v>1</v>
      </c>
      <c r="AB634" s="253"/>
      <c r="AC634" s="253"/>
      <c r="AD634" s="253"/>
      <c r="AE634" s="253"/>
      <c r="AF634" s="253"/>
      <c r="AG634" s="253"/>
      <c r="AH634" s="253"/>
      <c r="AI634" s="253"/>
      <c r="AJ634" s="253"/>
      <c r="AK634" s="253"/>
      <c r="AL634" s="225">
        <v>1</v>
      </c>
      <c r="AM634" s="253"/>
      <c r="AN634" s="253"/>
      <c r="AO634" s="253"/>
      <c r="AP634" s="253"/>
      <c r="AQ634" s="253"/>
      <c r="AR634" s="253"/>
      <c r="AS634" s="253"/>
      <c r="AT634" s="253"/>
      <c r="AU634" s="253"/>
      <c r="AV634" s="253"/>
      <c r="AW634" s="252">
        <v>1</v>
      </c>
      <c r="AX634" s="252"/>
      <c r="AY634" s="252">
        <v>1</v>
      </c>
      <c r="AZ634" s="253"/>
      <c r="BA634" s="225">
        <v>1</v>
      </c>
      <c r="BB634" s="225"/>
      <c r="BC634" s="225"/>
    </row>
    <row r="635" spans="1:55" ht="21" customHeight="1">
      <c r="A635" s="212"/>
      <c r="B635" s="249">
        <v>46143</v>
      </c>
      <c r="C635" s="250" t="s">
        <v>390</v>
      </c>
      <c r="D635" s="250" t="s">
        <v>1238</v>
      </c>
      <c r="E635" s="225" t="s">
        <v>2682</v>
      </c>
      <c r="F635" s="253"/>
      <c r="G635" s="225"/>
      <c r="H635" s="253"/>
      <c r="I635" s="253"/>
      <c r="J635" s="253"/>
      <c r="K635" s="253"/>
      <c r="L635" s="253"/>
      <c r="M635" s="253"/>
      <c r="N635" s="253"/>
      <c r="O635" s="225">
        <v>1</v>
      </c>
      <c r="P635" s="250">
        <v>1</v>
      </c>
      <c r="Q635" s="253"/>
      <c r="R635" s="253"/>
      <c r="S635" s="253"/>
      <c r="T635" s="253"/>
      <c r="U635" s="253"/>
      <c r="V635" s="253"/>
      <c r="W635" s="253"/>
      <c r="X635" s="253"/>
      <c r="Y635" s="253"/>
      <c r="Z635" s="225">
        <v>1</v>
      </c>
      <c r="AA635" s="250">
        <v>1</v>
      </c>
      <c r="AB635" s="253"/>
      <c r="AC635" s="253"/>
      <c r="AD635" s="253"/>
      <c r="AE635" s="253"/>
      <c r="AF635" s="253"/>
      <c r="AG635" s="253"/>
      <c r="AH635" s="253"/>
      <c r="AI635" s="253"/>
      <c r="AJ635" s="253"/>
      <c r="AK635" s="253"/>
      <c r="AL635" s="253"/>
      <c r="AM635" s="253"/>
      <c r="AN635" s="253"/>
      <c r="AO635" s="253"/>
      <c r="AP635" s="253"/>
      <c r="AQ635" s="253"/>
      <c r="AR635" s="253"/>
      <c r="AS635" s="253"/>
      <c r="AT635" s="253"/>
      <c r="AU635" s="253"/>
      <c r="AV635" s="253"/>
      <c r="AW635" s="252"/>
      <c r="AX635" s="252"/>
      <c r="AY635" s="252"/>
      <c r="AZ635" s="253"/>
      <c r="BA635" s="225"/>
      <c r="BB635" s="225"/>
      <c r="BC635" s="225"/>
    </row>
    <row r="636" spans="1:55" ht="21" customHeight="1">
      <c r="A636" s="212"/>
      <c r="B636" s="249">
        <v>46143</v>
      </c>
      <c r="C636" s="250" t="s">
        <v>394</v>
      </c>
      <c r="D636" s="250" t="s">
        <v>1239</v>
      </c>
      <c r="E636" s="225" t="s">
        <v>2683</v>
      </c>
      <c r="F636" s="253"/>
      <c r="G636" s="225"/>
      <c r="H636" s="253"/>
      <c r="I636" s="253"/>
      <c r="J636" s="253"/>
      <c r="K636" s="253"/>
      <c r="L636" s="253"/>
      <c r="M636" s="253"/>
      <c r="N636" s="253"/>
      <c r="O636" s="253"/>
      <c r="P636" s="225">
        <v>1</v>
      </c>
      <c r="Q636" s="253"/>
      <c r="R636" s="253"/>
      <c r="S636" s="253"/>
      <c r="T636" s="253"/>
      <c r="U636" s="253"/>
      <c r="V636" s="253"/>
      <c r="W636" s="253"/>
      <c r="X636" s="253"/>
      <c r="Y636" s="253"/>
      <c r="Z636" s="225"/>
      <c r="AA636" s="225">
        <v>1</v>
      </c>
      <c r="AB636" s="253"/>
      <c r="AC636" s="253"/>
      <c r="AD636" s="253"/>
      <c r="AE636" s="253"/>
      <c r="AF636" s="253"/>
      <c r="AG636" s="253"/>
      <c r="AH636" s="253"/>
      <c r="AI636" s="253"/>
      <c r="AJ636" s="253"/>
      <c r="AK636" s="253"/>
      <c r="AL636" s="225">
        <v>1</v>
      </c>
      <c r="AM636" s="253"/>
      <c r="AN636" s="253"/>
      <c r="AO636" s="253"/>
      <c r="AP636" s="253"/>
      <c r="AQ636" s="253"/>
      <c r="AR636" s="253"/>
      <c r="AS636" s="253"/>
      <c r="AT636" s="253"/>
      <c r="AU636" s="253"/>
      <c r="AV636" s="253"/>
      <c r="AW636" s="252">
        <v>1</v>
      </c>
      <c r="AX636" s="252"/>
      <c r="AY636" s="252">
        <v>1</v>
      </c>
      <c r="AZ636" s="253"/>
      <c r="BA636" s="225">
        <v>1</v>
      </c>
      <c r="BB636" s="225"/>
      <c r="BC636" s="225"/>
    </row>
    <row r="637" spans="1:55" ht="21" customHeight="1">
      <c r="A637" s="212"/>
      <c r="B637" s="249">
        <v>46143</v>
      </c>
      <c r="C637" s="250" t="s">
        <v>390</v>
      </c>
      <c r="D637" s="250" t="s">
        <v>1240</v>
      </c>
      <c r="E637" s="225" t="s">
        <v>2684</v>
      </c>
      <c r="F637" s="253"/>
      <c r="G637" s="225"/>
      <c r="H637" s="253"/>
      <c r="I637" s="253"/>
      <c r="J637" s="253"/>
      <c r="K637" s="253"/>
      <c r="L637" s="253"/>
      <c r="M637" s="253"/>
      <c r="N637" s="253"/>
      <c r="O637" s="225"/>
      <c r="P637" s="250">
        <v>1</v>
      </c>
      <c r="Q637" s="253"/>
      <c r="R637" s="253"/>
      <c r="S637" s="253"/>
      <c r="T637" s="253"/>
      <c r="U637" s="253"/>
      <c r="V637" s="253"/>
      <c r="W637" s="253"/>
      <c r="X637" s="253"/>
      <c r="Y637" s="253"/>
      <c r="Z637" s="225"/>
      <c r="AA637" s="250">
        <v>1</v>
      </c>
      <c r="AB637" s="253"/>
      <c r="AC637" s="253"/>
      <c r="AD637" s="253"/>
      <c r="AE637" s="253"/>
      <c r="AF637" s="253"/>
      <c r="AG637" s="253"/>
      <c r="AH637" s="253"/>
      <c r="AI637" s="253"/>
      <c r="AJ637" s="253"/>
      <c r="AK637" s="253"/>
      <c r="AL637" s="253"/>
      <c r="AM637" s="253"/>
      <c r="AN637" s="253"/>
      <c r="AO637" s="253"/>
      <c r="AP637" s="253"/>
      <c r="AQ637" s="253"/>
      <c r="AR637" s="253"/>
      <c r="AS637" s="253"/>
      <c r="AT637" s="253"/>
      <c r="AU637" s="253"/>
      <c r="AV637" s="253"/>
      <c r="AW637" s="252"/>
      <c r="AX637" s="252"/>
      <c r="AY637" s="252"/>
      <c r="AZ637" s="253"/>
      <c r="BA637" s="225"/>
      <c r="BB637" s="225"/>
      <c r="BC637" s="225"/>
    </row>
    <row r="638" spans="1:55" ht="21" customHeight="1">
      <c r="A638" s="212"/>
      <c r="B638" s="249">
        <v>46143</v>
      </c>
      <c r="C638" s="250" t="s">
        <v>390</v>
      </c>
      <c r="D638" s="250" t="s">
        <v>1241</v>
      </c>
      <c r="E638" s="225" t="s">
        <v>2685</v>
      </c>
      <c r="F638" s="253"/>
      <c r="G638" s="225"/>
      <c r="H638" s="253"/>
      <c r="I638" s="253"/>
      <c r="J638" s="253"/>
      <c r="K638" s="253"/>
      <c r="L638" s="253"/>
      <c r="M638" s="253"/>
      <c r="N638" s="253"/>
      <c r="O638" s="225">
        <v>1</v>
      </c>
      <c r="P638" s="250">
        <v>1</v>
      </c>
      <c r="Q638" s="253"/>
      <c r="R638" s="253"/>
      <c r="S638" s="253"/>
      <c r="T638" s="253"/>
      <c r="U638" s="253"/>
      <c r="V638" s="253"/>
      <c r="W638" s="253"/>
      <c r="X638" s="253"/>
      <c r="Y638" s="253"/>
      <c r="Z638" s="225">
        <v>1</v>
      </c>
      <c r="AA638" s="250">
        <v>1</v>
      </c>
      <c r="AB638" s="253"/>
      <c r="AC638" s="253"/>
      <c r="AD638" s="253"/>
      <c r="AE638" s="253"/>
      <c r="AF638" s="253"/>
      <c r="AG638" s="253"/>
      <c r="AH638" s="253"/>
      <c r="AI638" s="253"/>
      <c r="AJ638" s="253"/>
      <c r="AK638" s="253"/>
      <c r="AL638" s="253"/>
      <c r="AM638" s="253"/>
      <c r="AN638" s="253"/>
      <c r="AO638" s="253"/>
      <c r="AP638" s="253"/>
      <c r="AQ638" s="253"/>
      <c r="AR638" s="253"/>
      <c r="AS638" s="253"/>
      <c r="AT638" s="253"/>
      <c r="AU638" s="253"/>
      <c r="AV638" s="253"/>
      <c r="AW638" s="252"/>
      <c r="AX638" s="252"/>
      <c r="AY638" s="252">
        <v>1</v>
      </c>
      <c r="AZ638" s="253"/>
      <c r="BA638" s="225"/>
      <c r="BB638" s="225"/>
      <c r="BC638" s="225"/>
    </row>
    <row r="639" spans="1:55" ht="21" customHeight="1">
      <c r="A639" s="212"/>
      <c r="B639" s="249">
        <v>46143</v>
      </c>
      <c r="C639" s="250" t="s">
        <v>390</v>
      </c>
      <c r="D639" s="250" t="s">
        <v>1242</v>
      </c>
      <c r="E639" s="225" t="s">
        <v>2686</v>
      </c>
      <c r="F639" s="253"/>
      <c r="G639" s="225"/>
      <c r="H639" s="253"/>
      <c r="I639" s="253"/>
      <c r="J639" s="253"/>
      <c r="K639" s="253"/>
      <c r="L639" s="253"/>
      <c r="M639" s="253"/>
      <c r="N639" s="253"/>
      <c r="O639" s="225">
        <v>1</v>
      </c>
      <c r="P639" s="250">
        <v>1</v>
      </c>
      <c r="Q639" s="253"/>
      <c r="R639" s="253"/>
      <c r="S639" s="253"/>
      <c r="T639" s="253"/>
      <c r="U639" s="253"/>
      <c r="V639" s="253"/>
      <c r="W639" s="253"/>
      <c r="X639" s="253"/>
      <c r="Y639" s="253"/>
      <c r="Z639" s="225">
        <v>1</v>
      </c>
      <c r="AA639" s="250">
        <v>1</v>
      </c>
      <c r="AB639" s="253"/>
      <c r="AC639" s="253"/>
      <c r="AD639" s="253"/>
      <c r="AE639" s="253"/>
      <c r="AF639" s="253"/>
      <c r="AG639" s="253"/>
      <c r="AH639" s="253"/>
      <c r="AI639" s="253"/>
      <c r="AJ639" s="253"/>
      <c r="AK639" s="253"/>
      <c r="AL639" s="253"/>
      <c r="AM639" s="253"/>
      <c r="AN639" s="253"/>
      <c r="AO639" s="253"/>
      <c r="AP639" s="253"/>
      <c r="AQ639" s="253"/>
      <c r="AR639" s="253"/>
      <c r="AS639" s="253"/>
      <c r="AT639" s="253"/>
      <c r="AU639" s="253"/>
      <c r="AV639" s="253"/>
      <c r="AW639" s="252"/>
      <c r="AX639" s="252"/>
      <c r="AY639" s="252"/>
      <c r="AZ639" s="253"/>
      <c r="BA639" s="225"/>
      <c r="BB639" s="225"/>
      <c r="BC639" s="225"/>
    </row>
    <row r="640" spans="1:55" ht="21" customHeight="1">
      <c r="A640" s="212"/>
      <c r="B640" s="249">
        <v>46143</v>
      </c>
      <c r="C640" s="250" t="s">
        <v>390</v>
      </c>
      <c r="D640" s="250" t="s">
        <v>1243</v>
      </c>
      <c r="E640" s="225" t="s">
        <v>2687</v>
      </c>
      <c r="F640" s="253"/>
      <c r="G640" s="225"/>
      <c r="H640" s="253"/>
      <c r="I640" s="253"/>
      <c r="J640" s="253"/>
      <c r="K640" s="253"/>
      <c r="L640" s="253"/>
      <c r="M640" s="253"/>
      <c r="N640" s="253"/>
      <c r="O640" s="225"/>
      <c r="P640" s="250">
        <v>1</v>
      </c>
      <c r="Q640" s="253"/>
      <c r="R640" s="253"/>
      <c r="S640" s="253"/>
      <c r="T640" s="253"/>
      <c r="U640" s="253"/>
      <c r="V640" s="253"/>
      <c r="W640" s="253"/>
      <c r="X640" s="253"/>
      <c r="Y640" s="253"/>
      <c r="Z640" s="225"/>
      <c r="AA640" s="250">
        <v>1</v>
      </c>
      <c r="AB640" s="253"/>
      <c r="AC640" s="253"/>
      <c r="AD640" s="253"/>
      <c r="AE640" s="253"/>
      <c r="AF640" s="253"/>
      <c r="AG640" s="253"/>
      <c r="AH640" s="253"/>
      <c r="AI640" s="253"/>
      <c r="AJ640" s="253"/>
      <c r="AK640" s="253"/>
      <c r="AL640" s="253"/>
      <c r="AM640" s="253"/>
      <c r="AN640" s="253"/>
      <c r="AO640" s="253"/>
      <c r="AP640" s="253"/>
      <c r="AQ640" s="253"/>
      <c r="AR640" s="253"/>
      <c r="AS640" s="253"/>
      <c r="AT640" s="253"/>
      <c r="AU640" s="253"/>
      <c r="AV640" s="253"/>
      <c r="AW640" s="252"/>
      <c r="AX640" s="252"/>
      <c r="AY640" s="252"/>
      <c r="AZ640" s="253"/>
      <c r="BA640" s="225"/>
      <c r="BB640" s="225"/>
      <c r="BC640" s="225"/>
    </row>
    <row r="641" spans="1:55" ht="21" customHeight="1">
      <c r="A641" s="212"/>
      <c r="B641" s="249">
        <v>46143</v>
      </c>
      <c r="C641" s="250" t="s">
        <v>390</v>
      </c>
      <c r="D641" s="250" t="s">
        <v>1244</v>
      </c>
      <c r="E641" s="225" t="s">
        <v>2688</v>
      </c>
      <c r="F641" s="253"/>
      <c r="G641" s="225"/>
      <c r="H641" s="253"/>
      <c r="I641" s="253"/>
      <c r="J641" s="253"/>
      <c r="K641" s="253"/>
      <c r="L641" s="253"/>
      <c r="M641" s="253"/>
      <c r="N641" s="253"/>
      <c r="O641" s="225">
        <v>1</v>
      </c>
      <c r="P641" s="250">
        <v>1</v>
      </c>
      <c r="Q641" s="253"/>
      <c r="R641" s="253"/>
      <c r="S641" s="253"/>
      <c r="T641" s="253"/>
      <c r="U641" s="253"/>
      <c r="V641" s="253"/>
      <c r="W641" s="253"/>
      <c r="X641" s="253"/>
      <c r="Y641" s="253"/>
      <c r="Z641" s="225">
        <v>1</v>
      </c>
      <c r="AA641" s="250">
        <v>1</v>
      </c>
      <c r="AB641" s="253"/>
      <c r="AC641" s="253"/>
      <c r="AD641" s="253"/>
      <c r="AE641" s="253"/>
      <c r="AF641" s="253"/>
      <c r="AG641" s="253"/>
      <c r="AH641" s="253"/>
      <c r="AI641" s="253"/>
      <c r="AJ641" s="253"/>
      <c r="AK641" s="253"/>
      <c r="AL641" s="253"/>
      <c r="AM641" s="253"/>
      <c r="AN641" s="253"/>
      <c r="AO641" s="253"/>
      <c r="AP641" s="253"/>
      <c r="AQ641" s="253"/>
      <c r="AR641" s="253"/>
      <c r="AS641" s="253"/>
      <c r="AT641" s="253"/>
      <c r="AU641" s="253"/>
      <c r="AV641" s="253"/>
      <c r="AW641" s="252"/>
      <c r="AX641" s="252"/>
      <c r="AY641" s="252"/>
      <c r="AZ641" s="253"/>
      <c r="BA641" s="225"/>
      <c r="BB641" s="225"/>
      <c r="BC641" s="225"/>
    </row>
    <row r="642" spans="1:55" ht="21" customHeight="1">
      <c r="A642" s="212"/>
      <c r="B642" s="249">
        <v>46143</v>
      </c>
      <c r="C642" s="250" t="s">
        <v>390</v>
      </c>
      <c r="D642" s="250" t="s">
        <v>1245</v>
      </c>
      <c r="E642" s="225" t="s">
        <v>2689</v>
      </c>
      <c r="F642" s="253"/>
      <c r="G642" s="225"/>
      <c r="H642" s="253"/>
      <c r="I642" s="253"/>
      <c r="J642" s="253"/>
      <c r="K642" s="253"/>
      <c r="L642" s="253"/>
      <c r="M642" s="253"/>
      <c r="N642" s="253"/>
      <c r="O642" s="225">
        <v>1</v>
      </c>
      <c r="P642" s="250">
        <v>1</v>
      </c>
      <c r="Q642" s="253"/>
      <c r="R642" s="253"/>
      <c r="S642" s="253"/>
      <c r="T642" s="253"/>
      <c r="U642" s="253"/>
      <c r="V642" s="253"/>
      <c r="W642" s="253"/>
      <c r="X642" s="253"/>
      <c r="Y642" s="253"/>
      <c r="Z642" s="225">
        <v>1</v>
      </c>
      <c r="AA642" s="250">
        <v>1</v>
      </c>
      <c r="AB642" s="253"/>
      <c r="AC642" s="253"/>
      <c r="AD642" s="253"/>
      <c r="AE642" s="253"/>
      <c r="AF642" s="253"/>
      <c r="AG642" s="253"/>
      <c r="AH642" s="253"/>
      <c r="AI642" s="253"/>
      <c r="AJ642" s="253"/>
      <c r="AK642" s="253"/>
      <c r="AL642" s="253"/>
      <c r="AM642" s="253"/>
      <c r="AN642" s="253"/>
      <c r="AO642" s="253"/>
      <c r="AP642" s="253"/>
      <c r="AQ642" s="253"/>
      <c r="AR642" s="253"/>
      <c r="AS642" s="253"/>
      <c r="AT642" s="253"/>
      <c r="AU642" s="253"/>
      <c r="AV642" s="253"/>
      <c r="AW642" s="252"/>
      <c r="AX642" s="252"/>
      <c r="AY642" s="252"/>
      <c r="AZ642" s="253"/>
      <c r="BA642" s="225"/>
      <c r="BB642" s="225"/>
      <c r="BC642" s="225"/>
    </row>
    <row r="643" spans="1:55" ht="21" customHeight="1">
      <c r="A643" s="212"/>
      <c r="B643" s="249">
        <v>46143</v>
      </c>
      <c r="C643" s="250" t="s">
        <v>394</v>
      </c>
      <c r="D643" s="250" t="s">
        <v>1246</v>
      </c>
      <c r="E643" s="225" t="s">
        <v>2690</v>
      </c>
      <c r="F643" s="253"/>
      <c r="G643" s="225"/>
      <c r="H643" s="253"/>
      <c r="I643" s="253"/>
      <c r="J643" s="253"/>
      <c r="K643" s="253"/>
      <c r="L643" s="253"/>
      <c r="M643" s="253"/>
      <c r="N643" s="253"/>
      <c r="O643" s="253"/>
      <c r="P643" s="225"/>
      <c r="Q643" s="253"/>
      <c r="R643" s="253"/>
      <c r="S643" s="253"/>
      <c r="T643" s="253"/>
      <c r="U643" s="253"/>
      <c r="V643" s="253"/>
      <c r="W643" s="253"/>
      <c r="X643" s="253"/>
      <c r="Y643" s="253"/>
      <c r="Z643" s="225"/>
      <c r="AA643" s="225">
        <v>1</v>
      </c>
      <c r="AB643" s="253"/>
      <c r="AC643" s="253"/>
      <c r="AD643" s="253"/>
      <c r="AE643" s="253"/>
      <c r="AF643" s="253"/>
      <c r="AG643" s="253"/>
      <c r="AH643" s="253"/>
      <c r="AI643" s="253"/>
      <c r="AJ643" s="253"/>
      <c r="AK643" s="253"/>
      <c r="AL643" s="225"/>
      <c r="AM643" s="253"/>
      <c r="AN643" s="253"/>
      <c r="AO643" s="253"/>
      <c r="AP643" s="253"/>
      <c r="AQ643" s="253"/>
      <c r="AR643" s="253"/>
      <c r="AS643" s="253"/>
      <c r="AT643" s="253"/>
      <c r="AU643" s="253"/>
      <c r="AV643" s="253"/>
      <c r="AW643" s="252"/>
      <c r="AX643" s="252"/>
      <c r="AY643" s="252"/>
      <c r="AZ643" s="253"/>
      <c r="BA643" s="225">
        <v>1</v>
      </c>
      <c r="BB643" s="225"/>
      <c r="BC643" s="225"/>
    </row>
    <row r="644" spans="1:55" ht="21" customHeight="1">
      <c r="A644" s="212"/>
      <c r="B644" s="249">
        <v>46143</v>
      </c>
      <c r="C644" s="250" t="s">
        <v>394</v>
      </c>
      <c r="D644" s="250" t="s">
        <v>1247</v>
      </c>
      <c r="E644" s="225" t="s">
        <v>2691</v>
      </c>
      <c r="F644" s="253"/>
      <c r="G644" s="225"/>
      <c r="H644" s="253"/>
      <c r="I644" s="253"/>
      <c r="J644" s="253"/>
      <c r="K644" s="253"/>
      <c r="L644" s="253"/>
      <c r="M644" s="253"/>
      <c r="N644" s="253"/>
      <c r="O644" s="253"/>
      <c r="P644" s="225"/>
      <c r="Q644" s="253"/>
      <c r="R644" s="253"/>
      <c r="S644" s="253"/>
      <c r="T644" s="253"/>
      <c r="U644" s="253"/>
      <c r="V644" s="253"/>
      <c r="W644" s="253"/>
      <c r="X644" s="253"/>
      <c r="Y644" s="253"/>
      <c r="Z644" s="225"/>
      <c r="AA644" s="225"/>
      <c r="AB644" s="253"/>
      <c r="AC644" s="253"/>
      <c r="AD644" s="253"/>
      <c r="AE644" s="253"/>
      <c r="AF644" s="253"/>
      <c r="AG644" s="253"/>
      <c r="AH644" s="253"/>
      <c r="AI644" s="253"/>
      <c r="AJ644" s="253"/>
      <c r="AK644" s="253"/>
      <c r="AL644" s="225"/>
      <c r="AM644" s="253"/>
      <c r="AN644" s="253"/>
      <c r="AO644" s="253"/>
      <c r="AP644" s="253"/>
      <c r="AQ644" s="253"/>
      <c r="AR644" s="253"/>
      <c r="AS644" s="253"/>
      <c r="AT644" s="253"/>
      <c r="AU644" s="253"/>
      <c r="AV644" s="253"/>
      <c r="AW644" s="252"/>
      <c r="AX644" s="252"/>
      <c r="AY644" s="252"/>
      <c r="AZ644" s="253"/>
      <c r="BA644" s="225"/>
      <c r="BB644" s="225"/>
      <c r="BC644" s="225"/>
    </row>
    <row r="645" spans="1:55" ht="21" customHeight="1">
      <c r="A645" s="212"/>
      <c r="B645" s="249">
        <v>46113</v>
      </c>
      <c r="C645" s="250" t="s">
        <v>394</v>
      </c>
      <c r="D645" s="250" t="s">
        <v>1248</v>
      </c>
      <c r="E645" s="225" t="s">
        <v>2692</v>
      </c>
      <c r="F645" s="253"/>
      <c r="G645" s="225"/>
      <c r="H645" s="253"/>
      <c r="I645" s="253"/>
      <c r="J645" s="253"/>
      <c r="K645" s="253"/>
      <c r="L645" s="253"/>
      <c r="M645" s="253"/>
      <c r="N645" s="253"/>
      <c r="O645" s="253"/>
      <c r="P645" s="225">
        <v>1</v>
      </c>
      <c r="Q645" s="253"/>
      <c r="R645" s="253"/>
      <c r="S645" s="253"/>
      <c r="T645" s="253"/>
      <c r="U645" s="253"/>
      <c r="V645" s="253"/>
      <c r="W645" s="253"/>
      <c r="X645" s="253"/>
      <c r="Y645" s="253"/>
      <c r="Z645" s="225"/>
      <c r="AA645" s="225">
        <v>1</v>
      </c>
      <c r="AB645" s="253"/>
      <c r="AC645" s="253"/>
      <c r="AD645" s="253"/>
      <c r="AE645" s="253"/>
      <c r="AF645" s="253"/>
      <c r="AG645" s="253"/>
      <c r="AH645" s="253"/>
      <c r="AI645" s="253"/>
      <c r="AJ645" s="253"/>
      <c r="AK645" s="253"/>
      <c r="AL645" s="250">
        <v>1</v>
      </c>
      <c r="AM645" s="253"/>
      <c r="AN645" s="253"/>
      <c r="AO645" s="253"/>
      <c r="AP645" s="253"/>
      <c r="AQ645" s="253"/>
      <c r="AR645" s="253"/>
      <c r="AS645" s="253"/>
      <c r="AT645" s="253"/>
      <c r="AU645" s="253"/>
      <c r="AV645" s="253"/>
      <c r="AW645" s="252">
        <v>1</v>
      </c>
      <c r="AX645" s="252">
        <v>1</v>
      </c>
      <c r="AY645" s="252">
        <v>1</v>
      </c>
      <c r="AZ645" s="253"/>
      <c r="BA645" s="225">
        <v>1</v>
      </c>
      <c r="BB645" s="225">
        <v>1</v>
      </c>
      <c r="BC645" s="225">
        <v>1</v>
      </c>
    </row>
    <row r="646" spans="1:55" ht="21" customHeight="1">
      <c r="A646" s="212"/>
      <c r="B646" s="249">
        <v>46113</v>
      </c>
      <c r="C646" s="250" t="s">
        <v>394</v>
      </c>
      <c r="D646" s="250" t="s">
        <v>1249</v>
      </c>
      <c r="E646" s="225" t="s">
        <v>2693</v>
      </c>
      <c r="F646" s="253"/>
      <c r="G646" s="225"/>
      <c r="H646" s="253"/>
      <c r="I646" s="253"/>
      <c r="J646" s="253"/>
      <c r="K646" s="253"/>
      <c r="L646" s="253"/>
      <c r="M646" s="253"/>
      <c r="N646" s="253"/>
      <c r="O646" s="253"/>
      <c r="P646" s="225"/>
      <c r="Q646" s="253"/>
      <c r="R646" s="253"/>
      <c r="S646" s="253"/>
      <c r="T646" s="253"/>
      <c r="U646" s="253"/>
      <c r="V646" s="253"/>
      <c r="W646" s="253"/>
      <c r="X646" s="253"/>
      <c r="Y646" s="253"/>
      <c r="Z646" s="225"/>
      <c r="AA646" s="225">
        <v>1</v>
      </c>
      <c r="AB646" s="253"/>
      <c r="AC646" s="253"/>
      <c r="AD646" s="253"/>
      <c r="AE646" s="253"/>
      <c r="AF646" s="253"/>
      <c r="AG646" s="253"/>
      <c r="AH646" s="253"/>
      <c r="AI646" s="253"/>
      <c r="AJ646" s="253"/>
      <c r="AK646" s="253"/>
      <c r="AL646" s="225">
        <v>1</v>
      </c>
      <c r="AM646" s="253"/>
      <c r="AN646" s="253"/>
      <c r="AO646" s="253"/>
      <c r="AP646" s="253"/>
      <c r="AQ646" s="253"/>
      <c r="AR646" s="253"/>
      <c r="AS646" s="253"/>
      <c r="AT646" s="253"/>
      <c r="AU646" s="253"/>
      <c r="AV646" s="253"/>
      <c r="AW646" s="252">
        <v>1</v>
      </c>
      <c r="AX646" s="252">
        <v>1</v>
      </c>
      <c r="AY646" s="252">
        <v>1</v>
      </c>
      <c r="AZ646" s="253"/>
      <c r="BA646" s="225">
        <v>1</v>
      </c>
      <c r="BB646" s="225"/>
      <c r="BC646" s="225"/>
    </row>
    <row r="647" spans="1:55" ht="21" customHeight="1">
      <c r="A647" s="212"/>
      <c r="B647" s="249">
        <v>46113</v>
      </c>
      <c r="C647" s="250" t="s">
        <v>394</v>
      </c>
      <c r="D647" s="250" t="s">
        <v>1250</v>
      </c>
      <c r="E647" s="225" t="s">
        <v>2694</v>
      </c>
      <c r="F647" s="253"/>
      <c r="G647" s="225"/>
      <c r="H647" s="253"/>
      <c r="I647" s="253"/>
      <c r="J647" s="253"/>
      <c r="K647" s="253"/>
      <c r="L647" s="253"/>
      <c r="M647" s="253"/>
      <c r="N647" s="253"/>
      <c r="O647" s="253"/>
      <c r="P647" s="225">
        <v>1</v>
      </c>
      <c r="Q647" s="253"/>
      <c r="R647" s="253"/>
      <c r="S647" s="253"/>
      <c r="T647" s="253"/>
      <c r="U647" s="253"/>
      <c r="V647" s="253"/>
      <c r="W647" s="253"/>
      <c r="X647" s="253"/>
      <c r="Y647" s="253"/>
      <c r="Z647" s="225"/>
      <c r="AA647" s="225">
        <v>1</v>
      </c>
      <c r="AB647" s="253"/>
      <c r="AC647" s="253"/>
      <c r="AD647" s="253"/>
      <c r="AE647" s="253"/>
      <c r="AF647" s="253"/>
      <c r="AG647" s="253"/>
      <c r="AH647" s="253"/>
      <c r="AI647" s="253"/>
      <c r="AJ647" s="253"/>
      <c r="AK647" s="253"/>
      <c r="AL647" s="225">
        <v>1</v>
      </c>
      <c r="AM647" s="253"/>
      <c r="AN647" s="253"/>
      <c r="AO647" s="253"/>
      <c r="AP647" s="253"/>
      <c r="AQ647" s="253"/>
      <c r="AR647" s="253"/>
      <c r="AS647" s="253"/>
      <c r="AT647" s="253"/>
      <c r="AU647" s="253"/>
      <c r="AV647" s="253"/>
      <c r="AW647" s="252">
        <v>1</v>
      </c>
      <c r="AX647" s="252"/>
      <c r="AY647" s="252">
        <v>1</v>
      </c>
      <c r="AZ647" s="253"/>
      <c r="BA647" s="225">
        <v>1</v>
      </c>
      <c r="BB647" s="225"/>
      <c r="BC647" s="225"/>
    </row>
    <row r="648" spans="1:55" ht="21" customHeight="1">
      <c r="A648" s="212"/>
      <c r="B648" s="249">
        <v>46113</v>
      </c>
      <c r="C648" s="250" t="s">
        <v>394</v>
      </c>
      <c r="D648" s="250" t="s">
        <v>1251</v>
      </c>
      <c r="E648" s="225" t="s">
        <v>2695</v>
      </c>
      <c r="F648" s="253"/>
      <c r="G648" s="225"/>
      <c r="H648" s="253"/>
      <c r="I648" s="253"/>
      <c r="J648" s="253"/>
      <c r="K648" s="253"/>
      <c r="L648" s="253"/>
      <c r="M648" s="253"/>
      <c r="N648" s="253"/>
      <c r="O648" s="253"/>
      <c r="P648" s="225">
        <v>1</v>
      </c>
      <c r="Q648" s="253"/>
      <c r="R648" s="253"/>
      <c r="S648" s="253"/>
      <c r="T648" s="253"/>
      <c r="U648" s="253"/>
      <c r="V648" s="253"/>
      <c r="W648" s="253"/>
      <c r="X648" s="253"/>
      <c r="Y648" s="253"/>
      <c r="Z648" s="225"/>
      <c r="AA648" s="225">
        <v>1</v>
      </c>
      <c r="AB648" s="253"/>
      <c r="AC648" s="253"/>
      <c r="AD648" s="253"/>
      <c r="AE648" s="253"/>
      <c r="AF648" s="253"/>
      <c r="AG648" s="253"/>
      <c r="AH648" s="253"/>
      <c r="AI648" s="253"/>
      <c r="AJ648" s="253"/>
      <c r="AK648" s="253"/>
      <c r="AL648" s="225">
        <v>1</v>
      </c>
      <c r="AM648" s="253"/>
      <c r="AN648" s="253"/>
      <c r="AO648" s="253"/>
      <c r="AP648" s="253"/>
      <c r="AQ648" s="253"/>
      <c r="AR648" s="253"/>
      <c r="AS648" s="253"/>
      <c r="AT648" s="253"/>
      <c r="AU648" s="253"/>
      <c r="AV648" s="253"/>
      <c r="AW648" s="252">
        <v>1</v>
      </c>
      <c r="AX648" s="252">
        <v>1</v>
      </c>
      <c r="AY648" s="252">
        <v>1</v>
      </c>
      <c r="AZ648" s="253"/>
      <c r="BA648" s="225">
        <v>1</v>
      </c>
      <c r="BB648" s="225"/>
      <c r="BC648" s="225"/>
    </row>
    <row r="649" spans="1:55" ht="21" customHeight="1">
      <c r="A649" s="212"/>
      <c r="B649" s="249">
        <v>46113</v>
      </c>
      <c r="C649" s="250" t="s">
        <v>394</v>
      </c>
      <c r="D649" s="250" t="s">
        <v>1252</v>
      </c>
      <c r="E649" s="225" t="s">
        <v>2696</v>
      </c>
      <c r="F649" s="253"/>
      <c r="G649" s="225"/>
      <c r="H649" s="253"/>
      <c r="I649" s="253"/>
      <c r="J649" s="253"/>
      <c r="K649" s="253"/>
      <c r="L649" s="253"/>
      <c r="M649" s="253"/>
      <c r="N649" s="253"/>
      <c r="O649" s="253"/>
      <c r="P649" s="225">
        <v>1</v>
      </c>
      <c r="Q649" s="253"/>
      <c r="R649" s="253"/>
      <c r="S649" s="253"/>
      <c r="T649" s="253"/>
      <c r="U649" s="253"/>
      <c r="V649" s="253"/>
      <c r="W649" s="253"/>
      <c r="X649" s="253"/>
      <c r="Y649" s="253"/>
      <c r="Z649" s="225"/>
      <c r="AA649" s="225">
        <v>1</v>
      </c>
      <c r="AB649" s="253"/>
      <c r="AC649" s="253"/>
      <c r="AD649" s="253"/>
      <c r="AE649" s="253"/>
      <c r="AF649" s="253"/>
      <c r="AG649" s="253"/>
      <c r="AH649" s="253"/>
      <c r="AI649" s="253"/>
      <c r="AJ649" s="253"/>
      <c r="AK649" s="253"/>
      <c r="AL649" s="225">
        <v>1</v>
      </c>
      <c r="AM649" s="253"/>
      <c r="AN649" s="253"/>
      <c r="AO649" s="253"/>
      <c r="AP649" s="253"/>
      <c r="AQ649" s="253"/>
      <c r="AR649" s="253"/>
      <c r="AS649" s="253"/>
      <c r="AT649" s="253"/>
      <c r="AU649" s="253"/>
      <c r="AV649" s="253"/>
      <c r="AW649" s="252">
        <v>1</v>
      </c>
      <c r="AX649" s="252"/>
      <c r="AY649" s="252">
        <v>1</v>
      </c>
      <c r="AZ649" s="253"/>
      <c r="BA649" s="225">
        <v>1</v>
      </c>
      <c r="BB649" s="225"/>
      <c r="BC649" s="225"/>
    </row>
    <row r="650" spans="1:55" ht="21" customHeight="1">
      <c r="A650" s="212"/>
      <c r="B650" s="249">
        <v>46113</v>
      </c>
      <c r="C650" s="250" t="s">
        <v>394</v>
      </c>
      <c r="D650" s="250" t="s">
        <v>1253</v>
      </c>
      <c r="E650" s="225" t="s">
        <v>2697</v>
      </c>
      <c r="F650" s="253"/>
      <c r="G650" s="225"/>
      <c r="H650" s="253"/>
      <c r="I650" s="253"/>
      <c r="J650" s="253"/>
      <c r="K650" s="253"/>
      <c r="L650" s="253"/>
      <c r="M650" s="253"/>
      <c r="N650" s="253"/>
      <c r="O650" s="253"/>
      <c r="P650" s="225">
        <v>1</v>
      </c>
      <c r="Q650" s="253"/>
      <c r="R650" s="253"/>
      <c r="S650" s="253"/>
      <c r="T650" s="253"/>
      <c r="U650" s="253"/>
      <c r="V650" s="253"/>
      <c r="W650" s="253"/>
      <c r="X650" s="253"/>
      <c r="Y650" s="253"/>
      <c r="Z650" s="225"/>
      <c r="AA650" s="225">
        <v>1</v>
      </c>
      <c r="AB650" s="253"/>
      <c r="AC650" s="253"/>
      <c r="AD650" s="253"/>
      <c r="AE650" s="253"/>
      <c r="AF650" s="253"/>
      <c r="AG650" s="253"/>
      <c r="AH650" s="253"/>
      <c r="AI650" s="253"/>
      <c r="AJ650" s="253"/>
      <c r="AK650" s="253"/>
      <c r="AL650" s="225">
        <v>1</v>
      </c>
      <c r="AM650" s="253"/>
      <c r="AN650" s="253"/>
      <c r="AO650" s="253"/>
      <c r="AP650" s="253"/>
      <c r="AQ650" s="253"/>
      <c r="AR650" s="253"/>
      <c r="AS650" s="253"/>
      <c r="AT650" s="253"/>
      <c r="AU650" s="253"/>
      <c r="AV650" s="253"/>
      <c r="AW650" s="252">
        <v>1</v>
      </c>
      <c r="AX650" s="252"/>
      <c r="AY650" s="252">
        <v>1</v>
      </c>
      <c r="AZ650" s="253"/>
      <c r="BA650" s="225">
        <v>1</v>
      </c>
      <c r="BB650" s="225"/>
      <c r="BC650" s="225"/>
    </row>
    <row r="651" spans="1:55" ht="21" customHeight="1">
      <c r="A651" s="212"/>
      <c r="B651" s="249">
        <v>46113</v>
      </c>
      <c r="C651" s="250" t="s">
        <v>394</v>
      </c>
      <c r="D651" s="250" t="s">
        <v>1254</v>
      </c>
      <c r="E651" s="225" t="s">
        <v>2698</v>
      </c>
      <c r="F651" s="253"/>
      <c r="G651" s="225"/>
      <c r="H651" s="253"/>
      <c r="I651" s="253"/>
      <c r="J651" s="253"/>
      <c r="K651" s="253"/>
      <c r="L651" s="253"/>
      <c r="M651" s="253"/>
      <c r="N651" s="253"/>
      <c r="O651" s="253"/>
      <c r="P651" s="225">
        <v>1</v>
      </c>
      <c r="Q651" s="253"/>
      <c r="R651" s="253"/>
      <c r="S651" s="253"/>
      <c r="T651" s="253"/>
      <c r="U651" s="253"/>
      <c r="V651" s="253"/>
      <c r="W651" s="253"/>
      <c r="X651" s="253"/>
      <c r="Y651" s="253"/>
      <c r="Z651" s="225"/>
      <c r="AA651" s="225">
        <v>1</v>
      </c>
      <c r="AB651" s="253"/>
      <c r="AC651" s="253"/>
      <c r="AD651" s="253"/>
      <c r="AE651" s="253"/>
      <c r="AF651" s="253"/>
      <c r="AG651" s="253"/>
      <c r="AH651" s="253"/>
      <c r="AI651" s="253"/>
      <c r="AJ651" s="253"/>
      <c r="AK651" s="253"/>
      <c r="AL651" s="225">
        <v>1</v>
      </c>
      <c r="AM651" s="253"/>
      <c r="AN651" s="253"/>
      <c r="AO651" s="253"/>
      <c r="AP651" s="253"/>
      <c r="AQ651" s="253"/>
      <c r="AR651" s="253"/>
      <c r="AS651" s="253"/>
      <c r="AT651" s="253"/>
      <c r="AU651" s="253"/>
      <c r="AV651" s="253"/>
      <c r="AW651" s="252">
        <v>1</v>
      </c>
      <c r="AX651" s="252">
        <v>1</v>
      </c>
      <c r="AY651" s="252">
        <v>1</v>
      </c>
      <c r="AZ651" s="253"/>
      <c r="BA651" s="225">
        <v>1</v>
      </c>
      <c r="BB651" s="225"/>
      <c r="BC651" s="225"/>
    </row>
    <row r="652" spans="1:55" ht="21" customHeight="1">
      <c r="A652" s="212"/>
      <c r="B652" s="249">
        <v>46113</v>
      </c>
      <c r="C652" s="250" t="s">
        <v>394</v>
      </c>
      <c r="D652" s="250" t="s">
        <v>1255</v>
      </c>
      <c r="E652" s="225" t="s">
        <v>2699</v>
      </c>
      <c r="F652" s="253"/>
      <c r="G652" s="225"/>
      <c r="H652" s="253"/>
      <c r="I652" s="253"/>
      <c r="J652" s="253"/>
      <c r="K652" s="253"/>
      <c r="L652" s="253"/>
      <c r="M652" s="253"/>
      <c r="N652" s="253"/>
      <c r="O652" s="253"/>
      <c r="P652" s="225">
        <v>1</v>
      </c>
      <c r="Q652" s="253"/>
      <c r="R652" s="253"/>
      <c r="S652" s="253"/>
      <c r="T652" s="253"/>
      <c r="U652" s="253"/>
      <c r="V652" s="253"/>
      <c r="W652" s="253"/>
      <c r="X652" s="253"/>
      <c r="Y652" s="253"/>
      <c r="Z652" s="225"/>
      <c r="AA652" s="225">
        <v>1</v>
      </c>
      <c r="AB652" s="253"/>
      <c r="AC652" s="253"/>
      <c r="AD652" s="253"/>
      <c r="AE652" s="253"/>
      <c r="AF652" s="253"/>
      <c r="AG652" s="253"/>
      <c r="AH652" s="253"/>
      <c r="AI652" s="253"/>
      <c r="AJ652" s="253"/>
      <c r="AK652" s="253"/>
      <c r="AL652" s="225">
        <v>1</v>
      </c>
      <c r="AM652" s="253"/>
      <c r="AN652" s="253"/>
      <c r="AO652" s="253"/>
      <c r="AP652" s="253"/>
      <c r="AQ652" s="253"/>
      <c r="AR652" s="253"/>
      <c r="AS652" s="253"/>
      <c r="AT652" s="253"/>
      <c r="AU652" s="253"/>
      <c r="AV652" s="253"/>
      <c r="AW652" s="252">
        <v>1</v>
      </c>
      <c r="AX652" s="252"/>
      <c r="AY652" s="252"/>
      <c r="AZ652" s="253"/>
      <c r="BA652" s="225">
        <v>1</v>
      </c>
      <c r="BB652" s="225"/>
      <c r="BC652" s="225"/>
    </row>
    <row r="653" spans="1:55" ht="21" customHeight="1">
      <c r="A653" s="212"/>
      <c r="B653" s="249">
        <v>46113</v>
      </c>
      <c r="C653" s="250" t="s">
        <v>394</v>
      </c>
      <c r="D653" s="250" t="s">
        <v>1256</v>
      </c>
      <c r="E653" s="225" t="s">
        <v>2700</v>
      </c>
      <c r="F653" s="253"/>
      <c r="G653" s="225"/>
      <c r="H653" s="253"/>
      <c r="I653" s="253"/>
      <c r="J653" s="253"/>
      <c r="K653" s="253"/>
      <c r="L653" s="253"/>
      <c r="M653" s="253"/>
      <c r="N653" s="253"/>
      <c r="O653" s="253"/>
      <c r="P653" s="225">
        <v>1</v>
      </c>
      <c r="Q653" s="253"/>
      <c r="R653" s="253"/>
      <c r="S653" s="253"/>
      <c r="T653" s="253"/>
      <c r="U653" s="253"/>
      <c r="V653" s="253"/>
      <c r="W653" s="253"/>
      <c r="X653" s="253"/>
      <c r="Y653" s="253"/>
      <c r="Z653" s="225"/>
      <c r="AA653" s="225">
        <v>1</v>
      </c>
      <c r="AB653" s="253"/>
      <c r="AC653" s="253"/>
      <c r="AD653" s="253"/>
      <c r="AE653" s="253"/>
      <c r="AF653" s="253"/>
      <c r="AG653" s="253"/>
      <c r="AH653" s="253"/>
      <c r="AI653" s="253"/>
      <c r="AJ653" s="253"/>
      <c r="AK653" s="253"/>
      <c r="AL653" s="225">
        <v>1</v>
      </c>
      <c r="AM653" s="253"/>
      <c r="AN653" s="253"/>
      <c r="AO653" s="253"/>
      <c r="AP653" s="253"/>
      <c r="AQ653" s="253"/>
      <c r="AR653" s="253"/>
      <c r="AS653" s="253"/>
      <c r="AT653" s="253"/>
      <c r="AU653" s="253"/>
      <c r="AV653" s="253"/>
      <c r="AW653" s="252">
        <v>1</v>
      </c>
      <c r="AX653" s="252"/>
      <c r="AY653" s="252">
        <v>1</v>
      </c>
      <c r="AZ653" s="253"/>
      <c r="BA653" s="225">
        <v>1</v>
      </c>
      <c r="BB653" s="225"/>
      <c r="BC653" s="225"/>
    </row>
    <row r="654" spans="1:55" ht="21" customHeight="1">
      <c r="A654" s="212"/>
      <c r="B654" s="249">
        <v>46113</v>
      </c>
      <c r="C654" s="250" t="s">
        <v>394</v>
      </c>
      <c r="D654" s="250" t="s">
        <v>1257</v>
      </c>
      <c r="E654" s="225" t="s">
        <v>2701</v>
      </c>
      <c r="F654" s="253"/>
      <c r="G654" s="225"/>
      <c r="H654" s="253"/>
      <c r="I654" s="253"/>
      <c r="J654" s="253"/>
      <c r="K654" s="253"/>
      <c r="L654" s="253"/>
      <c r="M654" s="253"/>
      <c r="N654" s="253"/>
      <c r="O654" s="253"/>
      <c r="P654" s="225"/>
      <c r="Q654" s="253"/>
      <c r="R654" s="253"/>
      <c r="S654" s="253"/>
      <c r="T654" s="253"/>
      <c r="U654" s="253"/>
      <c r="V654" s="253"/>
      <c r="W654" s="253"/>
      <c r="X654" s="253"/>
      <c r="Y654" s="253"/>
      <c r="Z654" s="225"/>
      <c r="AA654" s="225"/>
      <c r="AB654" s="253"/>
      <c r="AC654" s="253"/>
      <c r="AD654" s="253"/>
      <c r="AE654" s="253"/>
      <c r="AF654" s="253"/>
      <c r="AG654" s="253"/>
      <c r="AH654" s="253"/>
      <c r="AI654" s="253"/>
      <c r="AJ654" s="253"/>
      <c r="AK654" s="253"/>
      <c r="AL654" s="225"/>
      <c r="AM654" s="253"/>
      <c r="AN654" s="253"/>
      <c r="AO654" s="253"/>
      <c r="AP654" s="253"/>
      <c r="AQ654" s="253"/>
      <c r="AR654" s="253"/>
      <c r="AS654" s="253"/>
      <c r="AT654" s="253"/>
      <c r="AU654" s="253"/>
      <c r="AV654" s="253"/>
      <c r="AW654" s="252"/>
      <c r="AX654" s="252"/>
      <c r="AY654" s="252"/>
      <c r="AZ654" s="253"/>
      <c r="BA654" s="225"/>
      <c r="BB654" s="225"/>
      <c r="BC654" s="225"/>
    </row>
    <row r="655" spans="1:55" ht="21" customHeight="1">
      <c r="A655" s="212"/>
      <c r="B655" s="249">
        <v>46113</v>
      </c>
      <c r="C655" s="250" t="s">
        <v>389</v>
      </c>
      <c r="D655" s="250" t="s">
        <v>1258</v>
      </c>
      <c r="E655" s="225" t="s">
        <v>2702</v>
      </c>
      <c r="F655" s="253"/>
      <c r="G655" s="225"/>
      <c r="H655" s="253"/>
      <c r="I655" s="253"/>
      <c r="J655" s="253"/>
      <c r="K655" s="253"/>
      <c r="L655" s="253"/>
      <c r="M655" s="253"/>
      <c r="N655" s="253"/>
      <c r="O655" s="253"/>
      <c r="P655" s="225">
        <v>1</v>
      </c>
      <c r="Q655" s="253"/>
      <c r="R655" s="253"/>
      <c r="S655" s="253"/>
      <c r="T655" s="253"/>
      <c r="U655" s="253"/>
      <c r="V655" s="253"/>
      <c r="W655" s="253"/>
      <c r="X655" s="253"/>
      <c r="Y655" s="253"/>
      <c r="Z655" s="225"/>
      <c r="AA655" s="225">
        <v>1</v>
      </c>
      <c r="AB655" s="253"/>
      <c r="AC655" s="253"/>
      <c r="AD655" s="253"/>
      <c r="AE655" s="253"/>
      <c r="AF655" s="253"/>
      <c r="AG655" s="253"/>
      <c r="AH655" s="253"/>
      <c r="AI655" s="253"/>
      <c r="AJ655" s="253"/>
      <c r="AK655" s="253"/>
      <c r="AL655" s="250">
        <v>1</v>
      </c>
      <c r="AM655" s="253"/>
      <c r="AN655" s="253"/>
      <c r="AO655" s="253"/>
      <c r="AP655" s="253"/>
      <c r="AQ655" s="253"/>
      <c r="AR655" s="253"/>
      <c r="AS655" s="253"/>
      <c r="AT655" s="253"/>
      <c r="AU655" s="253"/>
      <c r="AV655" s="253"/>
      <c r="AW655" s="252">
        <v>1</v>
      </c>
      <c r="AX655" s="252">
        <v>1</v>
      </c>
      <c r="AY655" s="252">
        <v>1</v>
      </c>
      <c r="AZ655" s="253"/>
      <c r="BA655" s="225"/>
      <c r="BB655" s="225"/>
      <c r="BC655" s="225"/>
    </row>
    <row r="656" spans="1:55" ht="21" customHeight="1">
      <c r="A656" s="212"/>
      <c r="B656" s="249">
        <v>46113</v>
      </c>
      <c r="C656" s="250" t="s">
        <v>389</v>
      </c>
      <c r="D656" s="250" t="s">
        <v>1259</v>
      </c>
      <c r="E656" s="225" t="s">
        <v>2703</v>
      </c>
      <c r="F656" s="253"/>
      <c r="G656" s="225"/>
      <c r="H656" s="253"/>
      <c r="I656" s="253"/>
      <c r="J656" s="253"/>
      <c r="K656" s="253"/>
      <c r="L656" s="253"/>
      <c r="M656" s="253"/>
      <c r="N656" s="253"/>
      <c r="O656" s="253"/>
      <c r="P656" s="225">
        <v>1</v>
      </c>
      <c r="Q656" s="253"/>
      <c r="R656" s="253"/>
      <c r="S656" s="253"/>
      <c r="T656" s="253"/>
      <c r="U656" s="253"/>
      <c r="V656" s="253"/>
      <c r="W656" s="253"/>
      <c r="X656" s="253"/>
      <c r="Y656" s="253"/>
      <c r="Z656" s="225"/>
      <c r="AA656" s="225">
        <v>1</v>
      </c>
      <c r="AB656" s="253"/>
      <c r="AC656" s="253"/>
      <c r="AD656" s="253"/>
      <c r="AE656" s="253"/>
      <c r="AF656" s="253"/>
      <c r="AG656" s="253"/>
      <c r="AH656" s="253"/>
      <c r="AI656" s="253"/>
      <c r="AJ656" s="253"/>
      <c r="AK656" s="253"/>
      <c r="AL656" s="225">
        <v>1</v>
      </c>
      <c r="AM656" s="253"/>
      <c r="AN656" s="253"/>
      <c r="AO656" s="253"/>
      <c r="AP656" s="253"/>
      <c r="AQ656" s="253"/>
      <c r="AR656" s="253"/>
      <c r="AS656" s="253"/>
      <c r="AT656" s="253"/>
      <c r="AU656" s="253"/>
      <c r="AV656" s="253"/>
      <c r="AW656" s="252">
        <v>1</v>
      </c>
      <c r="AX656" s="252"/>
      <c r="AY656" s="252">
        <v>1</v>
      </c>
      <c r="AZ656" s="253"/>
      <c r="BA656" s="225"/>
      <c r="BB656" s="225"/>
      <c r="BC656" s="225"/>
    </row>
    <row r="657" spans="1:55" ht="21" customHeight="1">
      <c r="A657" s="212"/>
      <c r="B657" s="249">
        <v>46113</v>
      </c>
      <c r="C657" s="250" t="s">
        <v>389</v>
      </c>
      <c r="D657" s="250" t="s">
        <v>1260</v>
      </c>
      <c r="E657" s="225" t="s">
        <v>2704</v>
      </c>
      <c r="F657" s="253"/>
      <c r="G657" s="225"/>
      <c r="H657" s="253"/>
      <c r="I657" s="253"/>
      <c r="J657" s="253"/>
      <c r="K657" s="253"/>
      <c r="L657" s="253"/>
      <c r="M657" s="253"/>
      <c r="N657" s="253"/>
      <c r="O657" s="253"/>
      <c r="P657" s="250">
        <v>1</v>
      </c>
      <c r="Q657" s="253"/>
      <c r="R657" s="253"/>
      <c r="S657" s="253"/>
      <c r="T657" s="253"/>
      <c r="U657" s="253"/>
      <c r="V657" s="253"/>
      <c r="W657" s="253"/>
      <c r="X657" s="253"/>
      <c r="Y657" s="253"/>
      <c r="Z657" s="225"/>
      <c r="AA657" s="225">
        <v>1</v>
      </c>
      <c r="AB657" s="253"/>
      <c r="AC657" s="253"/>
      <c r="AD657" s="253"/>
      <c r="AE657" s="253"/>
      <c r="AF657" s="253"/>
      <c r="AG657" s="253"/>
      <c r="AH657" s="253"/>
      <c r="AI657" s="253"/>
      <c r="AJ657" s="253"/>
      <c r="AK657" s="253"/>
      <c r="AL657" s="225">
        <v>1</v>
      </c>
      <c r="AM657" s="253"/>
      <c r="AN657" s="253"/>
      <c r="AO657" s="253"/>
      <c r="AP657" s="253"/>
      <c r="AQ657" s="253"/>
      <c r="AR657" s="253"/>
      <c r="AS657" s="253"/>
      <c r="AT657" s="253"/>
      <c r="AU657" s="253"/>
      <c r="AV657" s="253"/>
      <c r="AW657" s="252">
        <v>1</v>
      </c>
      <c r="AX657" s="252">
        <v>1</v>
      </c>
      <c r="AY657" s="252">
        <v>1</v>
      </c>
      <c r="AZ657" s="253"/>
      <c r="BA657" s="225">
        <v>1</v>
      </c>
      <c r="BB657" s="225"/>
      <c r="BC657" s="225"/>
    </row>
    <row r="658" spans="1:55" ht="21" customHeight="1">
      <c r="A658" s="212"/>
      <c r="B658" s="249">
        <v>46113</v>
      </c>
      <c r="C658" s="250" t="s">
        <v>389</v>
      </c>
      <c r="D658" s="250" t="s">
        <v>1261</v>
      </c>
      <c r="E658" s="225" t="s">
        <v>2705</v>
      </c>
      <c r="F658" s="253"/>
      <c r="G658" s="225"/>
      <c r="H658" s="253"/>
      <c r="I658" s="253"/>
      <c r="J658" s="253"/>
      <c r="K658" s="253"/>
      <c r="L658" s="253"/>
      <c r="M658" s="253"/>
      <c r="N658" s="253"/>
      <c r="O658" s="253"/>
      <c r="P658" s="225">
        <v>1</v>
      </c>
      <c r="Q658" s="253"/>
      <c r="R658" s="253"/>
      <c r="S658" s="253"/>
      <c r="T658" s="253"/>
      <c r="U658" s="253"/>
      <c r="V658" s="253"/>
      <c r="W658" s="253"/>
      <c r="X658" s="253"/>
      <c r="Y658" s="253"/>
      <c r="Z658" s="225"/>
      <c r="AA658" s="225">
        <v>1</v>
      </c>
      <c r="AB658" s="253"/>
      <c r="AC658" s="253"/>
      <c r="AD658" s="253"/>
      <c r="AE658" s="253"/>
      <c r="AF658" s="253"/>
      <c r="AG658" s="253"/>
      <c r="AH658" s="253"/>
      <c r="AI658" s="253"/>
      <c r="AJ658" s="253"/>
      <c r="AK658" s="253"/>
      <c r="AL658" s="225">
        <v>1</v>
      </c>
      <c r="AM658" s="253"/>
      <c r="AN658" s="253"/>
      <c r="AO658" s="253"/>
      <c r="AP658" s="253"/>
      <c r="AQ658" s="253"/>
      <c r="AR658" s="253"/>
      <c r="AS658" s="253"/>
      <c r="AT658" s="253"/>
      <c r="AU658" s="253"/>
      <c r="AV658" s="253"/>
      <c r="AW658" s="252">
        <v>1</v>
      </c>
      <c r="AX658" s="252"/>
      <c r="AY658" s="252">
        <v>1</v>
      </c>
      <c r="AZ658" s="253"/>
      <c r="BA658" s="225"/>
      <c r="BB658" s="225"/>
      <c r="BC658" s="225"/>
    </row>
    <row r="659" spans="1:55" ht="21" customHeight="1">
      <c r="A659" s="212"/>
      <c r="B659" s="249">
        <v>46113</v>
      </c>
      <c r="C659" s="250" t="s">
        <v>389</v>
      </c>
      <c r="D659" s="250" t="s">
        <v>1262</v>
      </c>
      <c r="E659" s="225" t="s">
        <v>2706</v>
      </c>
      <c r="F659" s="253"/>
      <c r="G659" s="225"/>
      <c r="H659" s="253"/>
      <c r="I659" s="253"/>
      <c r="J659" s="253"/>
      <c r="K659" s="253"/>
      <c r="L659" s="253"/>
      <c r="M659" s="253"/>
      <c r="N659" s="253"/>
      <c r="O659" s="253"/>
      <c r="P659" s="225">
        <v>1</v>
      </c>
      <c r="Q659" s="253"/>
      <c r="R659" s="253"/>
      <c r="S659" s="253"/>
      <c r="T659" s="253"/>
      <c r="U659" s="253"/>
      <c r="V659" s="253"/>
      <c r="W659" s="253"/>
      <c r="X659" s="253"/>
      <c r="Y659" s="253"/>
      <c r="Z659" s="225"/>
      <c r="AA659" s="225">
        <v>1</v>
      </c>
      <c r="AB659" s="253"/>
      <c r="AC659" s="253"/>
      <c r="AD659" s="253"/>
      <c r="AE659" s="253"/>
      <c r="AF659" s="253"/>
      <c r="AG659" s="253"/>
      <c r="AH659" s="253"/>
      <c r="AI659" s="253"/>
      <c r="AJ659" s="253"/>
      <c r="AK659" s="253"/>
      <c r="AL659" s="225">
        <v>1</v>
      </c>
      <c r="AM659" s="253"/>
      <c r="AN659" s="253"/>
      <c r="AO659" s="253"/>
      <c r="AP659" s="253"/>
      <c r="AQ659" s="253"/>
      <c r="AR659" s="253"/>
      <c r="AS659" s="253"/>
      <c r="AT659" s="253"/>
      <c r="AU659" s="253"/>
      <c r="AV659" s="253"/>
      <c r="AW659" s="252">
        <v>1</v>
      </c>
      <c r="AX659" s="252"/>
      <c r="AY659" s="252">
        <v>1</v>
      </c>
      <c r="AZ659" s="253"/>
      <c r="BA659" s="225">
        <v>1</v>
      </c>
      <c r="BB659" s="225"/>
      <c r="BC659" s="225"/>
    </row>
    <row r="660" spans="1:55" ht="21" customHeight="1">
      <c r="A660" s="212"/>
      <c r="B660" s="249">
        <v>46113</v>
      </c>
      <c r="C660" s="250" t="s">
        <v>389</v>
      </c>
      <c r="D660" s="250" t="s">
        <v>1263</v>
      </c>
      <c r="E660" s="225" t="s">
        <v>2707</v>
      </c>
      <c r="F660" s="253"/>
      <c r="G660" s="225"/>
      <c r="H660" s="253"/>
      <c r="I660" s="253"/>
      <c r="J660" s="253"/>
      <c r="K660" s="253"/>
      <c r="L660" s="253"/>
      <c r="M660" s="253"/>
      <c r="N660" s="253"/>
      <c r="O660" s="253"/>
      <c r="P660" s="225">
        <v>1</v>
      </c>
      <c r="Q660" s="253"/>
      <c r="R660" s="253"/>
      <c r="S660" s="253"/>
      <c r="T660" s="253"/>
      <c r="U660" s="253"/>
      <c r="V660" s="253"/>
      <c r="W660" s="253"/>
      <c r="X660" s="253"/>
      <c r="Y660" s="253"/>
      <c r="Z660" s="225"/>
      <c r="AA660" s="225">
        <v>1</v>
      </c>
      <c r="AB660" s="253"/>
      <c r="AC660" s="253"/>
      <c r="AD660" s="253"/>
      <c r="AE660" s="253"/>
      <c r="AF660" s="253"/>
      <c r="AG660" s="253"/>
      <c r="AH660" s="253"/>
      <c r="AI660" s="253"/>
      <c r="AJ660" s="253"/>
      <c r="AK660" s="253"/>
      <c r="AL660" s="225">
        <v>1</v>
      </c>
      <c r="AM660" s="253"/>
      <c r="AN660" s="253"/>
      <c r="AO660" s="253"/>
      <c r="AP660" s="253"/>
      <c r="AQ660" s="253"/>
      <c r="AR660" s="253"/>
      <c r="AS660" s="253"/>
      <c r="AT660" s="253"/>
      <c r="AU660" s="253"/>
      <c r="AV660" s="253"/>
      <c r="AW660" s="252">
        <v>1</v>
      </c>
      <c r="AX660" s="252"/>
      <c r="AY660" s="252">
        <v>1</v>
      </c>
      <c r="AZ660" s="253"/>
      <c r="BA660" s="225"/>
      <c r="BB660" s="225"/>
      <c r="BC660" s="225"/>
    </row>
    <row r="661" spans="1:55" ht="21" customHeight="1">
      <c r="A661" s="212"/>
      <c r="B661" s="249">
        <v>46113</v>
      </c>
      <c r="C661" s="250" t="s">
        <v>389</v>
      </c>
      <c r="D661" s="250" t="s">
        <v>1264</v>
      </c>
      <c r="E661" s="225" t="s">
        <v>2708</v>
      </c>
      <c r="F661" s="253"/>
      <c r="G661" s="225"/>
      <c r="H661" s="253"/>
      <c r="I661" s="253"/>
      <c r="J661" s="253"/>
      <c r="K661" s="253"/>
      <c r="L661" s="253"/>
      <c r="M661" s="253"/>
      <c r="N661" s="253"/>
      <c r="O661" s="253"/>
      <c r="P661" s="225">
        <v>1</v>
      </c>
      <c r="Q661" s="253"/>
      <c r="R661" s="253"/>
      <c r="S661" s="253"/>
      <c r="T661" s="253"/>
      <c r="U661" s="253"/>
      <c r="V661" s="253"/>
      <c r="W661" s="253"/>
      <c r="X661" s="253"/>
      <c r="Y661" s="253"/>
      <c r="Z661" s="225"/>
      <c r="AA661" s="225"/>
      <c r="AB661" s="253"/>
      <c r="AC661" s="253"/>
      <c r="AD661" s="253"/>
      <c r="AE661" s="253"/>
      <c r="AF661" s="253"/>
      <c r="AG661" s="253"/>
      <c r="AH661" s="253"/>
      <c r="AI661" s="253"/>
      <c r="AJ661" s="253"/>
      <c r="AK661" s="253"/>
      <c r="AL661" s="225">
        <v>1</v>
      </c>
      <c r="AM661" s="253"/>
      <c r="AN661" s="253"/>
      <c r="AO661" s="253"/>
      <c r="AP661" s="253"/>
      <c r="AQ661" s="253"/>
      <c r="AR661" s="253"/>
      <c r="AS661" s="253"/>
      <c r="AT661" s="253"/>
      <c r="AU661" s="253"/>
      <c r="AV661" s="253"/>
      <c r="AW661" s="252">
        <v>1</v>
      </c>
      <c r="AX661" s="252"/>
      <c r="AY661" s="252">
        <v>1</v>
      </c>
      <c r="AZ661" s="253"/>
      <c r="BA661" s="225">
        <v>1</v>
      </c>
      <c r="BB661" s="225"/>
      <c r="BC661" s="225"/>
    </row>
    <row r="662" spans="1:55" ht="21" customHeight="1">
      <c r="A662" s="212"/>
      <c r="B662" s="249">
        <v>46113</v>
      </c>
      <c r="C662" s="250" t="s">
        <v>389</v>
      </c>
      <c r="D662" s="250" t="s">
        <v>1265</v>
      </c>
      <c r="E662" s="225" t="s">
        <v>2709</v>
      </c>
      <c r="F662" s="253"/>
      <c r="G662" s="225"/>
      <c r="H662" s="253"/>
      <c r="I662" s="253"/>
      <c r="J662" s="253"/>
      <c r="K662" s="253"/>
      <c r="L662" s="253"/>
      <c r="M662" s="253"/>
      <c r="N662" s="253"/>
      <c r="O662" s="253"/>
      <c r="P662" s="225">
        <v>1</v>
      </c>
      <c r="Q662" s="253"/>
      <c r="R662" s="253"/>
      <c r="S662" s="253"/>
      <c r="T662" s="253"/>
      <c r="U662" s="253"/>
      <c r="V662" s="253"/>
      <c r="W662" s="253"/>
      <c r="X662" s="253"/>
      <c r="Y662" s="253"/>
      <c r="Z662" s="225"/>
      <c r="AA662" s="225">
        <v>1</v>
      </c>
      <c r="AB662" s="253"/>
      <c r="AC662" s="253"/>
      <c r="AD662" s="253"/>
      <c r="AE662" s="253"/>
      <c r="AF662" s="253"/>
      <c r="AG662" s="253"/>
      <c r="AH662" s="253"/>
      <c r="AI662" s="253"/>
      <c r="AJ662" s="253"/>
      <c r="AK662" s="253"/>
      <c r="AL662" s="225">
        <v>1</v>
      </c>
      <c r="AM662" s="253"/>
      <c r="AN662" s="253"/>
      <c r="AO662" s="253"/>
      <c r="AP662" s="253"/>
      <c r="AQ662" s="253"/>
      <c r="AR662" s="253"/>
      <c r="AS662" s="253"/>
      <c r="AT662" s="253"/>
      <c r="AU662" s="253"/>
      <c r="AV662" s="253"/>
      <c r="AW662" s="252">
        <v>1</v>
      </c>
      <c r="AX662" s="252"/>
      <c r="AY662" s="252">
        <v>1</v>
      </c>
      <c r="AZ662" s="253"/>
      <c r="BA662" s="225">
        <v>1</v>
      </c>
      <c r="BB662" s="225"/>
      <c r="BC662" s="225"/>
    </row>
    <row r="663" spans="1:55" ht="21" customHeight="1">
      <c r="A663" s="212"/>
      <c r="B663" s="249">
        <v>46113</v>
      </c>
      <c r="C663" s="250" t="s">
        <v>386</v>
      </c>
      <c r="D663" s="250" t="s">
        <v>1266</v>
      </c>
      <c r="E663" s="225" t="s">
        <v>2710</v>
      </c>
      <c r="F663" s="253"/>
      <c r="G663" s="225"/>
      <c r="H663" s="253"/>
      <c r="I663" s="253"/>
      <c r="J663" s="253"/>
      <c r="K663" s="253"/>
      <c r="L663" s="253"/>
      <c r="M663" s="253"/>
      <c r="N663" s="253"/>
      <c r="O663" s="253"/>
      <c r="P663" s="253"/>
      <c r="Q663" s="253"/>
      <c r="R663" s="253"/>
      <c r="S663" s="253"/>
      <c r="T663" s="253"/>
      <c r="U663" s="253"/>
      <c r="V663" s="253"/>
      <c r="W663" s="253"/>
      <c r="X663" s="253"/>
      <c r="Y663" s="253"/>
      <c r="Z663" s="225"/>
      <c r="AA663" s="225"/>
      <c r="AB663" s="253"/>
      <c r="AC663" s="253"/>
      <c r="AD663" s="253"/>
      <c r="AE663" s="253"/>
      <c r="AF663" s="253"/>
      <c r="AG663" s="253"/>
      <c r="AH663" s="253"/>
      <c r="AI663" s="253"/>
      <c r="AJ663" s="253"/>
      <c r="AK663" s="253"/>
      <c r="AL663" s="253"/>
      <c r="AM663" s="253"/>
      <c r="AN663" s="253"/>
      <c r="AO663" s="253"/>
      <c r="AP663" s="253"/>
      <c r="AQ663" s="253"/>
      <c r="AR663" s="253"/>
      <c r="AS663" s="253"/>
      <c r="AT663" s="253"/>
      <c r="AU663" s="253"/>
      <c r="AV663" s="253"/>
      <c r="AW663" s="252"/>
      <c r="AX663" s="252"/>
      <c r="AY663" s="252"/>
      <c r="AZ663" s="253"/>
      <c r="BA663" s="225"/>
      <c r="BB663" s="225"/>
      <c r="BC663" s="225"/>
    </row>
    <row r="664" spans="1:55" ht="21" customHeight="1">
      <c r="A664" s="212"/>
      <c r="B664" s="249">
        <v>46113</v>
      </c>
      <c r="C664" s="250" t="s">
        <v>389</v>
      </c>
      <c r="D664" s="250" t="s">
        <v>1267</v>
      </c>
      <c r="E664" s="225" t="s">
        <v>2711</v>
      </c>
      <c r="F664" s="253"/>
      <c r="G664" s="225"/>
      <c r="H664" s="253"/>
      <c r="I664" s="253"/>
      <c r="J664" s="253"/>
      <c r="K664" s="253"/>
      <c r="L664" s="253"/>
      <c r="M664" s="253"/>
      <c r="N664" s="253"/>
      <c r="O664" s="253"/>
      <c r="P664" s="225">
        <v>1</v>
      </c>
      <c r="Q664" s="253"/>
      <c r="R664" s="253"/>
      <c r="S664" s="253"/>
      <c r="T664" s="253"/>
      <c r="U664" s="253"/>
      <c r="V664" s="253"/>
      <c r="W664" s="253"/>
      <c r="X664" s="253"/>
      <c r="Y664" s="253"/>
      <c r="Z664" s="225"/>
      <c r="AA664" s="225">
        <v>1</v>
      </c>
      <c r="AB664" s="253"/>
      <c r="AC664" s="253"/>
      <c r="AD664" s="253"/>
      <c r="AE664" s="253"/>
      <c r="AF664" s="253"/>
      <c r="AG664" s="253"/>
      <c r="AH664" s="253"/>
      <c r="AI664" s="253"/>
      <c r="AJ664" s="253"/>
      <c r="AK664" s="253"/>
      <c r="AL664" s="225">
        <v>1</v>
      </c>
      <c r="AM664" s="253"/>
      <c r="AN664" s="253"/>
      <c r="AO664" s="253"/>
      <c r="AP664" s="253"/>
      <c r="AQ664" s="253"/>
      <c r="AR664" s="253"/>
      <c r="AS664" s="253"/>
      <c r="AT664" s="253"/>
      <c r="AU664" s="253"/>
      <c r="AV664" s="253"/>
      <c r="AW664" s="252">
        <v>1</v>
      </c>
      <c r="AX664" s="252"/>
      <c r="AY664" s="252">
        <v>1</v>
      </c>
      <c r="AZ664" s="253"/>
      <c r="BA664" s="225">
        <v>1</v>
      </c>
      <c r="BB664" s="225"/>
      <c r="BC664" s="225"/>
    </row>
    <row r="665" spans="1:55" ht="21" customHeight="1">
      <c r="A665" s="212"/>
      <c r="B665" s="249">
        <v>46113</v>
      </c>
      <c r="C665" s="250" t="s">
        <v>389</v>
      </c>
      <c r="D665" s="250" t="s">
        <v>1268</v>
      </c>
      <c r="E665" s="225" t="s">
        <v>2712</v>
      </c>
      <c r="F665" s="253"/>
      <c r="G665" s="225"/>
      <c r="H665" s="253"/>
      <c r="I665" s="253"/>
      <c r="J665" s="253"/>
      <c r="K665" s="253"/>
      <c r="L665" s="253"/>
      <c r="M665" s="253"/>
      <c r="N665" s="253"/>
      <c r="O665" s="253"/>
      <c r="P665" s="225">
        <v>1</v>
      </c>
      <c r="Q665" s="253"/>
      <c r="R665" s="253"/>
      <c r="S665" s="253"/>
      <c r="T665" s="253"/>
      <c r="U665" s="253"/>
      <c r="V665" s="253"/>
      <c r="W665" s="253"/>
      <c r="X665" s="253"/>
      <c r="Y665" s="253"/>
      <c r="Z665" s="225"/>
      <c r="AA665" s="225">
        <v>1</v>
      </c>
      <c r="AB665" s="253"/>
      <c r="AC665" s="253"/>
      <c r="AD665" s="253"/>
      <c r="AE665" s="253"/>
      <c r="AF665" s="253"/>
      <c r="AG665" s="253"/>
      <c r="AH665" s="253"/>
      <c r="AI665" s="253"/>
      <c r="AJ665" s="253"/>
      <c r="AK665" s="253"/>
      <c r="AL665" s="225">
        <v>1</v>
      </c>
      <c r="AM665" s="253"/>
      <c r="AN665" s="253"/>
      <c r="AO665" s="253"/>
      <c r="AP665" s="253"/>
      <c r="AQ665" s="253"/>
      <c r="AR665" s="253"/>
      <c r="AS665" s="253"/>
      <c r="AT665" s="253"/>
      <c r="AU665" s="253"/>
      <c r="AV665" s="253"/>
      <c r="AW665" s="252">
        <v>1</v>
      </c>
      <c r="AX665" s="252"/>
      <c r="AY665" s="252">
        <v>1</v>
      </c>
      <c r="AZ665" s="253"/>
      <c r="BA665" s="225">
        <v>1</v>
      </c>
      <c r="BB665" s="225"/>
      <c r="BC665" s="225"/>
    </row>
    <row r="666" spans="1:55" ht="21" customHeight="1">
      <c r="A666" s="212"/>
      <c r="B666" s="249">
        <v>46113</v>
      </c>
      <c r="C666" s="250" t="s">
        <v>389</v>
      </c>
      <c r="D666" s="250" t="s">
        <v>1269</v>
      </c>
      <c r="E666" s="225" t="s">
        <v>2713</v>
      </c>
      <c r="F666" s="253"/>
      <c r="G666" s="225"/>
      <c r="H666" s="253"/>
      <c r="I666" s="253"/>
      <c r="J666" s="253"/>
      <c r="K666" s="253"/>
      <c r="L666" s="253"/>
      <c r="M666" s="253"/>
      <c r="N666" s="253"/>
      <c r="O666" s="253"/>
      <c r="P666" s="225">
        <v>1</v>
      </c>
      <c r="Q666" s="253"/>
      <c r="R666" s="253"/>
      <c r="S666" s="253"/>
      <c r="T666" s="253"/>
      <c r="U666" s="253"/>
      <c r="V666" s="253"/>
      <c r="W666" s="253"/>
      <c r="X666" s="253"/>
      <c r="Y666" s="253"/>
      <c r="Z666" s="225"/>
      <c r="AA666" s="225">
        <v>1</v>
      </c>
      <c r="AB666" s="253"/>
      <c r="AC666" s="253"/>
      <c r="AD666" s="253"/>
      <c r="AE666" s="253"/>
      <c r="AF666" s="253"/>
      <c r="AG666" s="253"/>
      <c r="AH666" s="253"/>
      <c r="AI666" s="253"/>
      <c r="AJ666" s="253"/>
      <c r="AK666" s="253"/>
      <c r="AL666" s="225">
        <v>1</v>
      </c>
      <c r="AM666" s="253"/>
      <c r="AN666" s="253"/>
      <c r="AO666" s="253"/>
      <c r="AP666" s="253"/>
      <c r="AQ666" s="253"/>
      <c r="AR666" s="253"/>
      <c r="AS666" s="253"/>
      <c r="AT666" s="253"/>
      <c r="AU666" s="253"/>
      <c r="AV666" s="253"/>
      <c r="AW666" s="252">
        <v>1</v>
      </c>
      <c r="AX666" s="252">
        <v>1</v>
      </c>
      <c r="AY666" s="252">
        <v>1</v>
      </c>
      <c r="AZ666" s="253"/>
      <c r="BA666" s="225">
        <v>1</v>
      </c>
      <c r="BB666" s="225"/>
      <c r="BC666" s="225"/>
    </row>
    <row r="667" spans="1:55" ht="21" customHeight="1">
      <c r="A667" s="212"/>
      <c r="B667" s="249">
        <v>46113</v>
      </c>
      <c r="C667" s="250" t="s">
        <v>389</v>
      </c>
      <c r="D667" s="250" t="s">
        <v>1270</v>
      </c>
      <c r="E667" s="225" t="s">
        <v>2714</v>
      </c>
      <c r="F667" s="253"/>
      <c r="G667" s="225"/>
      <c r="H667" s="253"/>
      <c r="I667" s="253"/>
      <c r="J667" s="253"/>
      <c r="K667" s="253"/>
      <c r="L667" s="253"/>
      <c r="M667" s="253"/>
      <c r="N667" s="253"/>
      <c r="O667" s="225">
        <v>1</v>
      </c>
      <c r="P667" s="250">
        <v>1</v>
      </c>
      <c r="Q667" s="253"/>
      <c r="R667" s="253"/>
      <c r="S667" s="253"/>
      <c r="T667" s="253"/>
      <c r="U667" s="253"/>
      <c r="V667" s="253"/>
      <c r="W667" s="253"/>
      <c r="X667" s="253"/>
      <c r="Y667" s="253"/>
      <c r="Z667" s="225"/>
      <c r="AA667" s="225">
        <v>1</v>
      </c>
      <c r="AB667" s="253"/>
      <c r="AC667" s="253"/>
      <c r="AD667" s="253"/>
      <c r="AE667" s="253"/>
      <c r="AF667" s="253"/>
      <c r="AG667" s="253"/>
      <c r="AH667" s="253"/>
      <c r="AI667" s="253"/>
      <c r="AJ667" s="253"/>
      <c r="AK667" s="253"/>
      <c r="AL667" s="225">
        <v>1</v>
      </c>
      <c r="AM667" s="253"/>
      <c r="AN667" s="253"/>
      <c r="AO667" s="253"/>
      <c r="AP667" s="253"/>
      <c r="AQ667" s="253"/>
      <c r="AR667" s="253"/>
      <c r="AS667" s="253"/>
      <c r="AT667" s="253"/>
      <c r="AU667" s="253"/>
      <c r="AV667" s="253"/>
      <c r="AW667" s="252">
        <v>1</v>
      </c>
      <c r="AX667" s="252"/>
      <c r="AY667" s="252">
        <v>1</v>
      </c>
      <c r="AZ667" s="253"/>
      <c r="BA667" s="225">
        <v>1</v>
      </c>
      <c r="BB667" s="225"/>
      <c r="BC667" s="225"/>
    </row>
    <row r="668" spans="1:55" ht="21" customHeight="1">
      <c r="A668" s="212"/>
      <c r="B668" s="249">
        <v>46113</v>
      </c>
      <c r="C668" s="250" t="s">
        <v>389</v>
      </c>
      <c r="D668" s="250" t="s">
        <v>1271</v>
      </c>
      <c r="E668" s="225" t="s">
        <v>2715</v>
      </c>
      <c r="F668" s="253"/>
      <c r="G668" s="225"/>
      <c r="H668" s="253"/>
      <c r="I668" s="253"/>
      <c r="J668" s="253"/>
      <c r="K668" s="253"/>
      <c r="L668" s="253"/>
      <c r="M668" s="253"/>
      <c r="N668" s="253"/>
      <c r="O668" s="253"/>
      <c r="P668" s="225">
        <v>1</v>
      </c>
      <c r="Q668" s="253"/>
      <c r="R668" s="253"/>
      <c r="S668" s="253"/>
      <c r="T668" s="253"/>
      <c r="U668" s="253"/>
      <c r="V668" s="253"/>
      <c r="W668" s="253"/>
      <c r="X668" s="253"/>
      <c r="Y668" s="253"/>
      <c r="Z668" s="225"/>
      <c r="AA668" s="225">
        <v>1</v>
      </c>
      <c r="AB668" s="253"/>
      <c r="AC668" s="253"/>
      <c r="AD668" s="253"/>
      <c r="AE668" s="253"/>
      <c r="AF668" s="253"/>
      <c r="AG668" s="253"/>
      <c r="AH668" s="253"/>
      <c r="AI668" s="253"/>
      <c r="AJ668" s="253"/>
      <c r="AK668" s="253"/>
      <c r="AL668" s="225">
        <v>1</v>
      </c>
      <c r="AM668" s="253"/>
      <c r="AN668" s="253"/>
      <c r="AO668" s="253"/>
      <c r="AP668" s="253"/>
      <c r="AQ668" s="253"/>
      <c r="AR668" s="253"/>
      <c r="AS668" s="253"/>
      <c r="AT668" s="253"/>
      <c r="AU668" s="253"/>
      <c r="AV668" s="253"/>
      <c r="AW668" s="252">
        <v>1</v>
      </c>
      <c r="AX668" s="252"/>
      <c r="AY668" s="252">
        <v>1</v>
      </c>
      <c r="AZ668" s="253"/>
      <c r="BA668" s="225">
        <v>1</v>
      </c>
      <c r="BB668" s="225"/>
      <c r="BC668" s="225"/>
    </row>
    <row r="669" spans="1:55" ht="21" customHeight="1">
      <c r="A669" s="212"/>
      <c r="B669" s="249">
        <v>46113</v>
      </c>
      <c r="C669" s="250" t="s">
        <v>389</v>
      </c>
      <c r="D669" s="250" t="s">
        <v>1272</v>
      </c>
      <c r="E669" s="225" t="s">
        <v>2716</v>
      </c>
      <c r="F669" s="253"/>
      <c r="G669" s="225"/>
      <c r="H669" s="253"/>
      <c r="I669" s="253"/>
      <c r="J669" s="253"/>
      <c r="K669" s="253"/>
      <c r="L669" s="253"/>
      <c r="M669" s="253"/>
      <c r="N669" s="253"/>
      <c r="O669" s="253"/>
      <c r="P669" s="225">
        <v>1</v>
      </c>
      <c r="Q669" s="253"/>
      <c r="R669" s="253"/>
      <c r="S669" s="253"/>
      <c r="T669" s="253"/>
      <c r="U669" s="253"/>
      <c r="V669" s="253"/>
      <c r="W669" s="253"/>
      <c r="X669" s="253"/>
      <c r="Y669" s="253"/>
      <c r="Z669" s="225"/>
      <c r="AA669" s="225">
        <v>1</v>
      </c>
      <c r="AB669" s="253"/>
      <c r="AC669" s="253"/>
      <c r="AD669" s="253"/>
      <c r="AE669" s="253"/>
      <c r="AF669" s="253"/>
      <c r="AG669" s="253"/>
      <c r="AH669" s="253"/>
      <c r="AI669" s="253"/>
      <c r="AJ669" s="253"/>
      <c r="AK669" s="253"/>
      <c r="AL669" s="225">
        <v>1</v>
      </c>
      <c r="AM669" s="253"/>
      <c r="AN669" s="253"/>
      <c r="AO669" s="253"/>
      <c r="AP669" s="253"/>
      <c r="AQ669" s="253"/>
      <c r="AR669" s="253"/>
      <c r="AS669" s="253"/>
      <c r="AT669" s="253"/>
      <c r="AU669" s="253"/>
      <c r="AV669" s="253"/>
      <c r="AW669" s="252">
        <v>1</v>
      </c>
      <c r="AX669" s="252"/>
      <c r="AY669" s="252">
        <v>1</v>
      </c>
      <c r="AZ669" s="253"/>
      <c r="BA669" s="225">
        <v>1</v>
      </c>
      <c r="BB669" s="225"/>
      <c r="BC669" s="225"/>
    </row>
    <row r="670" spans="1:55" ht="21" customHeight="1">
      <c r="A670" s="212"/>
      <c r="B670" s="249">
        <v>46113</v>
      </c>
      <c r="C670" s="250" t="s">
        <v>389</v>
      </c>
      <c r="D670" s="250" t="s">
        <v>1273</v>
      </c>
      <c r="E670" s="225" t="s">
        <v>2717</v>
      </c>
      <c r="F670" s="253"/>
      <c r="G670" s="225"/>
      <c r="H670" s="253"/>
      <c r="I670" s="253"/>
      <c r="J670" s="253"/>
      <c r="K670" s="253"/>
      <c r="L670" s="253"/>
      <c r="M670" s="253"/>
      <c r="N670" s="253"/>
      <c r="O670" s="225">
        <v>1</v>
      </c>
      <c r="P670" s="225"/>
      <c r="Q670" s="253"/>
      <c r="R670" s="253"/>
      <c r="S670" s="253"/>
      <c r="T670" s="253"/>
      <c r="U670" s="253"/>
      <c r="V670" s="253"/>
      <c r="W670" s="253"/>
      <c r="X670" s="253"/>
      <c r="Y670" s="253"/>
      <c r="Z670" s="225"/>
      <c r="AA670" s="225">
        <v>1</v>
      </c>
      <c r="AB670" s="253"/>
      <c r="AC670" s="253"/>
      <c r="AD670" s="253"/>
      <c r="AE670" s="253"/>
      <c r="AF670" s="253"/>
      <c r="AG670" s="253"/>
      <c r="AH670" s="253"/>
      <c r="AI670" s="253"/>
      <c r="AJ670" s="253"/>
      <c r="AK670" s="253"/>
      <c r="AL670" s="225">
        <v>1</v>
      </c>
      <c r="AM670" s="253"/>
      <c r="AN670" s="253"/>
      <c r="AO670" s="253"/>
      <c r="AP670" s="253"/>
      <c r="AQ670" s="253"/>
      <c r="AR670" s="253"/>
      <c r="AS670" s="253"/>
      <c r="AT670" s="253"/>
      <c r="AU670" s="253"/>
      <c r="AV670" s="253"/>
      <c r="AW670" s="252">
        <v>1</v>
      </c>
      <c r="AX670" s="252"/>
      <c r="AY670" s="252">
        <v>1</v>
      </c>
      <c r="AZ670" s="253"/>
      <c r="BA670" s="225"/>
      <c r="BB670" s="225"/>
      <c r="BC670" s="225"/>
    </row>
    <row r="671" spans="1:55" ht="21" customHeight="1">
      <c r="A671" s="212"/>
      <c r="B671" s="249">
        <v>46113</v>
      </c>
      <c r="C671" s="250" t="s">
        <v>389</v>
      </c>
      <c r="D671" s="250" t="s">
        <v>1274</v>
      </c>
      <c r="E671" s="225" t="s">
        <v>2718</v>
      </c>
      <c r="F671" s="253"/>
      <c r="G671" s="225"/>
      <c r="H671" s="253"/>
      <c r="I671" s="253"/>
      <c r="J671" s="253"/>
      <c r="K671" s="253"/>
      <c r="L671" s="253"/>
      <c r="M671" s="253"/>
      <c r="N671" s="253"/>
      <c r="O671" s="253"/>
      <c r="P671" s="225">
        <v>1</v>
      </c>
      <c r="Q671" s="253"/>
      <c r="R671" s="253"/>
      <c r="S671" s="253"/>
      <c r="T671" s="253"/>
      <c r="U671" s="253"/>
      <c r="V671" s="253"/>
      <c r="W671" s="253"/>
      <c r="X671" s="253"/>
      <c r="Y671" s="253"/>
      <c r="Z671" s="225"/>
      <c r="AA671" s="225">
        <v>1</v>
      </c>
      <c r="AB671" s="253"/>
      <c r="AC671" s="253"/>
      <c r="AD671" s="253"/>
      <c r="AE671" s="253"/>
      <c r="AF671" s="253"/>
      <c r="AG671" s="253"/>
      <c r="AH671" s="253"/>
      <c r="AI671" s="253"/>
      <c r="AJ671" s="253"/>
      <c r="AK671" s="253"/>
      <c r="AL671" s="225">
        <v>1</v>
      </c>
      <c r="AM671" s="253"/>
      <c r="AN671" s="253"/>
      <c r="AO671" s="253"/>
      <c r="AP671" s="253"/>
      <c r="AQ671" s="253"/>
      <c r="AR671" s="253"/>
      <c r="AS671" s="253"/>
      <c r="AT671" s="253"/>
      <c r="AU671" s="253"/>
      <c r="AV671" s="253"/>
      <c r="AW671" s="252">
        <v>1</v>
      </c>
      <c r="AX671" s="252"/>
      <c r="AY671" s="252"/>
      <c r="AZ671" s="253"/>
      <c r="BA671" s="225">
        <v>1</v>
      </c>
      <c r="BB671" s="225"/>
      <c r="BC671" s="225"/>
    </row>
    <row r="672" spans="1:55" ht="21" customHeight="1">
      <c r="A672" s="212"/>
      <c r="B672" s="249">
        <v>46113</v>
      </c>
      <c r="C672" s="250" t="s">
        <v>389</v>
      </c>
      <c r="D672" s="250" t="s">
        <v>1275</v>
      </c>
      <c r="E672" s="225" t="s">
        <v>2719</v>
      </c>
      <c r="F672" s="253"/>
      <c r="G672" s="225"/>
      <c r="H672" s="253"/>
      <c r="I672" s="253"/>
      <c r="J672" s="253"/>
      <c r="K672" s="253"/>
      <c r="L672" s="253"/>
      <c r="M672" s="253"/>
      <c r="N672" s="253"/>
      <c r="O672" s="253"/>
      <c r="P672" s="225">
        <v>1</v>
      </c>
      <c r="Q672" s="253"/>
      <c r="R672" s="253"/>
      <c r="S672" s="253"/>
      <c r="T672" s="253"/>
      <c r="U672" s="253"/>
      <c r="V672" s="253"/>
      <c r="W672" s="253"/>
      <c r="X672" s="253"/>
      <c r="Y672" s="253"/>
      <c r="Z672" s="225"/>
      <c r="AA672" s="225">
        <v>1</v>
      </c>
      <c r="AB672" s="253"/>
      <c r="AC672" s="253"/>
      <c r="AD672" s="253"/>
      <c r="AE672" s="253"/>
      <c r="AF672" s="253"/>
      <c r="AG672" s="253"/>
      <c r="AH672" s="253"/>
      <c r="AI672" s="253"/>
      <c r="AJ672" s="253"/>
      <c r="AK672" s="253"/>
      <c r="AL672" s="225">
        <v>1</v>
      </c>
      <c r="AM672" s="253"/>
      <c r="AN672" s="253"/>
      <c r="AO672" s="253"/>
      <c r="AP672" s="253"/>
      <c r="AQ672" s="253"/>
      <c r="AR672" s="253"/>
      <c r="AS672" s="253"/>
      <c r="AT672" s="253"/>
      <c r="AU672" s="253"/>
      <c r="AV672" s="253"/>
      <c r="AW672" s="252">
        <v>1</v>
      </c>
      <c r="AX672" s="252"/>
      <c r="AY672" s="252">
        <v>1</v>
      </c>
      <c r="AZ672" s="253"/>
      <c r="BA672" s="225">
        <v>1</v>
      </c>
      <c r="BB672" s="225"/>
      <c r="BC672" s="225"/>
    </row>
    <row r="673" spans="1:55" ht="21" customHeight="1">
      <c r="A673" s="212"/>
      <c r="B673" s="249">
        <v>46113</v>
      </c>
      <c r="C673" s="250" t="s">
        <v>389</v>
      </c>
      <c r="D673" s="250" t="s">
        <v>1276</v>
      </c>
      <c r="E673" s="225" t="s">
        <v>2720</v>
      </c>
      <c r="F673" s="253"/>
      <c r="G673" s="225"/>
      <c r="H673" s="253"/>
      <c r="I673" s="253"/>
      <c r="J673" s="253"/>
      <c r="K673" s="253"/>
      <c r="L673" s="253"/>
      <c r="M673" s="253"/>
      <c r="N673" s="253"/>
      <c r="O673" s="253"/>
      <c r="P673" s="225">
        <v>1</v>
      </c>
      <c r="Q673" s="253"/>
      <c r="R673" s="253"/>
      <c r="S673" s="253"/>
      <c r="T673" s="253"/>
      <c r="U673" s="253"/>
      <c r="V673" s="253"/>
      <c r="W673" s="253"/>
      <c r="X673" s="253"/>
      <c r="Y673" s="253"/>
      <c r="Z673" s="225"/>
      <c r="AA673" s="225">
        <v>1</v>
      </c>
      <c r="AB673" s="253"/>
      <c r="AC673" s="253"/>
      <c r="AD673" s="253"/>
      <c r="AE673" s="253"/>
      <c r="AF673" s="253"/>
      <c r="AG673" s="253"/>
      <c r="AH673" s="253"/>
      <c r="AI673" s="253"/>
      <c r="AJ673" s="253"/>
      <c r="AK673" s="253"/>
      <c r="AL673" s="225">
        <v>1</v>
      </c>
      <c r="AM673" s="253"/>
      <c r="AN673" s="253"/>
      <c r="AO673" s="253"/>
      <c r="AP673" s="253"/>
      <c r="AQ673" s="253"/>
      <c r="AR673" s="253"/>
      <c r="AS673" s="253"/>
      <c r="AT673" s="253"/>
      <c r="AU673" s="253"/>
      <c r="AV673" s="253"/>
      <c r="AW673" s="252">
        <v>1</v>
      </c>
      <c r="AX673" s="252"/>
      <c r="AY673" s="252">
        <v>1</v>
      </c>
      <c r="AZ673" s="253"/>
      <c r="BA673" s="225">
        <v>1</v>
      </c>
      <c r="BB673" s="225"/>
      <c r="BC673" s="225"/>
    </row>
    <row r="674" spans="1:55" ht="21" customHeight="1">
      <c r="A674" s="212"/>
      <c r="B674" s="249">
        <v>46082</v>
      </c>
      <c r="C674" s="250" t="s">
        <v>395</v>
      </c>
      <c r="D674" s="250" t="s">
        <v>1277</v>
      </c>
      <c r="E674" s="225" t="s">
        <v>2721</v>
      </c>
      <c r="F674" s="253"/>
      <c r="G674" s="225"/>
      <c r="H674" s="253"/>
      <c r="I674" s="253"/>
      <c r="J674" s="253"/>
      <c r="K674" s="253"/>
      <c r="L674" s="253"/>
      <c r="M674" s="253"/>
      <c r="N674" s="253"/>
      <c r="O674" s="253"/>
      <c r="P674" s="253"/>
      <c r="Q674" s="253"/>
      <c r="R674" s="253"/>
      <c r="S674" s="253"/>
      <c r="T674" s="253"/>
      <c r="U674" s="253"/>
      <c r="V674" s="253"/>
      <c r="W674" s="253"/>
      <c r="X674" s="253"/>
      <c r="Y674" s="253"/>
      <c r="Z674" s="225"/>
      <c r="AA674" s="225"/>
      <c r="AB674" s="253"/>
      <c r="AC674" s="253"/>
      <c r="AD674" s="253"/>
      <c r="AE674" s="253"/>
      <c r="AF674" s="253"/>
      <c r="AG674" s="253"/>
      <c r="AH674" s="253"/>
      <c r="AI674" s="253"/>
      <c r="AJ674" s="253"/>
      <c r="AK674" s="253"/>
      <c r="AL674" s="253"/>
      <c r="AM674" s="253"/>
      <c r="AN674" s="253"/>
      <c r="AO674" s="253"/>
      <c r="AP674" s="253"/>
      <c r="AQ674" s="253"/>
      <c r="AR674" s="253"/>
      <c r="AS674" s="253"/>
      <c r="AT674" s="253"/>
      <c r="AU674" s="253"/>
      <c r="AV674" s="253"/>
      <c r="AW674" s="252"/>
      <c r="AX674" s="252"/>
      <c r="AY674" s="252"/>
      <c r="AZ674" s="253"/>
      <c r="BA674" s="225"/>
      <c r="BB674" s="225"/>
      <c r="BC674" s="225"/>
    </row>
    <row r="675" spans="1:55" ht="21" customHeight="1">
      <c r="A675" s="212"/>
      <c r="B675" s="249">
        <v>46082</v>
      </c>
      <c r="C675" s="250" t="s">
        <v>384</v>
      </c>
      <c r="D675" s="250" t="s">
        <v>1278</v>
      </c>
      <c r="E675" s="225" t="s">
        <v>2722</v>
      </c>
      <c r="F675" s="253"/>
      <c r="G675" s="225"/>
      <c r="H675" s="253"/>
      <c r="I675" s="253"/>
      <c r="J675" s="253"/>
      <c r="K675" s="253"/>
      <c r="L675" s="253"/>
      <c r="M675" s="253"/>
      <c r="N675" s="253"/>
      <c r="O675" s="253">
        <v>1</v>
      </c>
      <c r="P675" s="253">
        <v>1</v>
      </c>
      <c r="Q675" s="253"/>
      <c r="R675" s="253"/>
      <c r="S675" s="253"/>
      <c r="T675" s="253"/>
      <c r="U675" s="253"/>
      <c r="V675" s="253"/>
      <c r="W675" s="253"/>
      <c r="X675" s="253"/>
      <c r="Y675" s="253"/>
      <c r="Z675" s="225"/>
      <c r="AA675" s="225"/>
      <c r="AB675" s="253"/>
      <c r="AC675" s="253"/>
      <c r="AD675" s="253"/>
      <c r="AE675" s="253"/>
      <c r="AF675" s="253"/>
      <c r="AG675" s="253"/>
      <c r="AH675" s="253"/>
      <c r="AI675" s="253"/>
      <c r="AJ675" s="253"/>
      <c r="AK675" s="253">
        <v>1</v>
      </c>
      <c r="AL675" s="253">
        <v>1</v>
      </c>
      <c r="AM675" s="253"/>
      <c r="AN675" s="253"/>
      <c r="AO675" s="253"/>
      <c r="AP675" s="253"/>
      <c r="AQ675" s="253"/>
      <c r="AR675" s="253"/>
      <c r="AS675" s="253"/>
      <c r="AT675" s="253"/>
      <c r="AU675" s="253"/>
      <c r="AV675" s="253"/>
      <c r="AW675" s="252"/>
      <c r="AX675" s="252"/>
      <c r="AY675" s="252"/>
      <c r="AZ675" s="225">
        <v>1</v>
      </c>
      <c r="BA675" s="225">
        <v>1</v>
      </c>
      <c r="BB675" s="225"/>
      <c r="BC675" s="225"/>
    </row>
    <row r="676" spans="1:55" ht="21" customHeight="1">
      <c r="A676" s="212"/>
      <c r="B676" s="249">
        <v>46082</v>
      </c>
      <c r="C676" s="250" t="s">
        <v>389</v>
      </c>
      <c r="D676" s="250" t="s">
        <v>1279</v>
      </c>
      <c r="E676" s="225" t="s">
        <v>2723</v>
      </c>
      <c r="F676" s="253"/>
      <c r="G676" s="225"/>
      <c r="H676" s="253"/>
      <c r="I676" s="253"/>
      <c r="J676" s="253"/>
      <c r="K676" s="253"/>
      <c r="L676" s="253"/>
      <c r="M676" s="253"/>
      <c r="N676" s="253"/>
      <c r="O676" s="253"/>
      <c r="P676" s="225">
        <v>1</v>
      </c>
      <c r="Q676" s="253"/>
      <c r="R676" s="253"/>
      <c r="S676" s="253"/>
      <c r="T676" s="253"/>
      <c r="U676" s="253"/>
      <c r="V676" s="253"/>
      <c r="W676" s="253"/>
      <c r="X676" s="253"/>
      <c r="Y676" s="253"/>
      <c r="Z676" s="225"/>
      <c r="AA676" s="225">
        <v>1</v>
      </c>
      <c r="AB676" s="253"/>
      <c r="AC676" s="253"/>
      <c r="AD676" s="253"/>
      <c r="AE676" s="253"/>
      <c r="AF676" s="253"/>
      <c r="AG676" s="253"/>
      <c r="AH676" s="253"/>
      <c r="AI676" s="253"/>
      <c r="AJ676" s="253"/>
      <c r="AK676" s="253"/>
      <c r="AL676" s="225">
        <v>1</v>
      </c>
      <c r="AM676" s="253"/>
      <c r="AN676" s="253"/>
      <c r="AO676" s="253"/>
      <c r="AP676" s="253"/>
      <c r="AQ676" s="253"/>
      <c r="AR676" s="253"/>
      <c r="AS676" s="253"/>
      <c r="AT676" s="253"/>
      <c r="AU676" s="253"/>
      <c r="AV676" s="253"/>
      <c r="AW676" s="252">
        <v>1</v>
      </c>
      <c r="AX676" s="252"/>
      <c r="AY676" s="252">
        <v>1</v>
      </c>
      <c r="AZ676" s="253"/>
      <c r="BA676" s="225">
        <v>1</v>
      </c>
      <c r="BB676" s="225"/>
      <c r="BC676" s="225"/>
    </row>
    <row r="677" spans="1:55" ht="21" customHeight="1">
      <c r="A677" s="212"/>
      <c r="B677" s="254">
        <v>46174</v>
      </c>
      <c r="C677" s="255" t="s">
        <v>394</v>
      </c>
      <c r="D677" s="256" t="s">
        <v>1280</v>
      </c>
      <c r="E677" s="225" t="s">
        <v>2724</v>
      </c>
      <c r="F677" s="253"/>
      <c r="G677" s="225"/>
      <c r="H677" s="253"/>
      <c r="I677" s="253"/>
      <c r="J677" s="253"/>
      <c r="K677" s="253"/>
      <c r="L677" s="253"/>
      <c r="M677" s="253"/>
      <c r="N677" s="253"/>
      <c r="O677" s="253"/>
      <c r="P677" s="253"/>
      <c r="Q677" s="253"/>
      <c r="R677" s="253"/>
      <c r="S677" s="253"/>
      <c r="T677" s="253"/>
      <c r="U677" s="253"/>
      <c r="V677" s="253"/>
      <c r="W677" s="253"/>
      <c r="X677" s="253"/>
      <c r="Y677" s="253"/>
      <c r="Z677" s="225"/>
      <c r="AA677" s="225"/>
      <c r="AB677" s="253"/>
      <c r="AC677" s="253"/>
      <c r="AD677" s="253"/>
      <c r="AE677" s="253"/>
      <c r="AF677" s="253"/>
      <c r="AG677" s="253"/>
      <c r="AH677" s="253"/>
      <c r="AI677" s="253"/>
      <c r="AJ677" s="253"/>
      <c r="AK677" s="253"/>
      <c r="AL677" s="253"/>
      <c r="AM677" s="253"/>
      <c r="AN677" s="253"/>
      <c r="AO677" s="253"/>
      <c r="AP677" s="253"/>
      <c r="AQ677" s="253"/>
      <c r="AR677" s="253"/>
      <c r="AS677" s="253"/>
      <c r="AT677" s="253"/>
      <c r="AU677" s="253"/>
      <c r="AV677" s="253"/>
      <c r="AW677" s="253"/>
      <c r="AX677" s="253"/>
      <c r="AY677" s="253"/>
      <c r="AZ677" s="253"/>
      <c r="BA677" s="253"/>
      <c r="BB677" s="253"/>
      <c r="BC677" s="253"/>
    </row>
    <row r="678" spans="1:55" ht="21" customHeight="1">
      <c r="A678" s="212"/>
      <c r="B678" s="254">
        <v>46174</v>
      </c>
      <c r="C678" s="255" t="s">
        <v>394</v>
      </c>
      <c r="D678" s="256" t="s">
        <v>1281</v>
      </c>
      <c r="E678" s="225" t="s">
        <v>2725</v>
      </c>
      <c r="F678" s="253"/>
      <c r="G678" s="225"/>
      <c r="H678" s="253"/>
      <c r="I678" s="253"/>
      <c r="J678" s="253"/>
      <c r="K678" s="253"/>
      <c r="L678" s="253"/>
      <c r="M678" s="253"/>
      <c r="N678" s="253"/>
      <c r="O678" s="253"/>
      <c r="P678" s="253"/>
      <c r="Q678" s="253"/>
      <c r="R678" s="253"/>
      <c r="S678" s="253"/>
      <c r="T678" s="253"/>
      <c r="U678" s="253"/>
      <c r="V678" s="253"/>
      <c r="W678" s="253"/>
      <c r="X678" s="253"/>
      <c r="Y678" s="253"/>
      <c r="Z678" s="225"/>
      <c r="AA678" s="225"/>
      <c r="AB678" s="253"/>
      <c r="AC678" s="253"/>
      <c r="AD678" s="253"/>
      <c r="AE678" s="253"/>
      <c r="AF678" s="253"/>
      <c r="AG678" s="253"/>
      <c r="AH678" s="253"/>
      <c r="AI678" s="253"/>
      <c r="AJ678" s="253"/>
      <c r="AK678" s="253"/>
      <c r="AL678" s="253"/>
      <c r="AM678" s="253"/>
      <c r="AN678" s="253"/>
      <c r="AO678" s="253"/>
      <c r="AP678" s="253"/>
      <c r="AQ678" s="253"/>
      <c r="AR678" s="253"/>
      <c r="AS678" s="253"/>
      <c r="AT678" s="253"/>
      <c r="AU678" s="253"/>
      <c r="AV678" s="253"/>
      <c r="AW678" s="253"/>
      <c r="AX678" s="253"/>
      <c r="AY678" s="253"/>
      <c r="AZ678" s="253"/>
      <c r="BA678" s="253"/>
      <c r="BB678" s="253"/>
      <c r="BC678" s="253"/>
    </row>
    <row r="679" spans="1:55" ht="21" customHeight="1">
      <c r="A679" s="212"/>
      <c r="B679" s="254">
        <v>46174</v>
      </c>
      <c r="C679" s="257" t="s">
        <v>394</v>
      </c>
      <c r="D679" s="258" t="s">
        <v>1282</v>
      </c>
      <c r="E679" s="225" t="s">
        <v>2726</v>
      </c>
      <c r="F679" s="253"/>
      <c r="G679" s="225"/>
      <c r="H679" s="253"/>
      <c r="I679" s="253"/>
      <c r="J679" s="253"/>
      <c r="K679" s="253"/>
      <c r="L679" s="253"/>
      <c r="M679" s="253"/>
      <c r="N679" s="253"/>
      <c r="O679" s="253"/>
      <c r="P679" s="253"/>
      <c r="Q679" s="253"/>
      <c r="R679" s="253"/>
      <c r="S679" s="253"/>
      <c r="T679" s="253"/>
      <c r="U679" s="253"/>
      <c r="V679" s="253"/>
      <c r="W679" s="253"/>
      <c r="X679" s="253"/>
      <c r="Y679" s="253"/>
      <c r="Z679" s="225"/>
      <c r="AA679" s="225"/>
      <c r="AB679" s="253"/>
      <c r="AC679" s="253"/>
      <c r="AD679" s="253"/>
      <c r="AE679" s="253"/>
      <c r="AF679" s="253"/>
      <c r="AG679" s="253"/>
      <c r="AH679" s="253"/>
      <c r="AI679" s="253"/>
      <c r="AJ679" s="253"/>
      <c r="AK679" s="253"/>
      <c r="AL679" s="253"/>
      <c r="AM679" s="253"/>
      <c r="AN679" s="253"/>
      <c r="AO679" s="253"/>
      <c r="AP679" s="253"/>
      <c r="AQ679" s="253"/>
      <c r="AR679" s="253"/>
      <c r="AS679" s="253"/>
      <c r="AT679" s="253"/>
      <c r="AU679" s="253"/>
      <c r="AV679" s="253"/>
      <c r="AW679" s="253"/>
      <c r="AX679" s="253"/>
      <c r="AY679" s="253"/>
      <c r="AZ679" s="253"/>
      <c r="BA679" s="253"/>
      <c r="BB679" s="253"/>
      <c r="BC679" s="253"/>
    </row>
    <row r="680" spans="1:55" ht="21" customHeight="1">
      <c r="A680" s="212"/>
      <c r="B680" s="254">
        <v>46174</v>
      </c>
      <c r="C680" s="255" t="s">
        <v>394</v>
      </c>
      <c r="D680" s="256" t="s">
        <v>1283</v>
      </c>
      <c r="E680" s="225" t="s">
        <v>2727</v>
      </c>
      <c r="F680" s="253"/>
      <c r="G680" s="225"/>
      <c r="H680" s="253"/>
      <c r="I680" s="253"/>
      <c r="J680" s="253"/>
      <c r="K680" s="253"/>
      <c r="L680" s="253"/>
      <c r="M680" s="253"/>
      <c r="N680" s="253"/>
      <c r="O680" s="253"/>
      <c r="P680" s="253"/>
      <c r="Q680" s="253"/>
      <c r="R680" s="253"/>
      <c r="S680" s="253"/>
      <c r="T680" s="253"/>
      <c r="U680" s="253"/>
      <c r="V680" s="253"/>
      <c r="W680" s="253"/>
      <c r="X680" s="253"/>
      <c r="Y680" s="253"/>
      <c r="Z680" s="225"/>
      <c r="AA680" s="225"/>
      <c r="AB680" s="253"/>
      <c r="AC680" s="253"/>
      <c r="AD680" s="253"/>
      <c r="AE680" s="253"/>
      <c r="AF680" s="253"/>
      <c r="AG680" s="253"/>
      <c r="AH680" s="253"/>
      <c r="AI680" s="253"/>
      <c r="AJ680" s="253"/>
      <c r="AK680" s="253"/>
      <c r="AL680" s="253"/>
      <c r="AM680" s="253"/>
      <c r="AN680" s="253"/>
      <c r="AO680" s="253"/>
      <c r="AP680" s="253"/>
      <c r="AQ680" s="253"/>
      <c r="AR680" s="253"/>
      <c r="AS680" s="253"/>
      <c r="AT680" s="253"/>
      <c r="AU680" s="253"/>
      <c r="AV680" s="253"/>
      <c r="AW680" s="253"/>
      <c r="AX680" s="253"/>
      <c r="AY680" s="253"/>
      <c r="AZ680" s="253"/>
      <c r="BA680" s="253"/>
      <c r="BB680" s="253"/>
      <c r="BC680" s="253"/>
    </row>
    <row r="681" spans="1:55" ht="21" customHeight="1">
      <c r="A681" s="212"/>
      <c r="B681" s="254">
        <v>46174</v>
      </c>
      <c r="C681" s="255" t="s">
        <v>394</v>
      </c>
      <c r="D681" s="256" t="s">
        <v>1284</v>
      </c>
      <c r="E681" s="225" t="s">
        <v>2728</v>
      </c>
      <c r="F681" s="253"/>
      <c r="G681" s="225"/>
      <c r="H681" s="253"/>
      <c r="I681" s="253"/>
      <c r="J681" s="253"/>
      <c r="K681" s="253"/>
      <c r="L681" s="253"/>
      <c r="M681" s="253"/>
      <c r="N681" s="253"/>
      <c r="O681" s="253"/>
      <c r="P681" s="253"/>
      <c r="Q681" s="253"/>
      <c r="R681" s="253"/>
      <c r="S681" s="253"/>
      <c r="T681" s="253"/>
      <c r="U681" s="253"/>
      <c r="V681" s="253"/>
      <c r="W681" s="253"/>
      <c r="X681" s="253"/>
      <c r="Y681" s="253"/>
      <c r="Z681" s="225"/>
      <c r="AA681" s="225"/>
      <c r="AB681" s="253"/>
      <c r="AC681" s="253"/>
      <c r="AD681" s="253"/>
      <c r="AE681" s="253"/>
      <c r="AF681" s="253"/>
      <c r="AG681" s="253"/>
      <c r="AH681" s="253"/>
      <c r="AI681" s="253"/>
      <c r="AJ681" s="253"/>
      <c r="AK681" s="253"/>
      <c r="AL681" s="253"/>
      <c r="AM681" s="253"/>
      <c r="AN681" s="253"/>
      <c r="AO681" s="253"/>
      <c r="AP681" s="253"/>
      <c r="AQ681" s="253"/>
      <c r="AR681" s="253"/>
      <c r="AS681" s="253"/>
      <c r="AT681" s="253"/>
      <c r="AU681" s="253"/>
      <c r="AV681" s="253"/>
      <c r="AW681" s="253"/>
      <c r="AX681" s="253"/>
      <c r="AY681" s="253"/>
      <c r="AZ681" s="253"/>
      <c r="BA681" s="253"/>
      <c r="BB681" s="253"/>
      <c r="BC681" s="253"/>
    </row>
    <row r="682" spans="1:55" ht="21" customHeight="1">
      <c r="A682" s="212"/>
      <c r="B682" s="254">
        <v>46174</v>
      </c>
      <c r="C682" s="255" t="s">
        <v>394</v>
      </c>
      <c r="D682" s="256" t="s">
        <v>1285</v>
      </c>
      <c r="E682" s="225" t="s">
        <v>2729</v>
      </c>
      <c r="F682" s="253"/>
      <c r="G682" s="225"/>
      <c r="H682" s="253"/>
      <c r="I682" s="253"/>
      <c r="J682" s="253"/>
      <c r="K682" s="253"/>
      <c r="L682" s="253"/>
      <c r="M682" s="253"/>
      <c r="N682" s="253"/>
      <c r="O682" s="253"/>
      <c r="P682" s="253"/>
      <c r="Q682" s="253"/>
      <c r="R682" s="253"/>
      <c r="S682" s="253"/>
      <c r="T682" s="253"/>
      <c r="U682" s="253"/>
      <c r="V682" s="253"/>
      <c r="W682" s="253"/>
      <c r="X682" s="253"/>
      <c r="Y682" s="253"/>
      <c r="Z682" s="225"/>
      <c r="AA682" s="225"/>
      <c r="AB682" s="253"/>
      <c r="AC682" s="253"/>
      <c r="AD682" s="253"/>
      <c r="AE682" s="253"/>
      <c r="AF682" s="253"/>
      <c r="AG682" s="253"/>
      <c r="AH682" s="253"/>
      <c r="AI682" s="253"/>
      <c r="AJ682" s="253"/>
      <c r="AK682" s="253"/>
      <c r="AL682" s="253"/>
      <c r="AM682" s="253"/>
      <c r="AN682" s="253"/>
      <c r="AO682" s="253"/>
      <c r="AP682" s="253"/>
      <c r="AQ682" s="253"/>
      <c r="AR682" s="253"/>
      <c r="AS682" s="253"/>
      <c r="AT682" s="253"/>
      <c r="AU682" s="253"/>
      <c r="AV682" s="253"/>
      <c r="AW682" s="253"/>
      <c r="AX682" s="253"/>
      <c r="AY682" s="253"/>
      <c r="AZ682" s="253"/>
      <c r="BA682" s="253"/>
      <c r="BB682" s="253"/>
      <c r="BC682" s="253"/>
    </row>
    <row r="683" spans="1:55" ht="21" customHeight="1">
      <c r="A683" s="212"/>
      <c r="B683" s="254">
        <v>46174</v>
      </c>
      <c r="C683" s="255" t="s">
        <v>394</v>
      </c>
      <c r="D683" s="256" t="s">
        <v>1286</v>
      </c>
      <c r="E683" s="225" t="s">
        <v>2730</v>
      </c>
      <c r="F683" s="253"/>
      <c r="G683" s="225"/>
      <c r="H683" s="253"/>
      <c r="I683" s="253"/>
      <c r="J683" s="253"/>
      <c r="K683" s="253"/>
      <c r="L683" s="253"/>
      <c r="M683" s="253"/>
      <c r="N683" s="253"/>
      <c r="O683" s="253"/>
      <c r="P683" s="253"/>
      <c r="Q683" s="253"/>
      <c r="R683" s="253"/>
      <c r="S683" s="253"/>
      <c r="T683" s="253"/>
      <c r="U683" s="253"/>
      <c r="V683" s="253"/>
      <c r="W683" s="253"/>
      <c r="X683" s="253"/>
      <c r="Y683" s="253"/>
      <c r="Z683" s="225"/>
      <c r="AA683" s="225"/>
      <c r="AB683" s="253"/>
      <c r="AC683" s="253"/>
      <c r="AD683" s="253"/>
      <c r="AE683" s="253"/>
      <c r="AF683" s="253"/>
      <c r="AG683" s="253"/>
      <c r="AH683" s="253"/>
      <c r="AI683" s="253"/>
      <c r="AJ683" s="253"/>
      <c r="AK683" s="253"/>
      <c r="AL683" s="253"/>
      <c r="AM683" s="253"/>
      <c r="AN683" s="253"/>
      <c r="AO683" s="253"/>
      <c r="AP683" s="253"/>
      <c r="AQ683" s="253"/>
      <c r="AR683" s="253"/>
      <c r="AS683" s="253"/>
      <c r="AT683" s="253"/>
      <c r="AU683" s="253"/>
      <c r="AV683" s="253"/>
      <c r="AW683" s="253"/>
      <c r="AX683" s="253"/>
      <c r="AY683" s="253"/>
      <c r="AZ683" s="253"/>
      <c r="BA683" s="253"/>
      <c r="BB683" s="253"/>
      <c r="BC683" s="253"/>
    </row>
    <row r="684" spans="1:55" ht="21" customHeight="1">
      <c r="A684" s="212"/>
      <c r="B684" s="254">
        <v>46174</v>
      </c>
      <c r="C684" s="255" t="s">
        <v>394</v>
      </c>
      <c r="D684" s="256" t="s">
        <v>1287</v>
      </c>
      <c r="E684" s="225" t="s">
        <v>2731</v>
      </c>
      <c r="F684" s="253"/>
      <c r="G684" s="225"/>
      <c r="H684" s="253"/>
      <c r="I684" s="253"/>
      <c r="J684" s="253"/>
      <c r="K684" s="253"/>
      <c r="L684" s="253"/>
      <c r="M684" s="253"/>
      <c r="N684" s="253"/>
      <c r="O684" s="253"/>
      <c r="P684" s="253"/>
      <c r="Q684" s="253"/>
      <c r="R684" s="253"/>
      <c r="S684" s="253"/>
      <c r="T684" s="253"/>
      <c r="U684" s="253"/>
      <c r="V684" s="253"/>
      <c r="W684" s="253"/>
      <c r="X684" s="253"/>
      <c r="Y684" s="253"/>
      <c r="Z684" s="225"/>
      <c r="AA684" s="225"/>
      <c r="AB684" s="253"/>
      <c r="AC684" s="253"/>
      <c r="AD684" s="253"/>
      <c r="AE684" s="253"/>
      <c r="AF684" s="253"/>
      <c r="AG684" s="253"/>
      <c r="AH684" s="253"/>
      <c r="AI684" s="253"/>
      <c r="AJ684" s="253"/>
      <c r="AK684" s="253"/>
      <c r="AL684" s="253"/>
      <c r="AM684" s="253"/>
      <c r="AN684" s="253"/>
      <c r="AO684" s="253"/>
      <c r="AP684" s="253"/>
      <c r="AQ684" s="253"/>
      <c r="AR684" s="253"/>
      <c r="AS684" s="253"/>
      <c r="AT684" s="253"/>
      <c r="AU684" s="253"/>
      <c r="AV684" s="253"/>
      <c r="AW684" s="253"/>
      <c r="AX684" s="253"/>
      <c r="AY684" s="253"/>
      <c r="AZ684" s="253"/>
      <c r="BA684" s="253"/>
      <c r="BB684" s="253"/>
      <c r="BC684" s="253"/>
    </row>
    <row r="685" spans="1:55" ht="21" customHeight="1">
      <c r="A685" s="212"/>
      <c r="B685" s="254">
        <v>46174</v>
      </c>
      <c r="C685" s="255" t="s">
        <v>394</v>
      </c>
      <c r="D685" s="256" t="s">
        <v>1288</v>
      </c>
      <c r="E685" s="225" t="s">
        <v>2732</v>
      </c>
      <c r="F685" s="253"/>
      <c r="G685" s="225"/>
      <c r="H685" s="253"/>
      <c r="I685" s="253"/>
      <c r="J685" s="253"/>
      <c r="K685" s="253"/>
      <c r="L685" s="253"/>
      <c r="M685" s="253"/>
      <c r="N685" s="253"/>
      <c r="O685" s="253"/>
      <c r="P685" s="253"/>
      <c r="Q685" s="253"/>
      <c r="R685" s="253"/>
      <c r="S685" s="253"/>
      <c r="T685" s="253"/>
      <c r="U685" s="253"/>
      <c r="V685" s="253"/>
      <c r="W685" s="253"/>
      <c r="X685" s="253"/>
      <c r="Y685" s="253"/>
      <c r="Z685" s="225"/>
      <c r="AA685" s="225"/>
      <c r="AB685" s="253"/>
      <c r="AC685" s="253"/>
      <c r="AD685" s="253"/>
      <c r="AE685" s="253"/>
      <c r="AF685" s="253"/>
      <c r="AG685" s="253"/>
      <c r="AH685" s="253"/>
      <c r="AI685" s="253"/>
      <c r="AJ685" s="253"/>
      <c r="AK685" s="253"/>
      <c r="AL685" s="253"/>
      <c r="AM685" s="253"/>
      <c r="AN685" s="253"/>
      <c r="AO685" s="253"/>
      <c r="AP685" s="253"/>
      <c r="AQ685" s="253"/>
      <c r="AR685" s="253"/>
      <c r="AS685" s="253"/>
      <c r="AT685" s="253"/>
      <c r="AU685" s="253"/>
      <c r="AV685" s="253"/>
      <c r="AW685" s="253"/>
      <c r="AX685" s="253"/>
      <c r="AY685" s="253"/>
      <c r="AZ685" s="253"/>
      <c r="BA685" s="253"/>
      <c r="BB685" s="253"/>
      <c r="BC685" s="253"/>
    </row>
    <row r="686" spans="1:55" ht="21" customHeight="1">
      <c r="A686" s="212"/>
      <c r="B686" s="254">
        <v>46174</v>
      </c>
      <c r="C686" s="255" t="s">
        <v>394</v>
      </c>
      <c r="D686" s="256" t="s">
        <v>1289</v>
      </c>
      <c r="E686" s="225" t="s">
        <v>2733</v>
      </c>
      <c r="F686" s="253"/>
      <c r="G686" s="225"/>
      <c r="H686" s="253"/>
      <c r="I686" s="253"/>
      <c r="J686" s="253"/>
      <c r="K686" s="253"/>
      <c r="L686" s="253"/>
      <c r="M686" s="253"/>
      <c r="N686" s="253"/>
      <c r="O686" s="253"/>
      <c r="P686" s="253"/>
      <c r="Q686" s="253"/>
      <c r="R686" s="253"/>
      <c r="S686" s="253"/>
      <c r="T686" s="253"/>
      <c r="U686" s="253"/>
      <c r="V686" s="253"/>
      <c r="W686" s="253"/>
      <c r="X686" s="253"/>
      <c r="Y686" s="253"/>
      <c r="Z686" s="225"/>
      <c r="AA686" s="225"/>
      <c r="AB686" s="253"/>
      <c r="AC686" s="253"/>
      <c r="AD686" s="253"/>
      <c r="AE686" s="253"/>
      <c r="AF686" s="253"/>
      <c r="AG686" s="253"/>
      <c r="AH686" s="253"/>
      <c r="AI686" s="253"/>
      <c r="AJ686" s="253"/>
      <c r="AK686" s="253"/>
      <c r="AL686" s="253"/>
      <c r="AM686" s="253"/>
      <c r="AN686" s="253"/>
      <c r="AO686" s="253"/>
      <c r="AP686" s="253"/>
      <c r="AQ686" s="253"/>
      <c r="AR686" s="253"/>
      <c r="AS686" s="253"/>
      <c r="AT686" s="253"/>
      <c r="AU686" s="253"/>
      <c r="AV686" s="253"/>
      <c r="AW686" s="253"/>
      <c r="AX686" s="253"/>
      <c r="AY686" s="253"/>
      <c r="AZ686" s="253"/>
      <c r="BA686" s="253"/>
      <c r="BB686" s="253"/>
      <c r="BC686" s="253"/>
    </row>
    <row r="687" spans="1:55" ht="21" customHeight="1">
      <c r="A687" s="212"/>
      <c r="B687" s="254">
        <v>46174</v>
      </c>
      <c r="C687" s="255" t="s">
        <v>394</v>
      </c>
      <c r="D687" s="256" t="s">
        <v>1290</v>
      </c>
      <c r="E687" s="225" t="s">
        <v>2734</v>
      </c>
      <c r="F687" s="253"/>
      <c r="G687" s="225"/>
      <c r="H687" s="253"/>
      <c r="I687" s="253"/>
      <c r="J687" s="253"/>
      <c r="K687" s="253"/>
      <c r="L687" s="253"/>
      <c r="M687" s="253"/>
      <c r="N687" s="253"/>
      <c r="O687" s="253"/>
      <c r="P687" s="253"/>
      <c r="Q687" s="253"/>
      <c r="R687" s="253"/>
      <c r="S687" s="253"/>
      <c r="T687" s="253"/>
      <c r="U687" s="253"/>
      <c r="V687" s="253"/>
      <c r="W687" s="253"/>
      <c r="X687" s="253"/>
      <c r="Y687" s="253"/>
      <c r="Z687" s="225"/>
      <c r="AA687" s="225"/>
      <c r="AB687" s="253"/>
      <c r="AC687" s="253"/>
      <c r="AD687" s="253"/>
      <c r="AE687" s="253"/>
      <c r="AF687" s="253"/>
      <c r="AG687" s="253"/>
      <c r="AH687" s="253"/>
      <c r="AI687" s="253"/>
      <c r="AJ687" s="253"/>
      <c r="AK687" s="253"/>
      <c r="AL687" s="253"/>
      <c r="AM687" s="253"/>
      <c r="AN687" s="253"/>
      <c r="AO687" s="253"/>
      <c r="AP687" s="253"/>
      <c r="AQ687" s="253"/>
      <c r="AR687" s="253"/>
      <c r="AS687" s="253"/>
      <c r="AT687" s="253"/>
      <c r="AU687" s="253"/>
      <c r="AV687" s="253"/>
      <c r="AW687" s="253"/>
      <c r="AX687" s="253"/>
      <c r="AY687" s="253"/>
      <c r="AZ687" s="253"/>
      <c r="BA687" s="253"/>
      <c r="BB687" s="253"/>
      <c r="BC687" s="253"/>
    </row>
    <row r="688" spans="1:55" ht="21" customHeight="1">
      <c r="A688" s="212"/>
      <c r="B688" s="254">
        <v>46174</v>
      </c>
      <c r="C688" s="255" t="s">
        <v>394</v>
      </c>
      <c r="D688" s="256" t="s">
        <v>1291</v>
      </c>
      <c r="E688" s="225" t="s">
        <v>2735</v>
      </c>
      <c r="F688" s="253"/>
      <c r="G688" s="225"/>
      <c r="H688" s="253"/>
      <c r="I688" s="253"/>
      <c r="J688" s="253"/>
      <c r="K688" s="253"/>
      <c r="L688" s="253"/>
      <c r="M688" s="253"/>
      <c r="N688" s="253"/>
      <c r="O688" s="253"/>
      <c r="P688" s="253"/>
      <c r="Q688" s="253"/>
      <c r="R688" s="253"/>
      <c r="S688" s="253"/>
      <c r="T688" s="253"/>
      <c r="U688" s="253"/>
      <c r="V688" s="253"/>
      <c r="W688" s="253"/>
      <c r="X688" s="253"/>
      <c r="Y688" s="253"/>
      <c r="Z688" s="225"/>
      <c r="AA688" s="225"/>
      <c r="AB688" s="253"/>
      <c r="AC688" s="253"/>
      <c r="AD688" s="253"/>
      <c r="AE688" s="253"/>
      <c r="AF688" s="253"/>
      <c r="AG688" s="253"/>
      <c r="AH688" s="253"/>
      <c r="AI688" s="253"/>
      <c r="AJ688" s="253"/>
      <c r="AK688" s="253"/>
      <c r="AL688" s="253"/>
      <c r="AM688" s="253"/>
      <c r="AN688" s="253"/>
      <c r="AO688" s="253"/>
      <c r="AP688" s="253"/>
      <c r="AQ688" s="253"/>
      <c r="AR688" s="253"/>
      <c r="AS688" s="253"/>
      <c r="AT688" s="253"/>
      <c r="AU688" s="253"/>
      <c r="AV688" s="253"/>
      <c r="AW688" s="253"/>
      <c r="AX688" s="253"/>
      <c r="AY688" s="253"/>
      <c r="AZ688" s="253"/>
      <c r="BA688" s="253"/>
      <c r="BB688" s="253"/>
      <c r="BC688" s="253"/>
    </row>
    <row r="689" spans="1:55" ht="21" customHeight="1">
      <c r="A689" s="212"/>
      <c r="B689" s="254">
        <v>46174</v>
      </c>
      <c r="C689" s="255" t="s">
        <v>394</v>
      </c>
      <c r="D689" s="259" t="s">
        <v>1292</v>
      </c>
      <c r="E689" s="225" t="s">
        <v>2736</v>
      </c>
      <c r="F689" s="253"/>
      <c r="G689" s="225"/>
      <c r="H689" s="253"/>
      <c r="I689" s="253"/>
      <c r="J689" s="253"/>
      <c r="K689" s="253"/>
      <c r="L689" s="253"/>
      <c r="M689" s="253"/>
      <c r="N689" s="253"/>
      <c r="O689" s="253"/>
      <c r="P689" s="253"/>
      <c r="Q689" s="253"/>
      <c r="R689" s="253"/>
      <c r="S689" s="253"/>
      <c r="T689" s="253"/>
      <c r="U689" s="253"/>
      <c r="V689" s="253"/>
      <c r="W689" s="253"/>
      <c r="X689" s="253"/>
      <c r="Y689" s="253"/>
      <c r="Z689" s="225"/>
      <c r="AA689" s="225"/>
      <c r="AB689" s="253"/>
      <c r="AC689" s="253"/>
      <c r="AD689" s="253"/>
      <c r="AE689" s="253"/>
      <c r="AF689" s="253"/>
      <c r="AG689" s="253"/>
      <c r="AH689" s="253"/>
      <c r="AI689" s="253"/>
      <c r="AJ689" s="253"/>
      <c r="AK689" s="253"/>
      <c r="AL689" s="253"/>
      <c r="AM689" s="253"/>
      <c r="AN689" s="253"/>
      <c r="AO689" s="253"/>
      <c r="AP689" s="253"/>
      <c r="AQ689" s="253"/>
      <c r="AR689" s="253"/>
      <c r="AS689" s="253"/>
      <c r="AT689" s="253"/>
      <c r="AU689" s="253"/>
      <c r="AV689" s="253"/>
      <c r="AW689" s="253"/>
      <c r="AX689" s="253"/>
      <c r="AY689" s="253"/>
      <c r="AZ689" s="253"/>
      <c r="BA689" s="253"/>
      <c r="BB689" s="253"/>
      <c r="BC689" s="253"/>
    </row>
    <row r="690" spans="1:55" ht="21" customHeight="1">
      <c r="A690" s="212"/>
      <c r="B690" s="254">
        <v>46174</v>
      </c>
      <c r="C690" s="255" t="s">
        <v>394</v>
      </c>
      <c r="D690" s="256" t="s">
        <v>1293</v>
      </c>
      <c r="E690" s="225" t="s">
        <v>2737</v>
      </c>
      <c r="F690" s="253"/>
      <c r="G690" s="225"/>
      <c r="H690" s="253"/>
      <c r="I690" s="253"/>
      <c r="J690" s="253"/>
      <c r="K690" s="253"/>
      <c r="L690" s="253"/>
      <c r="M690" s="253"/>
      <c r="N690" s="253"/>
      <c r="O690" s="253"/>
      <c r="P690" s="253"/>
      <c r="Q690" s="253"/>
      <c r="R690" s="253"/>
      <c r="S690" s="253"/>
      <c r="T690" s="253"/>
      <c r="U690" s="253"/>
      <c r="V690" s="253"/>
      <c r="W690" s="253"/>
      <c r="X690" s="253"/>
      <c r="Y690" s="253"/>
      <c r="Z690" s="225"/>
      <c r="AA690" s="225"/>
      <c r="AB690" s="253"/>
      <c r="AC690" s="253"/>
      <c r="AD690" s="253"/>
      <c r="AE690" s="253"/>
      <c r="AF690" s="253"/>
      <c r="AG690" s="253"/>
      <c r="AH690" s="253"/>
      <c r="AI690" s="253"/>
      <c r="AJ690" s="253"/>
      <c r="AK690" s="253"/>
      <c r="AL690" s="253"/>
      <c r="AM690" s="253"/>
      <c r="AN690" s="253"/>
      <c r="AO690" s="253"/>
      <c r="AP690" s="253"/>
      <c r="AQ690" s="253"/>
      <c r="AR690" s="253"/>
      <c r="AS690" s="253"/>
      <c r="AT690" s="253"/>
      <c r="AU690" s="253"/>
      <c r="AV690" s="253"/>
      <c r="AW690" s="253"/>
      <c r="AX690" s="253"/>
      <c r="AY690" s="253"/>
      <c r="AZ690" s="253"/>
      <c r="BA690" s="253"/>
      <c r="BB690" s="253"/>
      <c r="BC690" s="253"/>
    </row>
    <row r="691" spans="1:55" ht="21" customHeight="1">
      <c r="A691" s="212"/>
      <c r="B691" s="254">
        <v>46174</v>
      </c>
      <c r="C691" s="255" t="s">
        <v>394</v>
      </c>
      <c r="D691" s="259" t="s">
        <v>1294</v>
      </c>
      <c r="E691" s="225" t="s">
        <v>2738</v>
      </c>
      <c r="F691" s="253"/>
      <c r="G691" s="225"/>
      <c r="H691" s="253"/>
      <c r="I691" s="253"/>
      <c r="J691" s="253"/>
      <c r="K691" s="253"/>
      <c r="L691" s="253"/>
      <c r="M691" s="253"/>
      <c r="N691" s="253"/>
      <c r="O691" s="253"/>
      <c r="P691" s="253"/>
      <c r="Q691" s="253"/>
      <c r="R691" s="253"/>
      <c r="S691" s="253"/>
      <c r="T691" s="253"/>
      <c r="U691" s="253"/>
      <c r="V691" s="253"/>
      <c r="W691" s="253"/>
      <c r="X691" s="253"/>
      <c r="Y691" s="253"/>
      <c r="Z691" s="225"/>
      <c r="AA691" s="225"/>
      <c r="AB691" s="253"/>
      <c r="AC691" s="253"/>
      <c r="AD691" s="253"/>
      <c r="AE691" s="253"/>
      <c r="AF691" s="253"/>
      <c r="AG691" s="253"/>
      <c r="AH691" s="253"/>
      <c r="AI691" s="253"/>
      <c r="AJ691" s="253"/>
      <c r="AK691" s="253"/>
      <c r="AL691" s="253"/>
      <c r="AM691" s="253"/>
      <c r="AN691" s="253"/>
      <c r="AO691" s="253"/>
      <c r="AP691" s="253"/>
      <c r="AQ691" s="253"/>
      <c r="AR691" s="253"/>
      <c r="AS691" s="253"/>
      <c r="AT691" s="253"/>
      <c r="AU691" s="253"/>
      <c r="AV691" s="253"/>
      <c r="AW691" s="253"/>
      <c r="AX691" s="253"/>
      <c r="AY691" s="253"/>
      <c r="AZ691" s="253"/>
      <c r="BA691" s="253"/>
      <c r="BB691" s="253"/>
      <c r="BC691" s="253"/>
    </row>
    <row r="692" spans="1:55" ht="21" customHeight="1">
      <c r="A692" s="212"/>
      <c r="B692" s="254">
        <v>46174</v>
      </c>
      <c r="C692" s="255" t="s">
        <v>394</v>
      </c>
      <c r="D692" s="259" t="s">
        <v>1295</v>
      </c>
      <c r="E692" s="225" t="s">
        <v>2739</v>
      </c>
      <c r="F692" s="253"/>
      <c r="G692" s="225"/>
      <c r="H692" s="253"/>
      <c r="I692" s="253"/>
      <c r="J692" s="253"/>
      <c r="K692" s="253"/>
      <c r="L692" s="253"/>
      <c r="M692" s="253"/>
      <c r="N692" s="253"/>
      <c r="O692" s="253"/>
      <c r="P692" s="253"/>
      <c r="Q692" s="253"/>
      <c r="R692" s="253"/>
      <c r="S692" s="253"/>
      <c r="T692" s="253"/>
      <c r="U692" s="253"/>
      <c r="V692" s="253"/>
      <c r="W692" s="253"/>
      <c r="X692" s="253"/>
      <c r="Y692" s="253"/>
      <c r="Z692" s="225"/>
      <c r="AA692" s="225"/>
      <c r="AB692" s="253"/>
      <c r="AC692" s="253"/>
      <c r="AD692" s="253"/>
      <c r="AE692" s="253"/>
      <c r="AF692" s="253"/>
      <c r="AG692" s="253"/>
      <c r="AH692" s="253"/>
      <c r="AI692" s="253"/>
      <c r="AJ692" s="253"/>
      <c r="AK692" s="253"/>
      <c r="AL692" s="253"/>
      <c r="AM692" s="253"/>
      <c r="AN692" s="253"/>
      <c r="AO692" s="253"/>
      <c r="AP692" s="253"/>
      <c r="AQ692" s="253"/>
      <c r="AR692" s="253"/>
      <c r="AS692" s="253"/>
      <c r="AT692" s="253"/>
      <c r="AU692" s="253"/>
      <c r="AV692" s="253"/>
      <c r="AW692" s="253"/>
      <c r="AX692" s="253"/>
      <c r="AY692" s="253"/>
      <c r="AZ692" s="253"/>
      <c r="BA692" s="253"/>
      <c r="BB692" s="253"/>
      <c r="BC692" s="253"/>
    </row>
    <row r="693" spans="1:55" ht="21" customHeight="1">
      <c r="A693" s="212"/>
      <c r="B693" s="254">
        <v>46174</v>
      </c>
      <c r="C693" s="255" t="s">
        <v>394</v>
      </c>
      <c r="D693" s="259" t="s">
        <v>1296</v>
      </c>
      <c r="E693" s="225" t="s">
        <v>2740</v>
      </c>
      <c r="F693" s="253"/>
      <c r="G693" s="225"/>
      <c r="H693" s="253"/>
      <c r="I693" s="253"/>
      <c r="J693" s="253"/>
      <c r="K693" s="253"/>
      <c r="L693" s="253"/>
      <c r="M693" s="253"/>
      <c r="N693" s="253"/>
      <c r="O693" s="253"/>
      <c r="P693" s="253"/>
      <c r="Q693" s="253"/>
      <c r="R693" s="253"/>
      <c r="S693" s="253"/>
      <c r="T693" s="253"/>
      <c r="U693" s="253"/>
      <c r="V693" s="253"/>
      <c r="W693" s="253"/>
      <c r="X693" s="253"/>
      <c r="Y693" s="253"/>
      <c r="Z693" s="225"/>
      <c r="AA693" s="225"/>
      <c r="AB693" s="253"/>
      <c r="AC693" s="253"/>
      <c r="AD693" s="253"/>
      <c r="AE693" s="253"/>
      <c r="AF693" s="253"/>
      <c r="AG693" s="253"/>
      <c r="AH693" s="253"/>
      <c r="AI693" s="253"/>
      <c r="AJ693" s="253"/>
      <c r="AK693" s="253"/>
      <c r="AL693" s="253"/>
      <c r="AM693" s="253"/>
      <c r="AN693" s="253"/>
      <c r="AO693" s="253"/>
      <c r="AP693" s="253"/>
      <c r="AQ693" s="253"/>
      <c r="AR693" s="253"/>
      <c r="AS693" s="253"/>
      <c r="AT693" s="253"/>
      <c r="AU693" s="253"/>
      <c r="AV693" s="253"/>
      <c r="AW693" s="253"/>
      <c r="AX693" s="253"/>
      <c r="AY693" s="253"/>
      <c r="AZ693" s="253"/>
      <c r="BA693" s="253"/>
      <c r="BB693" s="253"/>
      <c r="BC693" s="253"/>
    </row>
    <row r="694" spans="1:55" ht="21" customHeight="1">
      <c r="A694" s="212"/>
      <c r="B694" s="254">
        <v>46174</v>
      </c>
      <c r="C694" s="255" t="s">
        <v>394</v>
      </c>
      <c r="D694" s="259" t="s">
        <v>1297</v>
      </c>
      <c r="E694" s="225" t="s">
        <v>2741</v>
      </c>
      <c r="F694" s="253"/>
      <c r="G694" s="225"/>
      <c r="H694" s="253"/>
      <c r="I694" s="253"/>
      <c r="J694" s="253"/>
      <c r="K694" s="253"/>
      <c r="L694" s="253"/>
      <c r="M694" s="253"/>
      <c r="N694" s="253"/>
      <c r="O694" s="253"/>
      <c r="P694" s="253"/>
      <c r="Q694" s="253"/>
      <c r="R694" s="253"/>
      <c r="S694" s="253"/>
      <c r="T694" s="253"/>
      <c r="U694" s="253"/>
      <c r="V694" s="253"/>
      <c r="W694" s="253"/>
      <c r="X694" s="253"/>
      <c r="Y694" s="253"/>
      <c r="Z694" s="225"/>
      <c r="AA694" s="225"/>
      <c r="AB694" s="253"/>
      <c r="AC694" s="253"/>
      <c r="AD694" s="253"/>
      <c r="AE694" s="253"/>
      <c r="AF694" s="253"/>
      <c r="AG694" s="253"/>
      <c r="AH694" s="253"/>
      <c r="AI694" s="253"/>
      <c r="AJ694" s="253"/>
      <c r="AK694" s="253"/>
      <c r="AL694" s="253"/>
      <c r="AM694" s="253"/>
      <c r="AN694" s="253"/>
      <c r="AO694" s="253"/>
      <c r="AP694" s="253"/>
      <c r="AQ694" s="253"/>
      <c r="AR694" s="253"/>
      <c r="AS694" s="253"/>
      <c r="AT694" s="253"/>
      <c r="AU694" s="253"/>
      <c r="AV694" s="253"/>
      <c r="AW694" s="253"/>
      <c r="AX694" s="253"/>
      <c r="AY694" s="253"/>
      <c r="AZ694" s="253"/>
      <c r="BA694" s="253"/>
      <c r="BB694" s="253"/>
      <c r="BC694" s="253"/>
    </row>
    <row r="695" spans="1:55" ht="21" customHeight="1">
      <c r="A695" s="212"/>
      <c r="B695" s="254">
        <v>46174</v>
      </c>
      <c r="C695" s="255" t="s">
        <v>394</v>
      </c>
      <c r="D695" s="255" t="s">
        <v>1298</v>
      </c>
      <c r="E695" s="225" t="s">
        <v>2742</v>
      </c>
      <c r="F695" s="253"/>
      <c r="G695" s="225"/>
      <c r="H695" s="253"/>
      <c r="I695" s="253"/>
      <c r="J695" s="253"/>
      <c r="K695" s="253"/>
      <c r="L695" s="253"/>
      <c r="M695" s="253"/>
      <c r="N695" s="253"/>
      <c r="O695" s="253"/>
      <c r="P695" s="253"/>
      <c r="Q695" s="253"/>
      <c r="R695" s="253"/>
      <c r="S695" s="253"/>
      <c r="T695" s="253"/>
      <c r="U695" s="253"/>
      <c r="V695" s="253"/>
      <c r="W695" s="253"/>
      <c r="X695" s="253"/>
      <c r="Y695" s="253"/>
      <c r="Z695" s="225"/>
      <c r="AA695" s="225"/>
      <c r="AB695" s="253"/>
      <c r="AC695" s="253"/>
      <c r="AD695" s="253"/>
      <c r="AE695" s="253"/>
      <c r="AF695" s="253"/>
      <c r="AG695" s="253"/>
      <c r="AH695" s="253"/>
      <c r="AI695" s="253"/>
      <c r="AJ695" s="253"/>
      <c r="AK695" s="253"/>
      <c r="AL695" s="253"/>
      <c r="AM695" s="253"/>
      <c r="AN695" s="253"/>
      <c r="AO695" s="253"/>
      <c r="AP695" s="253"/>
      <c r="AQ695" s="253"/>
      <c r="AR695" s="253"/>
      <c r="AS695" s="253"/>
      <c r="AT695" s="253"/>
      <c r="AU695" s="253"/>
      <c r="AV695" s="253"/>
      <c r="AW695" s="253"/>
      <c r="AX695" s="253"/>
      <c r="AY695" s="253"/>
      <c r="AZ695" s="253"/>
      <c r="BA695" s="253"/>
      <c r="BB695" s="253"/>
      <c r="BC695" s="253"/>
    </row>
    <row r="696" spans="1:55" ht="21" customHeight="1">
      <c r="A696" s="212"/>
      <c r="B696" s="254">
        <v>46174</v>
      </c>
      <c r="C696" s="255" t="s">
        <v>394</v>
      </c>
      <c r="D696" s="259" t="s">
        <v>1299</v>
      </c>
      <c r="E696" s="225" t="s">
        <v>2743</v>
      </c>
      <c r="F696" s="253"/>
      <c r="G696" s="225"/>
      <c r="H696" s="253"/>
      <c r="I696" s="253"/>
      <c r="J696" s="253"/>
      <c r="K696" s="253"/>
      <c r="L696" s="253"/>
      <c r="M696" s="253"/>
      <c r="N696" s="253"/>
      <c r="O696" s="253"/>
      <c r="P696" s="253"/>
      <c r="Q696" s="253"/>
      <c r="R696" s="253"/>
      <c r="S696" s="253"/>
      <c r="T696" s="253"/>
      <c r="U696" s="253"/>
      <c r="V696" s="253"/>
      <c r="W696" s="253"/>
      <c r="X696" s="253"/>
      <c r="Y696" s="253"/>
      <c r="Z696" s="225"/>
      <c r="AA696" s="225"/>
      <c r="AB696" s="253"/>
      <c r="AC696" s="253"/>
      <c r="AD696" s="253"/>
      <c r="AE696" s="253"/>
      <c r="AF696" s="253"/>
      <c r="AG696" s="253"/>
      <c r="AH696" s="253"/>
      <c r="AI696" s="253"/>
      <c r="AJ696" s="253"/>
      <c r="AK696" s="253"/>
      <c r="AL696" s="253"/>
      <c r="AM696" s="253"/>
      <c r="AN696" s="253"/>
      <c r="AO696" s="253"/>
      <c r="AP696" s="253"/>
      <c r="AQ696" s="253"/>
      <c r="AR696" s="253"/>
      <c r="AS696" s="253"/>
      <c r="AT696" s="253"/>
      <c r="AU696" s="253"/>
      <c r="AV696" s="253"/>
      <c r="AW696" s="253"/>
      <c r="AX696" s="253"/>
      <c r="AY696" s="253"/>
      <c r="AZ696" s="253"/>
      <c r="BA696" s="253"/>
      <c r="BB696" s="253"/>
      <c r="BC696" s="253"/>
    </row>
    <row r="697" spans="1:55" ht="21" customHeight="1">
      <c r="A697" s="212"/>
      <c r="B697" s="254">
        <v>46174</v>
      </c>
      <c r="C697" s="255" t="s">
        <v>394</v>
      </c>
      <c r="D697" s="259" t="s">
        <v>1300</v>
      </c>
      <c r="E697" s="225" t="s">
        <v>2744</v>
      </c>
      <c r="F697" s="253"/>
      <c r="G697" s="225"/>
      <c r="H697" s="253"/>
      <c r="I697" s="253"/>
      <c r="J697" s="253"/>
      <c r="K697" s="253"/>
      <c r="L697" s="253"/>
      <c r="M697" s="253"/>
      <c r="N697" s="253"/>
      <c r="O697" s="253"/>
      <c r="P697" s="253"/>
      <c r="Q697" s="253"/>
      <c r="R697" s="253"/>
      <c r="S697" s="253"/>
      <c r="T697" s="253"/>
      <c r="U697" s="253"/>
      <c r="V697" s="253"/>
      <c r="W697" s="253"/>
      <c r="X697" s="253"/>
      <c r="Y697" s="253"/>
      <c r="Z697" s="225"/>
      <c r="AA697" s="225"/>
      <c r="AB697" s="253"/>
      <c r="AC697" s="253"/>
      <c r="AD697" s="253"/>
      <c r="AE697" s="253"/>
      <c r="AF697" s="253"/>
      <c r="AG697" s="253"/>
      <c r="AH697" s="253"/>
      <c r="AI697" s="253"/>
      <c r="AJ697" s="253"/>
      <c r="AK697" s="253"/>
      <c r="AL697" s="253"/>
      <c r="AM697" s="253"/>
      <c r="AN697" s="253"/>
      <c r="AO697" s="253"/>
      <c r="AP697" s="253"/>
      <c r="AQ697" s="253"/>
      <c r="AR697" s="253"/>
      <c r="AS697" s="253"/>
      <c r="AT697" s="253"/>
      <c r="AU697" s="253"/>
      <c r="AV697" s="253"/>
      <c r="AW697" s="253"/>
      <c r="AX697" s="253"/>
      <c r="AY697" s="253"/>
      <c r="AZ697" s="253"/>
      <c r="BA697" s="253"/>
      <c r="BB697" s="253"/>
      <c r="BC697" s="253"/>
    </row>
    <row r="698" spans="1:55" ht="21" customHeight="1">
      <c r="A698" s="212"/>
      <c r="B698" s="254">
        <v>46174</v>
      </c>
      <c r="C698" s="255" t="s">
        <v>394</v>
      </c>
      <c r="D698" s="255" t="s">
        <v>1301</v>
      </c>
      <c r="E698" s="225" t="s">
        <v>2745</v>
      </c>
      <c r="F698" s="253"/>
      <c r="G698" s="225"/>
      <c r="H698" s="253"/>
      <c r="I698" s="253"/>
      <c r="J698" s="253"/>
      <c r="K698" s="253"/>
      <c r="L698" s="253"/>
      <c r="M698" s="253"/>
      <c r="N698" s="253"/>
      <c r="O698" s="253"/>
      <c r="P698" s="253"/>
      <c r="Q698" s="253"/>
      <c r="R698" s="253"/>
      <c r="S698" s="253"/>
      <c r="T698" s="253"/>
      <c r="U698" s="253"/>
      <c r="V698" s="253"/>
      <c r="W698" s="253"/>
      <c r="X698" s="253"/>
      <c r="Y698" s="253"/>
      <c r="Z698" s="225"/>
      <c r="AA698" s="225"/>
      <c r="AB698" s="253"/>
      <c r="AC698" s="253"/>
      <c r="AD698" s="253"/>
      <c r="AE698" s="253"/>
      <c r="AF698" s="253"/>
      <c r="AG698" s="253"/>
      <c r="AH698" s="253"/>
      <c r="AI698" s="253"/>
      <c r="AJ698" s="253"/>
      <c r="AK698" s="253"/>
      <c r="AL698" s="253"/>
      <c r="AM698" s="253"/>
      <c r="AN698" s="253"/>
      <c r="AO698" s="253"/>
      <c r="AP698" s="253"/>
      <c r="AQ698" s="253"/>
      <c r="AR698" s="253"/>
      <c r="AS698" s="253"/>
      <c r="AT698" s="253"/>
      <c r="AU698" s="253"/>
      <c r="AV698" s="253"/>
      <c r="AW698" s="253"/>
      <c r="AX698" s="253"/>
      <c r="AY698" s="253"/>
      <c r="AZ698" s="253"/>
      <c r="BA698" s="253"/>
      <c r="BB698" s="253"/>
      <c r="BC698" s="253"/>
    </row>
    <row r="699" spans="1:55" ht="21" customHeight="1">
      <c r="A699" s="212"/>
      <c r="B699" s="254">
        <v>46174</v>
      </c>
      <c r="C699" s="255" t="s">
        <v>394</v>
      </c>
      <c r="D699" s="255" t="s">
        <v>1302</v>
      </c>
      <c r="E699" s="225" t="s">
        <v>2746</v>
      </c>
      <c r="F699" s="253"/>
      <c r="G699" s="225"/>
      <c r="H699" s="253"/>
      <c r="I699" s="253"/>
      <c r="J699" s="253"/>
      <c r="K699" s="253"/>
      <c r="L699" s="253"/>
      <c r="M699" s="253"/>
      <c r="N699" s="253"/>
      <c r="O699" s="253"/>
      <c r="P699" s="253"/>
      <c r="Q699" s="253"/>
      <c r="R699" s="253"/>
      <c r="S699" s="253"/>
      <c r="T699" s="253"/>
      <c r="U699" s="253"/>
      <c r="V699" s="253"/>
      <c r="W699" s="253"/>
      <c r="X699" s="253"/>
      <c r="Y699" s="253"/>
      <c r="Z699" s="225"/>
      <c r="AA699" s="225"/>
      <c r="AB699" s="253"/>
      <c r="AC699" s="253"/>
      <c r="AD699" s="253"/>
      <c r="AE699" s="253"/>
      <c r="AF699" s="253"/>
      <c r="AG699" s="253"/>
      <c r="AH699" s="253"/>
      <c r="AI699" s="253"/>
      <c r="AJ699" s="253"/>
      <c r="AK699" s="253"/>
      <c r="AL699" s="253"/>
      <c r="AM699" s="253"/>
      <c r="AN699" s="253"/>
      <c r="AO699" s="253"/>
      <c r="AP699" s="253"/>
      <c r="AQ699" s="253"/>
      <c r="AR699" s="253"/>
      <c r="AS699" s="253"/>
      <c r="AT699" s="253"/>
      <c r="AU699" s="253"/>
      <c r="AV699" s="253"/>
      <c r="AW699" s="253"/>
      <c r="AX699" s="253"/>
      <c r="AY699" s="253"/>
      <c r="AZ699" s="253"/>
      <c r="BA699" s="253"/>
      <c r="BB699" s="253"/>
      <c r="BC699" s="253"/>
    </row>
    <row r="700" spans="1:55" ht="21" customHeight="1">
      <c r="A700" s="212"/>
      <c r="B700" s="254">
        <v>46174</v>
      </c>
      <c r="C700" s="255" t="s">
        <v>394</v>
      </c>
      <c r="D700" s="255" t="s">
        <v>1303</v>
      </c>
      <c r="E700" s="225" t="s">
        <v>2747</v>
      </c>
      <c r="F700" s="253"/>
      <c r="G700" s="225"/>
      <c r="H700" s="253"/>
      <c r="I700" s="253"/>
      <c r="J700" s="253"/>
      <c r="K700" s="253"/>
      <c r="L700" s="253"/>
      <c r="M700" s="253"/>
      <c r="N700" s="253"/>
      <c r="O700" s="253"/>
      <c r="P700" s="253"/>
      <c r="Q700" s="253"/>
      <c r="R700" s="253"/>
      <c r="S700" s="253"/>
      <c r="T700" s="253"/>
      <c r="U700" s="253"/>
      <c r="V700" s="253"/>
      <c r="W700" s="253"/>
      <c r="X700" s="253"/>
      <c r="Y700" s="253"/>
      <c r="Z700" s="225"/>
      <c r="AA700" s="225"/>
      <c r="AB700" s="253"/>
      <c r="AC700" s="253"/>
      <c r="AD700" s="253"/>
      <c r="AE700" s="253"/>
      <c r="AF700" s="253"/>
      <c r="AG700" s="253"/>
      <c r="AH700" s="253"/>
      <c r="AI700" s="253"/>
      <c r="AJ700" s="253"/>
      <c r="AK700" s="253"/>
      <c r="AL700" s="253"/>
      <c r="AM700" s="253"/>
      <c r="AN700" s="253"/>
      <c r="AO700" s="253"/>
      <c r="AP700" s="253"/>
      <c r="AQ700" s="253"/>
      <c r="AR700" s="253"/>
      <c r="AS700" s="253"/>
      <c r="AT700" s="253"/>
      <c r="AU700" s="253"/>
      <c r="AV700" s="253"/>
      <c r="AW700" s="253"/>
      <c r="AX700" s="253"/>
      <c r="AY700" s="253"/>
      <c r="AZ700" s="253"/>
      <c r="BA700" s="253"/>
      <c r="BB700" s="253"/>
      <c r="BC700" s="253"/>
    </row>
    <row r="701" spans="1:55" ht="21" customHeight="1">
      <c r="A701" s="212"/>
      <c r="B701" s="254">
        <v>46174</v>
      </c>
      <c r="C701" s="255" t="s">
        <v>394</v>
      </c>
      <c r="D701" s="255" t="s">
        <v>1304</v>
      </c>
      <c r="E701" s="225" t="s">
        <v>2748</v>
      </c>
      <c r="F701" s="253"/>
      <c r="G701" s="225"/>
      <c r="H701" s="253"/>
      <c r="I701" s="253"/>
      <c r="J701" s="253"/>
      <c r="K701" s="253"/>
      <c r="L701" s="253"/>
      <c r="M701" s="253"/>
      <c r="N701" s="253"/>
      <c r="O701" s="253"/>
      <c r="P701" s="253"/>
      <c r="Q701" s="253"/>
      <c r="R701" s="253"/>
      <c r="S701" s="253"/>
      <c r="T701" s="253"/>
      <c r="U701" s="253"/>
      <c r="V701" s="253"/>
      <c r="W701" s="253"/>
      <c r="X701" s="253"/>
      <c r="Y701" s="253"/>
      <c r="Z701" s="225"/>
      <c r="AA701" s="225"/>
      <c r="AB701" s="253"/>
      <c r="AC701" s="253"/>
      <c r="AD701" s="253"/>
      <c r="AE701" s="253"/>
      <c r="AF701" s="253"/>
      <c r="AG701" s="253"/>
      <c r="AH701" s="253"/>
      <c r="AI701" s="253"/>
      <c r="AJ701" s="253"/>
      <c r="AK701" s="253"/>
      <c r="AL701" s="253"/>
      <c r="AM701" s="253"/>
      <c r="AN701" s="253"/>
      <c r="AO701" s="253"/>
      <c r="AP701" s="253"/>
      <c r="AQ701" s="253"/>
      <c r="AR701" s="253"/>
      <c r="AS701" s="253"/>
      <c r="AT701" s="253"/>
      <c r="AU701" s="253"/>
      <c r="AV701" s="253"/>
      <c r="AW701" s="253"/>
      <c r="AX701" s="253"/>
      <c r="AY701" s="253"/>
      <c r="AZ701" s="253"/>
      <c r="BA701" s="253"/>
      <c r="BB701" s="253"/>
      <c r="BC701" s="253"/>
    </row>
    <row r="702" spans="1:55" ht="21" customHeight="1">
      <c r="A702" s="212"/>
      <c r="B702" s="254">
        <v>46174</v>
      </c>
      <c r="C702" s="257" t="s">
        <v>394</v>
      </c>
      <c r="D702" s="257" t="s">
        <v>1305</v>
      </c>
      <c r="E702" s="225" t="s">
        <v>2749</v>
      </c>
      <c r="F702" s="253"/>
      <c r="G702" s="225"/>
      <c r="H702" s="253"/>
      <c r="I702" s="253"/>
      <c r="J702" s="253"/>
      <c r="K702" s="253"/>
      <c r="L702" s="253"/>
      <c r="M702" s="253"/>
      <c r="N702" s="253"/>
      <c r="O702" s="253"/>
      <c r="P702" s="253"/>
      <c r="Q702" s="253"/>
      <c r="R702" s="253"/>
      <c r="S702" s="253"/>
      <c r="T702" s="253"/>
      <c r="U702" s="253"/>
      <c r="V702" s="253"/>
      <c r="W702" s="253"/>
      <c r="X702" s="253"/>
      <c r="Y702" s="253"/>
      <c r="Z702" s="225"/>
      <c r="AA702" s="225"/>
      <c r="AB702" s="253"/>
      <c r="AC702" s="253"/>
      <c r="AD702" s="253"/>
      <c r="AE702" s="253"/>
      <c r="AF702" s="253"/>
      <c r="AG702" s="253"/>
      <c r="AH702" s="253"/>
      <c r="AI702" s="253"/>
      <c r="AJ702" s="253"/>
      <c r="AK702" s="253"/>
      <c r="AL702" s="253"/>
      <c r="AM702" s="253"/>
      <c r="AN702" s="253"/>
      <c r="AO702" s="253"/>
      <c r="AP702" s="253"/>
      <c r="AQ702" s="253"/>
      <c r="AR702" s="253"/>
      <c r="AS702" s="253"/>
      <c r="AT702" s="253"/>
      <c r="AU702" s="253"/>
      <c r="AV702" s="253"/>
      <c r="AW702" s="253"/>
      <c r="AX702" s="253"/>
      <c r="AY702" s="253"/>
      <c r="AZ702" s="253"/>
      <c r="BA702" s="253"/>
      <c r="BB702" s="253"/>
      <c r="BC702" s="253"/>
    </row>
    <row r="703" spans="1:55" ht="21" customHeight="1">
      <c r="A703" s="212"/>
      <c r="B703" s="254">
        <v>46174</v>
      </c>
      <c r="C703" s="255" t="s">
        <v>394</v>
      </c>
      <c r="D703" s="255" t="s">
        <v>1306</v>
      </c>
      <c r="E703" s="225" t="s">
        <v>2750</v>
      </c>
      <c r="F703" s="253"/>
      <c r="G703" s="225"/>
      <c r="H703" s="253"/>
      <c r="I703" s="253"/>
      <c r="J703" s="253"/>
      <c r="K703" s="253"/>
      <c r="L703" s="253"/>
      <c r="M703" s="253"/>
      <c r="N703" s="253"/>
      <c r="O703" s="253"/>
      <c r="P703" s="253"/>
      <c r="Q703" s="253"/>
      <c r="R703" s="253"/>
      <c r="S703" s="253"/>
      <c r="T703" s="253"/>
      <c r="U703" s="253"/>
      <c r="V703" s="253"/>
      <c r="W703" s="253"/>
      <c r="X703" s="253"/>
      <c r="Y703" s="253"/>
      <c r="Z703" s="225"/>
      <c r="AA703" s="225"/>
      <c r="AB703" s="253"/>
      <c r="AC703" s="253"/>
      <c r="AD703" s="253"/>
      <c r="AE703" s="253"/>
      <c r="AF703" s="253"/>
      <c r="AG703" s="253"/>
      <c r="AH703" s="253"/>
      <c r="AI703" s="253"/>
      <c r="AJ703" s="253"/>
      <c r="AK703" s="253"/>
      <c r="AL703" s="253"/>
      <c r="AM703" s="253"/>
      <c r="AN703" s="253"/>
      <c r="AO703" s="253"/>
      <c r="AP703" s="253"/>
      <c r="AQ703" s="253"/>
      <c r="AR703" s="253"/>
      <c r="AS703" s="253"/>
      <c r="AT703" s="253"/>
      <c r="AU703" s="253"/>
      <c r="AV703" s="253"/>
      <c r="AW703" s="253"/>
      <c r="AX703" s="253"/>
      <c r="AY703" s="253"/>
      <c r="AZ703" s="253"/>
      <c r="BA703" s="253"/>
      <c r="BB703" s="253"/>
      <c r="BC703" s="253"/>
    </row>
    <row r="704" spans="1:55" ht="21" customHeight="1">
      <c r="A704" s="212"/>
      <c r="B704" s="254">
        <v>46174</v>
      </c>
      <c r="C704" s="255" t="s">
        <v>394</v>
      </c>
      <c r="D704" s="255" t="s">
        <v>1307</v>
      </c>
      <c r="E704" s="225" t="s">
        <v>2751</v>
      </c>
      <c r="F704" s="253"/>
      <c r="G704" s="225"/>
      <c r="H704" s="253"/>
      <c r="I704" s="253"/>
      <c r="J704" s="253"/>
      <c r="K704" s="253"/>
      <c r="L704" s="253"/>
      <c r="M704" s="253"/>
      <c r="N704" s="253"/>
      <c r="O704" s="253"/>
      <c r="P704" s="253"/>
      <c r="Q704" s="253"/>
      <c r="R704" s="253"/>
      <c r="S704" s="253"/>
      <c r="T704" s="253"/>
      <c r="U704" s="253"/>
      <c r="V704" s="253"/>
      <c r="W704" s="253"/>
      <c r="X704" s="253"/>
      <c r="Y704" s="253"/>
      <c r="Z704" s="225"/>
      <c r="AA704" s="225"/>
      <c r="AB704" s="253"/>
      <c r="AC704" s="253"/>
      <c r="AD704" s="253"/>
      <c r="AE704" s="253"/>
      <c r="AF704" s="253"/>
      <c r="AG704" s="253"/>
      <c r="AH704" s="253"/>
      <c r="AI704" s="253"/>
      <c r="AJ704" s="253"/>
      <c r="AK704" s="253"/>
      <c r="AL704" s="253"/>
      <c r="AM704" s="253"/>
      <c r="AN704" s="253"/>
      <c r="AO704" s="253"/>
      <c r="AP704" s="253"/>
      <c r="AQ704" s="253"/>
      <c r="AR704" s="253"/>
      <c r="AS704" s="253"/>
      <c r="AT704" s="253"/>
      <c r="AU704" s="253"/>
      <c r="AV704" s="253"/>
      <c r="AW704" s="253"/>
      <c r="AX704" s="253"/>
      <c r="AY704" s="253"/>
      <c r="AZ704" s="253"/>
      <c r="BA704" s="253"/>
      <c r="BB704" s="253"/>
      <c r="BC704" s="253"/>
    </row>
    <row r="705" spans="1:55" ht="21" customHeight="1">
      <c r="A705" s="212"/>
      <c r="B705" s="254">
        <v>46174</v>
      </c>
      <c r="C705" s="257" t="s">
        <v>394</v>
      </c>
      <c r="D705" s="257" t="s">
        <v>1308</v>
      </c>
      <c r="E705" s="225" t="s">
        <v>2752</v>
      </c>
      <c r="F705" s="253"/>
      <c r="G705" s="225"/>
      <c r="H705" s="253"/>
      <c r="I705" s="253"/>
      <c r="J705" s="253"/>
      <c r="K705" s="253"/>
      <c r="L705" s="253"/>
      <c r="M705" s="253"/>
      <c r="N705" s="253"/>
      <c r="O705" s="253"/>
      <c r="P705" s="253"/>
      <c r="Q705" s="253"/>
      <c r="R705" s="253"/>
      <c r="S705" s="253"/>
      <c r="T705" s="253"/>
      <c r="U705" s="253"/>
      <c r="V705" s="253"/>
      <c r="W705" s="253"/>
      <c r="X705" s="253"/>
      <c r="Y705" s="253"/>
      <c r="Z705" s="225"/>
      <c r="AA705" s="225"/>
      <c r="AB705" s="253"/>
      <c r="AC705" s="253"/>
      <c r="AD705" s="253"/>
      <c r="AE705" s="253"/>
      <c r="AF705" s="253"/>
      <c r="AG705" s="253"/>
      <c r="AH705" s="253"/>
      <c r="AI705" s="253"/>
      <c r="AJ705" s="253"/>
      <c r="AK705" s="253"/>
      <c r="AL705" s="253"/>
      <c r="AM705" s="253"/>
      <c r="AN705" s="253"/>
      <c r="AO705" s="253"/>
      <c r="AP705" s="253"/>
      <c r="AQ705" s="253"/>
      <c r="AR705" s="253"/>
      <c r="AS705" s="253"/>
      <c r="AT705" s="253"/>
      <c r="AU705" s="253"/>
      <c r="AV705" s="253"/>
      <c r="AW705" s="253"/>
      <c r="AX705" s="253"/>
      <c r="AY705" s="253"/>
      <c r="AZ705" s="253"/>
      <c r="BA705" s="253"/>
      <c r="BB705" s="253"/>
      <c r="BC705" s="253"/>
    </row>
    <row r="706" spans="1:55" ht="21" customHeight="1">
      <c r="A706" s="212"/>
      <c r="B706" s="254">
        <v>46174</v>
      </c>
      <c r="C706" s="255" t="s">
        <v>394</v>
      </c>
      <c r="D706" s="255" t="s">
        <v>1309</v>
      </c>
      <c r="E706" s="225" t="s">
        <v>2753</v>
      </c>
      <c r="F706" s="253"/>
      <c r="G706" s="225"/>
      <c r="H706" s="253"/>
      <c r="I706" s="253"/>
      <c r="J706" s="253"/>
      <c r="K706" s="253"/>
      <c r="L706" s="253"/>
      <c r="M706" s="253"/>
      <c r="N706" s="253"/>
      <c r="O706" s="253"/>
      <c r="P706" s="253"/>
      <c r="Q706" s="253"/>
      <c r="R706" s="253"/>
      <c r="S706" s="253"/>
      <c r="T706" s="253"/>
      <c r="U706" s="253"/>
      <c r="V706" s="253"/>
      <c r="W706" s="253"/>
      <c r="X706" s="253"/>
      <c r="Y706" s="253"/>
      <c r="Z706" s="225"/>
      <c r="AA706" s="225"/>
      <c r="AB706" s="253"/>
      <c r="AC706" s="253"/>
      <c r="AD706" s="253"/>
      <c r="AE706" s="253"/>
      <c r="AF706" s="253"/>
      <c r="AG706" s="253"/>
      <c r="AH706" s="253"/>
      <c r="AI706" s="253"/>
      <c r="AJ706" s="253"/>
      <c r="AK706" s="253"/>
      <c r="AL706" s="253"/>
      <c r="AM706" s="253"/>
      <c r="AN706" s="253"/>
      <c r="AO706" s="253"/>
      <c r="AP706" s="253"/>
      <c r="AQ706" s="253"/>
      <c r="AR706" s="253"/>
      <c r="AS706" s="253"/>
      <c r="AT706" s="253"/>
      <c r="AU706" s="253"/>
      <c r="AV706" s="253"/>
      <c r="AW706" s="253"/>
      <c r="AX706" s="253"/>
      <c r="AY706" s="253"/>
      <c r="AZ706" s="253"/>
      <c r="BA706" s="253"/>
      <c r="BB706" s="253"/>
      <c r="BC706" s="253"/>
    </row>
    <row r="707" spans="1:55" ht="21" customHeight="1">
      <c r="A707" s="212"/>
      <c r="B707" s="254">
        <v>46174</v>
      </c>
      <c r="C707" s="255" t="s">
        <v>394</v>
      </c>
      <c r="D707" s="255" t="s">
        <v>1310</v>
      </c>
      <c r="E707" s="225" t="s">
        <v>2754</v>
      </c>
      <c r="F707" s="253"/>
      <c r="G707" s="225"/>
      <c r="H707" s="253"/>
      <c r="I707" s="253"/>
      <c r="J707" s="253"/>
      <c r="K707" s="253"/>
      <c r="L707" s="253"/>
      <c r="M707" s="253"/>
      <c r="N707" s="253"/>
      <c r="O707" s="253"/>
      <c r="P707" s="253"/>
      <c r="Q707" s="253"/>
      <c r="R707" s="253"/>
      <c r="S707" s="253"/>
      <c r="T707" s="253"/>
      <c r="U707" s="253"/>
      <c r="V707" s="253"/>
      <c r="W707" s="253"/>
      <c r="X707" s="253"/>
      <c r="Y707" s="253"/>
      <c r="Z707" s="225"/>
      <c r="AA707" s="225"/>
      <c r="AB707" s="253"/>
      <c r="AC707" s="253"/>
      <c r="AD707" s="253"/>
      <c r="AE707" s="253"/>
      <c r="AF707" s="253"/>
      <c r="AG707" s="253"/>
      <c r="AH707" s="253"/>
      <c r="AI707" s="253"/>
      <c r="AJ707" s="253"/>
      <c r="AK707" s="253"/>
      <c r="AL707" s="253"/>
      <c r="AM707" s="253"/>
      <c r="AN707" s="253"/>
      <c r="AO707" s="253"/>
      <c r="AP707" s="253"/>
      <c r="AQ707" s="253"/>
      <c r="AR707" s="253"/>
      <c r="AS707" s="253"/>
      <c r="AT707" s="253"/>
      <c r="AU707" s="253"/>
      <c r="AV707" s="253"/>
      <c r="AW707" s="253"/>
      <c r="AX707" s="253"/>
      <c r="AY707" s="253"/>
      <c r="AZ707" s="253"/>
      <c r="BA707" s="253"/>
      <c r="BB707" s="253"/>
      <c r="BC707" s="253"/>
    </row>
    <row r="708" spans="1:55" ht="21" customHeight="1">
      <c r="A708" s="212"/>
      <c r="B708" s="254">
        <v>46174</v>
      </c>
      <c r="C708" s="255" t="s">
        <v>394</v>
      </c>
      <c r="D708" s="255" t="s">
        <v>1311</v>
      </c>
      <c r="E708" s="225" t="s">
        <v>2755</v>
      </c>
      <c r="F708" s="253"/>
      <c r="G708" s="225"/>
      <c r="H708" s="253"/>
      <c r="I708" s="253"/>
      <c r="J708" s="253"/>
      <c r="K708" s="253"/>
      <c r="L708" s="253"/>
      <c r="M708" s="253"/>
      <c r="N708" s="253"/>
      <c r="O708" s="253"/>
      <c r="P708" s="253"/>
      <c r="Q708" s="253"/>
      <c r="R708" s="253"/>
      <c r="S708" s="253"/>
      <c r="T708" s="253"/>
      <c r="U708" s="253"/>
      <c r="V708" s="253"/>
      <c r="W708" s="253"/>
      <c r="X708" s="253"/>
      <c r="Y708" s="253"/>
      <c r="Z708" s="225"/>
      <c r="AA708" s="225"/>
      <c r="AB708" s="253"/>
      <c r="AC708" s="253"/>
      <c r="AD708" s="253"/>
      <c r="AE708" s="253"/>
      <c r="AF708" s="253"/>
      <c r="AG708" s="253"/>
      <c r="AH708" s="253"/>
      <c r="AI708" s="253"/>
      <c r="AJ708" s="253"/>
      <c r="AK708" s="253"/>
      <c r="AL708" s="253"/>
      <c r="AM708" s="253"/>
      <c r="AN708" s="253"/>
      <c r="AO708" s="253"/>
      <c r="AP708" s="253"/>
      <c r="AQ708" s="253"/>
      <c r="AR708" s="253"/>
      <c r="AS708" s="253"/>
      <c r="AT708" s="253"/>
      <c r="AU708" s="253"/>
      <c r="AV708" s="253"/>
      <c r="AW708" s="253"/>
      <c r="AX708" s="253"/>
      <c r="AY708" s="253"/>
      <c r="AZ708" s="253"/>
      <c r="BA708" s="253"/>
      <c r="BB708" s="253"/>
      <c r="BC708" s="253"/>
    </row>
    <row r="709" spans="1:55" ht="21" customHeight="1">
      <c r="A709" s="212"/>
      <c r="B709" s="254">
        <v>46174</v>
      </c>
      <c r="C709" s="255" t="s">
        <v>394</v>
      </c>
      <c r="D709" s="255" t="s">
        <v>1312</v>
      </c>
      <c r="E709" s="225" t="s">
        <v>2756</v>
      </c>
      <c r="F709" s="253"/>
      <c r="G709" s="225"/>
      <c r="H709" s="253"/>
      <c r="I709" s="253"/>
      <c r="J709" s="253"/>
      <c r="K709" s="253"/>
      <c r="L709" s="253"/>
      <c r="M709" s="253"/>
      <c r="N709" s="253"/>
      <c r="O709" s="253"/>
      <c r="P709" s="253"/>
      <c r="Q709" s="253"/>
      <c r="R709" s="253"/>
      <c r="S709" s="253"/>
      <c r="T709" s="253"/>
      <c r="U709" s="253"/>
      <c r="V709" s="253"/>
      <c r="W709" s="253"/>
      <c r="X709" s="253"/>
      <c r="Y709" s="253"/>
      <c r="Z709" s="225"/>
      <c r="AA709" s="225"/>
      <c r="AB709" s="253"/>
      <c r="AC709" s="253"/>
      <c r="AD709" s="253"/>
      <c r="AE709" s="253"/>
      <c r="AF709" s="253"/>
      <c r="AG709" s="253"/>
      <c r="AH709" s="253"/>
      <c r="AI709" s="253"/>
      <c r="AJ709" s="253"/>
      <c r="AK709" s="253"/>
      <c r="AL709" s="253"/>
      <c r="AM709" s="253"/>
      <c r="AN709" s="253"/>
      <c r="AO709" s="253"/>
      <c r="AP709" s="253"/>
      <c r="AQ709" s="253"/>
      <c r="AR709" s="253"/>
      <c r="AS709" s="253"/>
      <c r="AT709" s="253"/>
      <c r="AU709" s="253"/>
      <c r="AV709" s="253"/>
      <c r="AW709" s="253"/>
      <c r="AX709" s="253"/>
      <c r="AY709" s="253"/>
      <c r="AZ709" s="253"/>
      <c r="BA709" s="253"/>
      <c r="BB709" s="253"/>
      <c r="BC709" s="253"/>
    </row>
    <row r="710" spans="1:55" ht="21" customHeight="1">
      <c r="A710" s="212"/>
      <c r="B710" s="254">
        <v>46174</v>
      </c>
      <c r="C710" s="255" t="s">
        <v>394</v>
      </c>
      <c r="D710" s="255" t="s">
        <v>1313</v>
      </c>
      <c r="E710" s="225" t="s">
        <v>2757</v>
      </c>
      <c r="F710" s="253"/>
      <c r="G710" s="225"/>
      <c r="H710" s="253"/>
      <c r="I710" s="253"/>
      <c r="J710" s="253"/>
      <c r="K710" s="253"/>
      <c r="L710" s="253"/>
      <c r="M710" s="253"/>
      <c r="N710" s="253"/>
      <c r="O710" s="253"/>
      <c r="P710" s="253"/>
      <c r="Q710" s="253"/>
      <c r="R710" s="253"/>
      <c r="S710" s="253"/>
      <c r="T710" s="253"/>
      <c r="U710" s="253"/>
      <c r="V710" s="253"/>
      <c r="W710" s="253"/>
      <c r="X710" s="253"/>
      <c r="Y710" s="253"/>
      <c r="Z710" s="225"/>
      <c r="AA710" s="225"/>
      <c r="AB710" s="253"/>
      <c r="AC710" s="253"/>
      <c r="AD710" s="253"/>
      <c r="AE710" s="253"/>
      <c r="AF710" s="253"/>
      <c r="AG710" s="253"/>
      <c r="AH710" s="253"/>
      <c r="AI710" s="253"/>
      <c r="AJ710" s="253"/>
      <c r="AK710" s="253"/>
      <c r="AL710" s="253"/>
      <c r="AM710" s="253"/>
      <c r="AN710" s="253"/>
      <c r="AO710" s="253"/>
      <c r="AP710" s="253"/>
      <c r="AQ710" s="253"/>
      <c r="AR710" s="253"/>
      <c r="AS710" s="253"/>
      <c r="AT710" s="253"/>
      <c r="AU710" s="253"/>
      <c r="AV710" s="253"/>
      <c r="AW710" s="253"/>
      <c r="AX710" s="253"/>
      <c r="AY710" s="253"/>
      <c r="AZ710" s="253"/>
      <c r="BA710" s="253"/>
      <c r="BB710" s="253"/>
      <c r="BC710" s="253"/>
    </row>
    <row r="711" spans="1:55" ht="21" customHeight="1">
      <c r="A711" s="212"/>
      <c r="B711" s="254">
        <v>46174</v>
      </c>
      <c r="C711" s="255" t="s">
        <v>394</v>
      </c>
      <c r="D711" s="255" t="s">
        <v>1314</v>
      </c>
      <c r="E711" s="225" t="s">
        <v>2758</v>
      </c>
      <c r="F711" s="253"/>
      <c r="G711" s="225"/>
      <c r="H711" s="253"/>
      <c r="I711" s="253"/>
      <c r="J711" s="253"/>
      <c r="K711" s="253"/>
      <c r="L711" s="253"/>
      <c r="M711" s="253"/>
      <c r="N711" s="253"/>
      <c r="O711" s="253"/>
      <c r="P711" s="253"/>
      <c r="Q711" s="253"/>
      <c r="R711" s="253"/>
      <c r="S711" s="253"/>
      <c r="T711" s="253"/>
      <c r="U711" s="253"/>
      <c r="V711" s="253"/>
      <c r="W711" s="253"/>
      <c r="X711" s="253"/>
      <c r="Y711" s="253"/>
      <c r="Z711" s="225"/>
      <c r="AA711" s="225"/>
      <c r="AB711" s="253"/>
      <c r="AC711" s="253"/>
      <c r="AD711" s="253"/>
      <c r="AE711" s="253"/>
      <c r="AF711" s="253"/>
      <c r="AG711" s="253"/>
      <c r="AH711" s="253"/>
      <c r="AI711" s="253"/>
      <c r="AJ711" s="253"/>
      <c r="AK711" s="253"/>
      <c r="AL711" s="253"/>
      <c r="AM711" s="253"/>
      <c r="AN711" s="253"/>
      <c r="AO711" s="253"/>
      <c r="AP711" s="253"/>
      <c r="AQ711" s="253"/>
      <c r="AR711" s="253"/>
      <c r="AS711" s="253"/>
      <c r="AT711" s="253"/>
      <c r="AU711" s="253"/>
      <c r="AV711" s="253"/>
      <c r="AW711" s="253"/>
      <c r="AX711" s="253"/>
      <c r="AY711" s="253"/>
      <c r="AZ711" s="253"/>
      <c r="BA711" s="253"/>
      <c r="BB711" s="253"/>
      <c r="BC711" s="253"/>
    </row>
    <row r="712" spans="1:55" ht="21" customHeight="1">
      <c r="A712" s="212"/>
      <c r="B712" s="254">
        <v>46174</v>
      </c>
      <c r="C712" s="255" t="s">
        <v>394</v>
      </c>
      <c r="D712" s="255" t="s">
        <v>1315</v>
      </c>
      <c r="E712" s="225" t="s">
        <v>2759</v>
      </c>
      <c r="F712" s="253"/>
      <c r="G712" s="225"/>
      <c r="H712" s="253"/>
      <c r="I712" s="253"/>
      <c r="J712" s="253"/>
      <c r="K712" s="253"/>
      <c r="L712" s="253"/>
      <c r="M712" s="253"/>
      <c r="N712" s="253"/>
      <c r="O712" s="253"/>
      <c r="P712" s="253"/>
      <c r="Q712" s="253"/>
      <c r="R712" s="253"/>
      <c r="S712" s="253"/>
      <c r="T712" s="253"/>
      <c r="U712" s="253"/>
      <c r="V712" s="253"/>
      <c r="W712" s="253"/>
      <c r="X712" s="253"/>
      <c r="Y712" s="253"/>
      <c r="Z712" s="225"/>
      <c r="AA712" s="225"/>
      <c r="AB712" s="253"/>
      <c r="AC712" s="253"/>
      <c r="AD712" s="253"/>
      <c r="AE712" s="253"/>
      <c r="AF712" s="253"/>
      <c r="AG712" s="253"/>
      <c r="AH712" s="253"/>
      <c r="AI712" s="253"/>
      <c r="AJ712" s="253"/>
      <c r="AK712" s="253"/>
      <c r="AL712" s="253"/>
      <c r="AM712" s="253"/>
      <c r="AN712" s="253"/>
      <c r="AO712" s="253"/>
      <c r="AP712" s="253"/>
      <c r="AQ712" s="253"/>
      <c r="AR712" s="253"/>
      <c r="AS712" s="253"/>
      <c r="AT712" s="253"/>
      <c r="AU712" s="253"/>
      <c r="AV712" s="253"/>
      <c r="AW712" s="253"/>
      <c r="AX712" s="253"/>
      <c r="AY712" s="253"/>
      <c r="AZ712" s="253"/>
      <c r="BA712" s="253"/>
      <c r="BB712" s="253"/>
      <c r="BC712" s="253"/>
    </row>
    <row r="713" spans="1:55" ht="21" customHeight="1">
      <c r="A713" s="212"/>
      <c r="B713" s="254">
        <v>46174</v>
      </c>
      <c r="C713" s="255" t="s">
        <v>394</v>
      </c>
      <c r="D713" s="255" t="s">
        <v>1316</v>
      </c>
      <c r="E713" s="225" t="s">
        <v>2760</v>
      </c>
      <c r="F713" s="253"/>
      <c r="G713" s="225"/>
      <c r="H713" s="253"/>
      <c r="I713" s="253"/>
      <c r="J713" s="253"/>
      <c r="K713" s="253"/>
      <c r="L713" s="253"/>
      <c r="M713" s="253"/>
      <c r="N713" s="253"/>
      <c r="O713" s="253"/>
      <c r="P713" s="253"/>
      <c r="Q713" s="253"/>
      <c r="R713" s="253"/>
      <c r="S713" s="253"/>
      <c r="T713" s="253"/>
      <c r="U713" s="253"/>
      <c r="V713" s="253"/>
      <c r="W713" s="253"/>
      <c r="X713" s="253"/>
      <c r="Y713" s="253"/>
      <c r="Z713" s="225"/>
      <c r="AA713" s="225"/>
      <c r="AB713" s="253"/>
      <c r="AC713" s="253"/>
      <c r="AD713" s="253"/>
      <c r="AE713" s="253"/>
      <c r="AF713" s="253"/>
      <c r="AG713" s="253"/>
      <c r="AH713" s="253"/>
      <c r="AI713" s="253"/>
      <c r="AJ713" s="253"/>
      <c r="AK713" s="253"/>
      <c r="AL713" s="253"/>
      <c r="AM713" s="253"/>
      <c r="AN713" s="253"/>
      <c r="AO713" s="253"/>
      <c r="AP713" s="253"/>
      <c r="AQ713" s="253"/>
      <c r="AR713" s="253"/>
      <c r="AS713" s="253"/>
      <c r="AT713" s="253"/>
      <c r="AU713" s="253"/>
      <c r="AV713" s="253"/>
      <c r="AW713" s="253"/>
      <c r="AX713" s="253"/>
      <c r="AY713" s="253"/>
      <c r="AZ713" s="253"/>
      <c r="BA713" s="253"/>
      <c r="BB713" s="253"/>
      <c r="BC713" s="253"/>
    </row>
    <row r="714" spans="1:55" ht="21" customHeight="1">
      <c r="A714" s="212"/>
      <c r="B714" s="254">
        <v>46174</v>
      </c>
      <c r="C714" s="255" t="s">
        <v>394</v>
      </c>
      <c r="D714" s="255" t="s">
        <v>1317</v>
      </c>
      <c r="E714" s="225" t="s">
        <v>2761</v>
      </c>
      <c r="F714" s="253"/>
      <c r="G714" s="225"/>
      <c r="H714" s="253"/>
      <c r="I714" s="253"/>
      <c r="J714" s="253"/>
      <c r="K714" s="253"/>
      <c r="L714" s="253"/>
      <c r="M714" s="253"/>
      <c r="N714" s="253"/>
      <c r="O714" s="253"/>
      <c r="P714" s="253"/>
      <c r="Q714" s="253"/>
      <c r="R714" s="253"/>
      <c r="S714" s="253"/>
      <c r="T714" s="253"/>
      <c r="U714" s="253"/>
      <c r="V714" s="253"/>
      <c r="W714" s="253"/>
      <c r="X714" s="253"/>
      <c r="Y714" s="253"/>
      <c r="Z714" s="225"/>
      <c r="AA714" s="225"/>
      <c r="AB714" s="253"/>
      <c r="AC714" s="253"/>
      <c r="AD714" s="253"/>
      <c r="AE714" s="253"/>
      <c r="AF714" s="253"/>
      <c r="AG714" s="253"/>
      <c r="AH714" s="253"/>
      <c r="AI714" s="253"/>
      <c r="AJ714" s="253"/>
      <c r="AK714" s="253"/>
      <c r="AL714" s="253"/>
      <c r="AM714" s="253"/>
      <c r="AN714" s="253"/>
      <c r="AO714" s="253"/>
      <c r="AP714" s="253"/>
      <c r="AQ714" s="253"/>
      <c r="AR714" s="253"/>
      <c r="AS714" s="253"/>
      <c r="AT714" s="253"/>
      <c r="AU714" s="253"/>
      <c r="AV714" s="253"/>
      <c r="AW714" s="253"/>
      <c r="AX714" s="253"/>
      <c r="AY714" s="253"/>
      <c r="AZ714" s="253"/>
      <c r="BA714" s="253"/>
      <c r="BB714" s="253"/>
      <c r="BC714" s="253"/>
    </row>
    <row r="715" spans="1:55" ht="16.5">
      <c r="B715" s="254">
        <v>46174</v>
      </c>
      <c r="C715" s="260" t="s">
        <v>394</v>
      </c>
      <c r="D715" s="260" t="s">
        <v>1318</v>
      </c>
      <c r="E715" s="261" t="s">
        <v>2762</v>
      </c>
      <c r="F715" s="262"/>
      <c r="G715" s="262"/>
      <c r="H715" s="262"/>
      <c r="I715" s="262"/>
      <c r="J715" s="262"/>
      <c r="K715" s="262"/>
      <c r="L715" s="262"/>
      <c r="M715" s="262"/>
      <c r="N715" s="262"/>
      <c r="O715" s="262"/>
      <c r="P715" s="262"/>
      <c r="Q715" s="262"/>
      <c r="R715" s="262"/>
      <c r="S715" s="262"/>
      <c r="T715" s="262"/>
      <c r="U715" s="262"/>
      <c r="V715" s="262"/>
      <c r="W715" s="262"/>
      <c r="X715" s="262"/>
      <c r="Y715" s="262"/>
      <c r="Z715" s="263"/>
      <c r="AA715" s="263"/>
      <c r="AB715" s="262"/>
      <c r="AC715" s="262"/>
      <c r="AD715" s="262"/>
      <c r="AE715" s="262"/>
      <c r="AF715" s="262"/>
      <c r="AG715" s="262"/>
      <c r="AH715" s="262"/>
      <c r="AI715" s="262"/>
      <c r="AJ715" s="262"/>
      <c r="AK715" s="262"/>
      <c r="AL715" s="262"/>
      <c r="AM715" s="262"/>
      <c r="AN715" s="262"/>
      <c r="AO715" s="262"/>
      <c r="AP715" s="262"/>
      <c r="AQ715" s="262"/>
      <c r="AR715" s="262"/>
      <c r="AS715" s="262"/>
      <c r="AT715" s="262"/>
      <c r="AU715" s="262"/>
      <c r="AV715" s="262"/>
      <c r="AW715" s="262"/>
      <c r="AX715" s="262"/>
      <c r="AY715" s="262"/>
      <c r="AZ715" s="262"/>
      <c r="BA715" s="262"/>
      <c r="BB715" s="262"/>
      <c r="BC715" s="262"/>
    </row>
    <row r="716" spans="1:55" ht="16.5">
      <c r="B716" s="254">
        <v>46174</v>
      </c>
      <c r="C716" s="260" t="s">
        <v>394</v>
      </c>
      <c r="D716" s="260" t="s">
        <v>1319</v>
      </c>
      <c r="E716" s="261" t="s">
        <v>2763</v>
      </c>
      <c r="F716" s="262"/>
      <c r="G716" s="262"/>
      <c r="H716" s="262"/>
      <c r="I716" s="262"/>
      <c r="J716" s="262"/>
      <c r="K716" s="262"/>
      <c r="L716" s="262"/>
      <c r="M716" s="262"/>
      <c r="N716" s="262"/>
      <c r="O716" s="262"/>
      <c r="P716" s="262"/>
      <c r="Q716" s="262"/>
      <c r="R716" s="262"/>
      <c r="S716" s="262"/>
      <c r="T716" s="262"/>
      <c r="U716" s="262"/>
      <c r="V716" s="262"/>
      <c r="W716" s="262"/>
      <c r="X716" s="262"/>
      <c r="Y716" s="262"/>
      <c r="Z716" s="263"/>
      <c r="AA716" s="263"/>
      <c r="AB716" s="262"/>
      <c r="AC716" s="262"/>
      <c r="AD716" s="262"/>
      <c r="AE716" s="262"/>
      <c r="AF716" s="262"/>
      <c r="AG716" s="262"/>
      <c r="AH716" s="262"/>
      <c r="AI716" s="262"/>
      <c r="AJ716" s="262"/>
      <c r="AK716" s="262"/>
      <c r="AL716" s="262"/>
      <c r="AM716" s="262"/>
      <c r="AN716" s="262"/>
      <c r="AO716" s="262"/>
      <c r="AP716" s="262"/>
      <c r="AQ716" s="262"/>
      <c r="AR716" s="262"/>
      <c r="AS716" s="262"/>
      <c r="AT716" s="262"/>
      <c r="AU716" s="262"/>
      <c r="AV716" s="262"/>
      <c r="AW716" s="262"/>
      <c r="AX716" s="262"/>
      <c r="AY716" s="262"/>
      <c r="AZ716" s="262"/>
      <c r="BA716" s="262"/>
      <c r="BB716" s="262"/>
      <c r="BC716" s="262"/>
    </row>
    <row r="717" spans="1:55" ht="16.5">
      <c r="B717" s="254">
        <v>46174</v>
      </c>
      <c r="C717" s="260" t="s">
        <v>394</v>
      </c>
      <c r="D717" s="260" t="s">
        <v>1320</v>
      </c>
      <c r="E717" s="261" t="s">
        <v>2764</v>
      </c>
      <c r="F717" s="262"/>
      <c r="G717" s="262"/>
      <c r="H717" s="262"/>
      <c r="I717" s="262"/>
      <c r="J717" s="262"/>
      <c r="K717" s="262"/>
      <c r="L717" s="262"/>
      <c r="M717" s="262"/>
      <c r="N717" s="262"/>
      <c r="O717" s="262"/>
      <c r="P717" s="262"/>
      <c r="Q717" s="262"/>
      <c r="R717" s="262"/>
      <c r="S717" s="262"/>
      <c r="T717" s="262"/>
      <c r="U717" s="262"/>
      <c r="V717" s="262"/>
      <c r="W717" s="262"/>
      <c r="X717" s="262"/>
      <c r="Y717" s="262"/>
      <c r="Z717" s="263"/>
      <c r="AA717" s="263"/>
      <c r="AB717" s="262"/>
      <c r="AC717" s="262"/>
      <c r="AD717" s="262"/>
      <c r="AE717" s="262"/>
      <c r="AF717" s="262"/>
      <c r="AG717" s="262"/>
      <c r="AH717" s="262"/>
      <c r="AI717" s="262"/>
      <c r="AJ717" s="262"/>
      <c r="AK717" s="262"/>
      <c r="AL717" s="262"/>
      <c r="AM717" s="262"/>
      <c r="AN717" s="262"/>
      <c r="AO717" s="262"/>
      <c r="AP717" s="262"/>
      <c r="AQ717" s="262"/>
      <c r="AR717" s="262"/>
      <c r="AS717" s="262"/>
      <c r="AT717" s="262"/>
      <c r="AU717" s="262"/>
      <c r="AV717" s="262"/>
      <c r="AW717" s="262"/>
      <c r="AX717" s="262"/>
      <c r="AY717" s="262"/>
      <c r="AZ717" s="262"/>
      <c r="BA717" s="262"/>
      <c r="BB717" s="262"/>
      <c r="BC717" s="262"/>
    </row>
    <row r="718" spans="1:55" ht="16.5">
      <c r="B718" s="254">
        <v>46174</v>
      </c>
      <c r="C718" s="260" t="s">
        <v>394</v>
      </c>
      <c r="D718" s="260" t="s">
        <v>1321</v>
      </c>
      <c r="E718" s="261" t="s">
        <v>2765</v>
      </c>
      <c r="F718" s="262"/>
      <c r="G718" s="262"/>
      <c r="H718" s="262"/>
      <c r="I718" s="262"/>
      <c r="J718" s="262"/>
      <c r="K718" s="262"/>
      <c r="L718" s="262"/>
      <c r="M718" s="262"/>
      <c r="N718" s="262"/>
      <c r="O718" s="262"/>
      <c r="P718" s="262"/>
      <c r="Q718" s="262"/>
      <c r="R718" s="262"/>
      <c r="S718" s="262"/>
      <c r="T718" s="262"/>
      <c r="U718" s="262"/>
      <c r="V718" s="262"/>
      <c r="W718" s="262"/>
      <c r="X718" s="262"/>
      <c r="Y718" s="262"/>
      <c r="Z718" s="263"/>
      <c r="AA718" s="263"/>
      <c r="AB718" s="262"/>
      <c r="AC718" s="262"/>
      <c r="AD718" s="262"/>
      <c r="AE718" s="262"/>
      <c r="AF718" s="262"/>
      <c r="AG718" s="262"/>
      <c r="AH718" s="262"/>
      <c r="AI718" s="262"/>
      <c r="AJ718" s="262"/>
      <c r="AK718" s="262"/>
      <c r="AL718" s="262"/>
      <c r="AM718" s="262"/>
      <c r="AN718" s="262"/>
      <c r="AO718" s="262"/>
      <c r="AP718" s="262"/>
      <c r="AQ718" s="262"/>
      <c r="AR718" s="262"/>
      <c r="AS718" s="262"/>
      <c r="AT718" s="262"/>
      <c r="AU718" s="262"/>
      <c r="AV718" s="262"/>
      <c r="AW718" s="262"/>
      <c r="AX718" s="262"/>
      <c r="AY718" s="262"/>
      <c r="AZ718" s="262"/>
      <c r="BA718" s="262"/>
      <c r="BB718" s="262"/>
      <c r="BC718" s="262"/>
    </row>
    <row r="719" spans="1:55" ht="16.5">
      <c r="B719" s="254">
        <v>46174</v>
      </c>
      <c r="C719" s="260" t="s">
        <v>394</v>
      </c>
      <c r="D719" s="260" t="s">
        <v>1322</v>
      </c>
      <c r="E719" s="261" t="s">
        <v>2766</v>
      </c>
      <c r="F719" s="262"/>
      <c r="G719" s="262"/>
      <c r="H719" s="262"/>
      <c r="I719" s="262"/>
      <c r="J719" s="262"/>
      <c r="K719" s="262"/>
      <c r="L719" s="262"/>
      <c r="M719" s="262"/>
      <c r="N719" s="262"/>
      <c r="O719" s="262"/>
      <c r="P719" s="262"/>
      <c r="Q719" s="262"/>
      <c r="R719" s="262"/>
      <c r="S719" s="262"/>
      <c r="T719" s="262"/>
      <c r="U719" s="262"/>
      <c r="V719" s="262"/>
      <c r="W719" s="262"/>
      <c r="X719" s="262"/>
      <c r="Y719" s="262"/>
      <c r="Z719" s="263"/>
      <c r="AA719" s="263"/>
      <c r="AB719" s="262"/>
      <c r="AC719" s="262"/>
      <c r="AD719" s="262"/>
      <c r="AE719" s="262"/>
      <c r="AF719" s="262"/>
      <c r="AG719" s="262"/>
      <c r="AH719" s="262"/>
      <c r="AI719" s="262"/>
      <c r="AJ719" s="262"/>
      <c r="AK719" s="262"/>
      <c r="AL719" s="262"/>
      <c r="AM719" s="262"/>
      <c r="AN719" s="262"/>
      <c r="AO719" s="262"/>
      <c r="AP719" s="262"/>
      <c r="AQ719" s="262"/>
      <c r="AR719" s="262"/>
      <c r="AS719" s="262"/>
      <c r="AT719" s="262"/>
      <c r="AU719" s="262"/>
      <c r="AV719" s="262"/>
      <c r="AW719" s="262"/>
      <c r="AX719" s="262"/>
      <c r="AY719" s="262"/>
      <c r="AZ719" s="262"/>
      <c r="BA719" s="262"/>
      <c r="BB719" s="262"/>
      <c r="BC719" s="262"/>
    </row>
    <row r="720" spans="1:55" ht="16.5">
      <c r="B720" s="254">
        <v>46174</v>
      </c>
      <c r="C720" s="260" t="s">
        <v>394</v>
      </c>
      <c r="D720" s="260" t="s">
        <v>1323</v>
      </c>
      <c r="E720" s="261" t="s">
        <v>2767</v>
      </c>
      <c r="F720" s="262"/>
      <c r="G720" s="262"/>
      <c r="H720" s="262"/>
      <c r="I720" s="262"/>
      <c r="J720" s="262"/>
      <c r="K720" s="262"/>
      <c r="L720" s="262"/>
      <c r="M720" s="262"/>
      <c r="N720" s="262"/>
      <c r="O720" s="262"/>
      <c r="P720" s="262"/>
      <c r="Q720" s="262"/>
      <c r="R720" s="262"/>
      <c r="S720" s="262"/>
      <c r="T720" s="262"/>
      <c r="U720" s="262"/>
      <c r="V720" s="262"/>
      <c r="W720" s="262"/>
      <c r="X720" s="262"/>
      <c r="Y720" s="262"/>
      <c r="Z720" s="263"/>
      <c r="AA720" s="263"/>
      <c r="AB720" s="262"/>
      <c r="AC720" s="262"/>
      <c r="AD720" s="262"/>
      <c r="AE720" s="262"/>
      <c r="AF720" s="262"/>
      <c r="AG720" s="262"/>
      <c r="AH720" s="262"/>
      <c r="AI720" s="262"/>
      <c r="AJ720" s="262"/>
      <c r="AK720" s="262"/>
      <c r="AL720" s="262"/>
      <c r="AM720" s="262"/>
      <c r="AN720" s="262"/>
      <c r="AO720" s="262"/>
      <c r="AP720" s="262"/>
      <c r="AQ720" s="262"/>
      <c r="AR720" s="262"/>
      <c r="AS720" s="262"/>
      <c r="AT720" s="262"/>
      <c r="AU720" s="262"/>
      <c r="AV720" s="262"/>
      <c r="AW720" s="262"/>
      <c r="AX720" s="262"/>
      <c r="AY720" s="262"/>
      <c r="AZ720" s="262"/>
      <c r="BA720" s="262"/>
      <c r="BB720" s="262"/>
      <c r="BC720" s="262"/>
    </row>
    <row r="721" spans="2:55" ht="16.5">
      <c r="B721" s="254">
        <v>46174</v>
      </c>
      <c r="C721" s="260" t="s">
        <v>394</v>
      </c>
      <c r="D721" s="260" t="s">
        <v>1324</v>
      </c>
      <c r="E721" s="261" t="s">
        <v>2768</v>
      </c>
      <c r="F721" s="262"/>
      <c r="G721" s="262"/>
      <c r="H721" s="262"/>
      <c r="I721" s="262"/>
      <c r="J721" s="262"/>
      <c r="K721" s="262"/>
      <c r="L721" s="262"/>
      <c r="M721" s="262"/>
      <c r="N721" s="262"/>
      <c r="O721" s="262"/>
      <c r="P721" s="262"/>
      <c r="Q721" s="262"/>
      <c r="R721" s="262"/>
      <c r="S721" s="262"/>
      <c r="T721" s="262"/>
      <c r="U721" s="262"/>
      <c r="V721" s="262"/>
      <c r="W721" s="262"/>
      <c r="X721" s="262"/>
      <c r="Y721" s="262"/>
      <c r="Z721" s="263"/>
      <c r="AA721" s="263"/>
      <c r="AB721" s="262"/>
      <c r="AC721" s="262"/>
      <c r="AD721" s="262"/>
      <c r="AE721" s="262"/>
      <c r="AF721" s="262"/>
      <c r="AG721" s="262"/>
      <c r="AH721" s="262"/>
      <c r="AI721" s="262"/>
      <c r="AJ721" s="262"/>
      <c r="AK721" s="262"/>
      <c r="AL721" s="262"/>
      <c r="AM721" s="262"/>
      <c r="AN721" s="262"/>
      <c r="AO721" s="262"/>
      <c r="AP721" s="262"/>
      <c r="AQ721" s="262"/>
      <c r="AR721" s="262"/>
      <c r="AS721" s="262"/>
      <c r="AT721" s="262"/>
      <c r="AU721" s="262"/>
      <c r="AV721" s="262"/>
      <c r="AW721" s="262"/>
      <c r="AX721" s="262"/>
      <c r="AY721" s="262"/>
      <c r="AZ721" s="262"/>
      <c r="BA721" s="262"/>
      <c r="BB721" s="262"/>
      <c r="BC721" s="262"/>
    </row>
    <row r="722" spans="2:55" ht="16.5">
      <c r="B722" s="254">
        <v>46174</v>
      </c>
      <c r="C722" s="260" t="s">
        <v>394</v>
      </c>
      <c r="D722" s="260" t="s">
        <v>1325</v>
      </c>
      <c r="E722" s="261" t="s">
        <v>2769</v>
      </c>
      <c r="F722" s="262"/>
      <c r="G722" s="262"/>
      <c r="H722" s="262"/>
      <c r="I722" s="262"/>
      <c r="J722" s="262"/>
      <c r="K722" s="262"/>
      <c r="L722" s="262"/>
      <c r="M722" s="262"/>
      <c r="N722" s="262"/>
      <c r="O722" s="262"/>
      <c r="P722" s="262"/>
      <c r="Q722" s="262"/>
      <c r="R722" s="262"/>
      <c r="S722" s="262"/>
      <c r="T722" s="262"/>
      <c r="U722" s="262"/>
      <c r="V722" s="262"/>
      <c r="W722" s="262"/>
      <c r="X722" s="262"/>
      <c r="Y722" s="262"/>
      <c r="Z722" s="263"/>
      <c r="AA722" s="263"/>
      <c r="AB722" s="262"/>
      <c r="AC722" s="262"/>
      <c r="AD722" s="262"/>
      <c r="AE722" s="262"/>
      <c r="AF722" s="262"/>
      <c r="AG722" s="262"/>
      <c r="AH722" s="262"/>
      <c r="AI722" s="262"/>
      <c r="AJ722" s="262"/>
      <c r="AK722" s="262"/>
      <c r="AL722" s="262"/>
      <c r="AM722" s="262"/>
      <c r="AN722" s="262"/>
      <c r="AO722" s="262"/>
      <c r="AP722" s="262"/>
      <c r="AQ722" s="262"/>
      <c r="AR722" s="262"/>
      <c r="AS722" s="262"/>
      <c r="AT722" s="262"/>
      <c r="AU722" s="262"/>
      <c r="AV722" s="262"/>
      <c r="AW722" s="262"/>
      <c r="AX722" s="262"/>
      <c r="AY722" s="262"/>
      <c r="AZ722" s="262"/>
      <c r="BA722" s="262"/>
      <c r="BB722" s="262"/>
      <c r="BC722" s="262"/>
    </row>
    <row r="723" spans="2:55" ht="16.5">
      <c r="B723" s="254">
        <v>46174</v>
      </c>
      <c r="C723" s="260" t="s">
        <v>394</v>
      </c>
      <c r="D723" s="260" t="s">
        <v>1326</v>
      </c>
      <c r="E723" s="261" t="s">
        <v>2770</v>
      </c>
      <c r="F723" s="262"/>
      <c r="G723" s="262"/>
      <c r="H723" s="262"/>
      <c r="I723" s="262"/>
      <c r="J723" s="262"/>
      <c r="K723" s="262"/>
      <c r="L723" s="262"/>
      <c r="M723" s="262"/>
      <c r="N723" s="262"/>
      <c r="O723" s="262"/>
      <c r="P723" s="262"/>
      <c r="Q723" s="262"/>
      <c r="R723" s="262"/>
      <c r="S723" s="262"/>
      <c r="T723" s="262"/>
      <c r="U723" s="262"/>
      <c r="V723" s="262"/>
      <c r="W723" s="262"/>
      <c r="X723" s="262"/>
      <c r="Y723" s="262"/>
      <c r="Z723" s="263"/>
      <c r="AA723" s="263"/>
      <c r="AB723" s="262"/>
      <c r="AC723" s="262"/>
      <c r="AD723" s="262"/>
      <c r="AE723" s="262"/>
      <c r="AF723" s="262"/>
      <c r="AG723" s="262"/>
      <c r="AH723" s="262"/>
      <c r="AI723" s="262"/>
      <c r="AJ723" s="262"/>
      <c r="AK723" s="262"/>
      <c r="AL723" s="262"/>
      <c r="AM723" s="262"/>
      <c r="AN723" s="262"/>
      <c r="AO723" s="262"/>
      <c r="AP723" s="262"/>
      <c r="AQ723" s="262"/>
      <c r="AR723" s="262"/>
      <c r="AS723" s="262"/>
      <c r="AT723" s="262"/>
      <c r="AU723" s="262"/>
      <c r="AV723" s="262"/>
      <c r="AW723" s="262"/>
      <c r="AX723" s="262"/>
      <c r="AY723" s="262"/>
      <c r="AZ723" s="262"/>
      <c r="BA723" s="262"/>
      <c r="BB723" s="262"/>
      <c r="BC723" s="262"/>
    </row>
    <row r="724" spans="2:55" ht="16.5">
      <c r="B724" s="254">
        <v>46174</v>
      </c>
      <c r="C724" s="260" t="s">
        <v>394</v>
      </c>
      <c r="D724" s="260" t="s">
        <v>1327</v>
      </c>
      <c r="E724" s="261" t="s">
        <v>2771</v>
      </c>
      <c r="F724" s="262"/>
      <c r="G724" s="262"/>
      <c r="H724" s="262"/>
      <c r="I724" s="262"/>
      <c r="J724" s="262"/>
      <c r="K724" s="262"/>
      <c r="L724" s="262"/>
      <c r="M724" s="262"/>
      <c r="N724" s="262"/>
      <c r="O724" s="262"/>
      <c r="P724" s="262"/>
      <c r="Q724" s="262"/>
      <c r="R724" s="262"/>
      <c r="S724" s="262"/>
      <c r="T724" s="262"/>
      <c r="U724" s="262"/>
      <c r="V724" s="262"/>
      <c r="W724" s="262"/>
      <c r="X724" s="262"/>
      <c r="Y724" s="262"/>
      <c r="Z724" s="263"/>
      <c r="AA724" s="263"/>
      <c r="AB724" s="262"/>
      <c r="AC724" s="262"/>
      <c r="AD724" s="262"/>
      <c r="AE724" s="262"/>
      <c r="AF724" s="262"/>
      <c r="AG724" s="262"/>
      <c r="AH724" s="262"/>
      <c r="AI724" s="262"/>
      <c r="AJ724" s="262"/>
      <c r="AK724" s="262"/>
      <c r="AL724" s="262"/>
      <c r="AM724" s="262"/>
      <c r="AN724" s="262"/>
      <c r="AO724" s="262"/>
      <c r="AP724" s="262"/>
      <c r="AQ724" s="262"/>
      <c r="AR724" s="262"/>
      <c r="AS724" s="262"/>
      <c r="AT724" s="262"/>
      <c r="AU724" s="262"/>
      <c r="AV724" s="262"/>
      <c r="AW724" s="262"/>
      <c r="AX724" s="262"/>
      <c r="AY724" s="262"/>
      <c r="AZ724" s="262"/>
      <c r="BA724" s="262"/>
      <c r="BB724" s="262"/>
      <c r="BC724" s="262"/>
    </row>
    <row r="725" spans="2:55" ht="16.5">
      <c r="B725" s="254">
        <v>46174</v>
      </c>
      <c r="C725" s="260" t="s">
        <v>394</v>
      </c>
      <c r="D725" s="260" t="s">
        <v>1328</v>
      </c>
      <c r="E725" s="261" t="s">
        <v>2772</v>
      </c>
      <c r="F725" s="262"/>
      <c r="G725" s="262"/>
      <c r="H725" s="262"/>
      <c r="I725" s="262"/>
      <c r="J725" s="262"/>
      <c r="K725" s="262"/>
      <c r="L725" s="262"/>
      <c r="M725" s="262"/>
      <c r="N725" s="262"/>
      <c r="O725" s="262"/>
      <c r="P725" s="262"/>
      <c r="Q725" s="262"/>
      <c r="R725" s="262"/>
      <c r="S725" s="262"/>
      <c r="T725" s="262"/>
      <c r="U725" s="262"/>
      <c r="V725" s="262"/>
      <c r="W725" s="262"/>
      <c r="X725" s="262"/>
      <c r="Y725" s="262"/>
      <c r="Z725" s="263"/>
      <c r="AA725" s="263"/>
      <c r="AB725" s="262"/>
      <c r="AC725" s="262"/>
      <c r="AD725" s="262"/>
      <c r="AE725" s="262"/>
      <c r="AF725" s="262"/>
      <c r="AG725" s="262"/>
      <c r="AH725" s="262"/>
      <c r="AI725" s="262"/>
      <c r="AJ725" s="262"/>
      <c r="AK725" s="262"/>
      <c r="AL725" s="262"/>
      <c r="AM725" s="262"/>
      <c r="AN725" s="262"/>
      <c r="AO725" s="262"/>
      <c r="AP725" s="262"/>
      <c r="AQ725" s="262"/>
      <c r="AR725" s="262"/>
      <c r="AS725" s="262"/>
      <c r="AT725" s="262"/>
      <c r="AU725" s="262"/>
      <c r="AV725" s="262"/>
      <c r="AW725" s="262"/>
      <c r="AX725" s="262"/>
      <c r="AY725" s="262"/>
      <c r="AZ725" s="262"/>
      <c r="BA725" s="262"/>
      <c r="BB725" s="262"/>
      <c r="BC725" s="262"/>
    </row>
    <row r="726" spans="2:55" ht="16.5">
      <c r="B726" s="254">
        <v>46174</v>
      </c>
      <c r="C726" s="260" t="s">
        <v>394</v>
      </c>
      <c r="D726" s="260" t="s">
        <v>1329</v>
      </c>
      <c r="E726" s="261" t="s">
        <v>2773</v>
      </c>
      <c r="F726" s="262"/>
      <c r="G726" s="262"/>
      <c r="H726" s="262"/>
      <c r="I726" s="262"/>
      <c r="J726" s="262"/>
      <c r="K726" s="262"/>
      <c r="L726" s="262"/>
      <c r="M726" s="262"/>
      <c r="N726" s="262"/>
      <c r="O726" s="262"/>
      <c r="P726" s="262"/>
      <c r="Q726" s="262"/>
      <c r="R726" s="262"/>
      <c r="S726" s="262"/>
      <c r="T726" s="262"/>
      <c r="U726" s="262"/>
      <c r="V726" s="262"/>
      <c r="W726" s="262"/>
      <c r="X726" s="262"/>
      <c r="Y726" s="262"/>
      <c r="Z726" s="263"/>
      <c r="AA726" s="263"/>
      <c r="AB726" s="262"/>
      <c r="AC726" s="262"/>
      <c r="AD726" s="262"/>
      <c r="AE726" s="262"/>
      <c r="AF726" s="262"/>
      <c r="AG726" s="262"/>
      <c r="AH726" s="262"/>
      <c r="AI726" s="262"/>
      <c r="AJ726" s="262"/>
      <c r="AK726" s="262"/>
      <c r="AL726" s="262"/>
      <c r="AM726" s="262"/>
      <c r="AN726" s="262"/>
      <c r="AO726" s="262"/>
      <c r="AP726" s="262"/>
      <c r="AQ726" s="262"/>
      <c r="AR726" s="262"/>
      <c r="AS726" s="262"/>
      <c r="AT726" s="262"/>
      <c r="AU726" s="262"/>
      <c r="AV726" s="262"/>
      <c r="AW726" s="262"/>
      <c r="AX726" s="262"/>
      <c r="AY726" s="262"/>
      <c r="AZ726" s="262"/>
      <c r="BA726" s="262"/>
      <c r="BB726" s="262"/>
      <c r="BC726" s="262"/>
    </row>
    <row r="727" spans="2:55" ht="16.5">
      <c r="B727" s="254">
        <v>46174</v>
      </c>
      <c r="C727" s="260" t="s">
        <v>394</v>
      </c>
      <c r="D727" s="260" t="s">
        <v>1330</v>
      </c>
      <c r="E727" s="261" t="s">
        <v>2774</v>
      </c>
      <c r="F727" s="262"/>
      <c r="G727" s="262"/>
      <c r="H727" s="262"/>
      <c r="I727" s="262"/>
      <c r="J727" s="262"/>
      <c r="K727" s="262"/>
      <c r="L727" s="262"/>
      <c r="M727" s="262"/>
      <c r="N727" s="262"/>
      <c r="O727" s="262"/>
      <c r="P727" s="262"/>
      <c r="Q727" s="262"/>
      <c r="R727" s="262"/>
      <c r="S727" s="262"/>
      <c r="T727" s="262"/>
      <c r="U727" s="262"/>
      <c r="V727" s="262"/>
      <c r="W727" s="262"/>
      <c r="X727" s="262"/>
      <c r="Y727" s="262"/>
      <c r="Z727" s="263"/>
      <c r="AA727" s="263"/>
      <c r="AB727" s="262"/>
      <c r="AC727" s="262"/>
      <c r="AD727" s="262"/>
      <c r="AE727" s="262"/>
      <c r="AF727" s="262"/>
      <c r="AG727" s="262"/>
      <c r="AH727" s="262"/>
      <c r="AI727" s="262"/>
      <c r="AJ727" s="262"/>
      <c r="AK727" s="262"/>
      <c r="AL727" s="262"/>
      <c r="AM727" s="262"/>
      <c r="AN727" s="262"/>
      <c r="AO727" s="262"/>
      <c r="AP727" s="262"/>
      <c r="AQ727" s="262"/>
      <c r="AR727" s="262"/>
      <c r="AS727" s="262"/>
      <c r="AT727" s="262"/>
      <c r="AU727" s="262"/>
      <c r="AV727" s="262"/>
      <c r="AW727" s="262"/>
      <c r="AX727" s="262"/>
      <c r="AY727" s="262"/>
      <c r="AZ727" s="262"/>
      <c r="BA727" s="262"/>
      <c r="BB727" s="262"/>
      <c r="BC727" s="262"/>
    </row>
    <row r="728" spans="2:55" ht="16.5">
      <c r="B728" s="254">
        <v>46174</v>
      </c>
      <c r="C728" s="260" t="s">
        <v>394</v>
      </c>
      <c r="D728" s="260" t="s">
        <v>1331</v>
      </c>
      <c r="E728" s="261" t="s">
        <v>2775</v>
      </c>
      <c r="F728" s="262"/>
      <c r="G728" s="262"/>
      <c r="H728" s="262"/>
      <c r="I728" s="262"/>
      <c r="J728" s="262"/>
      <c r="K728" s="262"/>
      <c r="L728" s="262"/>
      <c r="M728" s="262"/>
      <c r="N728" s="262"/>
      <c r="O728" s="262"/>
      <c r="P728" s="262"/>
      <c r="Q728" s="262"/>
      <c r="R728" s="262"/>
      <c r="S728" s="262"/>
      <c r="T728" s="262"/>
      <c r="U728" s="262"/>
      <c r="V728" s="262"/>
      <c r="W728" s="262"/>
      <c r="X728" s="262"/>
      <c r="Y728" s="262"/>
      <c r="Z728" s="263"/>
      <c r="AA728" s="263"/>
      <c r="AB728" s="262"/>
      <c r="AC728" s="262"/>
      <c r="AD728" s="262"/>
      <c r="AE728" s="262"/>
      <c r="AF728" s="262"/>
      <c r="AG728" s="262"/>
      <c r="AH728" s="262"/>
      <c r="AI728" s="262"/>
      <c r="AJ728" s="262"/>
      <c r="AK728" s="262"/>
      <c r="AL728" s="262"/>
      <c r="AM728" s="262"/>
      <c r="AN728" s="262"/>
      <c r="AO728" s="262"/>
      <c r="AP728" s="262"/>
      <c r="AQ728" s="262"/>
      <c r="AR728" s="262"/>
      <c r="AS728" s="262"/>
      <c r="AT728" s="262"/>
      <c r="AU728" s="262"/>
      <c r="AV728" s="262"/>
      <c r="AW728" s="262"/>
      <c r="AX728" s="262"/>
      <c r="AY728" s="262"/>
      <c r="AZ728" s="262"/>
      <c r="BA728" s="262"/>
      <c r="BB728" s="262"/>
      <c r="BC728" s="262"/>
    </row>
    <row r="729" spans="2:55" ht="16.5">
      <c r="B729" s="254">
        <v>46174</v>
      </c>
      <c r="C729" s="260" t="s">
        <v>394</v>
      </c>
      <c r="D729" s="260" t="s">
        <v>1332</v>
      </c>
      <c r="E729" s="261" t="s">
        <v>2776</v>
      </c>
      <c r="F729" s="262"/>
      <c r="G729" s="262"/>
      <c r="H729" s="262"/>
      <c r="I729" s="262"/>
      <c r="J729" s="262"/>
      <c r="K729" s="262"/>
      <c r="L729" s="262"/>
      <c r="M729" s="262"/>
      <c r="N729" s="262"/>
      <c r="O729" s="262"/>
      <c r="P729" s="262"/>
      <c r="Q729" s="262"/>
      <c r="R729" s="262"/>
      <c r="S729" s="262"/>
      <c r="T729" s="262"/>
      <c r="U729" s="262"/>
      <c r="V729" s="262"/>
      <c r="W729" s="262"/>
      <c r="X729" s="262"/>
      <c r="Y729" s="262"/>
      <c r="Z729" s="263"/>
      <c r="AA729" s="263"/>
      <c r="AB729" s="262"/>
      <c r="AC729" s="262"/>
      <c r="AD729" s="262"/>
      <c r="AE729" s="262"/>
      <c r="AF729" s="262"/>
      <c r="AG729" s="262"/>
      <c r="AH729" s="262"/>
      <c r="AI729" s="262"/>
      <c r="AJ729" s="262"/>
      <c r="AK729" s="262"/>
      <c r="AL729" s="262"/>
      <c r="AM729" s="262"/>
      <c r="AN729" s="262"/>
      <c r="AO729" s="262"/>
      <c r="AP729" s="262"/>
      <c r="AQ729" s="262"/>
      <c r="AR729" s="262"/>
      <c r="AS729" s="262"/>
      <c r="AT729" s="262"/>
      <c r="AU729" s="262"/>
      <c r="AV729" s="262"/>
      <c r="AW729" s="262"/>
      <c r="AX729" s="262"/>
      <c r="AY729" s="262"/>
      <c r="AZ729" s="262"/>
      <c r="BA729" s="262"/>
      <c r="BB729" s="262"/>
      <c r="BC729" s="262"/>
    </row>
    <row r="730" spans="2:55" ht="16.5">
      <c r="B730" s="254">
        <v>46174</v>
      </c>
      <c r="C730" s="260" t="s">
        <v>394</v>
      </c>
      <c r="D730" s="260" t="s">
        <v>1333</v>
      </c>
      <c r="E730" s="261" t="s">
        <v>2777</v>
      </c>
      <c r="F730" s="262"/>
      <c r="G730" s="262"/>
      <c r="H730" s="262"/>
      <c r="I730" s="262"/>
      <c r="J730" s="262"/>
      <c r="K730" s="262"/>
      <c r="L730" s="262"/>
      <c r="M730" s="262"/>
      <c r="N730" s="262"/>
      <c r="O730" s="262"/>
      <c r="P730" s="262"/>
      <c r="Q730" s="262"/>
      <c r="R730" s="262"/>
      <c r="S730" s="262"/>
      <c r="T730" s="262"/>
      <c r="U730" s="262"/>
      <c r="V730" s="262"/>
      <c r="W730" s="262"/>
      <c r="X730" s="262"/>
      <c r="Y730" s="262"/>
      <c r="Z730" s="263"/>
      <c r="AA730" s="263"/>
      <c r="AB730" s="262"/>
      <c r="AC730" s="262"/>
      <c r="AD730" s="262"/>
      <c r="AE730" s="262"/>
      <c r="AF730" s="262"/>
      <c r="AG730" s="262"/>
      <c r="AH730" s="262"/>
      <c r="AI730" s="262"/>
      <c r="AJ730" s="262"/>
      <c r="AK730" s="262"/>
      <c r="AL730" s="262"/>
      <c r="AM730" s="262"/>
      <c r="AN730" s="262"/>
      <c r="AO730" s="262"/>
      <c r="AP730" s="262"/>
      <c r="AQ730" s="262"/>
      <c r="AR730" s="262"/>
      <c r="AS730" s="262"/>
      <c r="AT730" s="262"/>
      <c r="AU730" s="262"/>
      <c r="AV730" s="262"/>
      <c r="AW730" s="262"/>
      <c r="AX730" s="262"/>
      <c r="AY730" s="262"/>
      <c r="AZ730" s="262"/>
      <c r="BA730" s="262"/>
      <c r="BB730" s="262"/>
      <c r="BC730" s="262"/>
    </row>
    <row r="731" spans="2:55" ht="16.5">
      <c r="B731" s="254">
        <v>46174</v>
      </c>
      <c r="C731" s="260" t="s">
        <v>394</v>
      </c>
      <c r="D731" s="260" t="s">
        <v>1334</v>
      </c>
      <c r="E731" s="261" t="s">
        <v>2778</v>
      </c>
      <c r="F731" s="262"/>
      <c r="G731" s="262"/>
      <c r="H731" s="262"/>
      <c r="I731" s="262"/>
      <c r="J731" s="262"/>
      <c r="K731" s="262"/>
      <c r="L731" s="262"/>
      <c r="M731" s="262"/>
      <c r="N731" s="262"/>
      <c r="O731" s="262"/>
      <c r="P731" s="262"/>
      <c r="Q731" s="262"/>
      <c r="R731" s="262"/>
      <c r="S731" s="262"/>
      <c r="T731" s="262"/>
      <c r="U731" s="262"/>
      <c r="V731" s="262"/>
      <c r="W731" s="262"/>
      <c r="X731" s="262"/>
      <c r="Y731" s="262"/>
      <c r="Z731" s="263"/>
      <c r="AA731" s="263"/>
      <c r="AB731" s="262"/>
      <c r="AC731" s="262"/>
      <c r="AD731" s="262"/>
      <c r="AE731" s="262"/>
      <c r="AF731" s="262"/>
      <c r="AG731" s="262"/>
      <c r="AH731" s="262"/>
      <c r="AI731" s="262"/>
      <c r="AJ731" s="262"/>
      <c r="AK731" s="262"/>
      <c r="AL731" s="262"/>
      <c r="AM731" s="262"/>
      <c r="AN731" s="262"/>
      <c r="AO731" s="262"/>
      <c r="AP731" s="262"/>
      <c r="AQ731" s="262"/>
      <c r="AR731" s="262"/>
      <c r="AS731" s="262"/>
      <c r="AT731" s="262"/>
      <c r="AU731" s="262"/>
      <c r="AV731" s="262"/>
      <c r="AW731" s="262"/>
      <c r="AX731" s="262"/>
      <c r="AY731" s="262"/>
      <c r="AZ731" s="262"/>
      <c r="BA731" s="262"/>
      <c r="BB731" s="262"/>
      <c r="BC731" s="262"/>
    </row>
    <row r="732" spans="2:55" ht="16.5">
      <c r="B732" s="254">
        <v>46174</v>
      </c>
      <c r="C732" s="260" t="s">
        <v>394</v>
      </c>
      <c r="D732" s="260" t="s">
        <v>1335</v>
      </c>
      <c r="E732" s="261" t="s">
        <v>2779</v>
      </c>
      <c r="F732" s="262"/>
      <c r="G732" s="262"/>
      <c r="H732" s="262"/>
      <c r="I732" s="262"/>
      <c r="J732" s="262"/>
      <c r="K732" s="262"/>
      <c r="L732" s="262"/>
      <c r="M732" s="262"/>
      <c r="N732" s="262"/>
      <c r="O732" s="262"/>
      <c r="P732" s="262"/>
      <c r="Q732" s="262"/>
      <c r="R732" s="262"/>
      <c r="S732" s="262"/>
      <c r="T732" s="262"/>
      <c r="U732" s="262"/>
      <c r="V732" s="262"/>
      <c r="W732" s="262"/>
      <c r="X732" s="262"/>
      <c r="Y732" s="262"/>
      <c r="Z732" s="263"/>
      <c r="AA732" s="263"/>
      <c r="AB732" s="262"/>
      <c r="AC732" s="262"/>
      <c r="AD732" s="262"/>
      <c r="AE732" s="262"/>
      <c r="AF732" s="262"/>
      <c r="AG732" s="262"/>
      <c r="AH732" s="262"/>
      <c r="AI732" s="262"/>
      <c r="AJ732" s="262"/>
      <c r="AK732" s="262"/>
      <c r="AL732" s="262"/>
      <c r="AM732" s="262"/>
      <c r="AN732" s="262"/>
      <c r="AO732" s="262"/>
      <c r="AP732" s="262"/>
      <c r="AQ732" s="262"/>
      <c r="AR732" s="262"/>
      <c r="AS732" s="262"/>
      <c r="AT732" s="262"/>
      <c r="AU732" s="262"/>
      <c r="AV732" s="262"/>
      <c r="AW732" s="262"/>
      <c r="AX732" s="262"/>
      <c r="AY732" s="262"/>
      <c r="AZ732" s="262"/>
      <c r="BA732" s="262"/>
      <c r="BB732" s="262"/>
      <c r="BC732" s="262"/>
    </row>
    <row r="733" spans="2:55" ht="16.5">
      <c r="B733" s="254">
        <v>46174</v>
      </c>
      <c r="C733" s="260" t="s">
        <v>394</v>
      </c>
      <c r="D733" s="260" t="s">
        <v>1336</v>
      </c>
      <c r="E733" s="261" t="s">
        <v>2780</v>
      </c>
      <c r="F733" s="262"/>
      <c r="G733" s="262"/>
      <c r="H733" s="262"/>
      <c r="I733" s="262"/>
      <c r="J733" s="262"/>
      <c r="K733" s="262"/>
      <c r="L733" s="262"/>
      <c r="M733" s="262"/>
      <c r="N733" s="262"/>
      <c r="O733" s="262"/>
      <c r="P733" s="262"/>
      <c r="Q733" s="262"/>
      <c r="R733" s="262"/>
      <c r="S733" s="262"/>
      <c r="T733" s="262"/>
      <c r="U733" s="262"/>
      <c r="V733" s="262"/>
      <c r="W733" s="262"/>
      <c r="X733" s="262"/>
      <c r="Y733" s="262"/>
      <c r="Z733" s="263"/>
      <c r="AA733" s="263"/>
      <c r="AB733" s="262"/>
      <c r="AC733" s="262"/>
      <c r="AD733" s="262"/>
      <c r="AE733" s="262"/>
      <c r="AF733" s="262"/>
      <c r="AG733" s="262"/>
      <c r="AH733" s="262"/>
      <c r="AI733" s="262"/>
      <c r="AJ733" s="262"/>
      <c r="AK733" s="262"/>
      <c r="AL733" s="262"/>
      <c r="AM733" s="262"/>
      <c r="AN733" s="262"/>
      <c r="AO733" s="262"/>
      <c r="AP733" s="262"/>
      <c r="AQ733" s="262"/>
      <c r="AR733" s="262"/>
      <c r="AS733" s="262"/>
      <c r="AT733" s="262"/>
      <c r="AU733" s="262"/>
      <c r="AV733" s="262"/>
      <c r="AW733" s="262"/>
      <c r="AX733" s="262"/>
      <c r="AY733" s="262"/>
      <c r="AZ733" s="262"/>
      <c r="BA733" s="262"/>
      <c r="BB733" s="262"/>
      <c r="BC733" s="262"/>
    </row>
    <row r="734" spans="2:55" ht="16.5">
      <c r="B734" s="254">
        <v>46174</v>
      </c>
      <c r="C734" s="260" t="s">
        <v>394</v>
      </c>
      <c r="D734" s="260" t="s">
        <v>1337</v>
      </c>
      <c r="E734" s="261" t="s">
        <v>2781</v>
      </c>
      <c r="F734" s="262"/>
      <c r="G734" s="262"/>
      <c r="H734" s="262"/>
      <c r="I734" s="262"/>
      <c r="J734" s="262"/>
      <c r="K734" s="262"/>
      <c r="L734" s="262"/>
      <c r="M734" s="262"/>
      <c r="N734" s="262"/>
      <c r="O734" s="262"/>
      <c r="P734" s="262"/>
      <c r="Q734" s="262"/>
      <c r="R734" s="262"/>
      <c r="S734" s="262"/>
      <c r="T734" s="262"/>
      <c r="U734" s="262"/>
      <c r="V734" s="262"/>
      <c r="W734" s="262"/>
      <c r="X734" s="262"/>
      <c r="Y734" s="262"/>
      <c r="Z734" s="263"/>
      <c r="AA734" s="263"/>
      <c r="AB734" s="262"/>
      <c r="AC734" s="262"/>
      <c r="AD734" s="262"/>
      <c r="AE734" s="262"/>
      <c r="AF734" s="262"/>
      <c r="AG734" s="262"/>
      <c r="AH734" s="262"/>
      <c r="AI734" s="262"/>
      <c r="AJ734" s="262"/>
      <c r="AK734" s="262"/>
      <c r="AL734" s="262"/>
      <c r="AM734" s="262"/>
      <c r="AN734" s="262"/>
      <c r="AO734" s="262"/>
      <c r="AP734" s="262"/>
      <c r="AQ734" s="262"/>
      <c r="AR734" s="262"/>
      <c r="AS734" s="262"/>
      <c r="AT734" s="262"/>
      <c r="AU734" s="262"/>
      <c r="AV734" s="262"/>
      <c r="AW734" s="262"/>
      <c r="AX734" s="262"/>
      <c r="AY734" s="262"/>
      <c r="AZ734" s="262"/>
      <c r="BA734" s="262"/>
      <c r="BB734" s="262"/>
      <c r="BC734" s="262"/>
    </row>
    <row r="735" spans="2:55" ht="16.5">
      <c r="B735" s="254">
        <v>46174</v>
      </c>
      <c r="C735" s="260" t="s">
        <v>394</v>
      </c>
      <c r="D735" s="260" t="s">
        <v>1338</v>
      </c>
      <c r="E735" s="261" t="s">
        <v>2782</v>
      </c>
      <c r="F735" s="262"/>
      <c r="G735" s="262"/>
      <c r="H735" s="262"/>
      <c r="I735" s="262"/>
      <c r="J735" s="262"/>
      <c r="K735" s="262"/>
      <c r="L735" s="262"/>
      <c r="M735" s="262"/>
      <c r="N735" s="262"/>
      <c r="O735" s="262"/>
      <c r="P735" s="262"/>
      <c r="Q735" s="262"/>
      <c r="R735" s="262"/>
      <c r="S735" s="262"/>
      <c r="T735" s="262"/>
      <c r="U735" s="262"/>
      <c r="V735" s="262"/>
      <c r="W735" s="262"/>
      <c r="X735" s="262"/>
      <c r="Y735" s="262"/>
      <c r="Z735" s="263"/>
      <c r="AA735" s="263"/>
      <c r="AB735" s="262"/>
      <c r="AC735" s="262"/>
      <c r="AD735" s="262"/>
      <c r="AE735" s="262"/>
      <c r="AF735" s="262"/>
      <c r="AG735" s="262"/>
      <c r="AH735" s="262"/>
      <c r="AI735" s="262"/>
      <c r="AJ735" s="262"/>
      <c r="AK735" s="262"/>
      <c r="AL735" s="262"/>
      <c r="AM735" s="262"/>
      <c r="AN735" s="262"/>
      <c r="AO735" s="262"/>
      <c r="AP735" s="262"/>
      <c r="AQ735" s="262"/>
      <c r="AR735" s="262"/>
      <c r="AS735" s="262"/>
      <c r="AT735" s="262"/>
      <c r="AU735" s="262"/>
      <c r="AV735" s="262"/>
      <c r="AW735" s="262"/>
      <c r="AX735" s="262"/>
      <c r="AY735" s="262"/>
      <c r="AZ735" s="262"/>
      <c r="BA735" s="262"/>
      <c r="BB735" s="262"/>
      <c r="BC735" s="262"/>
    </row>
    <row r="736" spans="2:55" ht="16.5">
      <c r="B736" s="254">
        <v>46174</v>
      </c>
      <c r="C736" s="260" t="s">
        <v>394</v>
      </c>
      <c r="D736" s="260" t="s">
        <v>1339</v>
      </c>
      <c r="E736" s="261" t="s">
        <v>2783</v>
      </c>
      <c r="F736" s="262"/>
      <c r="G736" s="262"/>
      <c r="H736" s="262"/>
      <c r="I736" s="262"/>
      <c r="J736" s="262"/>
      <c r="K736" s="262"/>
      <c r="L736" s="262"/>
      <c r="M736" s="262"/>
      <c r="N736" s="262"/>
      <c r="O736" s="262"/>
      <c r="P736" s="262"/>
      <c r="Q736" s="262"/>
      <c r="R736" s="262"/>
      <c r="S736" s="262"/>
      <c r="T736" s="262"/>
      <c r="U736" s="262"/>
      <c r="V736" s="262"/>
      <c r="W736" s="262"/>
      <c r="X736" s="262"/>
      <c r="Y736" s="262"/>
      <c r="Z736" s="263"/>
      <c r="AA736" s="263"/>
      <c r="AB736" s="262"/>
      <c r="AC736" s="262"/>
      <c r="AD736" s="262"/>
      <c r="AE736" s="262"/>
      <c r="AF736" s="262"/>
      <c r="AG736" s="262"/>
      <c r="AH736" s="262"/>
      <c r="AI736" s="262"/>
      <c r="AJ736" s="262"/>
      <c r="AK736" s="262"/>
      <c r="AL736" s="262"/>
      <c r="AM736" s="262"/>
      <c r="AN736" s="262"/>
      <c r="AO736" s="262"/>
      <c r="AP736" s="262"/>
      <c r="AQ736" s="262"/>
      <c r="AR736" s="262"/>
      <c r="AS736" s="262"/>
      <c r="AT736" s="262"/>
      <c r="AU736" s="262"/>
      <c r="AV736" s="262"/>
      <c r="AW736" s="262"/>
      <c r="AX736" s="262"/>
      <c r="AY736" s="262"/>
      <c r="AZ736" s="262"/>
      <c r="BA736" s="262"/>
      <c r="BB736" s="262"/>
      <c r="BC736" s="262"/>
    </row>
    <row r="737" spans="2:55" ht="16.5">
      <c r="B737" s="254">
        <v>46174</v>
      </c>
      <c r="C737" s="260" t="s">
        <v>394</v>
      </c>
      <c r="D737" s="260" t="s">
        <v>1340</v>
      </c>
      <c r="E737" s="261" t="s">
        <v>2784</v>
      </c>
      <c r="F737" s="262"/>
      <c r="G737" s="262"/>
      <c r="H737" s="262"/>
      <c r="I737" s="262"/>
      <c r="J737" s="262"/>
      <c r="K737" s="262"/>
      <c r="L737" s="262"/>
      <c r="M737" s="262"/>
      <c r="N737" s="262"/>
      <c r="O737" s="262"/>
      <c r="P737" s="262"/>
      <c r="Q737" s="262"/>
      <c r="R737" s="262"/>
      <c r="S737" s="262"/>
      <c r="T737" s="262"/>
      <c r="U737" s="262"/>
      <c r="V737" s="262"/>
      <c r="W737" s="262"/>
      <c r="X737" s="262"/>
      <c r="Y737" s="262"/>
      <c r="Z737" s="263"/>
      <c r="AA737" s="263"/>
      <c r="AB737" s="262"/>
      <c r="AC737" s="262"/>
      <c r="AD737" s="262"/>
      <c r="AE737" s="262"/>
      <c r="AF737" s="262"/>
      <c r="AG737" s="262"/>
      <c r="AH737" s="262"/>
      <c r="AI737" s="262"/>
      <c r="AJ737" s="262"/>
      <c r="AK737" s="262"/>
      <c r="AL737" s="262"/>
      <c r="AM737" s="262"/>
      <c r="AN737" s="262"/>
      <c r="AO737" s="262"/>
      <c r="AP737" s="262"/>
      <c r="AQ737" s="262"/>
      <c r="AR737" s="262"/>
      <c r="AS737" s="262"/>
      <c r="AT737" s="262"/>
      <c r="AU737" s="262"/>
      <c r="AV737" s="262"/>
      <c r="AW737" s="262"/>
      <c r="AX737" s="262"/>
      <c r="AY737" s="262"/>
      <c r="AZ737" s="262"/>
      <c r="BA737" s="262"/>
      <c r="BB737" s="262"/>
      <c r="BC737" s="262"/>
    </row>
    <row r="738" spans="2:55" ht="16.5">
      <c r="B738" s="254">
        <v>46174</v>
      </c>
      <c r="C738" s="260" t="s">
        <v>394</v>
      </c>
      <c r="D738" s="260" t="s">
        <v>1341</v>
      </c>
      <c r="E738" s="261" t="s">
        <v>2785</v>
      </c>
      <c r="F738" s="262"/>
      <c r="G738" s="262"/>
      <c r="H738" s="262"/>
      <c r="I738" s="262"/>
      <c r="J738" s="262"/>
      <c r="K738" s="262"/>
      <c r="L738" s="262"/>
      <c r="M738" s="262"/>
      <c r="N738" s="262"/>
      <c r="O738" s="262"/>
      <c r="P738" s="262"/>
      <c r="Q738" s="262"/>
      <c r="R738" s="262"/>
      <c r="S738" s="262"/>
      <c r="T738" s="262"/>
      <c r="U738" s="262"/>
      <c r="V738" s="262"/>
      <c r="W738" s="262"/>
      <c r="X738" s="262"/>
      <c r="Y738" s="262"/>
      <c r="Z738" s="263"/>
      <c r="AA738" s="263"/>
      <c r="AB738" s="262"/>
      <c r="AC738" s="262"/>
      <c r="AD738" s="262"/>
      <c r="AE738" s="262"/>
      <c r="AF738" s="262"/>
      <c r="AG738" s="262"/>
      <c r="AH738" s="262"/>
      <c r="AI738" s="262"/>
      <c r="AJ738" s="262"/>
      <c r="AK738" s="262"/>
      <c r="AL738" s="262"/>
      <c r="AM738" s="262"/>
      <c r="AN738" s="262"/>
      <c r="AO738" s="262"/>
      <c r="AP738" s="262"/>
      <c r="AQ738" s="262"/>
      <c r="AR738" s="262"/>
      <c r="AS738" s="262"/>
      <c r="AT738" s="262"/>
      <c r="AU738" s="262"/>
      <c r="AV738" s="262"/>
      <c r="AW738" s="262"/>
      <c r="AX738" s="262"/>
      <c r="AY738" s="262"/>
      <c r="AZ738" s="262"/>
      <c r="BA738" s="262"/>
      <c r="BB738" s="262"/>
      <c r="BC738" s="262"/>
    </row>
    <row r="739" spans="2:55" ht="16.5">
      <c r="B739" s="254">
        <v>46174</v>
      </c>
      <c r="C739" s="260" t="s">
        <v>394</v>
      </c>
      <c r="D739" s="260" t="s">
        <v>1342</v>
      </c>
      <c r="E739" s="261" t="s">
        <v>2786</v>
      </c>
      <c r="F739" s="262"/>
      <c r="G739" s="262"/>
      <c r="H739" s="262"/>
      <c r="I739" s="262"/>
      <c r="J739" s="262"/>
      <c r="K739" s="262"/>
      <c r="L739" s="262"/>
      <c r="M739" s="262"/>
      <c r="N739" s="262"/>
      <c r="O739" s="262"/>
      <c r="P739" s="262"/>
      <c r="Q739" s="262"/>
      <c r="R739" s="262"/>
      <c r="S739" s="262"/>
      <c r="T739" s="262"/>
      <c r="U739" s="262"/>
      <c r="V739" s="262"/>
      <c r="W739" s="262"/>
      <c r="X739" s="262"/>
      <c r="Y739" s="262"/>
      <c r="Z739" s="263"/>
      <c r="AA739" s="263"/>
      <c r="AB739" s="262"/>
      <c r="AC739" s="262"/>
      <c r="AD739" s="262"/>
      <c r="AE739" s="262"/>
      <c r="AF739" s="262"/>
      <c r="AG739" s="262"/>
      <c r="AH739" s="262"/>
      <c r="AI739" s="262"/>
      <c r="AJ739" s="262"/>
      <c r="AK739" s="262"/>
      <c r="AL739" s="262"/>
      <c r="AM739" s="262"/>
      <c r="AN739" s="262"/>
      <c r="AO739" s="262"/>
      <c r="AP739" s="262"/>
      <c r="AQ739" s="262"/>
      <c r="AR739" s="262"/>
      <c r="AS739" s="262"/>
      <c r="AT739" s="262"/>
      <c r="AU739" s="262"/>
      <c r="AV739" s="262"/>
      <c r="AW739" s="262"/>
      <c r="AX739" s="262"/>
      <c r="AY739" s="262"/>
      <c r="AZ739" s="262"/>
      <c r="BA739" s="262"/>
      <c r="BB739" s="262"/>
      <c r="BC739" s="262"/>
    </row>
    <row r="740" spans="2:55" ht="16.5">
      <c r="B740" s="254">
        <v>46174</v>
      </c>
      <c r="C740" s="260" t="s">
        <v>394</v>
      </c>
      <c r="D740" s="260" t="s">
        <v>1343</v>
      </c>
      <c r="E740" s="261" t="s">
        <v>2787</v>
      </c>
      <c r="F740" s="262"/>
      <c r="G740" s="262"/>
      <c r="H740" s="262"/>
      <c r="I740" s="262"/>
      <c r="J740" s="262"/>
      <c r="K740" s="262"/>
      <c r="L740" s="262"/>
      <c r="M740" s="262"/>
      <c r="N740" s="262"/>
      <c r="O740" s="262"/>
      <c r="P740" s="262"/>
      <c r="Q740" s="262"/>
      <c r="R740" s="262"/>
      <c r="S740" s="262"/>
      <c r="T740" s="262"/>
      <c r="U740" s="262"/>
      <c r="V740" s="262"/>
      <c r="W740" s="262"/>
      <c r="X740" s="262"/>
      <c r="Y740" s="262"/>
      <c r="Z740" s="263"/>
      <c r="AA740" s="263"/>
      <c r="AB740" s="262"/>
      <c r="AC740" s="262"/>
      <c r="AD740" s="262"/>
      <c r="AE740" s="262"/>
      <c r="AF740" s="262"/>
      <c r="AG740" s="262"/>
      <c r="AH740" s="262"/>
      <c r="AI740" s="262"/>
      <c r="AJ740" s="262"/>
      <c r="AK740" s="262"/>
      <c r="AL740" s="262"/>
      <c r="AM740" s="262"/>
      <c r="AN740" s="262"/>
      <c r="AO740" s="262"/>
      <c r="AP740" s="262"/>
      <c r="AQ740" s="262"/>
      <c r="AR740" s="262"/>
      <c r="AS740" s="262"/>
      <c r="AT740" s="262"/>
      <c r="AU740" s="262"/>
      <c r="AV740" s="262"/>
      <c r="AW740" s="262"/>
      <c r="AX740" s="262"/>
      <c r="AY740" s="262"/>
      <c r="AZ740" s="262"/>
      <c r="BA740" s="262"/>
      <c r="BB740" s="262"/>
      <c r="BC740" s="262"/>
    </row>
    <row r="741" spans="2:55" ht="16.5">
      <c r="B741" s="254">
        <v>46174</v>
      </c>
      <c r="C741" s="260" t="s">
        <v>394</v>
      </c>
      <c r="D741" s="260" t="s">
        <v>1344</v>
      </c>
      <c r="E741" s="261" t="s">
        <v>2788</v>
      </c>
      <c r="F741" s="262"/>
      <c r="G741" s="262"/>
      <c r="H741" s="262"/>
      <c r="I741" s="262"/>
      <c r="J741" s="262"/>
      <c r="K741" s="262"/>
      <c r="L741" s="262"/>
      <c r="M741" s="262"/>
      <c r="N741" s="262"/>
      <c r="O741" s="262"/>
      <c r="P741" s="262"/>
      <c r="Q741" s="262"/>
      <c r="R741" s="262"/>
      <c r="S741" s="262"/>
      <c r="T741" s="262"/>
      <c r="U741" s="262"/>
      <c r="V741" s="262"/>
      <c r="W741" s="262"/>
      <c r="X741" s="262"/>
      <c r="Y741" s="262"/>
      <c r="Z741" s="263"/>
      <c r="AA741" s="263"/>
      <c r="AB741" s="262"/>
      <c r="AC741" s="262"/>
      <c r="AD741" s="262"/>
      <c r="AE741" s="262"/>
      <c r="AF741" s="262"/>
      <c r="AG741" s="262"/>
      <c r="AH741" s="262"/>
      <c r="AI741" s="262"/>
      <c r="AJ741" s="262"/>
      <c r="AK741" s="262"/>
      <c r="AL741" s="262"/>
      <c r="AM741" s="262"/>
      <c r="AN741" s="262"/>
      <c r="AO741" s="262"/>
      <c r="AP741" s="262"/>
      <c r="AQ741" s="262"/>
      <c r="AR741" s="262"/>
      <c r="AS741" s="262"/>
      <c r="AT741" s="262"/>
      <c r="AU741" s="262"/>
      <c r="AV741" s="262"/>
      <c r="AW741" s="262"/>
      <c r="AX741" s="262"/>
      <c r="AY741" s="262"/>
      <c r="AZ741" s="262"/>
      <c r="BA741" s="262"/>
      <c r="BB741" s="262"/>
      <c r="BC741" s="262"/>
    </row>
    <row r="742" spans="2:55" ht="16.5">
      <c r="B742" s="254">
        <v>46174</v>
      </c>
      <c r="C742" s="260" t="s">
        <v>394</v>
      </c>
      <c r="D742" s="260" t="s">
        <v>1345</v>
      </c>
      <c r="E742" s="261" t="s">
        <v>2789</v>
      </c>
      <c r="F742" s="262"/>
      <c r="G742" s="262"/>
      <c r="H742" s="262"/>
      <c r="I742" s="262"/>
      <c r="J742" s="262"/>
      <c r="K742" s="262"/>
      <c r="L742" s="262"/>
      <c r="M742" s="262"/>
      <c r="N742" s="262"/>
      <c r="O742" s="262"/>
      <c r="P742" s="262"/>
      <c r="Q742" s="262"/>
      <c r="R742" s="262"/>
      <c r="S742" s="262"/>
      <c r="T742" s="262"/>
      <c r="U742" s="262"/>
      <c r="V742" s="262"/>
      <c r="W742" s="262"/>
      <c r="X742" s="262"/>
      <c r="Y742" s="262"/>
      <c r="Z742" s="263"/>
      <c r="AA742" s="263"/>
      <c r="AB742" s="262"/>
      <c r="AC742" s="262"/>
      <c r="AD742" s="262"/>
      <c r="AE742" s="262"/>
      <c r="AF742" s="262"/>
      <c r="AG742" s="262"/>
      <c r="AH742" s="262"/>
      <c r="AI742" s="262"/>
      <c r="AJ742" s="262"/>
      <c r="AK742" s="262"/>
      <c r="AL742" s="262"/>
      <c r="AM742" s="262"/>
      <c r="AN742" s="262"/>
      <c r="AO742" s="262"/>
      <c r="AP742" s="262"/>
      <c r="AQ742" s="262"/>
      <c r="AR742" s="262"/>
      <c r="AS742" s="262"/>
      <c r="AT742" s="262"/>
      <c r="AU742" s="262"/>
      <c r="AV742" s="262"/>
      <c r="AW742" s="262"/>
      <c r="AX742" s="262"/>
      <c r="AY742" s="262"/>
      <c r="AZ742" s="262"/>
      <c r="BA742" s="262"/>
      <c r="BB742" s="262"/>
      <c r="BC742" s="262"/>
    </row>
    <row r="743" spans="2:55" ht="16.5">
      <c r="B743" s="254">
        <v>46174</v>
      </c>
      <c r="C743" s="260" t="s">
        <v>394</v>
      </c>
      <c r="D743" s="260" t="s">
        <v>1346</v>
      </c>
      <c r="E743" s="261" t="s">
        <v>2790</v>
      </c>
      <c r="F743" s="262"/>
      <c r="G743" s="262"/>
      <c r="H743" s="262"/>
      <c r="I743" s="262"/>
      <c r="J743" s="262"/>
      <c r="K743" s="262"/>
      <c r="L743" s="262"/>
      <c r="M743" s="262"/>
      <c r="N743" s="262"/>
      <c r="O743" s="262"/>
      <c r="P743" s="262"/>
      <c r="Q743" s="262"/>
      <c r="R743" s="262"/>
      <c r="S743" s="262"/>
      <c r="T743" s="262"/>
      <c r="U743" s="262"/>
      <c r="V743" s="262"/>
      <c r="W743" s="262"/>
      <c r="X743" s="262"/>
      <c r="Y743" s="262"/>
      <c r="Z743" s="263"/>
      <c r="AA743" s="263"/>
      <c r="AB743" s="262"/>
      <c r="AC743" s="262"/>
      <c r="AD743" s="262"/>
      <c r="AE743" s="262"/>
      <c r="AF743" s="262"/>
      <c r="AG743" s="262"/>
      <c r="AH743" s="262"/>
      <c r="AI743" s="262"/>
      <c r="AJ743" s="262"/>
      <c r="AK743" s="262"/>
      <c r="AL743" s="262"/>
      <c r="AM743" s="262"/>
      <c r="AN743" s="262"/>
      <c r="AO743" s="262"/>
      <c r="AP743" s="262"/>
      <c r="AQ743" s="262"/>
      <c r="AR743" s="262"/>
      <c r="AS743" s="262"/>
      <c r="AT743" s="262"/>
      <c r="AU743" s="262"/>
      <c r="AV743" s="262"/>
      <c r="AW743" s="262"/>
      <c r="AX743" s="262"/>
      <c r="AY743" s="262"/>
      <c r="AZ743" s="262"/>
      <c r="BA743" s="262"/>
      <c r="BB743" s="262"/>
      <c r="BC743" s="262"/>
    </row>
    <row r="744" spans="2:55" ht="16.5">
      <c r="B744" s="254">
        <v>46174</v>
      </c>
      <c r="C744" s="260" t="s">
        <v>394</v>
      </c>
      <c r="D744" s="260" t="s">
        <v>1347</v>
      </c>
      <c r="E744" s="261" t="s">
        <v>2791</v>
      </c>
      <c r="F744" s="262"/>
      <c r="G744" s="262"/>
      <c r="H744" s="262"/>
      <c r="I744" s="262"/>
      <c r="J744" s="262"/>
      <c r="K744" s="262"/>
      <c r="L744" s="262"/>
      <c r="M744" s="262"/>
      <c r="N744" s="262"/>
      <c r="O744" s="262"/>
      <c r="P744" s="262"/>
      <c r="Q744" s="262"/>
      <c r="R744" s="262"/>
      <c r="S744" s="262"/>
      <c r="T744" s="262"/>
      <c r="U744" s="262"/>
      <c r="V744" s="262"/>
      <c r="W744" s="262"/>
      <c r="X744" s="262"/>
      <c r="Y744" s="262"/>
      <c r="Z744" s="263"/>
      <c r="AA744" s="263"/>
      <c r="AB744" s="262"/>
      <c r="AC744" s="262"/>
      <c r="AD744" s="262"/>
      <c r="AE744" s="262"/>
      <c r="AF744" s="262"/>
      <c r="AG744" s="262"/>
      <c r="AH744" s="262"/>
      <c r="AI744" s="262"/>
      <c r="AJ744" s="262"/>
      <c r="AK744" s="262"/>
      <c r="AL744" s="262"/>
      <c r="AM744" s="262"/>
      <c r="AN744" s="262"/>
      <c r="AO744" s="262"/>
      <c r="AP744" s="262"/>
      <c r="AQ744" s="262"/>
      <c r="AR744" s="262"/>
      <c r="AS744" s="262"/>
      <c r="AT744" s="262"/>
      <c r="AU744" s="262"/>
      <c r="AV744" s="262"/>
      <c r="AW744" s="262"/>
      <c r="AX744" s="262"/>
      <c r="AY744" s="262"/>
      <c r="AZ744" s="262"/>
      <c r="BA744" s="262"/>
      <c r="BB744" s="262"/>
      <c r="BC744" s="262"/>
    </row>
    <row r="745" spans="2:55" ht="16.5">
      <c r="B745" s="254">
        <v>46174</v>
      </c>
      <c r="C745" s="260" t="s">
        <v>394</v>
      </c>
      <c r="D745" s="260" t="s">
        <v>1348</v>
      </c>
      <c r="E745" s="261" t="s">
        <v>2792</v>
      </c>
      <c r="F745" s="262"/>
      <c r="G745" s="262"/>
      <c r="H745" s="262"/>
      <c r="I745" s="262"/>
      <c r="J745" s="262"/>
      <c r="K745" s="262"/>
      <c r="L745" s="262"/>
      <c r="M745" s="262"/>
      <c r="N745" s="262"/>
      <c r="O745" s="262"/>
      <c r="P745" s="262"/>
      <c r="Q745" s="262"/>
      <c r="R745" s="262"/>
      <c r="S745" s="262"/>
      <c r="T745" s="262"/>
      <c r="U745" s="262"/>
      <c r="V745" s="262"/>
      <c r="W745" s="262"/>
      <c r="X745" s="262"/>
      <c r="Y745" s="262"/>
      <c r="Z745" s="263"/>
      <c r="AA745" s="263"/>
      <c r="AB745" s="262"/>
      <c r="AC745" s="262"/>
      <c r="AD745" s="262"/>
      <c r="AE745" s="262"/>
      <c r="AF745" s="262"/>
      <c r="AG745" s="262"/>
      <c r="AH745" s="262"/>
      <c r="AI745" s="262"/>
      <c r="AJ745" s="262"/>
      <c r="AK745" s="262"/>
      <c r="AL745" s="262"/>
      <c r="AM745" s="262"/>
      <c r="AN745" s="262"/>
      <c r="AO745" s="262"/>
      <c r="AP745" s="262"/>
      <c r="AQ745" s="262"/>
      <c r="AR745" s="262"/>
      <c r="AS745" s="262"/>
      <c r="AT745" s="262"/>
      <c r="AU745" s="262"/>
      <c r="AV745" s="262"/>
      <c r="AW745" s="262"/>
      <c r="AX745" s="262"/>
      <c r="AY745" s="262"/>
      <c r="AZ745" s="262"/>
      <c r="BA745" s="262"/>
      <c r="BB745" s="262"/>
      <c r="BC745" s="262"/>
    </row>
    <row r="746" spans="2:55" ht="16.5">
      <c r="B746" s="254">
        <v>46174</v>
      </c>
      <c r="C746" s="260" t="s">
        <v>394</v>
      </c>
      <c r="D746" s="260" t="s">
        <v>1349</v>
      </c>
      <c r="E746" s="261" t="s">
        <v>2793</v>
      </c>
      <c r="F746" s="262"/>
      <c r="G746" s="262"/>
      <c r="H746" s="262"/>
      <c r="I746" s="262"/>
      <c r="J746" s="262"/>
      <c r="K746" s="262"/>
      <c r="L746" s="262"/>
      <c r="M746" s="262"/>
      <c r="N746" s="262"/>
      <c r="O746" s="262"/>
      <c r="P746" s="262"/>
      <c r="Q746" s="262"/>
      <c r="R746" s="262"/>
      <c r="S746" s="262"/>
      <c r="T746" s="262"/>
      <c r="U746" s="262"/>
      <c r="V746" s="262"/>
      <c r="W746" s="262"/>
      <c r="X746" s="262"/>
      <c r="Y746" s="262"/>
      <c r="Z746" s="263"/>
      <c r="AA746" s="263"/>
      <c r="AB746" s="262"/>
      <c r="AC746" s="262"/>
      <c r="AD746" s="262"/>
      <c r="AE746" s="262"/>
      <c r="AF746" s="262"/>
      <c r="AG746" s="262"/>
      <c r="AH746" s="262"/>
      <c r="AI746" s="262"/>
      <c r="AJ746" s="262"/>
      <c r="AK746" s="262"/>
      <c r="AL746" s="262"/>
      <c r="AM746" s="262"/>
      <c r="AN746" s="262"/>
      <c r="AO746" s="262"/>
      <c r="AP746" s="262"/>
      <c r="AQ746" s="262"/>
      <c r="AR746" s="262"/>
      <c r="AS746" s="262"/>
      <c r="AT746" s="262"/>
      <c r="AU746" s="262"/>
      <c r="AV746" s="262"/>
      <c r="AW746" s="262"/>
      <c r="AX746" s="262"/>
      <c r="AY746" s="262"/>
      <c r="AZ746" s="262"/>
      <c r="BA746" s="262"/>
      <c r="BB746" s="262"/>
      <c r="BC746" s="262"/>
    </row>
    <row r="747" spans="2:55" ht="16.5">
      <c r="B747" s="254">
        <v>46174</v>
      </c>
      <c r="C747" s="260" t="s">
        <v>394</v>
      </c>
      <c r="D747" s="260" t="s">
        <v>1350</v>
      </c>
      <c r="E747" s="261" t="s">
        <v>2794</v>
      </c>
      <c r="F747" s="262"/>
      <c r="G747" s="262"/>
      <c r="H747" s="262"/>
      <c r="I747" s="262"/>
      <c r="J747" s="262"/>
      <c r="K747" s="262"/>
      <c r="L747" s="262"/>
      <c r="M747" s="262"/>
      <c r="N747" s="262"/>
      <c r="O747" s="262"/>
      <c r="P747" s="262"/>
      <c r="Q747" s="262"/>
      <c r="R747" s="262"/>
      <c r="S747" s="262"/>
      <c r="T747" s="262"/>
      <c r="U747" s="262"/>
      <c r="V747" s="262"/>
      <c r="W747" s="262"/>
      <c r="X747" s="262"/>
      <c r="Y747" s="262"/>
      <c r="Z747" s="263"/>
      <c r="AA747" s="263"/>
      <c r="AB747" s="262"/>
      <c r="AC747" s="262"/>
      <c r="AD747" s="262"/>
      <c r="AE747" s="262"/>
      <c r="AF747" s="262"/>
      <c r="AG747" s="262"/>
      <c r="AH747" s="262"/>
      <c r="AI747" s="262"/>
      <c r="AJ747" s="262"/>
      <c r="AK747" s="262"/>
      <c r="AL747" s="262"/>
      <c r="AM747" s="262"/>
      <c r="AN747" s="262"/>
      <c r="AO747" s="262"/>
      <c r="AP747" s="262"/>
      <c r="AQ747" s="262"/>
      <c r="AR747" s="262"/>
      <c r="AS747" s="262"/>
      <c r="AT747" s="262"/>
      <c r="AU747" s="262"/>
      <c r="AV747" s="262"/>
      <c r="AW747" s="262"/>
      <c r="AX747" s="262"/>
      <c r="AY747" s="262"/>
      <c r="AZ747" s="262"/>
      <c r="BA747" s="262"/>
      <c r="BB747" s="262"/>
      <c r="BC747" s="262"/>
    </row>
    <row r="748" spans="2:55" ht="16.5">
      <c r="B748" s="254">
        <v>46174</v>
      </c>
      <c r="C748" s="260" t="s">
        <v>394</v>
      </c>
      <c r="D748" s="260" t="s">
        <v>1351</v>
      </c>
      <c r="E748" s="261" t="s">
        <v>2795</v>
      </c>
      <c r="F748" s="262"/>
      <c r="G748" s="262"/>
      <c r="H748" s="262"/>
      <c r="I748" s="262"/>
      <c r="J748" s="262"/>
      <c r="K748" s="262"/>
      <c r="L748" s="262"/>
      <c r="M748" s="262"/>
      <c r="N748" s="262"/>
      <c r="O748" s="262"/>
      <c r="P748" s="262"/>
      <c r="Q748" s="262"/>
      <c r="R748" s="262"/>
      <c r="S748" s="262"/>
      <c r="T748" s="262"/>
      <c r="U748" s="262"/>
      <c r="V748" s="262"/>
      <c r="W748" s="262"/>
      <c r="X748" s="262"/>
      <c r="Y748" s="262"/>
      <c r="Z748" s="263"/>
      <c r="AA748" s="263"/>
      <c r="AB748" s="262"/>
      <c r="AC748" s="262"/>
      <c r="AD748" s="262"/>
      <c r="AE748" s="262"/>
      <c r="AF748" s="262"/>
      <c r="AG748" s="262"/>
      <c r="AH748" s="262"/>
      <c r="AI748" s="262"/>
      <c r="AJ748" s="262"/>
      <c r="AK748" s="262"/>
      <c r="AL748" s="262"/>
      <c r="AM748" s="262"/>
      <c r="AN748" s="262"/>
      <c r="AO748" s="262"/>
      <c r="AP748" s="262"/>
      <c r="AQ748" s="262"/>
      <c r="AR748" s="262"/>
      <c r="AS748" s="262"/>
      <c r="AT748" s="262"/>
      <c r="AU748" s="262"/>
      <c r="AV748" s="262"/>
      <c r="AW748" s="262"/>
      <c r="AX748" s="262"/>
      <c r="AY748" s="262"/>
      <c r="AZ748" s="262"/>
      <c r="BA748" s="262"/>
      <c r="BB748" s="262"/>
      <c r="BC748" s="262"/>
    </row>
    <row r="749" spans="2:55" ht="16.5">
      <c r="B749" s="254">
        <v>46174</v>
      </c>
      <c r="C749" s="260" t="s">
        <v>394</v>
      </c>
      <c r="D749" s="260" t="s">
        <v>1352</v>
      </c>
      <c r="E749" s="261" t="s">
        <v>2796</v>
      </c>
      <c r="F749" s="262"/>
      <c r="G749" s="262"/>
      <c r="H749" s="262"/>
      <c r="I749" s="262"/>
      <c r="J749" s="262"/>
      <c r="K749" s="262"/>
      <c r="L749" s="262"/>
      <c r="M749" s="262"/>
      <c r="N749" s="262"/>
      <c r="O749" s="262"/>
      <c r="P749" s="262"/>
      <c r="Q749" s="262"/>
      <c r="R749" s="262"/>
      <c r="S749" s="262"/>
      <c r="T749" s="262"/>
      <c r="U749" s="262"/>
      <c r="V749" s="262"/>
      <c r="W749" s="262"/>
      <c r="X749" s="262"/>
      <c r="Y749" s="262"/>
      <c r="Z749" s="263"/>
      <c r="AA749" s="263"/>
      <c r="AB749" s="262"/>
      <c r="AC749" s="262"/>
      <c r="AD749" s="262"/>
      <c r="AE749" s="262"/>
      <c r="AF749" s="262"/>
      <c r="AG749" s="262"/>
      <c r="AH749" s="262"/>
      <c r="AI749" s="262"/>
      <c r="AJ749" s="262"/>
      <c r="AK749" s="262"/>
      <c r="AL749" s="262"/>
      <c r="AM749" s="262"/>
      <c r="AN749" s="262"/>
      <c r="AO749" s="262"/>
      <c r="AP749" s="262"/>
      <c r="AQ749" s="262"/>
      <c r="AR749" s="262"/>
      <c r="AS749" s="262"/>
      <c r="AT749" s="262"/>
      <c r="AU749" s="262"/>
      <c r="AV749" s="262"/>
      <c r="AW749" s="262"/>
      <c r="AX749" s="262"/>
      <c r="AY749" s="262"/>
      <c r="AZ749" s="262"/>
      <c r="BA749" s="262"/>
      <c r="BB749" s="262"/>
      <c r="BC749" s="262"/>
    </row>
    <row r="750" spans="2:55" ht="16.5">
      <c r="B750" s="254">
        <v>46174</v>
      </c>
      <c r="C750" s="260" t="s">
        <v>394</v>
      </c>
      <c r="D750" s="260" t="s">
        <v>1353</v>
      </c>
      <c r="E750" s="261" t="s">
        <v>2797</v>
      </c>
      <c r="F750" s="262"/>
      <c r="G750" s="262"/>
      <c r="H750" s="262"/>
      <c r="I750" s="262"/>
      <c r="J750" s="262"/>
      <c r="K750" s="262"/>
      <c r="L750" s="262"/>
      <c r="M750" s="262"/>
      <c r="N750" s="262"/>
      <c r="O750" s="262"/>
      <c r="P750" s="262"/>
      <c r="Q750" s="262"/>
      <c r="R750" s="262"/>
      <c r="S750" s="262"/>
      <c r="T750" s="262"/>
      <c r="U750" s="262"/>
      <c r="V750" s="262"/>
      <c r="W750" s="262"/>
      <c r="X750" s="262"/>
      <c r="Y750" s="262"/>
      <c r="Z750" s="263"/>
      <c r="AA750" s="263"/>
      <c r="AB750" s="262"/>
      <c r="AC750" s="262"/>
      <c r="AD750" s="262"/>
      <c r="AE750" s="262"/>
      <c r="AF750" s="262"/>
      <c r="AG750" s="262"/>
      <c r="AH750" s="262"/>
      <c r="AI750" s="262"/>
      <c r="AJ750" s="262"/>
      <c r="AK750" s="262"/>
      <c r="AL750" s="262"/>
      <c r="AM750" s="262"/>
      <c r="AN750" s="262"/>
      <c r="AO750" s="262"/>
      <c r="AP750" s="262"/>
      <c r="AQ750" s="262"/>
      <c r="AR750" s="262"/>
      <c r="AS750" s="262"/>
      <c r="AT750" s="262"/>
      <c r="AU750" s="262"/>
      <c r="AV750" s="262"/>
      <c r="AW750" s="262"/>
      <c r="AX750" s="262"/>
      <c r="AY750" s="262"/>
      <c r="AZ750" s="262"/>
      <c r="BA750" s="262"/>
      <c r="BB750" s="262"/>
      <c r="BC750" s="262"/>
    </row>
    <row r="751" spans="2:55" ht="16.5">
      <c r="B751" s="254">
        <v>46174</v>
      </c>
      <c r="C751" s="260" t="s">
        <v>394</v>
      </c>
      <c r="D751" s="260" t="s">
        <v>1354</v>
      </c>
      <c r="E751" s="261" t="s">
        <v>2798</v>
      </c>
      <c r="F751" s="262"/>
      <c r="G751" s="262"/>
      <c r="H751" s="262"/>
      <c r="I751" s="262"/>
      <c r="J751" s="262"/>
      <c r="K751" s="262"/>
      <c r="L751" s="262"/>
      <c r="M751" s="262"/>
      <c r="N751" s="262"/>
      <c r="O751" s="262"/>
      <c r="P751" s="262"/>
      <c r="Q751" s="262"/>
      <c r="R751" s="262"/>
      <c r="S751" s="262"/>
      <c r="T751" s="262"/>
      <c r="U751" s="262"/>
      <c r="V751" s="262"/>
      <c r="W751" s="262"/>
      <c r="X751" s="262"/>
      <c r="Y751" s="262"/>
      <c r="Z751" s="263"/>
      <c r="AA751" s="263"/>
      <c r="AB751" s="262"/>
      <c r="AC751" s="262"/>
      <c r="AD751" s="262"/>
      <c r="AE751" s="262"/>
      <c r="AF751" s="262"/>
      <c r="AG751" s="262"/>
      <c r="AH751" s="262"/>
      <c r="AI751" s="262"/>
      <c r="AJ751" s="262"/>
      <c r="AK751" s="262"/>
      <c r="AL751" s="262"/>
      <c r="AM751" s="262"/>
      <c r="AN751" s="262"/>
      <c r="AO751" s="262"/>
      <c r="AP751" s="262"/>
      <c r="AQ751" s="262"/>
      <c r="AR751" s="262"/>
      <c r="AS751" s="262"/>
      <c r="AT751" s="262"/>
      <c r="AU751" s="262"/>
      <c r="AV751" s="262"/>
      <c r="AW751" s="262"/>
      <c r="AX751" s="262"/>
      <c r="AY751" s="262"/>
      <c r="AZ751" s="262"/>
      <c r="BA751" s="262"/>
      <c r="BB751" s="262"/>
      <c r="BC751" s="262"/>
    </row>
    <row r="752" spans="2:55" ht="16.5">
      <c r="B752" s="254">
        <v>46174</v>
      </c>
      <c r="C752" s="260" t="s">
        <v>394</v>
      </c>
      <c r="D752" s="260" t="s">
        <v>1355</v>
      </c>
      <c r="E752" s="261" t="s">
        <v>2799</v>
      </c>
      <c r="F752" s="262"/>
      <c r="G752" s="262"/>
      <c r="H752" s="262"/>
      <c r="I752" s="262"/>
      <c r="J752" s="262"/>
      <c r="K752" s="262"/>
      <c r="L752" s="262"/>
      <c r="M752" s="262"/>
      <c r="N752" s="262"/>
      <c r="O752" s="262"/>
      <c r="P752" s="262"/>
      <c r="Q752" s="262"/>
      <c r="R752" s="262"/>
      <c r="S752" s="262"/>
      <c r="T752" s="262"/>
      <c r="U752" s="262"/>
      <c r="V752" s="262"/>
      <c r="W752" s="262"/>
      <c r="X752" s="262"/>
      <c r="Y752" s="262"/>
      <c r="Z752" s="263"/>
      <c r="AA752" s="263"/>
      <c r="AB752" s="262"/>
      <c r="AC752" s="262"/>
      <c r="AD752" s="262"/>
      <c r="AE752" s="262"/>
      <c r="AF752" s="262"/>
      <c r="AG752" s="262"/>
      <c r="AH752" s="262"/>
      <c r="AI752" s="262"/>
      <c r="AJ752" s="262"/>
      <c r="AK752" s="262"/>
      <c r="AL752" s="262"/>
      <c r="AM752" s="262"/>
      <c r="AN752" s="262"/>
      <c r="AO752" s="262"/>
      <c r="AP752" s="262"/>
      <c r="AQ752" s="262"/>
      <c r="AR752" s="262"/>
      <c r="AS752" s="262"/>
      <c r="AT752" s="262"/>
      <c r="AU752" s="262"/>
      <c r="AV752" s="262"/>
      <c r="AW752" s="262"/>
      <c r="AX752" s="262"/>
      <c r="AY752" s="262"/>
      <c r="AZ752" s="262"/>
      <c r="BA752" s="262"/>
      <c r="BB752" s="262"/>
      <c r="BC752" s="262"/>
    </row>
    <row r="753" spans="2:55" ht="16.5">
      <c r="B753" s="254">
        <v>46174</v>
      </c>
      <c r="C753" s="260" t="s">
        <v>394</v>
      </c>
      <c r="D753" s="260" t="s">
        <v>1356</v>
      </c>
      <c r="E753" s="261" t="s">
        <v>2800</v>
      </c>
      <c r="F753" s="262"/>
      <c r="G753" s="262"/>
      <c r="H753" s="262"/>
      <c r="I753" s="262"/>
      <c r="J753" s="262"/>
      <c r="K753" s="262"/>
      <c r="L753" s="262"/>
      <c r="M753" s="262"/>
      <c r="N753" s="262"/>
      <c r="O753" s="262"/>
      <c r="P753" s="262"/>
      <c r="Q753" s="262"/>
      <c r="R753" s="262"/>
      <c r="S753" s="262"/>
      <c r="T753" s="262"/>
      <c r="U753" s="262"/>
      <c r="V753" s="262"/>
      <c r="W753" s="262"/>
      <c r="X753" s="262"/>
      <c r="Y753" s="262"/>
      <c r="Z753" s="263"/>
      <c r="AA753" s="263"/>
      <c r="AB753" s="262"/>
      <c r="AC753" s="262"/>
      <c r="AD753" s="262"/>
      <c r="AE753" s="262"/>
      <c r="AF753" s="262"/>
      <c r="AG753" s="262"/>
      <c r="AH753" s="262"/>
      <c r="AI753" s="262"/>
      <c r="AJ753" s="262"/>
      <c r="AK753" s="262"/>
      <c r="AL753" s="262"/>
      <c r="AM753" s="262"/>
      <c r="AN753" s="262"/>
      <c r="AO753" s="262"/>
      <c r="AP753" s="262"/>
      <c r="AQ753" s="262"/>
      <c r="AR753" s="262"/>
      <c r="AS753" s="262"/>
      <c r="AT753" s="262"/>
      <c r="AU753" s="262"/>
      <c r="AV753" s="262"/>
      <c r="AW753" s="262"/>
      <c r="AX753" s="262"/>
      <c r="AY753" s="262"/>
      <c r="AZ753" s="262"/>
      <c r="BA753" s="262"/>
      <c r="BB753" s="262"/>
      <c r="BC753" s="262"/>
    </row>
    <row r="754" spans="2:55" ht="16.5">
      <c r="B754" s="254">
        <v>46174</v>
      </c>
      <c r="C754" s="260" t="s">
        <v>394</v>
      </c>
      <c r="D754" s="260" t="s">
        <v>1357</v>
      </c>
      <c r="E754" s="261" t="s">
        <v>2801</v>
      </c>
      <c r="F754" s="262"/>
      <c r="G754" s="262"/>
      <c r="H754" s="262"/>
      <c r="I754" s="262"/>
      <c r="J754" s="262"/>
      <c r="K754" s="262"/>
      <c r="L754" s="262"/>
      <c r="M754" s="262"/>
      <c r="N754" s="262"/>
      <c r="O754" s="262"/>
      <c r="P754" s="262"/>
      <c r="Q754" s="262"/>
      <c r="R754" s="262"/>
      <c r="S754" s="262"/>
      <c r="T754" s="262"/>
      <c r="U754" s="262"/>
      <c r="V754" s="262"/>
      <c r="W754" s="262"/>
      <c r="X754" s="262"/>
      <c r="Y754" s="262"/>
      <c r="Z754" s="263"/>
      <c r="AA754" s="263"/>
      <c r="AB754" s="262"/>
      <c r="AC754" s="262"/>
      <c r="AD754" s="262"/>
      <c r="AE754" s="262"/>
      <c r="AF754" s="262"/>
      <c r="AG754" s="262"/>
      <c r="AH754" s="262"/>
      <c r="AI754" s="262"/>
      <c r="AJ754" s="262"/>
      <c r="AK754" s="262"/>
      <c r="AL754" s="262"/>
      <c r="AM754" s="262"/>
      <c r="AN754" s="262"/>
      <c r="AO754" s="262"/>
      <c r="AP754" s="262"/>
      <c r="AQ754" s="262"/>
      <c r="AR754" s="262"/>
      <c r="AS754" s="262"/>
      <c r="AT754" s="262"/>
      <c r="AU754" s="262"/>
      <c r="AV754" s="262"/>
      <c r="AW754" s="262"/>
      <c r="AX754" s="262"/>
      <c r="AY754" s="262"/>
      <c r="AZ754" s="262"/>
      <c r="BA754" s="262"/>
      <c r="BB754" s="262"/>
      <c r="BC754" s="262"/>
    </row>
    <row r="755" spans="2:55" ht="16.5">
      <c r="B755" s="254">
        <v>46174</v>
      </c>
      <c r="C755" s="260" t="s">
        <v>394</v>
      </c>
      <c r="D755" s="260" t="s">
        <v>1358</v>
      </c>
      <c r="E755" s="261" t="s">
        <v>2802</v>
      </c>
      <c r="F755" s="262"/>
      <c r="G755" s="262"/>
      <c r="H755" s="262"/>
      <c r="I755" s="262"/>
      <c r="J755" s="262"/>
      <c r="K755" s="262"/>
      <c r="L755" s="262"/>
      <c r="M755" s="262"/>
      <c r="N755" s="262"/>
      <c r="O755" s="262"/>
      <c r="P755" s="262"/>
      <c r="Q755" s="262"/>
      <c r="R755" s="262"/>
      <c r="S755" s="262"/>
      <c r="T755" s="262"/>
      <c r="U755" s="262"/>
      <c r="V755" s="262"/>
      <c r="W755" s="262"/>
      <c r="X755" s="262"/>
      <c r="Y755" s="262"/>
      <c r="Z755" s="263"/>
      <c r="AA755" s="263"/>
      <c r="AB755" s="262"/>
      <c r="AC755" s="262"/>
      <c r="AD755" s="262"/>
      <c r="AE755" s="262"/>
      <c r="AF755" s="262"/>
      <c r="AG755" s="262"/>
      <c r="AH755" s="262"/>
      <c r="AI755" s="262"/>
      <c r="AJ755" s="262"/>
      <c r="AK755" s="262"/>
      <c r="AL755" s="262"/>
      <c r="AM755" s="262"/>
      <c r="AN755" s="262"/>
      <c r="AO755" s="262"/>
      <c r="AP755" s="262"/>
      <c r="AQ755" s="262"/>
      <c r="AR755" s="262"/>
      <c r="AS755" s="262"/>
      <c r="AT755" s="262"/>
      <c r="AU755" s="262"/>
      <c r="AV755" s="262"/>
      <c r="AW755" s="262"/>
      <c r="AX755" s="262"/>
      <c r="AY755" s="262"/>
      <c r="AZ755" s="262"/>
      <c r="BA755" s="262"/>
      <c r="BB755" s="262"/>
      <c r="BC755" s="262"/>
    </row>
    <row r="756" spans="2:55" ht="16.5">
      <c r="B756" s="254">
        <v>46174</v>
      </c>
      <c r="C756" s="260" t="s">
        <v>394</v>
      </c>
      <c r="D756" s="260" t="s">
        <v>1359</v>
      </c>
      <c r="E756" s="261" t="s">
        <v>2803</v>
      </c>
      <c r="F756" s="262"/>
      <c r="G756" s="262"/>
      <c r="H756" s="262"/>
      <c r="I756" s="262"/>
      <c r="J756" s="262"/>
      <c r="K756" s="262"/>
      <c r="L756" s="262"/>
      <c r="M756" s="262"/>
      <c r="N756" s="262"/>
      <c r="O756" s="262"/>
      <c r="P756" s="262"/>
      <c r="Q756" s="262"/>
      <c r="R756" s="262"/>
      <c r="S756" s="262"/>
      <c r="T756" s="262"/>
      <c r="U756" s="262"/>
      <c r="V756" s="262"/>
      <c r="W756" s="262"/>
      <c r="X756" s="262"/>
      <c r="Y756" s="262"/>
      <c r="Z756" s="263"/>
      <c r="AA756" s="263"/>
      <c r="AB756" s="262"/>
      <c r="AC756" s="262"/>
      <c r="AD756" s="262"/>
      <c r="AE756" s="262"/>
      <c r="AF756" s="262"/>
      <c r="AG756" s="262"/>
      <c r="AH756" s="262"/>
      <c r="AI756" s="262"/>
      <c r="AJ756" s="262"/>
      <c r="AK756" s="262"/>
      <c r="AL756" s="262"/>
      <c r="AM756" s="262"/>
      <c r="AN756" s="262"/>
      <c r="AO756" s="262"/>
      <c r="AP756" s="262"/>
      <c r="AQ756" s="262"/>
      <c r="AR756" s="262"/>
      <c r="AS756" s="262"/>
      <c r="AT756" s="262"/>
      <c r="AU756" s="262"/>
      <c r="AV756" s="262"/>
      <c r="AW756" s="262"/>
      <c r="AX756" s="262"/>
      <c r="AY756" s="262"/>
      <c r="AZ756" s="262"/>
      <c r="BA756" s="262"/>
      <c r="BB756" s="262"/>
      <c r="BC756" s="262"/>
    </row>
    <row r="757" spans="2:55" ht="16.5">
      <c r="B757" s="254">
        <v>46174</v>
      </c>
      <c r="C757" s="260" t="s">
        <v>394</v>
      </c>
      <c r="D757" s="260" t="s">
        <v>1360</v>
      </c>
      <c r="E757" s="261" t="s">
        <v>2804</v>
      </c>
      <c r="F757" s="262"/>
      <c r="G757" s="262"/>
      <c r="H757" s="262"/>
      <c r="I757" s="262"/>
      <c r="J757" s="262"/>
      <c r="K757" s="262"/>
      <c r="L757" s="262"/>
      <c r="M757" s="262"/>
      <c r="N757" s="262"/>
      <c r="O757" s="262"/>
      <c r="P757" s="262"/>
      <c r="Q757" s="262"/>
      <c r="R757" s="262"/>
      <c r="S757" s="262"/>
      <c r="T757" s="262"/>
      <c r="U757" s="262"/>
      <c r="V757" s="262"/>
      <c r="W757" s="262"/>
      <c r="X757" s="262"/>
      <c r="Y757" s="262"/>
      <c r="Z757" s="263"/>
      <c r="AA757" s="263"/>
      <c r="AB757" s="262"/>
      <c r="AC757" s="262"/>
      <c r="AD757" s="262"/>
      <c r="AE757" s="262"/>
      <c r="AF757" s="262"/>
      <c r="AG757" s="262"/>
      <c r="AH757" s="262"/>
      <c r="AI757" s="262"/>
      <c r="AJ757" s="262"/>
      <c r="AK757" s="262"/>
      <c r="AL757" s="262"/>
      <c r="AM757" s="262"/>
      <c r="AN757" s="262"/>
      <c r="AO757" s="262"/>
      <c r="AP757" s="262"/>
      <c r="AQ757" s="262"/>
      <c r="AR757" s="262"/>
      <c r="AS757" s="262"/>
      <c r="AT757" s="262"/>
      <c r="AU757" s="262"/>
      <c r="AV757" s="262"/>
      <c r="AW757" s="262"/>
      <c r="AX757" s="262"/>
      <c r="AY757" s="262"/>
      <c r="AZ757" s="262"/>
      <c r="BA757" s="262"/>
      <c r="BB757" s="262"/>
      <c r="BC757" s="262"/>
    </row>
    <row r="758" spans="2:55" ht="16.5">
      <c r="B758" s="254">
        <v>46174</v>
      </c>
      <c r="C758" s="260" t="s">
        <v>394</v>
      </c>
      <c r="D758" s="260" t="s">
        <v>1361</v>
      </c>
      <c r="E758" s="261" t="s">
        <v>2805</v>
      </c>
      <c r="F758" s="262"/>
      <c r="G758" s="262"/>
      <c r="H758" s="262"/>
      <c r="I758" s="262"/>
      <c r="J758" s="262"/>
      <c r="K758" s="262"/>
      <c r="L758" s="262"/>
      <c r="M758" s="262"/>
      <c r="N758" s="262"/>
      <c r="O758" s="262"/>
      <c r="P758" s="262"/>
      <c r="Q758" s="262"/>
      <c r="R758" s="262"/>
      <c r="S758" s="262"/>
      <c r="T758" s="262"/>
      <c r="U758" s="262"/>
      <c r="V758" s="262"/>
      <c r="W758" s="262"/>
      <c r="X758" s="262"/>
      <c r="Y758" s="262"/>
      <c r="Z758" s="263"/>
      <c r="AA758" s="263"/>
      <c r="AB758" s="262"/>
      <c r="AC758" s="262"/>
      <c r="AD758" s="262"/>
      <c r="AE758" s="262"/>
      <c r="AF758" s="262"/>
      <c r="AG758" s="262"/>
      <c r="AH758" s="262"/>
      <c r="AI758" s="262"/>
      <c r="AJ758" s="262"/>
      <c r="AK758" s="262"/>
      <c r="AL758" s="262"/>
      <c r="AM758" s="262"/>
      <c r="AN758" s="262"/>
      <c r="AO758" s="262"/>
      <c r="AP758" s="262"/>
      <c r="AQ758" s="262"/>
      <c r="AR758" s="262"/>
      <c r="AS758" s="262"/>
      <c r="AT758" s="262"/>
      <c r="AU758" s="262"/>
      <c r="AV758" s="262"/>
      <c r="AW758" s="262"/>
      <c r="AX758" s="262"/>
      <c r="AY758" s="262"/>
      <c r="AZ758" s="262"/>
      <c r="BA758" s="262"/>
      <c r="BB758" s="262"/>
      <c r="BC758" s="262"/>
    </row>
    <row r="759" spans="2:55" ht="16.5">
      <c r="B759" s="254">
        <v>46174</v>
      </c>
      <c r="C759" s="260" t="s">
        <v>394</v>
      </c>
      <c r="D759" s="260" t="s">
        <v>1362</v>
      </c>
      <c r="E759" s="261" t="s">
        <v>2806</v>
      </c>
      <c r="F759" s="262"/>
      <c r="G759" s="262"/>
      <c r="H759" s="262"/>
      <c r="I759" s="262"/>
      <c r="J759" s="262"/>
      <c r="K759" s="262"/>
      <c r="L759" s="262"/>
      <c r="M759" s="262"/>
      <c r="N759" s="262"/>
      <c r="O759" s="262"/>
      <c r="P759" s="262"/>
      <c r="Q759" s="262"/>
      <c r="R759" s="262"/>
      <c r="S759" s="262"/>
      <c r="T759" s="262"/>
      <c r="U759" s="262"/>
      <c r="V759" s="262"/>
      <c r="W759" s="262"/>
      <c r="X759" s="262"/>
      <c r="Y759" s="262"/>
      <c r="Z759" s="263"/>
      <c r="AA759" s="263"/>
      <c r="AB759" s="262"/>
      <c r="AC759" s="262"/>
      <c r="AD759" s="262"/>
      <c r="AE759" s="262"/>
      <c r="AF759" s="262"/>
      <c r="AG759" s="262"/>
      <c r="AH759" s="262"/>
      <c r="AI759" s="262"/>
      <c r="AJ759" s="262"/>
      <c r="AK759" s="262"/>
      <c r="AL759" s="262"/>
      <c r="AM759" s="262"/>
      <c r="AN759" s="262"/>
      <c r="AO759" s="262"/>
      <c r="AP759" s="262"/>
      <c r="AQ759" s="262"/>
      <c r="AR759" s="262"/>
      <c r="AS759" s="262"/>
      <c r="AT759" s="262"/>
      <c r="AU759" s="262"/>
      <c r="AV759" s="262"/>
      <c r="AW759" s="262"/>
      <c r="AX759" s="262"/>
      <c r="AY759" s="262"/>
      <c r="AZ759" s="262"/>
      <c r="BA759" s="262"/>
      <c r="BB759" s="262"/>
      <c r="BC759" s="262"/>
    </row>
    <row r="760" spans="2:55" ht="16.5">
      <c r="B760" s="254">
        <v>46174</v>
      </c>
      <c r="C760" s="260" t="s">
        <v>394</v>
      </c>
      <c r="D760" s="260" t="s">
        <v>1363</v>
      </c>
      <c r="E760" s="261" t="s">
        <v>2807</v>
      </c>
      <c r="F760" s="262"/>
      <c r="G760" s="262"/>
      <c r="H760" s="262"/>
      <c r="I760" s="262"/>
      <c r="J760" s="262"/>
      <c r="K760" s="262"/>
      <c r="L760" s="262"/>
      <c r="M760" s="262"/>
      <c r="N760" s="262"/>
      <c r="O760" s="262"/>
      <c r="P760" s="262"/>
      <c r="Q760" s="262"/>
      <c r="R760" s="262"/>
      <c r="S760" s="262"/>
      <c r="T760" s="262"/>
      <c r="U760" s="262"/>
      <c r="V760" s="262"/>
      <c r="W760" s="262"/>
      <c r="X760" s="262"/>
      <c r="Y760" s="262"/>
      <c r="Z760" s="263"/>
      <c r="AA760" s="263"/>
      <c r="AB760" s="262"/>
      <c r="AC760" s="262"/>
      <c r="AD760" s="262"/>
      <c r="AE760" s="262"/>
      <c r="AF760" s="262"/>
      <c r="AG760" s="262"/>
      <c r="AH760" s="262"/>
      <c r="AI760" s="262"/>
      <c r="AJ760" s="262"/>
      <c r="AK760" s="262"/>
      <c r="AL760" s="262"/>
      <c r="AM760" s="262"/>
      <c r="AN760" s="262"/>
      <c r="AO760" s="262"/>
      <c r="AP760" s="262"/>
      <c r="AQ760" s="262"/>
      <c r="AR760" s="262"/>
      <c r="AS760" s="262"/>
      <c r="AT760" s="262"/>
      <c r="AU760" s="262"/>
      <c r="AV760" s="262"/>
      <c r="AW760" s="262"/>
      <c r="AX760" s="262"/>
      <c r="AY760" s="262"/>
      <c r="AZ760" s="262"/>
      <c r="BA760" s="262"/>
      <c r="BB760" s="262"/>
      <c r="BC760" s="262"/>
    </row>
    <row r="761" spans="2:55" ht="16.5">
      <c r="B761" s="254">
        <v>46174</v>
      </c>
      <c r="C761" s="260" t="s">
        <v>394</v>
      </c>
      <c r="D761" s="260" t="s">
        <v>1364</v>
      </c>
      <c r="E761" s="261" t="s">
        <v>2808</v>
      </c>
      <c r="F761" s="262"/>
      <c r="G761" s="262"/>
      <c r="H761" s="262"/>
      <c r="I761" s="262"/>
      <c r="J761" s="262"/>
      <c r="K761" s="262"/>
      <c r="L761" s="262"/>
      <c r="M761" s="262"/>
      <c r="N761" s="262"/>
      <c r="O761" s="262"/>
      <c r="P761" s="262"/>
      <c r="Q761" s="262"/>
      <c r="R761" s="262"/>
      <c r="S761" s="262"/>
      <c r="T761" s="262"/>
      <c r="U761" s="262"/>
      <c r="V761" s="262"/>
      <c r="W761" s="262"/>
      <c r="X761" s="262"/>
      <c r="Y761" s="262"/>
      <c r="Z761" s="263"/>
      <c r="AA761" s="263"/>
      <c r="AB761" s="262"/>
      <c r="AC761" s="262"/>
      <c r="AD761" s="262"/>
      <c r="AE761" s="262"/>
      <c r="AF761" s="262"/>
      <c r="AG761" s="262"/>
      <c r="AH761" s="262"/>
      <c r="AI761" s="262"/>
      <c r="AJ761" s="262"/>
      <c r="AK761" s="262"/>
      <c r="AL761" s="262"/>
      <c r="AM761" s="262"/>
      <c r="AN761" s="262"/>
      <c r="AO761" s="262"/>
      <c r="AP761" s="262"/>
      <c r="AQ761" s="262"/>
      <c r="AR761" s="262"/>
      <c r="AS761" s="262"/>
      <c r="AT761" s="262"/>
      <c r="AU761" s="262"/>
      <c r="AV761" s="262"/>
      <c r="AW761" s="262"/>
      <c r="AX761" s="262"/>
      <c r="AY761" s="262"/>
      <c r="AZ761" s="262"/>
      <c r="BA761" s="262"/>
      <c r="BB761" s="262"/>
      <c r="BC761" s="262"/>
    </row>
    <row r="762" spans="2:55" ht="16.5">
      <c r="B762" s="254">
        <v>46174</v>
      </c>
      <c r="C762" s="260" t="s">
        <v>394</v>
      </c>
      <c r="D762" s="260" t="s">
        <v>1365</v>
      </c>
      <c r="E762" s="261" t="s">
        <v>2809</v>
      </c>
      <c r="F762" s="262"/>
      <c r="G762" s="262"/>
      <c r="H762" s="262"/>
      <c r="I762" s="262"/>
      <c r="J762" s="262"/>
      <c r="K762" s="262"/>
      <c r="L762" s="262"/>
      <c r="M762" s="262"/>
      <c r="N762" s="262"/>
      <c r="O762" s="262"/>
      <c r="P762" s="262"/>
      <c r="Q762" s="262"/>
      <c r="R762" s="262"/>
      <c r="S762" s="262"/>
      <c r="T762" s="262"/>
      <c r="U762" s="262"/>
      <c r="V762" s="262"/>
      <c r="W762" s="262"/>
      <c r="X762" s="262"/>
      <c r="Y762" s="262"/>
      <c r="Z762" s="263"/>
      <c r="AA762" s="263"/>
      <c r="AB762" s="262"/>
      <c r="AC762" s="262"/>
      <c r="AD762" s="262"/>
      <c r="AE762" s="262"/>
      <c r="AF762" s="262"/>
      <c r="AG762" s="262"/>
      <c r="AH762" s="262"/>
      <c r="AI762" s="262"/>
      <c r="AJ762" s="262"/>
      <c r="AK762" s="262"/>
      <c r="AL762" s="262"/>
      <c r="AM762" s="262"/>
      <c r="AN762" s="262"/>
      <c r="AO762" s="262"/>
      <c r="AP762" s="262"/>
      <c r="AQ762" s="262"/>
      <c r="AR762" s="262"/>
      <c r="AS762" s="262"/>
      <c r="AT762" s="262"/>
      <c r="AU762" s="262"/>
      <c r="AV762" s="262"/>
      <c r="AW762" s="262"/>
      <c r="AX762" s="262"/>
      <c r="AY762" s="262"/>
      <c r="AZ762" s="262"/>
      <c r="BA762" s="262"/>
      <c r="BB762" s="262"/>
      <c r="BC762" s="262"/>
    </row>
    <row r="763" spans="2:55" ht="16.5">
      <c r="B763" s="254">
        <v>46174</v>
      </c>
      <c r="C763" s="260" t="s">
        <v>394</v>
      </c>
      <c r="D763" s="260" t="s">
        <v>1366</v>
      </c>
      <c r="E763" s="261" t="s">
        <v>2810</v>
      </c>
      <c r="F763" s="262"/>
      <c r="G763" s="262"/>
      <c r="H763" s="262"/>
      <c r="I763" s="262"/>
      <c r="J763" s="262"/>
      <c r="K763" s="262"/>
      <c r="L763" s="262"/>
      <c r="M763" s="262"/>
      <c r="N763" s="262"/>
      <c r="O763" s="262"/>
      <c r="P763" s="262"/>
      <c r="Q763" s="262"/>
      <c r="R763" s="262"/>
      <c r="S763" s="262"/>
      <c r="T763" s="262"/>
      <c r="U763" s="262"/>
      <c r="V763" s="262"/>
      <c r="W763" s="262"/>
      <c r="X763" s="262"/>
      <c r="Y763" s="262"/>
      <c r="Z763" s="263"/>
      <c r="AA763" s="263"/>
      <c r="AB763" s="262"/>
      <c r="AC763" s="262"/>
      <c r="AD763" s="262"/>
      <c r="AE763" s="262"/>
      <c r="AF763" s="262"/>
      <c r="AG763" s="262"/>
      <c r="AH763" s="262"/>
      <c r="AI763" s="262"/>
      <c r="AJ763" s="262"/>
      <c r="AK763" s="262"/>
      <c r="AL763" s="262"/>
      <c r="AM763" s="262"/>
      <c r="AN763" s="262"/>
      <c r="AO763" s="262"/>
      <c r="AP763" s="262"/>
      <c r="AQ763" s="262"/>
      <c r="AR763" s="262"/>
      <c r="AS763" s="262"/>
      <c r="AT763" s="262"/>
      <c r="AU763" s="262"/>
      <c r="AV763" s="262"/>
      <c r="AW763" s="262"/>
      <c r="AX763" s="262"/>
      <c r="AY763" s="262"/>
      <c r="AZ763" s="262"/>
      <c r="BA763" s="262"/>
      <c r="BB763" s="262"/>
      <c r="BC763" s="262"/>
    </row>
    <row r="764" spans="2:55" ht="16.5">
      <c r="B764" s="254">
        <v>46174</v>
      </c>
      <c r="C764" s="260" t="s">
        <v>394</v>
      </c>
      <c r="D764" s="260" t="s">
        <v>1367</v>
      </c>
      <c r="E764" s="261" t="s">
        <v>2811</v>
      </c>
      <c r="F764" s="262"/>
      <c r="G764" s="262"/>
      <c r="H764" s="262"/>
      <c r="I764" s="262"/>
      <c r="J764" s="262"/>
      <c r="K764" s="262"/>
      <c r="L764" s="262"/>
      <c r="M764" s="262"/>
      <c r="N764" s="262"/>
      <c r="O764" s="262"/>
      <c r="P764" s="262"/>
      <c r="Q764" s="262"/>
      <c r="R764" s="262"/>
      <c r="S764" s="262"/>
      <c r="T764" s="262"/>
      <c r="U764" s="262"/>
      <c r="V764" s="262"/>
      <c r="W764" s="262"/>
      <c r="X764" s="262"/>
      <c r="Y764" s="262"/>
      <c r="Z764" s="263"/>
      <c r="AA764" s="263"/>
      <c r="AB764" s="262"/>
      <c r="AC764" s="262"/>
      <c r="AD764" s="262"/>
      <c r="AE764" s="262"/>
      <c r="AF764" s="262"/>
      <c r="AG764" s="262"/>
      <c r="AH764" s="262"/>
      <c r="AI764" s="262"/>
      <c r="AJ764" s="262"/>
      <c r="AK764" s="262"/>
      <c r="AL764" s="262"/>
      <c r="AM764" s="262"/>
      <c r="AN764" s="262"/>
      <c r="AO764" s="262"/>
      <c r="AP764" s="262"/>
      <c r="AQ764" s="262"/>
      <c r="AR764" s="262"/>
      <c r="AS764" s="262"/>
      <c r="AT764" s="262"/>
      <c r="AU764" s="262"/>
      <c r="AV764" s="262"/>
      <c r="AW764" s="262"/>
      <c r="AX764" s="262"/>
      <c r="AY764" s="262"/>
      <c r="AZ764" s="262"/>
      <c r="BA764" s="262"/>
      <c r="BB764" s="262"/>
      <c r="BC764" s="262"/>
    </row>
    <row r="765" spans="2:55" ht="16.5">
      <c r="B765" s="254">
        <v>46174</v>
      </c>
      <c r="C765" s="260" t="s">
        <v>394</v>
      </c>
      <c r="D765" s="260" t="s">
        <v>1368</v>
      </c>
      <c r="E765" s="261" t="s">
        <v>2812</v>
      </c>
      <c r="F765" s="262"/>
      <c r="G765" s="262"/>
      <c r="H765" s="262"/>
      <c r="I765" s="262"/>
      <c r="J765" s="262"/>
      <c r="K765" s="262"/>
      <c r="L765" s="262"/>
      <c r="M765" s="262"/>
      <c r="N765" s="262"/>
      <c r="O765" s="262"/>
      <c r="P765" s="262"/>
      <c r="Q765" s="262"/>
      <c r="R765" s="262"/>
      <c r="S765" s="262"/>
      <c r="T765" s="262"/>
      <c r="U765" s="262"/>
      <c r="V765" s="262"/>
      <c r="W765" s="262"/>
      <c r="X765" s="262"/>
      <c r="Y765" s="262"/>
      <c r="Z765" s="263"/>
      <c r="AA765" s="263"/>
      <c r="AB765" s="262"/>
      <c r="AC765" s="262"/>
      <c r="AD765" s="262"/>
      <c r="AE765" s="262"/>
      <c r="AF765" s="262"/>
      <c r="AG765" s="262"/>
      <c r="AH765" s="262"/>
      <c r="AI765" s="262"/>
      <c r="AJ765" s="262"/>
      <c r="AK765" s="262"/>
      <c r="AL765" s="262"/>
      <c r="AM765" s="262"/>
      <c r="AN765" s="262"/>
      <c r="AO765" s="262"/>
      <c r="AP765" s="262"/>
      <c r="AQ765" s="262"/>
      <c r="AR765" s="262"/>
      <c r="AS765" s="262"/>
      <c r="AT765" s="262"/>
      <c r="AU765" s="262"/>
      <c r="AV765" s="262"/>
      <c r="AW765" s="262"/>
      <c r="AX765" s="262"/>
      <c r="AY765" s="262"/>
      <c r="AZ765" s="262"/>
      <c r="BA765" s="262"/>
      <c r="BB765" s="262"/>
      <c r="BC765" s="262"/>
    </row>
    <row r="766" spans="2:55" ht="16.5">
      <c r="B766" s="254">
        <v>46174</v>
      </c>
      <c r="C766" s="260" t="s">
        <v>394</v>
      </c>
      <c r="D766" s="260" t="s">
        <v>1369</v>
      </c>
      <c r="E766" s="261" t="s">
        <v>2813</v>
      </c>
      <c r="F766" s="262"/>
      <c r="G766" s="262"/>
      <c r="H766" s="262"/>
      <c r="I766" s="262"/>
      <c r="J766" s="262"/>
      <c r="K766" s="262"/>
      <c r="L766" s="262"/>
      <c r="M766" s="262"/>
      <c r="N766" s="262"/>
      <c r="O766" s="262"/>
      <c r="P766" s="262"/>
      <c r="Q766" s="262"/>
      <c r="R766" s="262"/>
      <c r="S766" s="262"/>
      <c r="T766" s="262"/>
      <c r="U766" s="262"/>
      <c r="V766" s="262"/>
      <c r="W766" s="262"/>
      <c r="X766" s="262"/>
      <c r="Y766" s="262"/>
      <c r="Z766" s="263"/>
      <c r="AA766" s="263"/>
      <c r="AB766" s="262"/>
      <c r="AC766" s="262"/>
      <c r="AD766" s="262"/>
      <c r="AE766" s="262"/>
      <c r="AF766" s="262"/>
      <c r="AG766" s="262"/>
      <c r="AH766" s="262"/>
      <c r="AI766" s="262"/>
      <c r="AJ766" s="262"/>
      <c r="AK766" s="262"/>
      <c r="AL766" s="262"/>
      <c r="AM766" s="262"/>
      <c r="AN766" s="262"/>
      <c r="AO766" s="262"/>
      <c r="AP766" s="262"/>
      <c r="AQ766" s="262"/>
      <c r="AR766" s="262"/>
      <c r="AS766" s="262"/>
      <c r="AT766" s="262"/>
      <c r="AU766" s="262"/>
      <c r="AV766" s="262"/>
      <c r="AW766" s="262"/>
      <c r="AX766" s="262"/>
      <c r="AY766" s="262"/>
      <c r="AZ766" s="262"/>
      <c r="BA766" s="262"/>
      <c r="BB766" s="262"/>
      <c r="BC766" s="262"/>
    </row>
    <row r="767" spans="2:55" ht="16.5">
      <c r="B767" s="254">
        <v>46174</v>
      </c>
      <c r="C767" s="260" t="s">
        <v>394</v>
      </c>
      <c r="D767" s="260" t="s">
        <v>1370</v>
      </c>
      <c r="E767" s="261" t="s">
        <v>2814</v>
      </c>
      <c r="F767" s="262"/>
      <c r="G767" s="262"/>
      <c r="H767" s="262"/>
      <c r="I767" s="262"/>
      <c r="J767" s="262"/>
      <c r="K767" s="262"/>
      <c r="L767" s="262"/>
      <c r="M767" s="262"/>
      <c r="N767" s="262"/>
      <c r="O767" s="262"/>
      <c r="P767" s="262"/>
      <c r="Q767" s="262"/>
      <c r="R767" s="262"/>
      <c r="S767" s="262"/>
      <c r="T767" s="262"/>
      <c r="U767" s="262"/>
      <c r="V767" s="262"/>
      <c r="W767" s="262"/>
      <c r="X767" s="262"/>
      <c r="Y767" s="262"/>
      <c r="Z767" s="263"/>
      <c r="AA767" s="263"/>
      <c r="AB767" s="262"/>
      <c r="AC767" s="262"/>
      <c r="AD767" s="262"/>
      <c r="AE767" s="262"/>
      <c r="AF767" s="262"/>
      <c r="AG767" s="262"/>
      <c r="AH767" s="262"/>
      <c r="AI767" s="262"/>
      <c r="AJ767" s="262"/>
      <c r="AK767" s="262"/>
      <c r="AL767" s="262"/>
      <c r="AM767" s="262"/>
      <c r="AN767" s="262"/>
      <c r="AO767" s="262"/>
      <c r="AP767" s="262"/>
      <c r="AQ767" s="262"/>
      <c r="AR767" s="262"/>
      <c r="AS767" s="262"/>
      <c r="AT767" s="262"/>
      <c r="AU767" s="262"/>
      <c r="AV767" s="262"/>
      <c r="AW767" s="262"/>
      <c r="AX767" s="262"/>
      <c r="AY767" s="262"/>
      <c r="AZ767" s="262"/>
      <c r="BA767" s="262"/>
      <c r="BB767" s="262"/>
      <c r="BC767" s="262"/>
    </row>
    <row r="768" spans="2:55" ht="16.5">
      <c r="B768" s="254">
        <v>46174</v>
      </c>
      <c r="C768" s="260" t="s">
        <v>394</v>
      </c>
      <c r="D768" s="260" t="s">
        <v>1371</v>
      </c>
      <c r="E768" s="261" t="s">
        <v>2815</v>
      </c>
      <c r="F768" s="262"/>
      <c r="G768" s="262"/>
      <c r="H768" s="262"/>
      <c r="I768" s="262"/>
      <c r="J768" s="262"/>
      <c r="K768" s="262"/>
      <c r="L768" s="262"/>
      <c r="M768" s="262"/>
      <c r="N768" s="262"/>
      <c r="O768" s="262"/>
      <c r="P768" s="262"/>
      <c r="Q768" s="262"/>
      <c r="R768" s="262"/>
      <c r="S768" s="262"/>
      <c r="T768" s="262"/>
      <c r="U768" s="262"/>
      <c r="V768" s="262"/>
      <c r="W768" s="262"/>
      <c r="X768" s="262"/>
      <c r="Y768" s="262"/>
      <c r="Z768" s="263"/>
      <c r="AA768" s="263"/>
      <c r="AB768" s="262"/>
      <c r="AC768" s="262"/>
      <c r="AD768" s="262"/>
      <c r="AE768" s="262"/>
      <c r="AF768" s="262"/>
      <c r="AG768" s="262"/>
      <c r="AH768" s="262"/>
      <c r="AI768" s="262"/>
      <c r="AJ768" s="262"/>
      <c r="AK768" s="262"/>
      <c r="AL768" s="262"/>
      <c r="AM768" s="262"/>
      <c r="AN768" s="262"/>
      <c r="AO768" s="262"/>
      <c r="AP768" s="262"/>
      <c r="AQ768" s="262"/>
      <c r="AR768" s="262"/>
      <c r="AS768" s="262"/>
      <c r="AT768" s="262"/>
      <c r="AU768" s="262"/>
      <c r="AV768" s="262"/>
      <c r="AW768" s="262"/>
      <c r="AX768" s="262"/>
      <c r="AY768" s="262"/>
      <c r="AZ768" s="262"/>
      <c r="BA768" s="262"/>
      <c r="BB768" s="262"/>
      <c r="BC768" s="262"/>
    </row>
    <row r="769" spans="2:55" ht="16.5">
      <c r="B769" s="254">
        <v>46174</v>
      </c>
      <c r="C769" s="260" t="s">
        <v>394</v>
      </c>
      <c r="D769" s="260" t="s">
        <v>1372</v>
      </c>
      <c r="E769" s="261" t="s">
        <v>2816</v>
      </c>
      <c r="F769" s="262"/>
      <c r="G769" s="262"/>
      <c r="H769" s="262"/>
      <c r="I769" s="262"/>
      <c r="J769" s="262"/>
      <c r="K769" s="262"/>
      <c r="L769" s="262"/>
      <c r="M769" s="262"/>
      <c r="N769" s="262"/>
      <c r="O769" s="262"/>
      <c r="P769" s="262"/>
      <c r="Q769" s="262"/>
      <c r="R769" s="262"/>
      <c r="S769" s="262"/>
      <c r="T769" s="262"/>
      <c r="U769" s="262"/>
      <c r="V769" s="262"/>
      <c r="W769" s="262"/>
      <c r="X769" s="262"/>
      <c r="Y769" s="262"/>
      <c r="Z769" s="263"/>
      <c r="AA769" s="263"/>
      <c r="AB769" s="262"/>
      <c r="AC769" s="262"/>
      <c r="AD769" s="262"/>
      <c r="AE769" s="262"/>
      <c r="AF769" s="262"/>
      <c r="AG769" s="262"/>
      <c r="AH769" s="262"/>
      <c r="AI769" s="262"/>
      <c r="AJ769" s="262"/>
      <c r="AK769" s="262"/>
      <c r="AL769" s="262"/>
      <c r="AM769" s="262"/>
      <c r="AN769" s="262"/>
      <c r="AO769" s="262"/>
      <c r="AP769" s="262"/>
      <c r="AQ769" s="262"/>
      <c r="AR769" s="262"/>
      <c r="AS769" s="262"/>
      <c r="AT769" s="262"/>
      <c r="AU769" s="262"/>
      <c r="AV769" s="262"/>
      <c r="AW769" s="262"/>
      <c r="AX769" s="262"/>
      <c r="AY769" s="262"/>
      <c r="AZ769" s="262"/>
      <c r="BA769" s="262"/>
      <c r="BB769" s="262"/>
      <c r="BC769" s="262"/>
    </row>
    <row r="770" spans="2:55" ht="16.5">
      <c r="B770" s="254">
        <v>46174</v>
      </c>
      <c r="C770" s="260" t="s">
        <v>394</v>
      </c>
      <c r="D770" s="260" t="s">
        <v>1373</v>
      </c>
      <c r="E770" s="261" t="s">
        <v>2817</v>
      </c>
      <c r="F770" s="262"/>
      <c r="G770" s="262"/>
      <c r="H770" s="262"/>
      <c r="I770" s="262"/>
      <c r="J770" s="262"/>
      <c r="K770" s="262"/>
      <c r="L770" s="262"/>
      <c r="M770" s="262"/>
      <c r="N770" s="262"/>
      <c r="O770" s="262"/>
      <c r="P770" s="262"/>
      <c r="Q770" s="262"/>
      <c r="R770" s="262"/>
      <c r="S770" s="262"/>
      <c r="T770" s="262"/>
      <c r="U770" s="262"/>
      <c r="V770" s="262"/>
      <c r="W770" s="262"/>
      <c r="X770" s="262"/>
      <c r="Y770" s="262"/>
      <c r="Z770" s="263"/>
      <c r="AA770" s="263"/>
      <c r="AB770" s="262"/>
      <c r="AC770" s="262"/>
      <c r="AD770" s="262"/>
      <c r="AE770" s="262"/>
      <c r="AF770" s="262"/>
      <c r="AG770" s="262"/>
      <c r="AH770" s="262"/>
      <c r="AI770" s="262"/>
      <c r="AJ770" s="262"/>
      <c r="AK770" s="262"/>
      <c r="AL770" s="262"/>
      <c r="AM770" s="262"/>
      <c r="AN770" s="262"/>
      <c r="AO770" s="262"/>
      <c r="AP770" s="262"/>
      <c r="AQ770" s="262"/>
      <c r="AR770" s="262"/>
      <c r="AS770" s="262"/>
      <c r="AT770" s="262"/>
      <c r="AU770" s="262"/>
      <c r="AV770" s="262"/>
      <c r="AW770" s="262"/>
      <c r="AX770" s="262"/>
      <c r="AY770" s="262"/>
      <c r="AZ770" s="262"/>
      <c r="BA770" s="262"/>
      <c r="BB770" s="262"/>
      <c r="BC770" s="262"/>
    </row>
    <row r="771" spans="2:55" ht="16.5">
      <c r="B771" s="254">
        <v>46174</v>
      </c>
      <c r="C771" s="260" t="s">
        <v>394</v>
      </c>
      <c r="D771" s="260" t="s">
        <v>1374</v>
      </c>
      <c r="E771" s="261" t="s">
        <v>2818</v>
      </c>
      <c r="F771" s="262"/>
      <c r="G771" s="262"/>
      <c r="H771" s="262"/>
      <c r="I771" s="262"/>
      <c r="J771" s="262"/>
      <c r="K771" s="262"/>
      <c r="L771" s="262"/>
      <c r="M771" s="262"/>
      <c r="N771" s="262"/>
      <c r="O771" s="262"/>
      <c r="P771" s="262"/>
      <c r="Q771" s="262"/>
      <c r="R771" s="262"/>
      <c r="S771" s="262"/>
      <c r="T771" s="262"/>
      <c r="U771" s="262"/>
      <c r="V771" s="262"/>
      <c r="W771" s="262"/>
      <c r="X771" s="262"/>
      <c r="Y771" s="262"/>
      <c r="Z771" s="263"/>
      <c r="AA771" s="263"/>
      <c r="AB771" s="262"/>
      <c r="AC771" s="262"/>
      <c r="AD771" s="262"/>
      <c r="AE771" s="262"/>
      <c r="AF771" s="262"/>
      <c r="AG771" s="262"/>
      <c r="AH771" s="262"/>
      <c r="AI771" s="262"/>
      <c r="AJ771" s="262"/>
      <c r="AK771" s="262"/>
      <c r="AL771" s="262"/>
      <c r="AM771" s="262"/>
      <c r="AN771" s="262"/>
      <c r="AO771" s="262"/>
      <c r="AP771" s="262"/>
      <c r="AQ771" s="262"/>
      <c r="AR771" s="262"/>
      <c r="AS771" s="262"/>
      <c r="AT771" s="262"/>
      <c r="AU771" s="262"/>
      <c r="AV771" s="262"/>
      <c r="AW771" s="262"/>
      <c r="AX771" s="262"/>
      <c r="AY771" s="262"/>
      <c r="AZ771" s="262"/>
      <c r="BA771" s="262"/>
      <c r="BB771" s="262"/>
      <c r="BC771" s="262"/>
    </row>
    <row r="772" spans="2:55" ht="16.5">
      <c r="B772" s="254">
        <v>46174</v>
      </c>
      <c r="C772" s="260" t="s">
        <v>394</v>
      </c>
      <c r="D772" s="260" t="s">
        <v>1375</v>
      </c>
      <c r="E772" s="261" t="s">
        <v>2819</v>
      </c>
      <c r="F772" s="262"/>
      <c r="G772" s="262"/>
      <c r="H772" s="262"/>
      <c r="I772" s="262"/>
      <c r="J772" s="262"/>
      <c r="K772" s="262"/>
      <c r="L772" s="262"/>
      <c r="M772" s="262"/>
      <c r="N772" s="262"/>
      <c r="O772" s="262"/>
      <c r="P772" s="262"/>
      <c r="Q772" s="262"/>
      <c r="R772" s="262"/>
      <c r="S772" s="262"/>
      <c r="T772" s="262"/>
      <c r="U772" s="262"/>
      <c r="V772" s="262"/>
      <c r="W772" s="262"/>
      <c r="X772" s="262"/>
      <c r="Y772" s="262"/>
      <c r="Z772" s="263"/>
      <c r="AA772" s="263"/>
      <c r="AB772" s="262"/>
      <c r="AC772" s="262"/>
      <c r="AD772" s="262"/>
      <c r="AE772" s="262"/>
      <c r="AF772" s="262"/>
      <c r="AG772" s="262"/>
      <c r="AH772" s="262"/>
      <c r="AI772" s="262"/>
      <c r="AJ772" s="262"/>
      <c r="AK772" s="262"/>
      <c r="AL772" s="262"/>
      <c r="AM772" s="262"/>
      <c r="AN772" s="262"/>
      <c r="AO772" s="262"/>
      <c r="AP772" s="262"/>
      <c r="AQ772" s="262"/>
      <c r="AR772" s="262"/>
      <c r="AS772" s="262"/>
      <c r="AT772" s="262"/>
      <c r="AU772" s="262"/>
      <c r="AV772" s="262"/>
      <c r="AW772" s="262"/>
      <c r="AX772" s="262"/>
      <c r="AY772" s="262"/>
      <c r="AZ772" s="262"/>
      <c r="BA772" s="262"/>
      <c r="BB772" s="262"/>
      <c r="BC772" s="262"/>
    </row>
    <row r="773" spans="2:55" ht="16.5">
      <c r="B773" s="254">
        <v>46174</v>
      </c>
      <c r="C773" s="260" t="s">
        <v>394</v>
      </c>
      <c r="D773" s="260" t="s">
        <v>1376</v>
      </c>
      <c r="E773" s="261" t="s">
        <v>2820</v>
      </c>
      <c r="F773" s="262"/>
      <c r="G773" s="262"/>
      <c r="H773" s="262"/>
      <c r="I773" s="262"/>
      <c r="J773" s="262"/>
      <c r="K773" s="262"/>
      <c r="L773" s="262"/>
      <c r="M773" s="262"/>
      <c r="N773" s="262"/>
      <c r="O773" s="262"/>
      <c r="P773" s="262"/>
      <c r="Q773" s="262"/>
      <c r="R773" s="262"/>
      <c r="S773" s="262"/>
      <c r="T773" s="262"/>
      <c r="U773" s="262"/>
      <c r="V773" s="262"/>
      <c r="W773" s="262"/>
      <c r="X773" s="262"/>
      <c r="Y773" s="262"/>
      <c r="Z773" s="263"/>
      <c r="AA773" s="263"/>
      <c r="AB773" s="262"/>
      <c r="AC773" s="262"/>
      <c r="AD773" s="262"/>
      <c r="AE773" s="262"/>
      <c r="AF773" s="262"/>
      <c r="AG773" s="262"/>
      <c r="AH773" s="262"/>
      <c r="AI773" s="262"/>
      <c r="AJ773" s="262"/>
      <c r="AK773" s="262"/>
      <c r="AL773" s="262"/>
      <c r="AM773" s="262"/>
      <c r="AN773" s="262"/>
      <c r="AO773" s="262"/>
      <c r="AP773" s="262"/>
      <c r="AQ773" s="262"/>
      <c r="AR773" s="262"/>
      <c r="AS773" s="262"/>
      <c r="AT773" s="262"/>
      <c r="AU773" s="262"/>
      <c r="AV773" s="262"/>
      <c r="AW773" s="262"/>
      <c r="AX773" s="262"/>
      <c r="AY773" s="262"/>
      <c r="AZ773" s="262"/>
      <c r="BA773" s="262"/>
      <c r="BB773" s="262"/>
      <c r="BC773" s="262"/>
    </row>
    <row r="774" spans="2:55" ht="16.5">
      <c r="B774" s="254">
        <v>46174</v>
      </c>
      <c r="C774" s="260" t="s">
        <v>394</v>
      </c>
      <c r="D774" s="260" t="s">
        <v>1377</v>
      </c>
      <c r="E774" s="261" t="s">
        <v>2821</v>
      </c>
      <c r="F774" s="262"/>
      <c r="G774" s="262"/>
      <c r="H774" s="262"/>
      <c r="I774" s="262"/>
      <c r="J774" s="262"/>
      <c r="K774" s="262"/>
      <c r="L774" s="262"/>
      <c r="M774" s="262"/>
      <c r="N774" s="262"/>
      <c r="O774" s="262"/>
      <c r="P774" s="262"/>
      <c r="Q774" s="262"/>
      <c r="R774" s="262"/>
      <c r="S774" s="262"/>
      <c r="T774" s="262"/>
      <c r="U774" s="262"/>
      <c r="V774" s="262"/>
      <c r="W774" s="262"/>
      <c r="X774" s="262"/>
      <c r="Y774" s="262"/>
      <c r="Z774" s="263"/>
      <c r="AA774" s="263"/>
      <c r="AB774" s="262"/>
      <c r="AC774" s="262"/>
      <c r="AD774" s="262"/>
      <c r="AE774" s="262"/>
      <c r="AF774" s="262"/>
      <c r="AG774" s="262"/>
      <c r="AH774" s="262"/>
      <c r="AI774" s="262"/>
      <c r="AJ774" s="262"/>
      <c r="AK774" s="262"/>
      <c r="AL774" s="262"/>
      <c r="AM774" s="262"/>
      <c r="AN774" s="262"/>
      <c r="AO774" s="262"/>
      <c r="AP774" s="262"/>
      <c r="AQ774" s="262"/>
      <c r="AR774" s="262"/>
      <c r="AS774" s="262"/>
      <c r="AT774" s="262"/>
      <c r="AU774" s="262"/>
      <c r="AV774" s="262"/>
      <c r="AW774" s="262"/>
      <c r="AX774" s="262"/>
      <c r="AY774" s="262"/>
      <c r="AZ774" s="262"/>
      <c r="BA774" s="262"/>
      <c r="BB774" s="262"/>
      <c r="BC774" s="262"/>
    </row>
    <row r="775" spans="2:55" ht="16.5">
      <c r="B775" s="254">
        <v>46174</v>
      </c>
      <c r="C775" s="260" t="s">
        <v>394</v>
      </c>
      <c r="D775" s="260" t="s">
        <v>1378</v>
      </c>
      <c r="E775" s="261" t="s">
        <v>2822</v>
      </c>
      <c r="F775" s="262"/>
      <c r="G775" s="262"/>
      <c r="H775" s="262"/>
      <c r="I775" s="262"/>
      <c r="J775" s="262"/>
      <c r="K775" s="262"/>
      <c r="L775" s="262"/>
      <c r="M775" s="262"/>
      <c r="N775" s="262"/>
      <c r="O775" s="262"/>
      <c r="P775" s="262"/>
      <c r="Q775" s="262"/>
      <c r="R775" s="262"/>
      <c r="S775" s="262"/>
      <c r="T775" s="262"/>
      <c r="U775" s="262"/>
      <c r="V775" s="262"/>
      <c r="W775" s="262"/>
      <c r="X775" s="262"/>
      <c r="Y775" s="262"/>
      <c r="Z775" s="263"/>
      <c r="AA775" s="263"/>
      <c r="AB775" s="262"/>
      <c r="AC775" s="262"/>
      <c r="AD775" s="262"/>
      <c r="AE775" s="262"/>
      <c r="AF775" s="262"/>
      <c r="AG775" s="262"/>
      <c r="AH775" s="262"/>
      <c r="AI775" s="262"/>
      <c r="AJ775" s="262"/>
      <c r="AK775" s="262"/>
      <c r="AL775" s="262"/>
      <c r="AM775" s="262"/>
      <c r="AN775" s="262"/>
      <c r="AO775" s="262"/>
      <c r="AP775" s="262"/>
      <c r="AQ775" s="262"/>
      <c r="AR775" s="262"/>
      <c r="AS775" s="262"/>
      <c r="AT775" s="262"/>
      <c r="AU775" s="262"/>
      <c r="AV775" s="262"/>
      <c r="AW775" s="262"/>
      <c r="AX775" s="262"/>
      <c r="AY775" s="262"/>
      <c r="AZ775" s="262"/>
      <c r="BA775" s="262"/>
      <c r="BB775" s="262"/>
      <c r="BC775" s="262"/>
    </row>
    <row r="776" spans="2:55" ht="16.5">
      <c r="B776" s="254">
        <v>46174</v>
      </c>
      <c r="C776" s="260" t="s">
        <v>394</v>
      </c>
      <c r="D776" s="260" t="s">
        <v>1379</v>
      </c>
      <c r="E776" s="261" t="s">
        <v>2823</v>
      </c>
      <c r="F776" s="262"/>
      <c r="G776" s="262"/>
      <c r="H776" s="262"/>
      <c r="I776" s="262"/>
      <c r="J776" s="262"/>
      <c r="K776" s="262"/>
      <c r="L776" s="262"/>
      <c r="M776" s="262"/>
      <c r="N776" s="262"/>
      <c r="O776" s="262"/>
      <c r="P776" s="262"/>
      <c r="Q776" s="262"/>
      <c r="R776" s="262"/>
      <c r="S776" s="262"/>
      <c r="T776" s="262"/>
      <c r="U776" s="262"/>
      <c r="V776" s="262"/>
      <c r="W776" s="262"/>
      <c r="X776" s="262"/>
      <c r="Y776" s="262"/>
      <c r="Z776" s="263"/>
      <c r="AA776" s="263"/>
      <c r="AB776" s="262"/>
      <c r="AC776" s="262"/>
      <c r="AD776" s="262"/>
      <c r="AE776" s="262"/>
      <c r="AF776" s="262"/>
      <c r="AG776" s="262"/>
      <c r="AH776" s="262"/>
      <c r="AI776" s="262"/>
      <c r="AJ776" s="262"/>
      <c r="AK776" s="262"/>
      <c r="AL776" s="262"/>
      <c r="AM776" s="262"/>
      <c r="AN776" s="262"/>
      <c r="AO776" s="262"/>
      <c r="AP776" s="262"/>
      <c r="AQ776" s="262"/>
      <c r="AR776" s="262"/>
      <c r="AS776" s="262"/>
      <c r="AT776" s="262"/>
      <c r="AU776" s="262"/>
      <c r="AV776" s="262"/>
      <c r="AW776" s="262"/>
      <c r="AX776" s="262"/>
      <c r="AY776" s="262"/>
      <c r="AZ776" s="262"/>
      <c r="BA776" s="262"/>
      <c r="BB776" s="262"/>
      <c r="BC776" s="262"/>
    </row>
    <row r="777" spans="2:55" ht="16.5">
      <c r="B777" s="254">
        <v>46174</v>
      </c>
      <c r="C777" s="260" t="s">
        <v>394</v>
      </c>
      <c r="D777" s="260" t="s">
        <v>1380</v>
      </c>
      <c r="E777" s="261" t="s">
        <v>2824</v>
      </c>
      <c r="F777" s="262"/>
      <c r="G777" s="262"/>
      <c r="H777" s="262"/>
      <c r="I777" s="262"/>
      <c r="J777" s="262"/>
      <c r="K777" s="262"/>
      <c r="L777" s="262"/>
      <c r="M777" s="262"/>
      <c r="N777" s="262"/>
      <c r="O777" s="262"/>
      <c r="P777" s="262"/>
      <c r="Q777" s="262"/>
      <c r="R777" s="262"/>
      <c r="S777" s="262"/>
      <c r="T777" s="262"/>
      <c r="U777" s="262"/>
      <c r="V777" s="262"/>
      <c r="W777" s="262"/>
      <c r="X777" s="262"/>
      <c r="Y777" s="262"/>
      <c r="Z777" s="263"/>
      <c r="AA777" s="263"/>
      <c r="AB777" s="262"/>
      <c r="AC777" s="262"/>
      <c r="AD777" s="262"/>
      <c r="AE777" s="262"/>
      <c r="AF777" s="262"/>
      <c r="AG777" s="262"/>
      <c r="AH777" s="262"/>
      <c r="AI777" s="262"/>
      <c r="AJ777" s="262"/>
      <c r="AK777" s="262"/>
      <c r="AL777" s="262"/>
      <c r="AM777" s="262"/>
      <c r="AN777" s="262"/>
      <c r="AO777" s="262"/>
      <c r="AP777" s="262"/>
      <c r="AQ777" s="262"/>
      <c r="AR777" s="262"/>
      <c r="AS777" s="262"/>
      <c r="AT777" s="262"/>
      <c r="AU777" s="262"/>
      <c r="AV777" s="262"/>
      <c r="AW777" s="262"/>
      <c r="AX777" s="262"/>
      <c r="AY777" s="262"/>
      <c r="AZ777" s="262"/>
      <c r="BA777" s="262"/>
      <c r="BB777" s="262"/>
      <c r="BC777" s="262"/>
    </row>
    <row r="778" spans="2:55" ht="16.5">
      <c r="B778" s="254">
        <v>46174</v>
      </c>
      <c r="C778" s="260" t="s">
        <v>394</v>
      </c>
      <c r="D778" s="260" t="s">
        <v>1381</v>
      </c>
      <c r="E778" s="261" t="s">
        <v>2825</v>
      </c>
      <c r="F778" s="262"/>
      <c r="G778" s="262"/>
      <c r="H778" s="262"/>
      <c r="I778" s="262"/>
      <c r="J778" s="262"/>
      <c r="K778" s="262"/>
      <c r="L778" s="262"/>
      <c r="M778" s="262"/>
      <c r="N778" s="262"/>
      <c r="O778" s="262"/>
      <c r="P778" s="262"/>
      <c r="Q778" s="262"/>
      <c r="R778" s="262"/>
      <c r="S778" s="262"/>
      <c r="T778" s="262"/>
      <c r="U778" s="262"/>
      <c r="V778" s="262"/>
      <c r="W778" s="262"/>
      <c r="X778" s="262"/>
      <c r="Y778" s="262"/>
      <c r="Z778" s="263"/>
      <c r="AA778" s="263"/>
      <c r="AB778" s="262"/>
      <c r="AC778" s="262"/>
      <c r="AD778" s="262"/>
      <c r="AE778" s="262"/>
      <c r="AF778" s="262"/>
      <c r="AG778" s="262"/>
      <c r="AH778" s="262"/>
      <c r="AI778" s="262"/>
      <c r="AJ778" s="262"/>
      <c r="AK778" s="262"/>
      <c r="AL778" s="262"/>
      <c r="AM778" s="262"/>
      <c r="AN778" s="262"/>
      <c r="AO778" s="262"/>
      <c r="AP778" s="262"/>
      <c r="AQ778" s="262"/>
      <c r="AR778" s="262"/>
      <c r="AS778" s="262"/>
      <c r="AT778" s="262"/>
      <c r="AU778" s="262"/>
      <c r="AV778" s="262"/>
      <c r="AW778" s="262"/>
      <c r="AX778" s="262"/>
      <c r="AY778" s="262"/>
      <c r="AZ778" s="262"/>
      <c r="BA778" s="262"/>
      <c r="BB778" s="262"/>
      <c r="BC778" s="262"/>
    </row>
    <row r="779" spans="2:55" ht="16.5">
      <c r="B779" s="254">
        <v>46174</v>
      </c>
      <c r="C779" s="260" t="s">
        <v>394</v>
      </c>
      <c r="D779" s="260" t="s">
        <v>1382</v>
      </c>
      <c r="E779" s="261" t="s">
        <v>2826</v>
      </c>
      <c r="F779" s="262"/>
      <c r="G779" s="262"/>
      <c r="H779" s="262"/>
      <c r="I779" s="262"/>
      <c r="J779" s="262"/>
      <c r="K779" s="262"/>
      <c r="L779" s="262"/>
      <c r="M779" s="262"/>
      <c r="N779" s="262"/>
      <c r="O779" s="262"/>
      <c r="P779" s="262"/>
      <c r="Q779" s="262"/>
      <c r="R779" s="262"/>
      <c r="S779" s="262"/>
      <c r="T779" s="262"/>
      <c r="U779" s="262"/>
      <c r="V779" s="262"/>
      <c r="W779" s="262"/>
      <c r="X779" s="262"/>
      <c r="Y779" s="262"/>
      <c r="Z779" s="263"/>
      <c r="AA779" s="263"/>
      <c r="AB779" s="262"/>
      <c r="AC779" s="262"/>
      <c r="AD779" s="262"/>
      <c r="AE779" s="262"/>
      <c r="AF779" s="262"/>
      <c r="AG779" s="262"/>
      <c r="AH779" s="262"/>
      <c r="AI779" s="262"/>
      <c r="AJ779" s="262"/>
      <c r="AK779" s="262"/>
      <c r="AL779" s="262"/>
      <c r="AM779" s="262"/>
      <c r="AN779" s="262"/>
      <c r="AO779" s="262"/>
      <c r="AP779" s="262"/>
      <c r="AQ779" s="262"/>
      <c r="AR779" s="262"/>
      <c r="AS779" s="262"/>
      <c r="AT779" s="262"/>
      <c r="AU779" s="262"/>
      <c r="AV779" s="262"/>
      <c r="AW779" s="262"/>
      <c r="AX779" s="262"/>
      <c r="AY779" s="262"/>
      <c r="AZ779" s="262"/>
      <c r="BA779" s="262"/>
      <c r="BB779" s="262"/>
      <c r="BC779" s="262"/>
    </row>
    <row r="780" spans="2:55" ht="16.5">
      <c r="B780" s="254">
        <v>46174</v>
      </c>
      <c r="C780" s="260" t="s">
        <v>394</v>
      </c>
      <c r="D780" s="260" t="s">
        <v>1383</v>
      </c>
      <c r="E780" s="261" t="s">
        <v>2827</v>
      </c>
      <c r="F780" s="262"/>
      <c r="G780" s="262"/>
      <c r="H780" s="262"/>
      <c r="I780" s="262"/>
      <c r="J780" s="262"/>
      <c r="K780" s="262"/>
      <c r="L780" s="262"/>
      <c r="M780" s="262"/>
      <c r="N780" s="262"/>
      <c r="O780" s="262"/>
      <c r="P780" s="262"/>
      <c r="Q780" s="262"/>
      <c r="R780" s="262"/>
      <c r="S780" s="262"/>
      <c r="T780" s="262"/>
      <c r="U780" s="262"/>
      <c r="V780" s="262"/>
      <c r="W780" s="262"/>
      <c r="X780" s="262"/>
      <c r="Y780" s="262"/>
      <c r="Z780" s="263"/>
      <c r="AA780" s="263"/>
      <c r="AB780" s="262"/>
      <c r="AC780" s="262"/>
      <c r="AD780" s="262"/>
      <c r="AE780" s="262"/>
      <c r="AF780" s="262"/>
      <c r="AG780" s="262"/>
      <c r="AH780" s="262"/>
      <c r="AI780" s="262"/>
      <c r="AJ780" s="262"/>
      <c r="AK780" s="262"/>
      <c r="AL780" s="262"/>
      <c r="AM780" s="262"/>
      <c r="AN780" s="262"/>
      <c r="AO780" s="262"/>
      <c r="AP780" s="262"/>
      <c r="AQ780" s="262"/>
      <c r="AR780" s="262"/>
      <c r="AS780" s="262"/>
      <c r="AT780" s="262"/>
      <c r="AU780" s="262"/>
      <c r="AV780" s="262"/>
      <c r="AW780" s="262"/>
      <c r="AX780" s="262"/>
      <c r="AY780" s="262"/>
      <c r="AZ780" s="262"/>
      <c r="BA780" s="262"/>
      <c r="BB780" s="262"/>
      <c r="BC780" s="262"/>
    </row>
    <row r="781" spans="2:55" ht="16.5">
      <c r="B781" s="254">
        <v>46174</v>
      </c>
      <c r="C781" s="260" t="s">
        <v>394</v>
      </c>
      <c r="D781" s="260" t="s">
        <v>1384</v>
      </c>
      <c r="E781" s="261" t="s">
        <v>2828</v>
      </c>
      <c r="F781" s="262"/>
      <c r="G781" s="262"/>
      <c r="H781" s="262"/>
      <c r="I781" s="262"/>
      <c r="J781" s="262"/>
      <c r="K781" s="262"/>
      <c r="L781" s="262"/>
      <c r="M781" s="262"/>
      <c r="N781" s="262"/>
      <c r="O781" s="262"/>
      <c r="P781" s="262"/>
      <c r="Q781" s="262"/>
      <c r="R781" s="262"/>
      <c r="S781" s="262"/>
      <c r="T781" s="262"/>
      <c r="U781" s="262"/>
      <c r="V781" s="262"/>
      <c r="W781" s="262"/>
      <c r="X781" s="262"/>
      <c r="Y781" s="262"/>
      <c r="Z781" s="263"/>
      <c r="AA781" s="263"/>
      <c r="AB781" s="262"/>
      <c r="AC781" s="262"/>
      <c r="AD781" s="262"/>
      <c r="AE781" s="262"/>
      <c r="AF781" s="262"/>
      <c r="AG781" s="262"/>
      <c r="AH781" s="262"/>
      <c r="AI781" s="262"/>
      <c r="AJ781" s="262"/>
      <c r="AK781" s="262"/>
      <c r="AL781" s="262"/>
      <c r="AM781" s="262"/>
      <c r="AN781" s="262"/>
      <c r="AO781" s="262"/>
      <c r="AP781" s="262"/>
      <c r="AQ781" s="262"/>
      <c r="AR781" s="262"/>
      <c r="AS781" s="262"/>
      <c r="AT781" s="262"/>
      <c r="AU781" s="262"/>
      <c r="AV781" s="262"/>
      <c r="AW781" s="262"/>
      <c r="AX781" s="262"/>
      <c r="AY781" s="262"/>
      <c r="AZ781" s="262"/>
      <c r="BA781" s="262"/>
      <c r="BB781" s="262"/>
      <c r="BC781" s="262"/>
    </row>
    <row r="782" spans="2:55" ht="16.5">
      <c r="B782" s="254">
        <v>46174</v>
      </c>
      <c r="C782" s="260" t="s">
        <v>394</v>
      </c>
      <c r="D782" s="260" t="s">
        <v>1385</v>
      </c>
      <c r="E782" s="261" t="s">
        <v>2829</v>
      </c>
      <c r="F782" s="262"/>
      <c r="G782" s="262"/>
      <c r="H782" s="262"/>
      <c r="I782" s="262"/>
      <c r="J782" s="262"/>
      <c r="K782" s="262"/>
      <c r="L782" s="262"/>
      <c r="M782" s="262"/>
      <c r="N782" s="262"/>
      <c r="O782" s="262"/>
      <c r="P782" s="262"/>
      <c r="Q782" s="262"/>
      <c r="R782" s="262"/>
      <c r="S782" s="262"/>
      <c r="T782" s="262"/>
      <c r="U782" s="262"/>
      <c r="V782" s="262"/>
      <c r="W782" s="262"/>
      <c r="X782" s="262"/>
      <c r="Y782" s="262"/>
      <c r="Z782" s="263"/>
      <c r="AA782" s="263"/>
      <c r="AB782" s="262"/>
      <c r="AC782" s="262"/>
      <c r="AD782" s="262"/>
      <c r="AE782" s="262"/>
      <c r="AF782" s="262"/>
      <c r="AG782" s="262"/>
      <c r="AH782" s="262"/>
      <c r="AI782" s="262"/>
      <c r="AJ782" s="262"/>
      <c r="AK782" s="262"/>
      <c r="AL782" s="262"/>
      <c r="AM782" s="262"/>
      <c r="AN782" s="262"/>
      <c r="AO782" s="262"/>
      <c r="AP782" s="262"/>
      <c r="AQ782" s="262"/>
      <c r="AR782" s="262"/>
      <c r="AS782" s="262"/>
      <c r="AT782" s="262"/>
      <c r="AU782" s="262"/>
      <c r="AV782" s="262"/>
      <c r="AW782" s="262"/>
      <c r="AX782" s="262"/>
      <c r="AY782" s="262"/>
      <c r="AZ782" s="262"/>
      <c r="BA782" s="262"/>
      <c r="BB782" s="262"/>
      <c r="BC782" s="262"/>
    </row>
    <row r="783" spans="2:55" ht="16.5">
      <c r="B783" s="254">
        <v>46174</v>
      </c>
      <c r="C783" s="260" t="s">
        <v>394</v>
      </c>
      <c r="D783" s="260" t="s">
        <v>1386</v>
      </c>
      <c r="E783" s="261" t="s">
        <v>2830</v>
      </c>
      <c r="F783" s="262"/>
      <c r="G783" s="262"/>
      <c r="H783" s="262"/>
      <c r="I783" s="262"/>
      <c r="J783" s="262"/>
      <c r="K783" s="262"/>
      <c r="L783" s="262"/>
      <c r="M783" s="262"/>
      <c r="N783" s="262"/>
      <c r="O783" s="262"/>
      <c r="P783" s="262"/>
      <c r="Q783" s="262"/>
      <c r="R783" s="262"/>
      <c r="S783" s="262"/>
      <c r="T783" s="262"/>
      <c r="U783" s="262"/>
      <c r="V783" s="262"/>
      <c r="W783" s="262"/>
      <c r="X783" s="262"/>
      <c r="Y783" s="262"/>
      <c r="Z783" s="263"/>
      <c r="AA783" s="263"/>
      <c r="AB783" s="262"/>
      <c r="AC783" s="262"/>
      <c r="AD783" s="262"/>
      <c r="AE783" s="262"/>
      <c r="AF783" s="262"/>
      <c r="AG783" s="262"/>
      <c r="AH783" s="262"/>
      <c r="AI783" s="262"/>
      <c r="AJ783" s="262"/>
      <c r="AK783" s="262"/>
      <c r="AL783" s="262"/>
      <c r="AM783" s="262"/>
      <c r="AN783" s="262"/>
      <c r="AO783" s="262"/>
      <c r="AP783" s="262"/>
      <c r="AQ783" s="262"/>
      <c r="AR783" s="262"/>
      <c r="AS783" s="262"/>
      <c r="AT783" s="262"/>
      <c r="AU783" s="262"/>
      <c r="AV783" s="262"/>
      <c r="AW783" s="262"/>
      <c r="AX783" s="262"/>
      <c r="AY783" s="262"/>
      <c r="AZ783" s="262"/>
      <c r="BA783" s="262"/>
      <c r="BB783" s="262"/>
      <c r="BC783" s="262"/>
    </row>
    <row r="784" spans="2:55" ht="16.5">
      <c r="B784" s="254">
        <v>46174</v>
      </c>
      <c r="C784" s="260" t="s">
        <v>394</v>
      </c>
      <c r="D784" s="260" t="s">
        <v>1387</v>
      </c>
      <c r="E784" s="261" t="s">
        <v>2831</v>
      </c>
      <c r="F784" s="262"/>
      <c r="G784" s="262"/>
      <c r="H784" s="262"/>
      <c r="I784" s="262"/>
      <c r="J784" s="262"/>
      <c r="K784" s="262"/>
      <c r="L784" s="262"/>
      <c r="M784" s="262"/>
      <c r="N784" s="262"/>
      <c r="O784" s="262"/>
      <c r="P784" s="262"/>
      <c r="Q784" s="262"/>
      <c r="R784" s="262"/>
      <c r="S784" s="262"/>
      <c r="T784" s="262"/>
      <c r="U784" s="262"/>
      <c r="V784" s="262"/>
      <c r="W784" s="262"/>
      <c r="X784" s="262"/>
      <c r="Y784" s="262"/>
      <c r="Z784" s="263"/>
      <c r="AA784" s="263"/>
      <c r="AB784" s="262"/>
      <c r="AC784" s="262"/>
      <c r="AD784" s="262"/>
      <c r="AE784" s="262"/>
      <c r="AF784" s="262"/>
      <c r="AG784" s="262"/>
      <c r="AH784" s="262"/>
      <c r="AI784" s="262"/>
      <c r="AJ784" s="262"/>
      <c r="AK784" s="262"/>
      <c r="AL784" s="262"/>
      <c r="AM784" s="262"/>
      <c r="AN784" s="262"/>
      <c r="AO784" s="262"/>
      <c r="AP784" s="262"/>
      <c r="AQ784" s="262"/>
      <c r="AR784" s="262"/>
      <c r="AS784" s="262"/>
      <c r="AT784" s="262"/>
      <c r="AU784" s="262"/>
      <c r="AV784" s="262"/>
      <c r="AW784" s="262"/>
      <c r="AX784" s="262"/>
      <c r="AY784" s="262"/>
      <c r="AZ784" s="262"/>
      <c r="BA784" s="262"/>
      <c r="BB784" s="262"/>
      <c r="BC784" s="262"/>
    </row>
    <row r="785" spans="2:55" ht="16.5">
      <c r="B785" s="254">
        <v>46174</v>
      </c>
      <c r="C785" s="260" t="s">
        <v>394</v>
      </c>
      <c r="D785" s="260" t="s">
        <v>1388</v>
      </c>
      <c r="E785" s="261" t="s">
        <v>2832</v>
      </c>
      <c r="F785" s="262"/>
      <c r="G785" s="262"/>
      <c r="H785" s="262"/>
      <c r="I785" s="262"/>
      <c r="J785" s="262"/>
      <c r="K785" s="262"/>
      <c r="L785" s="262"/>
      <c r="M785" s="262"/>
      <c r="N785" s="262"/>
      <c r="O785" s="262"/>
      <c r="P785" s="262"/>
      <c r="Q785" s="262"/>
      <c r="R785" s="262"/>
      <c r="S785" s="262"/>
      <c r="T785" s="262"/>
      <c r="U785" s="262"/>
      <c r="V785" s="262"/>
      <c r="W785" s="262"/>
      <c r="X785" s="262"/>
      <c r="Y785" s="262"/>
      <c r="Z785" s="263"/>
      <c r="AA785" s="263"/>
      <c r="AB785" s="262"/>
      <c r="AC785" s="262"/>
      <c r="AD785" s="262"/>
      <c r="AE785" s="262"/>
      <c r="AF785" s="262"/>
      <c r="AG785" s="262"/>
      <c r="AH785" s="262"/>
      <c r="AI785" s="262"/>
      <c r="AJ785" s="262"/>
      <c r="AK785" s="262"/>
      <c r="AL785" s="262"/>
      <c r="AM785" s="262"/>
      <c r="AN785" s="262"/>
      <c r="AO785" s="262"/>
      <c r="AP785" s="262"/>
      <c r="AQ785" s="262"/>
      <c r="AR785" s="262"/>
      <c r="AS785" s="262"/>
      <c r="AT785" s="262"/>
      <c r="AU785" s="262"/>
      <c r="AV785" s="262"/>
      <c r="AW785" s="262"/>
      <c r="AX785" s="262"/>
      <c r="AY785" s="262"/>
      <c r="AZ785" s="262"/>
      <c r="BA785" s="262"/>
      <c r="BB785" s="262"/>
      <c r="BC785" s="262"/>
    </row>
    <row r="786" spans="2:55" ht="16.5">
      <c r="B786" s="254">
        <v>46174</v>
      </c>
      <c r="C786" s="260" t="s">
        <v>394</v>
      </c>
      <c r="D786" s="260" t="s">
        <v>1389</v>
      </c>
      <c r="E786" s="261" t="s">
        <v>2833</v>
      </c>
      <c r="F786" s="262"/>
      <c r="G786" s="262"/>
      <c r="H786" s="262"/>
      <c r="I786" s="262"/>
      <c r="J786" s="262"/>
      <c r="K786" s="262"/>
      <c r="L786" s="262"/>
      <c r="M786" s="262"/>
      <c r="N786" s="262"/>
      <c r="O786" s="262"/>
      <c r="P786" s="262"/>
      <c r="Q786" s="262"/>
      <c r="R786" s="262"/>
      <c r="S786" s="262"/>
      <c r="T786" s="262"/>
      <c r="U786" s="262"/>
      <c r="V786" s="262"/>
      <c r="W786" s="262"/>
      <c r="X786" s="262"/>
      <c r="Y786" s="262"/>
      <c r="Z786" s="263"/>
      <c r="AA786" s="263"/>
      <c r="AB786" s="262"/>
      <c r="AC786" s="262"/>
      <c r="AD786" s="262"/>
      <c r="AE786" s="262"/>
      <c r="AF786" s="262"/>
      <c r="AG786" s="262"/>
      <c r="AH786" s="262"/>
      <c r="AI786" s="262"/>
      <c r="AJ786" s="262"/>
      <c r="AK786" s="262"/>
      <c r="AL786" s="262"/>
      <c r="AM786" s="262"/>
      <c r="AN786" s="262"/>
      <c r="AO786" s="262"/>
      <c r="AP786" s="262"/>
      <c r="AQ786" s="262"/>
      <c r="AR786" s="262"/>
      <c r="AS786" s="262"/>
      <c r="AT786" s="262"/>
      <c r="AU786" s="262"/>
      <c r="AV786" s="262"/>
      <c r="AW786" s="262"/>
      <c r="AX786" s="262"/>
      <c r="AY786" s="262"/>
      <c r="AZ786" s="262"/>
      <c r="BA786" s="262"/>
      <c r="BB786" s="262"/>
      <c r="BC786" s="262"/>
    </row>
    <row r="787" spans="2:55" ht="16.5">
      <c r="B787" s="254">
        <v>46174</v>
      </c>
      <c r="C787" s="260" t="s">
        <v>394</v>
      </c>
      <c r="D787" s="260" t="s">
        <v>1390</v>
      </c>
      <c r="E787" s="261" t="s">
        <v>2834</v>
      </c>
      <c r="F787" s="262"/>
      <c r="G787" s="262"/>
      <c r="H787" s="262"/>
      <c r="I787" s="262"/>
      <c r="J787" s="262"/>
      <c r="K787" s="262"/>
      <c r="L787" s="262"/>
      <c r="M787" s="262"/>
      <c r="N787" s="262"/>
      <c r="O787" s="262"/>
      <c r="P787" s="262"/>
      <c r="Q787" s="262"/>
      <c r="R787" s="262"/>
      <c r="S787" s="262"/>
      <c r="T787" s="262"/>
      <c r="U787" s="262"/>
      <c r="V787" s="262"/>
      <c r="W787" s="262"/>
      <c r="X787" s="262"/>
      <c r="Y787" s="262"/>
      <c r="Z787" s="263"/>
      <c r="AA787" s="263"/>
      <c r="AB787" s="262"/>
      <c r="AC787" s="262"/>
      <c r="AD787" s="262"/>
      <c r="AE787" s="262"/>
      <c r="AF787" s="262"/>
      <c r="AG787" s="262"/>
      <c r="AH787" s="262"/>
      <c r="AI787" s="262"/>
      <c r="AJ787" s="262"/>
      <c r="AK787" s="262"/>
      <c r="AL787" s="262"/>
      <c r="AM787" s="262"/>
      <c r="AN787" s="262"/>
      <c r="AO787" s="262"/>
      <c r="AP787" s="262"/>
      <c r="AQ787" s="262"/>
      <c r="AR787" s="262"/>
      <c r="AS787" s="262"/>
      <c r="AT787" s="262"/>
      <c r="AU787" s="262"/>
      <c r="AV787" s="262"/>
      <c r="AW787" s="262"/>
      <c r="AX787" s="262"/>
      <c r="AY787" s="262"/>
      <c r="AZ787" s="262"/>
      <c r="BA787" s="262"/>
      <c r="BB787" s="262"/>
      <c r="BC787" s="262"/>
    </row>
    <row r="788" spans="2:55" ht="16.5">
      <c r="B788" s="254">
        <v>46174</v>
      </c>
      <c r="C788" s="260" t="s">
        <v>394</v>
      </c>
      <c r="D788" s="260" t="s">
        <v>1391</v>
      </c>
      <c r="E788" s="261" t="s">
        <v>2835</v>
      </c>
      <c r="F788" s="262"/>
      <c r="G788" s="262"/>
      <c r="H788" s="262"/>
      <c r="I788" s="262"/>
      <c r="J788" s="262"/>
      <c r="K788" s="262"/>
      <c r="L788" s="262"/>
      <c r="M788" s="262"/>
      <c r="N788" s="262"/>
      <c r="O788" s="262"/>
      <c r="P788" s="262"/>
      <c r="Q788" s="262"/>
      <c r="R788" s="262"/>
      <c r="S788" s="262"/>
      <c r="T788" s="262"/>
      <c r="U788" s="262"/>
      <c r="V788" s="262"/>
      <c r="W788" s="262"/>
      <c r="X788" s="262"/>
      <c r="Y788" s="262"/>
      <c r="Z788" s="263"/>
      <c r="AA788" s="263"/>
      <c r="AB788" s="262"/>
      <c r="AC788" s="262"/>
      <c r="AD788" s="262"/>
      <c r="AE788" s="262"/>
      <c r="AF788" s="262"/>
      <c r="AG788" s="262"/>
      <c r="AH788" s="262"/>
      <c r="AI788" s="262"/>
      <c r="AJ788" s="262"/>
      <c r="AK788" s="262"/>
      <c r="AL788" s="262"/>
      <c r="AM788" s="262"/>
      <c r="AN788" s="262"/>
      <c r="AO788" s="262"/>
      <c r="AP788" s="262"/>
      <c r="AQ788" s="262"/>
      <c r="AR788" s="262"/>
      <c r="AS788" s="262"/>
      <c r="AT788" s="262"/>
      <c r="AU788" s="262"/>
      <c r="AV788" s="262"/>
      <c r="AW788" s="262"/>
      <c r="AX788" s="262"/>
      <c r="AY788" s="262"/>
      <c r="AZ788" s="262"/>
      <c r="BA788" s="262"/>
      <c r="BB788" s="262"/>
      <c r="BC788" s="262"/>
    </row>
    <row r="789" spans="2:55" ht="16.5">
      <c r="B789" s="254">
        <v>46174</v>
      </c>
      <c r="C789" s="260" t="s">
        <v>394</v>
      </c>
      <c r="D789" s="260" t="s">
        <v>1392</v>
      </c>
      <c r="E789" s="261" t="s">
        <v>2836</v>
      </c>
      <c r="F789" s="262"/>
      <c r="G789" s="262"/>
      <c r="H789" s="262"/>
      <c r="I789" s="262"/>
      <c r="J789" s="262"/>
      <c r="K789" s="262"/>
      <c r="L789" s="262"/>
      <c r="M789" s="262"/>
      <c r="N789" s="262"/>
      <c r="O789" s="262"/>
      <c r="P789" s="262"/>
      <c r="Q789" s="262"/>
      <c r="R789" s="262"/>
      <c r="S789" s="262"/>
      <c r="T789" s="262"/>
      <c r="U789" s="262"/>
      <c r="V789" s="262"/>
      <c r="W789" s="262"/>
      <c r="X789" s="262"/>
      <c r="Y789" s="262"/>
      <c r="Z789" s="263"/>
      <c r="AA789" s="263"/>
      <c r="AB789" s="262"/>
      <c r="AC789" s="262"/>
      <c r="AD789" s="262"/>
      <c r="AE789" s="262"/>
      <c r="AF789" s="262"/>
      <c r="AG789" s="262"/>
      <c r="AH789" s="262"/>
      <c r="AI789" s="262"/>
      <c r="AJ789" s="262"/>
      <c r="AK789" s="262"/>
      <c r="AL789" s="262"/>
      <c r="AM789" s="262"/>
      <c r="AN789" s="262"/>
      <c r="AO789" s="262"/>
      <c r="AP789" s="262"/>
      <c r="AQ789" s="262"/>
      <c r="AR789" s="262"/>
      <c r="AS789" s="262"/>
      <c r="AT789" s="262"/>
      <c r="AU789" s="262"/>
      <c r="AV789" s="262"/>
      <c r="AW789" s="262"/>
      <c r="AX789" s="262"/>
      <c r="AY789" s="262"/>
      <c r="AZ789" s="262"/>
      <c r="BA789" s="262"/>
      <c r="BB789" s="262"/>
      <c r="BC789" s="262"/>
    </row>
    <row r="790" spans="2:55" ht="16.5">
      <c r="B790" s="254">
        <v>46174</v>
      </c>
      <c r="C790" s="260" t="s">
        <v>394</v>
      </c>
      <c r="D790" s="260" t="s">
        <v>1393</v>
      </c>
      <c r="E790" s="261" t="s">
        <v>2837</v>
      </c>
      <c r="F790" s="262"/>
      <c r="G790" s="262"/>
      <c r="H790" s="262"/>
      <c r="I790" s="262"/>
      <c r="J790" s="262"/>
      <c r="K790" s="262"/>
      <c r="L790" s="262"/>
      <c r="M790" s="262"/>
      <c r="N790" s="262"/>
      <c r="O790" s="262"/>
      <c r="P790" s="262"/>
      <c r="Q790" s="262"/>
      <c r="R790" s="262"/>
      <c r="S790" s="262"/>
      <c r="T790" s="262"/>
      <c r="U790" s="262"/>
      <c r="V790" s="262"/>
      <c r="W790" s="262"/>
      <c r="X790" s="262"/>
      <c r="Y790" s="262"/>
      <c r="Z790" s="263"/>
      <c r="AA790" s="263"/>
      <c r="AB790" s="262"/>
      <c r="AC790" s="262"/>
      <c r="AD790" s="262"/>
      <c r="AE790" s="262"/>
      <c r="AF790" s="262"/>
      <c r="AG790" s="262"/>
      <c r="AH790" s="262"/>
      <c r="AI790" s="262"/>
      <c r="AJ790" s="262"/>
      <c r="AK790" s="262"/>
      <c r="AL790" s="262"/>
      <c r="AM790" s="262"/>
      <c r="AN790" s="262"/>
      <c r="AO790" s="262"/>
      <c r="AP790" s="262"/>
      <c r="AQ790" s="262"/>
      <c r="AR790" s="262"/>
      <c r="AS790" s="262"/>
      <c r="AT790" s="262"/>
      <c r="AU790" s="262"/>
      <c r="AV790" s="262"/>
      <c r="AW790" s="262"/>
      <c r="AX790" s="262"/>
      <c r="AY790" s="262"/>
      <c r="AZ790" s="262"/>
      <c r="BA790" s="262"/>
      <c r="BB790" s="262"/>
      <c r="BC790" s="262"/>
    </row>
    <row r="791" spans="2:55" ht="16.5">
      <c r="B791" s="254">
        <v>46174</v>
      </c>
      <c r="C791" s="260" t="s">
        <v>394</v>
      </c>
      <c r="D791" s="260" t="s">
        <v>1394</v>
      </c>
      <c r="E791" s="261" t="s">
        <v>2838</v>
      </c>
      <c r="F791" s="262"/>
      <c r="G791" s="262"/>
      <c r="H791" s="262"/>
      <c r="I791" s="262"/>
      <c r="J791" s="262"/>
      <c r="K791" s="262"/>
      <c r="L791" s="262"/>
      <c r="M791" s="262"/>
      <c r="N791" s="262"/>
      <c r="O791" s="262"/>
      <c r="P791" s="262"/>
      <c r="Q791" s="262"/>
      <c r="R791" s="262"/>
      <c r="S791" s="262"/>
      <c r="T791" s="262"/>
      <c r="U791" s="262"/>
      <c r="V791" s="262"/>
      <c r="W791" s="262"/>
      <c r="X791" s="262"/>
      <c r="Y791" s="262"/>
      <c r="Z791" s="263"/>
      <c r="AA791" s="263"/>
      <c r="AB791" s="262"/>
      <c r="AC791" s="262"/>
      <c r="AD791" s="262"/>
      <c r="AE791" s="262"/>
      <c r="AF791" s="262"/>
      <c r="AG791" s="262"/>
      <c r="AH791" s="262"/>
      <c r="AI791" s="262"/>
      <c r="AJ791" s="262"/>
      <c r="AK791" s="262"/>
      <c r="AL791" s="262"/>
      <c r="AM791" s="262"/>
      <c r="AN791" s="262"/>
      <c r="AO791" s="262"/>
      <c r="AP791" s="262"/>
      <c r="AQ791" s="262"/>
      <c r="AR791" s="262"/>
      <c r="AS791" s="262"/>
      <c r="AT791" s="262"/>
      <c r="AU791" s="262"/>
      <c r="AV791" s="262"/>
      <c r="AW791" s="262"/>
      <c r="AX791" s="262"/>
      <c r="AY791" s="262"/>
      <c r="AZ791" s="262"/>
      <c r="BA791" s="262"/>
      <c r="BB791" s="262"/>
      <c r="BC791" s="262"/>
    </row>
    <row r="792" spans="2:55" ht="16.5">
      <c r="B792" s="254">
        <v>46174</v>
      </c>
      <c r="C792" s="260" t="s">
        <v>394</v>
      </c>
      <c r="D792" s="260" t="s">
        <v>1395</v>
      </c>
      <c r="E792" s="261" t="s">
        <v>2839</v>
      </c>
      <c r="F792" s="262"/>
      <c r="G792" s="262"/>
      <c r="H792" s="262"/>
      <c r="I792" s="262"/>
      <c r="J792" s="262"/>
      <c r="K792" s="262"/>
      <c r="L792" s="262"/>
      <c r="M792" s="262"/>
      <c r="N792" s="262"/>
      <c r="O792" s="262"/>
      <c r="P792" s="262"/>
      <c r="Q792" s="262"/>
      <c r="R792" s="262"/>
      <c r="S792" s="262"/>
      <c r="T792" s="262"/>
      <c r="U792" s="262"/>
      <c r="V792" s="262"/>
      <c r="W792" s="262"/>
      <c r="X792" s="262"/>
      <c r="Y792" s="262"/>
      <c r="Z792" s="263"/>
      <c r="AA792" s="263"/>
      <c r="AB792" s="262"/>
      <c r="AC792" s="262"/>
      <c r="AD792" s="262"/>
      <c r="AE792" s="262"/>
      <c r="AF792" s="262"/>
      <c r="AG792" s="262"/>
      <c r="AH792" s="262"/>
      <c r="AI792" s="262"/>
      <c r="AJ792" s="262"/>
      <c r="AK792" s="262"/>
      <c r="AL792" s="262"/>
      <c r="AM792" s="262"/>
      <c r="AN792" s="262"/>
      <c r="AO792" s="262"/>
      <c r="AP792" s="262"/>
      <c r="AQ792" s="262"/>
      <c r="AR792" s="262"/>
      <c r="AS792" s="262"/>
      <c r="AT792" s="262"/>
      <c r="AU792" s="262"/>
      <c r="AV792" s="262"/>
      <c r="AW792" s="262"/>
      <c r="AX792" s="262"/>
      <c r="AY792" s="262"/>
      <c r="AZ792" s="262"/>
      <c r="BA792" s="262"/>
      <c r="BB792" s="262"/>
      <c r="BC792" s="262"/>
    </row>
    <row r="793" spans="2:55" ht="16.5">
      <c r="B793" s="254">
        <v>46174</v>
      </c>
      <c r="C793" s="260" t="s">
        <v>394</v>
      </c>
      <c r="D793" s="264" t="s">
        <v>1396</v>
      </c>
      <c r="E793" s="265" t="s">
        <v>2840</v>
      </c>
      <c r="F793" s="262"/>
      <c r="G793" s="262"/>
      <c r="H793" s="262"/>
      <c r="I793" s="262"/>
      <c r="J793" s="262"/>
      <c r="K793" s="262"/>
      <c r="L793" s="262"/>
      <c r="M793" s="262"/>
      <c r="N793" s="262"/>
      <c r="O793" s="262"/>
      <c r="P793" s="262"/>
      <c r="Q793" s="262"/>
      <c r="R793" s="262"/>
      <c r="S793" s="262"/>
      <c r="T793" s="262"/>
      <c r="U793" s="262"/>
      <c r="V793" s="262"/>
      <c r="W793" s="262"/>
      <c r="X793" s="262"/>
      <c r="Y793" s="262"/>
      <c r="Z793" s="263"/>
      <c r="AA793" s="263"/>
      <c r="AB793" s="262"/>
      <c r="AC793" s="262"/>
      <c r="AD793" s="262"/>
      <c r="AE793" s="262"/>
      <c r="AF793" s="262"/>
      <c r="AG793" s="262"/>
      <c r="AH793" s="262"/>
      <c r="AI793" s="262"/>
      <c r="AJ793" s="262"/>
      <c r="AK793" s="262"/>
      <c r="AL793" s="262"/>
      <c r="AM793" s="262"/>
      <c r="AN793" s="262"/>
      <c r="AO793" s="262"/>
      <c r="AP793" s="262"/>
      <c r="AQ793" s="262"/>
      <c r="AR793" s="262"/>
      <c r="AS793" s="262"/>
      <c r="AT793" s="262"/>
      <c r="AU793" s="262"/>
      <c r="AV793" s="262"/>
      <c r="AW793" s="262"/>
      <c r="AX793" s="262"/>
      <c r="AY793" s="262"/>
      <c r="AZ793" s="262"/>
      <c r="BA793" s="262"/>
      <c r="BB793" s="262"/>
      <c r="BC793" s="262"/>
    </row>
    <row r="794" spans="2:55" ht="16.5">
      <c r="B794" s="254">
        <v>46174</v>
      </c>
      <c r="C794" s="260" t="s">
        <v>394</v>
      </c>
      <c r="D794" s="264" t="s">
        <v>1397</v>
      </c>
      <c r="E794" s="265" t="s">
        <v>2841</v>
      </c>
      <c r="F794" s="262"/>
      <c r="G794" s="262"/>
      <c r="H794" s="262"/>
      <c r="I794" s="262"/>
      <c r="J794" s="262"/>
      <c r="K794" s="262"/>
      <c r="L794" s="262"/>
      <c r="M794" s="262"/>
      <c r="N794" s="262"/>
      <c r="O794" s="262"/>
      <c r="P794" s="262"/>
      <c r="Q794" s="262"/>
      <c r="R794" s="262"/>
      <c r="S794" s="262"/>
      <c r="T794" s="262"/>
      <c r="U794" s="262"/>
      <c r="V794" s="262"/>
      <c r="W794" s="262"/>
      <c r="X794" s="262"/>
      <c r="Y794" s="262"/>
      <c r="Z794" s="263"/>
      <c r="AA794" s="263"/>
      <c r="AB794" s="262"/>
      <c r="AC794" s="262"/>
      <c r="AD794" s="262"/>
      <c r="AE794" s="262"/>
      <c r="AF794" s="262"/>
      <c r="AG794" s="262"/>
      <c r="AH794" s="262"/>
      <c r="AI794" s="262"/>
      <c r="AJ794" s="262"/>
      <c r="AK794" s="262"/>
      <c r="AL794" s="262"/>
      <c r="AM794" s="262"/>
      <c r="AN794" s="262"/>
      <c r="AO794" s="262"/>
      <c r="AP794" s="262"/>
      <c r="AQ794" s="262"/>
      <c r="AR794" s="262"/>
      <c r="AS794" s="262"/>
      <c r="AT794" s="262"/>
      <c r="AU794" s="262"/>
      <c r="AV794" s="262"/>
      <c r="AW794" s="262"/>
      <c r="AX794" s="262"/>
      <c r="AY794" s="262"/>
      <c r="AZ794" s="262"/>
      <c r="BA794" s="262"/>
      <c r="BB794" s="262"/>
      <c r="BC794" s="262"/>
    </row>
    <row r="795" spans="2:55" ht="30">
      <c r="B795" s="254">
        <v>46174</v>
      </c>
      <c r="C795" s="260" t="s">
        <v>394</v>
      </c>
      <c r="D795" s="264" t="s">
        <v>1398</v>
      </c>
      <c r="E795" s="266" t="s">
        <v>1399</v>
      </c>
      <c r="F795" s="262"/>
      <c r="G795" s="262"/>
      <c r="H795" s="262"/>
      <c r="I795" s="262"/>
      <c r="J795" s="262"/>
      <c r="K795" s="262"/>
      <c r="L795" s="262"/>
      <c r="M795" s="262"/>
      <c r="N795" s="262"/>
      <c r="O795" s="262"/>
      <c r="P795" s="262"/>
      <c r="Q795" s="262"/>
      <c r="R795" s="262"/>
      <c r="S795" s="262"/>
      <c r="T795" s="262"/>
      <c r="U795" s="262"/>
      <c r="V795" s="262"/>
      <c r="W795" s="262"/>
      <c r="X795" s="262"/>
      <c r="Y795" s="262"/>
      <c r="Z795" s="263"/>
      <c r="AA795" s="263"/>
      <c r="AB795" s="262"/>
      <c r="AC795" s="262"/>
      <c r="AD795" s="262"/>
      <c r="AE795" s="262"/>
      <c r="AF795" s="262"/>
      <c r="AG795" s="262"/>
      <c r="AH795" s="262"/>
      <c r="AI795" s="262"/>
      <c r="AJ795" s="262"/>
      <c r="AK795" s="262"/>
      <c r="AL795" s="262"/>
      <c r="AM795" s="262"/>
      <c r="AN795" s="262"/>
      <c r="AO795" s="262"/>
      <c r="AP795" s="262"/>
      <c r="AQ795" s="262"/>
      <c r="AR795" s="262"/>
      <c r="AS795" s="262"/>
      <c r="AT795" s="262"/>
      <c r="AU795" s="262"/>
      <c r="AV795" s="262"/>
      <c r="AW795" s="262"/>
      <c r="AX795" s="262"/>
      <c r="AY795" s="262"/>
      <c r="AZ795" s="262"/>
      <c r="BA795" s="262"/>
      <c r="BB795" s="262"/>
      <c r="BC795" s="262"/>
    </row>
    <row r="796" spans="2:55" ht="16.5">
      <c r="B796" s="254">
        <v>46174</v>
      </c>
      <c r="C796" s="260" t="s">
        <v>394</v>
      </c>
      <c r="D796" s="264" t="s">
        <v>1400</v>
      </c>
      <c r="E796" s="265" t="s">
        <v>2842</v>
      </c>
      <c r="F796" s="262"/>
      <c r="G796" s="262"/>
      <c r="H796" s="262"/>
      <c r="I796" s="262"/>
      <c r="J796" s="262"/>
      <c r="K796" s="262"/>
      <c r="L796" s="262"/>
      <c r="M796" s="262"/>
      <c r="N796" s="262"/>
      <c r="O796" s="262"/>
      <c r="P796" s="262"/>
      <c r="Q796" s="262"/>
      <c r="R796" s="262"/>
      <c r="S796" s="262"/>
      <c r="T796" s="262"/>
      <c r="U796" s="262"/>
      <c r="V796" s="262"/>
      <c r="W796" s="262"/>
      <c r="X796" s="262"/>
      <c r="Y796" s="262"/>
      <c r="Z796" s="263"/>
      <c r="AA796" s="263"/>
      <c r="AB796" s="262"/>
      <c r="AC796" s="262"/>
      <c r="AD796" s="262"/>
      <c r="AE796" s="262"/>
      <c r="AF796" s="262"/>
      <c r="AG796" s="262"/>
      <c r="AH796" s="262"/>
      <c r="AI796" s="262"/>
      <c r="AJ796" s="262"/>
      <c r="AK796" s="262"/>
      <c r="AL796" s="262"/>
      <c r="AM796" s="262"/>
      <c r="AN796" s="262"/>
      <c r="AO796" s="262"/>
      <c r="AP796" s="262"/>
      <c r="AQ796" s="262"/>
      <c r="AR796" s="262"/>
      <c r="AS796" s="262"/>
      <c r="AT796" s="262"/>
      <c r="AU796" s="262"/>
      <c r="AV796" s="262"/>
      <c r="AW796" s="262"/>
      <c r="AX796" s="262"/>
      <c r="AY796" s="262"/>
      <c r="AZ796" s="262"/>
      <c r="BA796" s="262"/>
      <c r="BB796" s="262"/>
      <c r="BC796" s="262"/>
    </row>
    <row r="797" spans="2:55" ht="16.5">
      <c r="B797" s="254">
        <v>46174</v>
      </c>
      <c r="C797" s="260" t="s">
        <v>394</v>
      </c>
      <c r="D797" s="264" t="s">
        <v>1401</v>
      </c>
      <c r="E797" s="265" t="s">
        <v>2843</v>
      </c>
      <c r="F797" s="262"/>
      <c r="G797" s="262"/>
      <c r="H797" s="262"/>
      <c r="I797" s="262"/>
      <c r="J797" s="262"/>
      <c r="K797" s="262"/>
      <c r="L797" s="262"/>
      <c r="M797" s="262"/>
      <c r="N797" s="262"/>
      <c r="O797" s="262"/>
      <c r="P797" s="262"/>
      <c r="Q797" s="262"/>
      <c r="R797" s="262"/>
      <c r="S797" s="262"/>
      <c r="T797" s="262"/>
      <c r="U797" s="262"/>
      <c r="V797" s="262"/>
      <c r="W797" s="262"/>
      <c r="X797" s="262"/>
      <c r="Y797" s="262"/>
      <c r="Z797" s="263"/>
      <c r="AA797" s="263"/>
      <c r="AB797" s="262"/>
      <c r="AC797" s="262"/>
      <c r="AD797" s="262"/>
      <c r="AE797" s="262"/>
      <c r="AF797" s="262"/>
      <c r="AG797" s="262"/>
      <c r="AH797" s="262"/>
      <c r="AI797" s="262"/>
      <c r="AJ797" s="262"/>
      <c r="AK797" s="262"/>
      <c r="AL797" s="262"/>
      <c r="AM797" s="262"/>
      <c r="AN797" s="262"/>
      <c r="AO797" s="262"/>
      <c r="AP797" s="262"/>
      <c r="AQ797" s="262"/>
      <c r="AR797" s="262"/>
      <c r="AS797" s="262"/>
      <c r="AT797" s="262"/>
      <c r="AU797" s="262"/>
      <c r="AV797" s="262"/>
      <c r="AW797" s="262"/>
      <c r="AX797" s="262"/>
      <c r="AY797" s="262"/>
      <c r="AZ797" s="262"/>
      <c r="BA797" s="262"/>
      <c r="BB797" s="262"/>
      <c r="BC797" s="262"/>
    </row>
    <row r="798" spans="2:55" ht="16.5">
      <c r="B798" s="254">
        <v>46174</v>
      </c>
      <c r="C798" s="260" t="s">
        <v>394</v>
      </c>
      <c r="D798" s="264" t="s">
        <v>1402</v>
      </c>
      <c r="E798" s="265" t="s">
        <v>2844</v>
      </c>
      <c r="F798" s="262"/>
      <c r="G798" s="262"/>
      <c r="H798" s="262"/>
      <c r="I798" s="262"/>
      <c r="J798" s="262"/>
      <c r="K798" s="262"/>
      <c r="L798" s="262"/>
      <c r="M798" s="262"/>
      <c r="N798" s="262"/>
      <c r="O798" s="262"/>
      <c r="P798" s="262"/>
      <c r="Q798" s="262"/>
      <c r="R798" s="262"/>
      <c r="S798" s="262"/>
      <c r="T798" s="262"/>
      <c r="U798" s="262"/>
      <c r="V798" s="262"/>
      <c r="W798" s="262"/>
      <c r="X798" s="262"/>
      <c r="Y798" s="262"/>
      <c r="Z798" s="263"/>
      <c r="AA798" s="263"/>
      <c r="AB798" s="262"/>
      <c r="AC798" s="262"/>
      <c r="AD798" s="262"/>
      <c r="AE798" s="262"/>
      <c r="AF798" s="262"/>
      <c r="AG798" s="262"/>
      <c r="AH798" s="262"/>
      <c r="AI798" s="262"/>
      <c r="AJ798" s="262"/>
      <c r="AK798" s="262"/>
      <c r="AL798" s="262"/>
      <c r="AM798" s="262"/>
      <c r="AN798" s="262"/>
      <c r="AO798" s="262"/>
      <c r="AP798" s="262"/>
      <c r="AQ798" s="262"/>
      <c r="AR798" s="262"/>
      <c r="AS798" s="262"/>
      <c r="AT798" s="262"/>
      <c r="AU798" s="262"/>
      <c r="AV798" s="262"/>
      <c r="AW798" s="262"/>
      <c r="AX798" s="262"/>
      <c r="AY798" s="262"/>
      <c r="AZ798" s="262"/>
      <c r="BA798" s="262"/>
      <c r="BB798" s="262"/>
      <c r="BC798" s="262"/>
    </row>
    <row r="799" spans="2:55" ht="16.5">
      <c r="B799" s="254">
        <v>46174</v>
      </c>
      <c r="C799" s="260" t="s">
        <v>394</v>
      </c>
      <c r="D799" s="267" t="s">
        <v>1403</v>
      </c>
      <c r="E799" s="265" t="s">
        <v>2845</v>
      </c>
      <c r="F799" s="262"/>
      <c r="G799" s="262"/>
      <c r="H799" s="262"/>
      <c r="I799" s="262"/>
      <c r="J799" s="262"/>
      <c r="K799" s="262"/>
      <c r="L799" s="262"/>
      <c r="M799" s="262"/>
      <c r="N799" s="262"/>
      <c r="O799" s="262"/>
      <c r="P799" s="262"/>
      <c r="Q799" s="262"/>
      <c r="R799" s="262"/>
      <c r="S799" s="262"/>
      <c r="T799" s="262"/>
      <c r="U799" s="262"/>
      <c r="V799" s="262"/>
      <c r="W799" s="262"/>
      <c r="X799" s="262"/>
      <c r="Y799" s="262"/>
      <c r="Z799" s="263"/>
      <c r="AA799" s="263"/>
      <c r="AB799" s="262"/>
      <c r="AC799" s="262"/>
      <c r="AD799" s="262"/>
      <c r="AE799" s="262"/>
      <c r="AF799" s="262"/>
      <c r="AG799" s="262"/>
      <c r="AH799" s="262"/>
      <c r="AI799" s="262"/>
      <c r="AJ799" s="262"/>
      <c r="AK799" s="262"/>
      <c r="AL799" s="262"/>
      <c r="AM799" s="262"/>
      <c r="AN799" s="262"/>
      <c r="AO799" s="262"/>
      <c r="AP799" s="262"/>
      <c r="AQ799" s="262"/>
      <c r="AR799" s="262"/>
      <c r="AS799" s="262"/>
      <c r="AT799" s="262"/>
      <c r="AU799" s="262"/>
      <c r="AV799" s="262"/>
      <c r="AW799" s="262"/>
      <c r="AX799" s="262"/>
      <c r="AY799" s="262"/>
      <c r="AZ799" s="262"/>
      <c r="BA799" s="262"/>
      <c r="BB799" s="262"/>
      <c r="BC799" s="262"/>
    </row>
    <row r="800" spans="2:55" ht="16.5">
      <c r="B800" s="254">
        <v>46174</v>
      </c>
      <c r="C800" s="260" t="s">
        <v>394</v>
      </c>
      <c r="D800" s="267" t="s">
        <v>1404</v>
      </c>
      <c r="E800" s="265" t="s">
        <v>2846</v>
      </c>
      <c r="F800" s="262"/>
      <c r="G800" s="262"/>
      <c r="H800" s="262"/>
      <c r="I800" s="262"/>
      <c r="J800" s="262"/>
      <c r="K800" s="262"/>
      <c r="L800" s="262"/>
      <c r="M800" s="262"/>
      <c r="N800" s="262"/>
      <c r="O800" s="262"/>
      <c r="P800" s="262"/>
      <c r="Q800" s="262"/>
      <c r="R800" s="262"/>
      <c r="S800" s="262"/>
      <c r="T800" s="262"/>
      <c r="U800" s="262"/>
      <c r="V800" s="262"/>
      <c r="W800" s="262"/>
      <c r="X800" s="262"/>
      <c r="Y800" s="262"/>
      <c r="Z800" s="263"/>
      <c r="AA800" s="263"/>
      <c r="AB800" s="262"/>
      <c r="AC800" s="262"/>
      <c r="AD800" s="262"/>
      <c r="AE800" s="262"/>
      <c r="AF800" s="262"/>
      <c r="AG800" s="262"/>
      <c r="AH800" s="262"/>
      <c r="AI800" s="262"/>
      <c r="AJ800" s="262"/>
      <c r="AK800" s="262"/>
      <c r="AL800" s="262"/>
      <c r="AM800" s="262"/>
      <c r="AN800" s="262"/>
      <c r="AO800" s="262"/>
      <c r="AP800" s="262"/>
      <c r="AQ800" s="262"/>
      <c r="AR800" s="262"/>
      <c r="AS800" s="262"/>
      <c r="AT800" s="262"/>
      <c r="AU800" s="262"/>
      <c r="AV800" s="262"/>
      <c r="AW800" s="262"/>
      <c r="AX800" s="262"/>
      <c r="AY800" s="262"/>
      <c r="AZ800" s="262"/>
      <c r="BA800" s="262"/>
      <c r="BB800" s="262"/>
      <c r="BC800" s="262"/>
    </row>
    <row r="801" spans="2:55" ht="16.5">
      <c r="B801" s="254">
        <v>46174</v>
      </c>
      <c r="C801" s="260" t="s">
        <v>394</v>
      </c>
      <c r="D801" s="267" t="s">
        <v>1405</v>
      </c>
      <c r="E801" s="265" t="s">
        <v>2847</v>
      </c>
      <c r="F801" s="262"/>
      <c r="G801" s="262"/>
      <c r="H801" s="262"/>
      <c r="I801" s="262"/>
      <c r="J801" s="262"/>
      <c r="K801" s="262"/>
      <c r="L801" s="262"/>
      <c r="M801" s="262"/>
      <c r="N801" s="262"/>
      <c r="O801" s="262"/>
      <c r="P801" s="262"/>
      <c r="Q801" s="262"/>
      <c r="R801" s="262"/>
      <c r="S801" s="262"/>
      <c r="T801" s="262"/>
      <c r="U801" s="262"/>
      <c r="V801" s="262"/>
      <c r="W801" s="262"/>
      <c r="X801" s="262"/>
      <c r="Y801" s="262"/>
      <c r="Z801" s="263"/>
      <c r="AA801" s="263"/>
      <c r="AB801" s="262"/>
      <c r="AC801" s="262"/>
      <c r="AD801" s="262"/>
      <c r="AE801" s="262"/>
      <c r="AF801" s="262"/>
      <c r="AG801" s="262"/>
      <c r="AH801" s="262"/>
      <c r="AI801" s="262"/>
      <c r="AJ801" s="262"/>
      <c r="AK801" s="262"/>
      <c r="AL801" s="262"/>
      <c r="AM801" s="262"/>
      <c r="AN801" s="262"/>
      <c r="AO801" s="262"/>
      <c r="AP801" s="262"/>
      <c r="AQ801" s="262"/>
      <c r="AR801" s="262"/>
      <c r="AS801" s="262"/>
      <c r="AT801" s="262"/>
      <c r="AU801" s="262"/>
      <c r="AV801" s="262"/>
      <c r="AW801" s="262"/>
      <c r="AX801" s="262"/>
      <c r="AY801" s="262"/>
      <c r="AZ801" s="262"/>
      <c r="BA801" s="262"/>
      <c r="BB801" s="262"/>
      <c r="BC801" s="262"/>
    </row>
    <row r="802" spans="2:55" ht="16.5">
      <c r="B802" s="254">
        <v>46174</v>
      </c>
      <c r="C802" s="260" t="s">
        <v>394</v>
      </c>
      <c r="D802" s="267" t="s">
        <v>1406</v>
      </c>
      <c r="E802" s="265" t="s">
        <v>2848</v>
      </c>
      <c r="F802" s="262"/>
      <c r="G802" s="262"/>
      <c r="H802" s="262"/>
      <c r="I802" s="262"/>
      <c r="J802" s="262"/>
      <c r="K802" s="262"/>
      <c r="L802" s="262"/>
      <c r="M802" s="262"/>
      <c r="N802" s="262"/>
      <c r="O802" s="262"/>
      <c r="P802" s="262"/>
      <c r="Q802" s="262"/>
      <c r="R802" s="262"/>
      <c r="S802" s="262"/>
      <c r="T802" s="262"/>
      <c r="U802" s="262"/>
      <c r="V802" s="262"/>
      <c r="W802" s="262"/>
      <c r="X802" s="262"/>
      <c r="Y802" s="262"/>
      <c r="Z802" s="263"/>
      <c r="AA802" s="263"/>
      <c r="AB802" s="262"/>
      <c r="AC802" s="262"/>
      <c r="AD802" s="262"/>
      <c r="AE802" s="262"/>
      <c r="AF802" s="262"/>
      <c r="AG802" s="262"/>
      <c r="AH802" s="262"/>
      <c r="AI802" s="262"/>
      <c r="AJ802" s="262"/>
      <c r="AK802" s="262"/>
      <c r="AL802" s="262"/>
      <c r="AM802" s="262"/>
      <c r="AN802" s="262"/>
      <c r="AO802" s="262"/>
      <c r="AP802" s="262"/>
      <c r="AQ802" s="262"/>
      <c r="AR802" s="262"/>
      <c r="AS802" s="262"/>
      <c r="AT802" s="262"/>
      <c r="AU802" s="262"/>
      <c r="AV802" s="262"/>
      <c r="AW802" s="262"/>
      <c r="AX802" s="262"/>
      <c r="AY802" s="262"/>
      <c r="AZ802" s="262"/>
      <c r="BA802" s="262"/>
      <c r="BB802" s="262"/>
      <c r="BC802" s="262"/>
    </row>
    <row r="803" spans="2:55" ht="16.5">
      <c r="B803" s="254">
        <v>46174</v>
      </c>
      <c r="C803" s="260" t="s">
        <v>394</v>
      </c>
      <c r="D803" s="260" t="s">
        <v>1407</v>
      </c>
      <c r="E803" s="265" t="s">
        <v>2849</v>
      </c>
      <c r="F803" s="262"/>
      <c r="G803" s="262"/>
      <c r="H803" s="262"/>
      <c r="I803" s="262"/>
      <c r="J803" s="262"/>
      <c r="K803" s="262"/>
      <c r="L803" s="262"/>
      <c r="M803" s="262"/>
      <c r="N803" s="262"/>
      <c r="O803" s="262"/>
      <c r="P803" s="262"/>
      <c r="Q803" s="262"/>
      <c r="R803" s="262"/>
      <c r="S803" s="262"/>
      <c r="T803" s="262"/>
      <c r="U803" s="262"/>
      <c r="V803" s="262"/>
      <c r="W803" s="262"/>
      <c r="X803" s="262"/>
      <c r="Y803" s="262"/>
      <c r="Z803" s="263"/>
      <c r="AA803" s="263"/>
      <c r="AB803" s="262"/>
      <c r="AC803" s="262"/>
      <c r="AD803" s="262"/>
      <c r="AE803" s="262"/>
      <c r="AF803" s="262"/>
      <c r="AG803" s="262"/>
      <c r="AH803" s="262"/>
      <c r="AI803" s="262"/>
      <c r="AJ803" s="262"/>
      <c r="AK803" s="262"/>
      <c r="AL803" s="262"/>
      <c r="AM803" s="262"/>
      <c r="AN803" s="262"/>
      <c r="AO803" s="262"/>
      <c r="AP803" s="262"/>
      <c r="AQ803" s="262"/>
      <c r="AR803" s="262"/>
      <c r="AS803" s="262"/>
      <c r="AT803" s="262"/>
      <c r="AU803" s="262"/>
      <c r="AV803" s="262"/>
      <c r="AW803" s="262"/>
      <c r="AX803" s="262"/>
      <c r="AY803" s="262"/>
      <c r="AZ803" s="262"/>
      <c r="BA803" s="262"/>
      <c r="BB803" s="262"/>
      <c r="BC803" s="262"/>
    </row>
    <row r="804" spans="2:55" ht="16.5">
      <c r="B804" s="254">
        <v>46174</v>
      </c>
      <c r="C804" s="260" t="s">
        <v>394</v>
      </c>
      <c r="D804" s="260" t="s">
        <v>1408</v>
      </c>
      <c r="E804" s="265" t="s">
        <v>2850</v>
      </c>
      <c r="F804" s="262"/>
      <c r="G804" s="262"/>
      <c r="H804" s="262"/>
      <c r="I804" s="262"/>
      <c r="J804" s="262"/>
      <c r="K804" s="262"/>
      <c r="L804" s="262"/>
      <c r="M804" s="262"/>
      <c r="N804" s="262"/>
      <c r="O804" s="262"/>
      <c r="P804" s="262"/>
      <c r="Q804" s="262"/>
      <c r="R804" s="262"/>
      <c r="S804" s="262"/>
      <c r="T804" s="262"/>
      <c r="U804" s="262"/>
      <c r="V804" s="262"/>
      <c r="W804" s="262"/>
      <c r="X804" s="262"/>
      <c r="Y804" s="262"/>
      <c r="Z804" s="263"/>
      <c r="AA804" s="263"/>
      <c r="AB804" s="262"/>
      <c r="AC804" s="262"/>
      <c r="AD804" s="262"/>
      <c r="AE804" s="262"/>
      <c r="AF804" s="262"/>
      <c r="AG804" s="262"/>
      <c r="AH804" s="262"/>
      <c r="AI804" s="262"/>
      <c r="AJ804" s="262"/>
      <c r="AK804" s="262"/>
      <c r="AL804" s="262"/>
      <c r="AM804" s="262"/>
      <c r="AN804" s="262"/>
      <c r="AO804" s="262"/>
      <c r="AP804" s="262"/>
      <c r="AQ804" s="262"/>
      <c r="AR804" s="262"/>
      <c r="AS804" s="262"/>
      <c r="AT804" s="262"/>
      <c r="AU804" s="262"/>
      <c r="AV804" s="262"/>
      <c r="AW804" s="262"/>
      <c r="AX804" s="262"/>
      <c r="AY804" s="262"/>
      <c r="AZ804" s="262"/>
      <c r="BA804" s="262"/>
      <c r="BB804" s="262"/>
      <c r="BC804" s="262"/>
    </row>
    <row r="805" spans="2:55" ht="16.5">
      <c r="B805" s="254">
        <v>46174</v>
      </c>
      <c r="C805" s="260" t="s">
        <v>394</v>
      </c>
      <c r="D805" s="260" t="s">
        <v>1409</v>
      </c>
      <c r="E805" s="265" t="s">
        <v>2851</v>
      </c>
      <c r="F805" s="262"/>
      <c r="G805" s="262"/>
      <c r="H805" s="262"/>
      <c r="I805" s="262"/>
      <c r="J805" s="262"/>
      <c r="K805" s="262"/>
      <c r="L805" s="262"/>
      <c r="M805" s="262"/>
      <c r="N805" s="262"/>
      <c r="O805" s="262"/>
      <c r="P805" s="262"/>
      <c r="Q805" s="262"/>
      <c r="R805" s="262"/>
      <c r="S805" s="262"/>
      <c r="T805" s="262"/>
      <c r="U805" s="262"/>
      <c r="V805" s="262"/>
      <c r="W805" s="262"/>
      <c r="X805" s="262"/>
      <c r="Y805" s="262"/>
      <c r="Z805" s="263"/>
      <c r="AA805" s="263"/>
      <c r="AB805" s="262"/>
      <c r="AC805" s="262"/>
      <c r="AD805" s="262"/>
      <c r="AE805" s="262"/>
      <c r="AF805" s="262"/>
      <c r="AG805" s="262"/>
      <c r="AH805" s="262"/>
      <c r="AI805" s="262"/>
      <c r="AJ805" s="262"/>
      <c r="AK805" s="262"/>
      <c r="AL805" s="262"/>
      <c r="AM805" s="262"/>
      <c r="AN805" s="262"/>
      <c r="AO805" s="262"/>
      <c r="AP805" s="262"/>
      <c r="AQ805" s="262"/>
      <c r="AR805" s="262"/>
      <c r="AS805" s="262"/>
      <c r="AT805" s="262"/>
      <c r="AU805" s="262"/>
      <c r="AV805" s="262"/>
      <c r="AW805" s="262"/>
      <c r="AX805" s="262"/>
      <c r="AY805" s="262"/>
      <c r="AZ805" s="262"/>
      <c r="BA805" s="262"/>
      <c r="BB805" s="262"/>
      <c r="BC805" s="262"/>
    </row>
    <row r="806" spans="2:55" ht="16.5">
      <c r="B806" s="254">
        <v>46174</v>
      </c>
      <c r="C806" s="260" t="s">
        <v>394</v>
      </c>
      <c r="D806" s="260" t="s">
        <v>1410</v>
      </c>
      <c r="E806" s="265" t="s">
        <v>2852</v>
      </c>
      <c r="F806" s="262"/>
      <c r="G806" s="262"/>
      <c r="H806" s="262"/>
      <c r="I806" s="262"/>
      <c r="J806" s="262"/>
      <c r="K806" s="262"/>
      <c r="L806" s="262"/>
      <c r="M806" s="262"/>
      <c r="N806" s="262"/>
      <c r="O806" s="262"/>
      <c r="P806" s="262"/>
      <c r="Q806" s="262"/>
      <c r="R806" s="262"/>
      <c r="S806" s="262"/>
      <c r="T806" s="262"/>
      <c r="U806" s="262"/>
      <c r="V806" s="262"/>
      <c r="W806" s="262"/>
      <c r="X806" s="262"/>
      <c r="Y806" s="262"/>
      <c r="Z806" s="263"/>
      <c r="AA806" s="263"/>
      <c r="AB806" s="262"/>
      <c r="AC806" s="262"/>
      <c r="AD806" s="262"/>
      <c r="AE806" s="262"/>
      <c r="AF806" s="262"/>
      <c r="AG806" s="262"/>
      <c r="AH806" s="262"/>
      <c r="AI806" s="262"/>
      <c r="AJ806" s="262"/>
      <c r="AK806" s="262"/>
      <c r="AL806" s="262"/>
      <c r="AM806" s="262"/>
      <c r="AN806" s="262"/>
      <c r="AO806" s="262"/>
      <c r="AP806" s="262"/>
      <c r="AQ806" s="262"/>
      <c r="AR806" s="262"/>
      <c r="AS806" s="262"/>
      <c r="AT806" s="262"/>
      <c r="AU806" s="262"/>
      <c r="AV806" s="262"/>
      <c r="AW806" s="262"/>
      <c r="AX806" s="262"/>
      <c r="AY806" s="262"/>
      <c r="AZ806" s="262"/>
      <c r="BA806" s="262"/>
      <c r="BB806" s="262"/>
      <c r="BC806" s="262"/>
    </row>
    <row r="807" spans="2:55" ht="16.5">
      <c r="B807" s="254">
        <v>46174</v>
      </c>
      <c r="C807" s="260" t="s">
        <v>394</v>
      </c>
      <c r="D807" s="260" t="s">
        <v>1411</v>
      </c>
      <c r="E807" s="265" t="s">
        <v>2853</v>
      </c>
      <c r="F807" s="262"/>
      <c r="G807" s="262"/>
      <c r="H807" s="262"/>
      <c r="I807" s="262"/>
      <c r="J807" s="262"/>
      <c r="K807" s="262"/>
      <c r="L807" s="262"/>
      <c r="M807" s="262"/>
      <c r="N807" s="262"/>
      <c r="O807" s="262"/>
      <c r="P807" s="262"/>
      <c r="Q807" s="262"/>
      <c r="R807" s="262"/>
      <c r="S807" s="262"/>
      <c r="T807" s="262"/>
      <c r="U807" s="262"/>
      <c r="V807" s="262"/>
      <c r="W807" s="262"/>
      <c r="X807" s="262"/>
      <c r="Y807" s="262"/>
      <c r="Z807" s="263"/>
      <c r="AA807" s="263"/>
      <c r="AB807" s="262"/>
      <c r="AC807" s="262"/>
      <c r="AD807" s="262"/>
      <c r="AE807" s="262"/>
      <c r="AF807" s="262"/>
      <c r="AG807" s="262"/>
      <c r="AH807" s="262"/>
      <c r="AI807" s="262"/>
      <c r="AJ807" s="262"/>
      <c r="AK807" s="262"/>
      <c r="AL807" s="262"/>
      <c r="AM807" s="262"/>
      <c r="AN807" s="262"/>
      <c r="AO807" s="262"/>
      <c r="AP807" s="262"/>
      <c r="AQ807" s="262"/>
      <c r="AR807" s="262"/>
      <c r="AS807" s="262"/>
      <c r="AT807" s="262"/>
      <c r="AU807" s="262"/>
      <c r="AV807" s="262"/>
      <c r="AW807" s="262"/>
      <c r="AX807" s="262"/>
      <c r="AY807" s="262"/>
      <c r="AZ807" s="262"/>
      <c r="BA807" s="262"/>
      <c r="BB807" s="262"/>
      <c r="BC807" s="262"/>
    </row>
  </sheetData>
  <autoFilter ref="B21:BC556" xr:uid="{00000000-0009-0000-0000-000004000000}">
    <filterColumn colId="1">
      <filters>
        <filter val="其他"/>
      </filters>
    </filterColumn>
  </autoFilter>
  <mergeCells count="31">
    <mergeCell ref="B2:AQ4"/>
    <mergeCell ref="AZ565:BA565"/>
    <mergeCell ref="B6:B7"/>
    <mergeCell ref="B21:B22"/>
    <mergeCell ref="B565:B566"/>
    <mergeCell ref="C6:C7"/>
    <mergeCell ref="C21:C22"/>
    <mergeCell ref="C565:C566"/>
    <mergeCell ref="D21:D22"/>
    <mergeCell ref="D565:D566"/>
    <mergeCell ref="E21:E22"/>
    <mergeCell ref="E565:E566"/>
    <mergeCell ref="D6:E7"/>
    <mergeCell ref="D8:E19"/>
    <mergeCell ref="F565:P565"/>
    <mergeCell ref="Q565:AA565"/>
    <mergeCell ref="AB565:AL565"/>
    <mergeCell ref="AM565:AW565"/>
    <mergeCell ref="AX565:AY565"/>
    <mergeCell ref="AZ6:BA6"/>
    <mergeCell ref="F21:P21"/>
    <mergeCell ref="Q21:AA21"/>
    <mergeCell ref="AB21:AL21"/>
    <mergeCell ref="AM21:AW21"/>
    <mergeCell ref="AX21:AY21"/>
    <mergeCell ref="AZ21:BA21"/>
    <mergeCell ref="F6:P6"/>
    <mergeCell ref="Q6:AA6"/>
    <mergeCell ref="AB6:AL6"/>
    <mergeCell ref="AM6:AW6"/>
    <mergeCell ref="AX6:AY6"/>
  </mergeCells>
  <phoneticPr fontId="96" type="noConversion"/>
  <conditionalFormatting sqref="D23:D564 D567:D676">
    <cfRule type="duplicateValues" dxfId="4" priority="1"/>
  </conditionalFormatting>
  <hyperlinks>
    <hyperlink ref="E409" r:id="rId1" tooltip="http://gs.amazon.cn/zhishi/article-260401-1" xr:uid="{00000000-0004-0000-0400-000000000000}"/>
    <hyperlink ref="E410" r:id="rId2" tooltip="http://gs.amazon.cn/zhishi/article-260401-2" xr:uid="{00000000-0004-0000-0400-000001000000}"/>
    <hyperlink ref="E411" r:id="rId3" tooltip="http://gs.amazon.cn/zhishi/article-260401-3" xr:uid="{00000000-0004-0000-0400-000002000000}"/>
    <hyperlink ref="E412" r:id="rId4" tooltip="http://gs.amazon.cn/zhishi/article-260401-4" xr:uid="{00000000-0004-0000-0400-000003000000}"/>
    <hyperlink ref="E413" r:id="rId5" tooltip="http://gs.amazon.cn/zhishi/article-260401-5" xr:uid="{00000000-0004-0000-0400-000004000000}"/>
    <hyperlink ref="E414" r:id="rId6" tooltip="http://gs.amazon.cn/zhishi/article-260401-6" xr:uid="{00000000-0004-0000-0400-000005000000}"/>
    <hyperlink ref="E415" r:id="rId7" tooltip="http://gs.amazon.cn/zhishi/article-260402-1" xr:uid="{00000000-0004-0000-0400-000006000000}"/>
    <hyperlink ref="E416" r:id="rId8" tooltip="http://gs.amazon.cn/zhishi/article-260402-2" xr:uid="{00000000-0004-0000-0400-000007000000}"/>
    <hyperlink ref="E417" r:id="rId9" tooltip="http://gs.amazon.cn/zhishi/article-260402-3" xr:uid="{00000000-0004-0000-0400-000008000000}"/>
    <hyperlink ref="E418" r:id="rId10" tooltip="http://gs.amazon.cn/zhishi/article-260402-4" xr:uid="{00000000-0004-0000-0400-000009000000}"/>
    <hyperlink ref="E419" r:id="rId11" tooltip="http://gs.amazon.cn/zhishi/article-260402-5" xr:uid="{00000000-0004-0000-0400-00000A000000}"/>
    <hyperlink ref="E420" r:id="rId12" tooltip="http://gs.amazon.cn/zhishi/article-260402-6" xr:uid="{00000000-0004-0000-0400-00000B000000}"/>
    <hyperlink ref="E421" r:id="rId13" tooltip="http://gs.amazon.cn/zhishi/article-260403-1" xr:uid="{00000000-0004-0000-0400-00000C000000}"/>
    <hyperlink ref="E422" r:id="rId14" tooltip="http://gs.amazon.cn/zhishi/article-260403-12" xr:uid="{00000000-0004-0000-0400-00000D000000}"/>
    <hyperlink ref="E423" r:id="rId15" tooltip="http://gs.amazon.cn/zhishi/article-260403-3" xr:uid="{00000000-0004-0000-0400-00000E000000}"/>
    <hyperlink ref="E424" r:id="rId16" tooltip="http://gs.amazon.cn/zhishi/article-260403-4" xr:uid="{00000000-0004-0000-0400-00000F000000}"/>
    <hyperlink ref="E425" r:id="rId17" tooltip="http://gs.amazon.cn/zhishi/article-260403-5" xr:uid="{00000000-0004-0000-0400-000010000000}"/>
    <hyperlink ref="E426" r:id="rId18" tooltip="http://gs.amazon.cn/zhishi/article-260403-6" xr:uid="{00000000-0004-0000-0400-000011000000}"/>
    <hyperlink ref="E427" r:id="rId19" tooltip="http://gs.amazon.cn/zhishi/article-260404-1" xr:uid="{00000000-0004-0000-0400-000012000000}"/>
    <hyperlink ref="E428" r:id="rId20" tooltip=".amazon.cn/zhishi/article-260404-2" xr:uid="{00000000-0004-0000-0400-000013000000}"/>
    <hyperlink ref="E429" r:id="rId21" tooltip="http://gs.amazon.cn/zhishi/article-260404-3" xr:uid="{00000000-0004-0000-0400-000014000000}"/>
    <hyperlink ref="E430" r:id="rId22" tooltip="http://gs.amazon.cn/zhishi/article-260404-4" xr:uid="{00000000-0004-0000-0400-000015000000}"/>
    <hyperlink ref="E431" r:id="rId23" tooltip="http://gs.amazon.cn/zhishi/article-260404-5" xr:uid="{00000000-0004-0000-0400-000016000000}"/>
    <hyperlink ref="E432" r:id="rId24" tooltip="http://gs.amazon.cn/zhishi/article-260404-6" xr:uid="{00000000-0004-0000-0400-000017000000}"/>
    <hyperlink ref="E433" r:id="rId25" tooltip="http://gs.amazon.cn/zhishi/article-260405-1" xr:uid="{00000000-0004-0000-0400-000018000000}"/>
    <hyperlink ref="E434" r:id="rId26" tooltip="http://gs.amazon.cn/zhishi/article-260405-2" xr:uid="{00000000-0004-0000-0400-000019000000}"/>
    <hyperlink ref="E435" r:id="rId27" tooltip="http://gs.amazon.cn/zhishi/article-260405-3" xr:uid="{00000000-0004-0000-0400-00001A000000}"/>
    <hyperlink ref="E436" r:id="rId28" tooltip="http://gs.amazon.cn/zhishi/article-260405-4" xr:uid="{00000000-0004-0000-0400-00001B000000}"/>
    <hyperlink ref="E437" r:id="rId29" tooltip="http://gs.amazon.cn/zhishi/article-260405-5" xr:uid="{00000000-0004-0000-0400-00001C000000}"/>
    <hyperlink ref="E438" r:id="rId30" tooltip="http://gs.amazon.cn/zhishi/article-260405-6" xr:uid="{00000000-0004-0000-0400-00001D000000}"/>
    <hyperlink ref="E439" r:id="rId31" tooltip="http://gs.amazon.cn/zhishi/article-260406-1" xr:uid="{00000000-0004-0000-0400-00001E000000}"/>
    <hyperlink ref="E440" r:id="rId32" tooltip="http://gs.amazon.cn/zhishi/article-260406-2" xr:uid="{00000000-0004-0000-0400-00001F000000}"/>
    <hyperlink ref="E441" r:id="rId33" tooltip="http://gs.amazon.cn/zhishi/article-260406-3" xr:uid="{00000000-0004-0000-0400-000020000000}"/>
    <hyperlink ref="E442" r:id="rId34" tooltip="http://gs.amazon.cn/zhishi/article-260406-4" xr:uid="{00000000-0004-0000-0400-000021000000}"/>
    <hyperlink ref="E443" r:id="rId35" tooltip="http://gs.amazon.cn/zhishi/article-260406-5" xr:uid="{00000000-0004-0000-0400-000022000000}"/>
    <hyperlink ref="E445" r:id="rId36" tooltip="http://gs.amazon.cn/zhishi/article-260501-1" xr:uid="{00000000-0004-0000-0400-000023000000}"/>
    <hyperlink ref="E446" r:id="rId37" tooltip="http://gs.amazon.cn/zhishi/article-260501-2" xr:uid="{00000000-0004-0000-0400-000024000000}"/>
    <hyperlink ref="E447" r:id="rId38" tooltip="http://gs.amazon.cn/zhishi/article-260501-3" xr:uid="{00000000-0004-0000-0400-000025000000}"/>
    <hyperlink ref="E448" r:id="rId39" tooltip="http://gs.amazon.cn/zhishi/article-260501-4" xr:uid="{00000000-0004-0000-0400-000026000000}"/>
    <hyperlink ref="E449" r:id="rId40" tooltip="http://gs.amazon.cn/zhishi/article-260501-5" xr:uid="{00000000-0004-0000-0400-000027000000}"/>
    <hyperlink ref="E450" r:id="rId41" tooltip="http://gs.amazon.cn/zhishi/article-260501-6" xr:uid="{00000000-0004-0000-0400-000028000000}"/>
    <hyperlink ref="E451" r:id="rId42" tooltip="http://gs.amazon.cn/zhishi/article-260501-7" xr:uid="{00000000-0004-0000-0400-000029000000}"/>
    <hyperlink ref="E452" r:id="rId43" tooltip="http://gs.amazon.cn/zhishi/article-260501-8" xr:uid="{00000000-0004-0000-0400-00002A000000}"/>
    <hyperlink ref="E453" r:id="rId44" tooltip="http://gs.amazon.cn/zhishi/article-260501-9" xr:uid="{00000000-0004-0000-0400-00002B000000}"/>
    <hyperlink ref="E454" r:id="rId45" tooltip="http://gs.amazon.cn/zhishi/article-260502-1" xr:uid="{00000000-0004-0000-0400-00002C000000}"/>
    <hyperlink ref="E455" r:id="rId46" tooltip="http://gs.amazon.cn/zhishi/article-260502-2" xr:uid="{00000000-0004-0000-0400-00002D000000}"/>
    <hyperlink ref="E456" r:id="rId47" tooltip="http://gs.amazon.cn/zhishi/article-260502-3" xr:uid="{00000000-0004-0000-0400-00002E000000}"/>
    <hyperlink ref="E457" r:id="rId48" tooltip="http://gs.amazon.cn/zhishi/article-260502-4" xr:uid="{00000000-0004-0000-0400-00002F000000}"/>
    <hyperlink ref="E458" r:id="rId49" tooltip="http://gs.amazon.cn/zhishi/article-260502-5" xr:uid="{00000000-0004-0000-0400-000030000000}"/>
    <hyperlink ref="E459" r:id="rId50" tooltip="http://gs.amazon.cn/zhishi/article-260502-6" xr:uid="{00000000-0004-0000-0400-000031000000}"/>
    <hyperlink ref="E460" r:id="rId51" tooltip="http://gs.amazon.cn/zhishi/article-260502-7" xr:uid="{00000000-0004-0000-0400-000032000000}"/>
    <hyperlink ref="E461" r:id="rId52" tooltip="http://gs.amazon.cn/zhishi/article-260502-8" xr:uid="{00000000-0004-0000-0400-000033000000}"/>
    <hyperlink ref="E462" r:id="rId53" tooltip="http://gs.amazon.cn/zhishi/article-260502-9" xr:uid="{00000000-0004-0000-0400-000034000000}"/>
    <hyperlink ref="E463" r:id="rId54" tooltip="http://gs.amazon.cn/zhishi/article-260503-1" xr:uid="{00000000-0004-0000-0400-000035000000}"/>
    <hyperlink ref="E464" r:id="rId55" tooltip="http://gs.amazon.cn/zhishi/article-260503-2" xr:uid="{00000000-0004-0000-0400-000036000000}"/>
    <hyperlink ref="E465" r:id="rId56" tooltip="http://gs.amazon.cn/zhishi/article-260503-3" xr:uid="{00000000-0004-0000-0400-000037000000}"/>
    <hyperlink ref="E466" r:id="rId57" tooltip="https://gs.amazon.cn/zhishi/article-260503-4" xr:uid="{00000000-0004-0000-0400-000038000000}"/>
    <hyperlink ref="E467" r:id="rId58" tooltip="http://gs.amazon.cn/zhishi/article-260503-5" xr:uid="{00000000-0004-0000-0400-000039000000}"/>
    <hyperlink ref="E468" r:id="rId59" tooltip="http://gs.amazon.cn/zhishi/article-260503-6" xr:uid="{00000000-0004-0000-0400-00003A000000}"/>
    <hyperlink ref="E469" r:id="rId60" tooltip="http://gs.amazon.cn/zhishi/article-260503-7" xr:uid="{00000000-0004-0000-0400-00003B000000}"/>
    <hyperlink ref="E470" r:id="rId61" tooltip="http://gs.amazon.cn/zhishi/article-260503-8" xr:uid="{00000000-0004-0000-0400-00003C000000}"/>
    <hyperlink ref="E471" r:id="rId62" tooltip="http://gs.amazon.cn/zhishi/article-260503-9" xr:uid="{00000000-0004-0000-0400-00003D000000}"/>
    <hyperlink ref="E472" r:id="rId63" tooltip="http://gs.amazon.cn/zhishi/article-260504-1" xr:uid="{00000000-0004-0000-0400-00003E000000}"/>
    <hyperlink ref="E473" r:id="rId64" tooltip="http://gs.amazon.cn/zhishi/article-260504-2" xr:uid="{00000000-0004-0000-0400-00003F000000}"/>
    <hyperlink ref="E474" r:id="rId65" tooltip="http://gs.amazon.cn/zhishi/article-260504-3" xr:uid="{00000000-0004-0000-0400-000040000000}"/>
    <hyperlink ref="E475" r:id="rId66" tooltip="http://gs.amazon.cn/zhishi/article-260504-4" xr:uid="{00000000-0004-0000-0400-000041000000}"/>
    <hyperlink ref="E476" r:id="rId67" tooltip="http://gs.amazon.cn/zhishi/article-260504-5" xr:uid="{00000000-0004-0000-0400-000042000000}"/>
    <hyperlink ref="E477" r:id="rId68" tooltip="http://gs.amazon.cn/zhishi/article-260504-6" xr:uid="{00000000-0004-0000-0400-000043000000}"/>
    <hyperlink ref="E478" r:id="rId69" tooltip="http://gs.amazon.cn/zhishi/article-260504-7" xr:uid="{00000000-0004-0000-0400-000044000000}"/>
    <hyperlink ref="E479" r:id="rId70" tooltip="http://gs.amazon.cn/zhishi/article-260504-8" xr:uid="{00000000-0004-0000-0400-000045000000}"/>
    <hyperlink ref="E480" r:id="rId71" tooltip="http://gs.amazon.cn/zhishi/article-260504-9" xr:uid="{00000000-0004-0000-0400-000046000000}"/>
    <hyperlink ref="E481" r:id="rId72" tooltip="http://gs.amazon.cn/zhishi/article-260505-1" xr:uid="{00000000-0004-0000-0400-000047000000}"/>
    <hyperlink ref="E482" r:id="rId73" tooltip="http://gs.amazon.cn/zhishi/article-260505-2" xr:uid="{00000000-0004-0000-0400-000048000000}"/>
    <hyperlink ref="E483" r:id="rId74" tooltip="http://gs.amazon.cn/zhishi/article-260505-3" xr:uid="{00000000-0004-0000-0400-000049000000}"/>
    <hyperlink ref="E484" r:id="rId75" tooltip="http://gs.amazon.cn/zhishi/article-260505-4" xr:uid="{00000000-0004-0000-0400-00004A000000}"/>
    <hyperlink ref="E485" r:id="rId76" tooltip="http://gs.amazon.cn/zhishi/article-260505-5" xr:uid="{00000000-0004-0000-0400-00004B000000}"/>
    <hyperlink ref="E486" r:id="rId77" tooltip="http://gs.amazon.cn/zhishi/article-260505-6" xr:uid="{00000000-0004-0000-0400-00004C000000}"/>
    <hyperlink ref="E487" r:id="rId78" tooltip="http://gs.amazon.cn/zhishi/article-260505-7" xr:uid="{00000000-0004-0000-0400-00004D000000}"/>
    <hyperlink ref="E488" r:id="rId79" tooltip="http://gs.amazon.cn/zhishi/article-260505-8" xr:uid="{00000000-0004-0000-0400-00004E000000}"/>
    <hyperlink ref="E489" r:id="rId80" tooltip="http://gs.amazon.cn/zhishi/article-260505-9" xr:uid="{00000000-0004-0000-0400-00004F000000}"/>
    <hyperlink ref="E490" r:id="rId81" tooltip="http://gs.amazon.cn/zhishi/article-260506-1" xr:uid="{00000000-0004-0000-0400-000050000000}"/>
    <hyperlink ref="E491" r:id="rId82" tooltip="http://gs.amazon.cn/zhishi/article-260506-2" xr:uid="{00000000-0004-0000-0400-000051000000}"/>
    <hyperlink ref="E492" r:id="rId83" tooltip="http://gs.amazon.cn/zhishi/article-260506-3" xr:uid="{00000000-0004-0000-0400-000052000000}"/>
    <hyperlink ref="E493" r:id="rId84" tooltip="http://gs.amazon.cn/zhishi/article-260506-4" xr:uid="{00000000-0004-0000-0400-000053000000}"/>
    <hyperlink ref="E494" r:id="rId85" tooltip="http://gs.amazon.cn/zhishi/article-260506-5" xr:uid="{00000000-0004-0000-0400-000054000000}"/>
    <hyperlink ref="E495" r:id="rId86" tooltip="http://gs.amazon.cn/zhishi/article-260506-6" xr:uid="{00000000-0004-0000-0400-000055000000}"/>
    <hyperlink ref="E496" r:id="rId87" tooltip="http://gs.amazon.cn/zhishi/article-260506-7" xr:uid="{00000000-0004-0000-0400-000056000000}"/>
    <hyperlink ref="E497" r:id="rId88" tooltip="http://gs.amazon.cn/zhishi/article-260506-8" xr:uid="{00000000-0004-0000-0400-000057000000}"/>
    <hyperlink ref="E498" r:id="rId89" tooltip="http://gs.amazon.cn/zhishi/article-260506-9" xr:uid="{00000000-0004-0000-0400-000058000000}"/>
    <hyperlink ref="E499" r:id="rId90" tooltip="http://gs.amazon.cn/zhishi/article-260507-1" xr:uid="{00000000-0004-0000-0400-000059000000}"/>
    <hyperlink ref="E500" r:id="rId91" tooltip="http://gs.amazon.cn/zhishi/article-260507-2" xr:uid="{00000000-0004-0000-0400-00005A000000}"/>
    <hyperlink ref="E501" r:id="rId92" tooltip="http://gs.amazon.cn/zhishi/article-260507-3" xr:uid="{00000000-0004-0000-0400-00005B000000}"/>
    <hyperlink ref="E502" r:id="rId93" tooltip="http://gs.amazon.cn/zhishi/article-260507-4" xr:uid="{00000000-0004-0000-0400-00005C000000}"/>
    <hyperlink ref="E503" r:id="rId94" tooltip="http://gs.amazon.cn/zhishi/article-260507-5" xr:uid="{00000000-0004-0000-0400-00005D000000}"/>
    <hyperlink ref="E504" r:id="rId95" tooltip="http://gs.amazon.cn/zhishi/article-260507-6" xr:uid="{00000000-0004-0000-0400-00005E000000}"/>
    <hyperlink ref="E505" r:id="rId96" tooltip="http://gs.amazon.cn/zhishi/article-260507-7" xr:uid="{00000000-0004-0000-0400-00005F000000}"/>
    <hyperlink ref="E506" r:id="rId97" tooltip="http://gs.amazon.cn/zhishi/article-260507-8" xr:uid="{00000000-0004-0000-0400-000060000000}"/>
    <hyperlink ref="E507" r:id="rId98" tooltip="http://gs.amazon.cn/zhishi/article-260507-9" xr:uid="{00000000-0004-0000-0400-000061000000}"/>
    <hyperlink ref="E508" r:id="rId99" tooltip="http://gs.amazon.cn/zhishi/article-260508-1" xr:uid="{00000000-0004-0000-0400-000062000000}"/>
    <hyperlink ref="E509" r:id="rId100" tooltip="http://gs.amazon.cn/zhishi/article-260508-2" xr:uid="{00000000-0004-0000-0400-000063000000}"/>
    <hyperlink ref="E510" r:id="rId101" tooltip="http://gs.amazon.cn/zhishi/article-260508-3" xr:uid="{00000000-0004-0000-0400-000064000000}"/>
    <hyperlink ref="E511" r:id="rId102" tooltip="http://gs.amazon.cn/zhishi/article-260508-4" xr:uid="{00000000-0004-0000-0400-000065000000}"/>
    <hyperlink ref="E512" r:id="rId103" tooltip="http://gs.amazon.cn/zhishi/article-260508-5" xr:uid="{00000000-0004-0000-0400-000066000000}"/>
    <hyperlink ref="E513" r:id="rId104" tooltip="http://gs.amazon.cn/zhishi/article-260508-6" xr:uid="{00000000-0004-0000-0400-000067000000}"/>
    <hyperlink ref="E514" r:id="rId105" tooltip="http://gs.amazon.cn/zhishi/article-260508-7" xr:uid="{00000000-0004-0000-0400-000068000000}"/>
    <hyperlink ref="E515" r:id="rId106" tooltip="http://gs.amazon.cn/zhishi/article-260508-8" xr:uid="{00000000-0004-0000-0400-000069000000}"/>
    <hyperlink ref="E516" r:id="rId107" tooltip="http://gs.amazon.cn/zhishi/article-260508-9" xr:uid="{00000000-0004-0000-0400-00006A000000}"/>
    <hyperlink ref="E517" r:id="rId108" tooltip="http://gs.amazon.cn/zhishi/article-260509-1" xr:uid="{00000000-0004-0000-0400-00006B000000}"/>
    <hyperlink ref="E518" r:id="rId109" tooltip="http://gs.amazon.cn/zhishi/article-260509-2" xr:uid="{00000000-0004-0000-0400-00006C000000}"/>
    <hyperlink ref="E519" r:id="rId110" tooltip="http://gs.amazon.cn/zhishi/article-260509-3" xr:uid="{00000000-0004-0000-0400-00006D000000}"/>
    <hyperlink ref="E520" r:id="rId111" tooltip="http://gs.amazon.cn/zhishi/article-260509-4" xr:uid="{00000000-0004-0000-0400-00006E000000}"/>
    <hyperlink ref="E521" r:id="rId112" tooltip="http://gs.amazon.cn/zhishi/article-260509-5" xr:uid="{00000000-0004-0000-0400-00006F000000}"/>
    <hyperlink ref="E522" r:id="rId113" tooltip="http://gs.amazon.cn/zhishi/article-260509-6" xr:uid="{00000000-0004-0000-0400-000070000000}"/>
    <hyperlink ref="E523" r:id="rId114" tooltip="http://gs.amazon.cn/zhishi/article-260509-7" xr:uid="{00000000-0004-0000-0400-000071000000}"/>
    <hyperlink ref="E524" r:id="rId115" tooltip="http://gs.amazon.cn/zhishi/article-260509-8" xr:uid="{00000000-0004-0000-0400-000072000000}"/>
    <hyperlink ref="E525" r:id="rId116" tooltip="http://gs.amazon.cn/zhishi/article-260509-9" xr:uid="{00000000-0004-0000-0400-000073000000}"/>
    <hyperlink ref="E526" r:id="rId117" tooltip="http://gs.amazon.cn/zhishi/article-260510-1" xr:uid="{00000000-0004-0000-0400-000074000000}"/>
    <hyperlink ref="E527" r:id="rId118" tooltip="http://gs.amazon.cn/zhishi/article-260510-2" xr:uid="{00000000-0004-0000-0400-000075000000}"/>
    <hyperlink ref="E528" r:id="rId119" tooltip="http://gs.amazon.cn/zhishi/article-260510-3" xr:uid="{00000000-0004-0000-0400-000076000000}"/>
    <hyperlink ref="E529" r:id="rId120" tooltip="http://gs.amazon.cn/zhishi/article-260510-4" xr:uid="{00000000-0004-0000-0400-000077000000}"/>
    <hyperlink ref="E530" r:id="rId121" tooltip="http://gs.amazon.cn/zhishi/article-260510-5" xr:uid="{00000000-0004-0000-0400-000078000000}"/>
    <hyperlink ref="E531" r:id="rId122" tooltip="http://gs.amazon.cn/zhishi/article-260510-7" xr:uid="{00000000-0004-0000-0400-000079000000}"/>
    <hyperlink ref="E532" r:id="rId123" tooltip="http://gs.amazon.cn/zhishi/article-260510-7" xr:uid="{00000000-0004-0000-0400-00007A000000}"/>
    <hyperlink ref="E533" r:id="rId124" tooltip="http://gs.amazon.cn/zhishi/article-260510-8" xr:uid="{00000000-0004-0000-0400-00007B000000}"/>
    <hyperlink ref="E534" r:id="rId125" tooltip="http://gs.amazon.cn/zhishi/article-260510-9" xr:uid="{00000000-0004-0000-0400-00007C000000}"/>
    <hyperlink ref="E535" r:id="rId126" tooltip="http://gs.amazon.cn/zhishi/article-260511-1" xr:uid="{00000000-0004-0000-0400-00007D000000}"/>
    <hyperlink ref="E536" r:id="rId127" tooltip="http://gs.amazon.cn/zhishi/article-260511-2" xr:uid="{00000000-0004-0000-0400-00007E000000}"/>
    <hyperlink ref="E537" r:id="rId128" tooltip="http://gs.amazon.cn/zhishi/article-260511-3" xr:uid="{00000000-0004-0000-0400-00007F000000}"/>
    <hyperlink ref="E538" r:id="rId129" tooltip="http://gs.amazon.cn/zhishi/article-260511-4" xr:uid="{00000000-0004-0000-0400-000080000000}"/>
    <hyperlink ref="E539" r:id="rId130" tooltip="http://gs.amazon.cn/zhishi/article-260511-5" xr:uid="{00000000-0004-0000-0400-000081000000}"/>
    <hyperlink ref="E540" r:id="rId131" tooltip="http://gs.amazon.cn/zhishi/article-260511-6" xr:uid="{00000000-0004-0000-0400-000082000000}"/>
    <hyperlink ref="E541" r:id="rId132" tooltip="http://gs.amazon.cn/zhishi/article-260511-7" xr:uid="{00000000-0004-0000-0400-000083000000}"/>
    <hyperlink ref="E542" r:id="rId133" tooltip="http://gs.amazon.cn/zhishi/article-260511-8" xr:uid="{00000000-0004-0000-0400-000084000000}"/>
    <hyperlink ref="E543" r:id="rId134" tooltip="http://gs.amazon.cn/zhishi/article-260511-9" xr:uid="{00000000-0004-0000-0400-000085000000}"/>
    <hyperlink ref="E544" r:id="rId135" tooltip="http://gs.amazon.cn/zhishi/article-260512-1" xr:uid="{00000000-0004-0000-0400-000086000000}"/>
    <hyperlink ref="E545" r:id="rId136" tooltip="http://gs.amazon.cn/zhishi/article-260512-2" xr:uid="{00000000-0004-0000-0400-000087000000}"/>
    <hyperlink ref="E546" r:id="rId137" tooltip="http://gs.amazon.cn/zhishi/article-260512-3" xr:uid="{00000000-0004-0000-0400-000088000000}"/>
    <hyperlink ref="E547" r:id="rId138" tooltip="http://gs.amazon.cn/zhishi/article-260512-4" xr:uid="{00000000-0004-0000-0400-000089000000}"/>
    <hyperlink ref="E548" r:id="rId139" tooltip="http://gs.amazon.cn/zhishi/article-260512-5" xr:uid="{00000000-0004-0000-0400-00008A000000}"/>
    <hyperlink ref="E549" r:id="rId140" tooltip="http://gs.amazon.cn/zhishi/article-260512-6" xr:uid="{00000000-0004-0000-0400-00008B000000}"/>
    <hyperlink ref="E550" r:id="rId141" tooltip="http://gs.amazon.cn/zhishi/article-260512-7" xr:uid="{00000000-0004-0000-0400-00008C000000}"/>
    <hyperlink ref="E551" r:id="rId142" tooltip="http://gs.amazon.cn/zhishi/article-260512-8" xr:uid="{00000000-0004-0000-0400-00008D000000}"/>
    <hyperlink ref="E552" r:id="rId143" tooltip="http://gs.amazon.cn/zhishi/article-260512-9" xr:uid="{00000000-0004-0000-0400-00008E000000}"/>
    <hyperlink ref="E553" r:id="rId144" tooltip="http://gs.amazon.cn/zhishi/article-260513-1" xr:uid="{00000000-0004-0000-0400-00008F000000}"/>
    <hyperlink ref="E554" r:id="rId145" tooltip="http://gs.amazon.cn/zhishi/article-260514-3" xr:uid="{00000000-0004-0000-0400-000090000000}"/>
    <hyperlink ref="E555" r:id="rId146" tooltip="http://gs.amazon.cn/zhishi/article-260514-4" xr:uid="{00000000-0004-0000-0400-000091000000}"/>
    <hyperlink ref="E556" r:id="rId147" tooltip="http://gs.amazon.cn/zhishi/article-260514-5" xr:uid="{00000000-0004-0000-0400-000092000000}"/>
    <hyperlink ref="E578" r:id="rId148" tooltip="http://gs.amazon.cn/zhishi/article-260406-6" xr:uid="{00000000-0004-0000-0400-000093000000}"/>
    <hyperlink ref="E579" r:id="rId149" tooltip="http://gs.amazon.cn/zhishi/article-260407-1" xr:uid="{00000000-0004-0000-0400-000094000000}"/>
    <hyperlink ref="E580" r:id="rId150" tooltip="http://gs.amazon.cn/zhishi/article-260420-2" xr:uid="{00000000-0004-0000-0400-000095000000}"/>
    <hyperlink ref="E581" r:id="rId151" tooltip="http://gs.amazon.cn/zhishi/article-260420-3" xr:uid="{00000000-0004-0000-0400-000096000000}"/>
    <hyperlink ref="E582" r:id="rId152" tooltip="http://gs.amazon.cn/zhishi/article-260420-4" xr:uid="{00000000-0004-0000-0400-000097000000}"/>
    <hyperlink ref="E583" r:id="rId153" tooltip="http://gs.amazon.cn/zhishi/article-260420-5" xr:uid="{00000000-0004-0000-0400-000098000000}"/>
    <hyperlink ref="E584" r:id="rId154" tooltip="http://gs.amazon.cn/zhishi/article-260420-6" xr:uid="{00000000-0004-0000-0400-000099000000}"/>
    <hyperlink ref="E585" r:id="rId155" tooltip="http://gs.amazon.cn/zhishi/article-260420-7" xr:uid="{00000000-0004-0000-0400-00009A000000}"/>
    <hyperlink ref="E586" r:id="rId156" tooltip="http://gs.amazon.cn/zhishi/article-260420-8" xr:uid="{00000000-0004-0000-0400-00009B000000}"/>
    <hyperlink ref="E587" r:id="rId157" tooltip="http://gs.amazon.cn/zhishi/article-260421-3" xr:uid="{00000000-0004-0000-0400-00009C000000}"/>
    <hyperlink ref="E588" r:id="rId158" tooltip="http://gs.amazon.cn/zhishi/article-260421-5" xr:uid="{00000000-0004-0000-0400-00009D000000}"/>
    <hyperlink ref="E589" r:id="rId159" tooltip="http://gs.amazon.cn/zhishi/article-260421-5" xr:uid="{00000000-0004-0000-0400-00009E000000}"/>
    <hyperlink ref="E590" r:id="rId160" tooltip="http://gs.amazon.cn/zhishi/article-260421-4" xr:uid="{00000000-0004-0000-0400-00009F000000}"/>
    <hyperlink ref="E591" r:id="rId161" tooltip="http://gs.amazon.cn/zhishi/article-260421-1" xr:uid="{00000000-0004-0000-0400-0000A0000000}"/>
    <hyperlink ref="E592" r:id="rId162" tooltip="http://gs.amazon.cn/zhishi/article-260421-1" xr:uid="{00000000-0004-0000-0400-0000A1000000}"/>
    <hyperlink ref="E593" r:id="rId163" tooltip="http://gs.amazon.cn/zhishi/article-260420-9" xr:uid="{00000000-0004-0000-0400-0000A2000000}"/>
    <hyperlink ref="E594" r:id="rId164" tooltip="https://gs.amazon.cn/zhishi/article-260420-1" xr:uid="{00000000-0004-0000-0400-0000A3000000}"/>
    <hyperlink ref="E595" r:id="rId165" tooltip="http://gs.amazon.cn/zhishi/article-260419-9" xr:uid="{00000000-0004-0000-0400-0000A4000000}"/>
    <hyperlink ref="E596" r:id="rId166" tooltip="http://gs.amazon.cn/zhishi/article-260419-8" xr:uid="{00000000-0004-0000-0400-0000A5000000}"/>
    <hyperlink ref="E597" r:id="rId167" tooltip="http://gs.amazon.cn/zhishi/article-260419-7" xr:uid="{00000000-0004-0000-0400-0000A6000000}"/>
    <hyperlink ref="E598" r:id="rId168" tooltip="http://gs.amazon.cn/zhishi/article-260419-6" xr:uid="{00000000-0004-0000-0400-0000A7000000}"/>
    <hyperlink ref="E599" r:id="rId169" tooltip="http://gs.amazon.cn/zhishi/article-260419-5" xr:uid="{00000000-0004-0000-0400-0000A8000000}"/>
    <hyperlink ref="E600" r:id="rId170" tooltip="http://gs.amazon.cn/zhishi/article-260419-4" xr:uid="{00000000-0004-0000-0400-0000A9000000}"/>
    <hyperlink ref="E601" r:id="rId171" tooltip="http://gs.amazon.cn/zhishi/article-260419-3" xr:uid="{00000000-0004-0000-0400-0000AA000000}"/>
    <hyperlink ref="E602" r:id="rId172" tooltip="http://gs.amazon.cn/zhishi/article-260419-2" xr:uid="{00000000-0004-0000-0400-0000AB000000}"/>
    <hyperlink ref="E603" r:id="rId173" tooltip="http://gs.amazon.cn/zhishi/article-260419-1" xr:uid="{00000000-0004-0000-0400-0000AC000000}"/>
    <hyperlink ref="E604" r:id="rId174" tooltip="http://gs.amazon.cn/zhishi/article-260418-9" xr:uid="{00000000-0004-0000-0400-0000AD000000}"/>
    <hyperlink ref="E605" r:id="rId175" tooltip="http://gs.amazon.cn/zhishi/article-260418-8" xr:uid="{00000000-0004-0000-0400-0000AE000000}"/>
    <hyperlink ref="E606" r:id="rId176" tooltip="http://gs.amazon.cn/zhishi/article-260418-7" xr:uid="{00000000-0004-0000-0400-0000AF000000}"/>
    <hyperlink ref="E607" r:id="rId177" tooltip="http://gs.amazon.cn/zhishi/article-260418-6" xr:uid="{00000000-0004-0000-0400-0000B0000000}"/>
    <hyperlink ref="E608" r:id="rId178" tooltip="http://gs.amazon.cn/zhishi/article-260418-5" xr:uid="{00000000-0004-0000-0400-0000B1000000}"/>
    <hyperlink ref="E609" r:id="rId179" tooltip="http://gs.amazon.cn/zhishi/article-260418-4" xr:uid="{00000000-0004-0000-0400-0000B2000000}"/>
    <hyperlink ref="E610" r:id="rId180" tooltip="http://gs.amazon.cn/zhishi/article-260418-3" xr:uid="{00000000-0004-0000-0400-0000B3000000}"/>
    <hyperlink ref="E611" r:id="rId181" tooltip="http://gs.amazon.cn/zhishi/article-260418-2" xr:uid="{00000000-0004-0000-0400-0000B4000000}"/>
    <hyperlink ref="E612" r:id="rId182" tooltip="http://gs.amazon.cn/zhishi/article-260418-1" xr:uid="{00000000-0004-0000-0400-0000B5000000}"/>
    <hyperlink ref="E613" r:id="rId183" tooltip="http://gs.amazon.cn/zhishi/article-260417-9" xr:uid="{00000000-0004-0000-0400-0000B6000000}"/>
    <hyperlink ref="E614" r:id="rId184" tooltip="http://gs.amazon.cn/zhishi/article-260417-8" xr:uid="{00000000-0004-0000-0400-0000B7000000}"/>
    <hyperlink ref="E615" r:id="rId185" tooltip="http://gs.amazon.cn/zhishi/article-260417-7" xr:uid="{00000000-0004-0000-0400-0000B8000000}"/>
    <hyperlink ref="E616" r:id="rId186" tooltip="http://gs.amazon.cn/zhishi/article-260417-6" xr:uid="{00000000-0004-0000-0400-0000B9000000}"/>
    <hyperlink ref="E617" r:id="rId187" tooltip="http://gs.amazon.cn/zhishi/article-260417-5" xr:uid="{00000000-0004-0000-0400-0000BA000000}"/>
    <hyperlink ref="E618" r:id="rId188" tooltip="http://gs.amazon.cn/zhishi/article-260417-4" xr:uid="{00000000-0004-0000-0400-0000BB000000}"/>
    <hyperlink ref="E619" r:id="rId189" tooltip="http://gs.amazon.cn/zhishi/article-260417-3" xr:uid="{00000000-0004-0000-0400-0000BC000000}"/>
    <hyperlink ref="E620" r:id="rId190" tooltip="http://gs.amazon.cn/zhishi/article-260417-2" xr:uid="{00000000-0004-0000-0400-0000BD000000}"/>
    <hyperlink ref="E621" r:id="rId191" tooltip="http://gs.amazon.cn/zhishi/article-260417-1" xr:uid="{00000000-0004-0000-0400-0000BE000000}"/>
    <hyperlink ref="E622" r:id="rId192" tooltip="http://gs.amazon.cn/zhishi/article-260416-9" xr:uid="{00000000-0004-0000-0400-0000BF000000}"/>
    <hyperlink ref="E623" r:id="rId193" tooltip="http://gs.amazon.cn/zhishi/article-260416-8" xr:uid="{00000000-0004-0000-0400-0000C0000000}"/>
    <hyperlink ref="E624" r:id="rId194" tooltip="http://gs.amazon.cn/zhishi/article-260416-7" xr:uid="{00000000-0004-0000-0400-0000C1000000}"/>
    <hyperlink ref="E625" r:id="rId195" tooltip="http://gs.amazon.cn/zhishi/article-260416-6" xr:uid="{00000000-0004-0000-0400-0000C2000000}"/>
    <hyperlink ref="E626" r:id="rId196" tooltip="http://gs.amazon.cn/zhishi/article-260416-5" xr:uid="{00000000-0004-0000-0400-0000C3000000}"/>
    <hyperlink ref="E627" r:id="rId197" tooltip="http://gs.amazon.cn/zhishi/article-260416-4" xr:uid="{00000000-0004-0000-0400-0000C4000000}"/>
    <hyperlink ref="E628" r:id="rId198" tooltip="http://gs.amazon.cn/zhishi/article-260416-3" xr:uid="{00000000-0004-0000-0400-0000C5000000}"/>
    <hyperlink ref="E629" r:id="rId199" tooltip="http://gs.amazon.cn/zhishi/article-260416-2" xr:uid="{00000000-0004-0000-0400-0000C6000000}"/>
    <hyperlink ref="E630" r:id="rId200" tooltip="http://gs.amazon.cn/zhishi/article-260415-6" xr:uid="{00000000-0004-0000-0400-0000C7000000}"/>
    <hyperlink ref="E631" r:id="rId201" tooltip="http://gs.amazon.cn/zhishi/article-260415-5" xr:uid="{00000000-0004-0000-0400-0000C8000000}"/>
    <hyperlink ref="E632" r:id="rId202" tooltip="http://gs.amazon.cn/zhishi/article-260415-4" xr:uid="{00000000-0004-0000-0400-0000C9000000}"/>
    <hyperlink ref="E633" r:id="rId203" tooltip="http://gs.amazon.cn/zhishi/article-260415-3" xr:uid="{00000000-0004-0000-0400-0000CA000000}"/>
    <hyperlink ref="E634" r:id="rId204" tooltip="http://gs.amazon.cn/zhishi/article-260415-2" xr:uid="{00000000-0004-0000-0400-0000CB000000}"/>
    <hyperlink ref="E635" r:id="rId205" tooltip="http://gs.amazon.cn/zhishi/article-260415-1" xr:uid="{00000000-0004-0000-0400-0000CC000000}"/>
    <hyperlink ref="E636" r:id="rId206" tooltip="http://gs.amazon.cn/zhishi/article-260416-1" xr:uid="{00000000-0004-0000-0400-0000CD000000}"/>
    <hyperlink ref="E637" r:id="rId207" tooltip="http://gs.amazon.cn/zhishi/article-260414-6" xr:uid="{00000000-0004-0000-0400-0000CE000000}"/>
    <hyperlink ref="E638" r:id="rId208" tooltip="http://gs.amazon.cn/zhishi/article-260414-5" xr:uid="{00000000-0004-0000-0400-0000CF000000}"/>
    <hyperlink ref="E639" r:id="rId209" tooltip="http://gs.amazon.cn/zhishi/article-260414-4" xr:uid="{00000000-0004-0000-0400-0000D0000000}"/>
    <hyperlink ref="E640" r:id="rId210" tooltip="http://gs.amazon.cn/zhishi/article-260414-3" xr:uid="{00000000-0004-0000-0400-0000D1000000}"/>
    <hyperlink ref="E641" r:id="rId211" tooltip="http://gs.amazon.cn/zhishi/article-260407-2" xr:uid="{00000000-0004-0000-0400-0000D2000000}"/>
    <hyperlink ref="E642" r:id="rId212" tooltip="http://gs.amazon.cn/zhishi/article-260407-3" xr:uid="{00000000-0004-0000-0400-0000D3000000}"/>
    <hyperlink ref="E643" r:id="rId213" tooltip="http://gs.amazon.cn/zhishi/article-260407-4" xr:uid="{00000000-0004-0000-0400-0000D4000000}"/>
    <hyperlink ref="E644" r:id="rId214" tooltip="http://gs.amazon.cn/zhishi/article-260407-5" xr:uid="{00000000-0004-0000-0400-0000D5000000}"/>
    <hyperlink ref="E645" r:id="rId215" tooltip="http://gs.amazon.cn/zhishi/article-260407-6" xr:uid="{00000000-0004-0000-0400-0000D6000000}"/>
    <hyperlink ref="E646" r:id="rId216" tooltip="http://gs.amazon.cn/zhishi/article-260408-1" xr:uid="{00000000-0004-0000-0400-0000D7000000}"/>
    <hyperlink ref="E647" r:id="rId217" tooltip="http://gs.amazon.cn/zhishi/article-260408-2" xr:uid="{00000000-0004-0000-0400-0000D8000000}"/>
    <hyperlink ref="E648" r:id="rId218" tooltip="http://gs.amazon.cn/zhishi/article-260408-3" xr:uid="{00000000-0004-0000-0400-0000D9000000}"/>
    <hyperlink ref="E649" r:id="rId219" tooltip="http://gs.amazon.cn/zhishi/article-260408-4" xr:uid="{00000000-0004-0000-0400-0000DA000000}"/>
    <hyperlink ref="E650" r:id="rId220" tooltip="http://gs.amazon.cn/zhishi/article-260408-5" xr:uid="{00000000-0004-0000-0400-0000DB000000}"/>
    <hyperlink ref="E651" r:id="rId221" tooltip="http://gs.amazon.cn/zhishi/article-260408-6" xr:uid="{00000000-0004-0000-0400-0000DC000000}"/>
    <hyperlink ref="E652" r:id="rId222" tooltip="http://gs.amazon.cn/zhishi/article-260409-1" xr:uid="{00000000-0004-0000-0400-0000DD000000}"/>
    <hyperlink ref="E653" r:id="rId223" tooltip="http://gs.amazon.cn/zhishi/article-260409-2" xr:uid="{00000000-0004-0000-0400-0000DE000000}"/>
    <hyperlink ref="E654" r:id="rId224" tooltip="http://gs.amazon.cn/zhishi/article-260409-3" xr:uid="{00000000-0004-0000-0400-0000DF000000}"/>
    <hyperlink ref="E655" r:id="rId225" tooltip="http://gs.amazon.cn/zhishi/article-260409-4" xr:uid="{00000000-0004-0000-0400-0000E0000000}"/>
    <hyperlink ref="E656" r:id="rId226" tooltip="http://gs.amazon.cn/zhishi/article-260409-5" xr:uid="{00000000-0004-0000-0400-0000E1000000}"/>
    <hyperlink ref="E657" r:id="rId227" tooltip="http://gs.amazon.cn/zhishi/article-260409-6" xr:uid="{00000000-0004-0000-0400-0000E2000000}"/>
    <hyperlink ref="E658" r:id="rId228" tooltip="http://gs.amazon.cn/zhishi/article-260410-1" xr:uid="{00000000-0004-0000-0400-0000E3000000}"/>
    <hyperlink ref="E659" r:id="rId229" tooltip="http://gs.amazon.cn/zhishi/article-260410-2" xr:uid="{00000000-0004-0000-0400-0000E4000000}"/>
    <hyperlink ref="E660" r:id="rId230" tooltip="http://gs.amazon.cn/zhishi/article-260410-3" xr:uid="{00000000-0004-0000-0400-0000E5000000}"/>
    <hyperlink ref="E661" r:id="rId231" tooltip="http://gs.amazon.cn/zhishi/article-260410-4" xr:uid="{00000000-0004-0000-0400-0000E6000000}"/>
    <hyperlink ref="E662" r:id="rId232" tooltip="http://gs.amazon.cn/zhishi/article-260410-5" xr:uid="{00000000-0004-0000-0400-0000E7000000}"/>
    <hyperlink ref="E663" r:id="rId233" tooltip="http://gs.amazon.cn/zhishi/article-260410-6" xr:uid="{00000000-0004-0000-0400-0000E8000000}"/>
    <hyperlink ref="E664" r:id="rId234" tooltip="http://gs.amazon.cn/zhishi/article-260411-1" xr:uid="{00000000-0004-0000-0400-0000E9000000}"/>
    <hyperlink ref="E665" r:id="rId235" tooltip="http://gs.amazon.cn/zhishi/article-260411-2" xr:uid="{00000000-0004-0000-0400-0000EA000000}"/>
    <hyperlink ref="E666" r:id="rId236" tooltip="http://gs.amazon.cn/zhishi/article-260411-3" xr:uid="{00000000-0004-0000-0400-0000EB000000}"/>
    <hyperlink ref="E667" r:id="rId237" tooltip="http://gs.amazon.cn/zhishi/article-260411-4" xr:uid="{00000000-0004-0000-0400-0000EC000000}"/>
    <hyperlink ref="E668" r:id="rId238" tooltip="http://gs.amazon.cn/zhishi/article-260411-5" xr:uid="{00000000-0004-0000-0400-0000ED000000}"/>
    <hyperlink ref="E669" r:id="rId239" tooltip="http://gs.amazon.cn/zhishi/article-260411-6" xr:uid="{00000000-0004-0000-0400-0000EE000000}"/>
    <hyperlink ref="E670" r:id="rId240" tooltip="http://gs.amazon.cn/zhishi/article-260412-1" xr:uid="{00000000-0004-0000-0400-0000EF000000}"/>
    <hyperlink ref="E671" r:id="rId241" tooltip="http://gs.amazon.cn/zhishi/article-260412-2" xr:uid="{00000000-0004-0000-0400-0000F0000000}"/>
    <hyperlink ref="E672" r:id="rId242" tooltip="http://gs.amazon.cn/zhishi/article-260412-3" xr:uid="{00000000-0004-0000-0400-0000F1000000}"/>
    <hyperlink ref="E673" r:id="rId243" tooltip="http://gs.amazon.cn/zhishi/article-260412-4" xr:uid="{00000000-0004-0000-0400-0000F2000000}"/>
    <hyperlink ref="E674" r:id="rId244" tooltip="http://gs.amazon.cn/zhishi/article-260412-5" xr:uid="{00000000-0004-0000-0400-0000F3000000}"/>
    <hyperlink ref="E675" r:id="rId245" tooltip="http://gs.amazon.cn/zhishi/article-260412-6" xr:uid="{00000000-0004-0000-0400-0000F4000000}"/>
    <hyperlink ref="E676" r:id="rId246" tooltip="http://gs.amazon.cn/zhishi/article-260413-1" xr:uid="{00000000-0004-0000-0400-0000F5000000}"/>
    <hyperlink ref="E725" r:id="rId247" xr:uid="{00000000-0004-0000-0400-0000F6000000}"/>
    <hyperlink ref="E726" r:id="rId248" xr:uid="{00000000-0004-0000-0400-0000F7000000}"/>
    <hyperlink ref="E727" r:id="rId249" xr:uid="{00000000-0004-0000-0400-0000F8000000}"/>
    <hyperlink ref="E728" r:id="rId250" xr:uid="{00000000-0004-0000-0400-0000F9000000}"/>
    <hyperlink ref="E729" r:id="rId251" xr:uid="{00000000-0004-0000-0400-0000FA000000}"/>
    <hyperlink ref="E730" r:id="rId252" xr:uid="{00000000-0004-0000-0400-0000FB000000}"/>
    <hyperlink ref="E731" r:id="rId253" xr:uid="{00000000-0004-0000-0400-0000FC000000}"/>
    <hyperlink ref="E732" r:id="rId254" xr:uid="{00000000-0004-0000-0400-0000FD000000}"/>
    <hyperlink ref="E733" r:id="rId255" xr:uid="{00000000-0004-0000-0400-0000FE000000}"/>
    <hyperlink ref="E734" r:id="rId256" xr:uid="{00000000-0004-0000-0400-0000FF000000}"/>
    <hyperlink ref="E735" r:id="rId257" xr:uid="{00000000-0004-0000-0400-000000010000}"/>
    <hyperlink ref="E736" r:id="rId258" xr:uid="{00000000-0004-0000-0400-000001010000}"/>
    <hyperlink ref="E737" r:id="rId259" xr:uid="{00000000-0004-0000-0400-000002010000}"/>
    <hyperlink ref="E738" r:id="rId260" xr:uid="{00000000-0004-0000-0400-000003010000}"/>
    <hyperlink ref="E739" r:id="rId261" xr:uid="{00000000-0004-0000-0400-000004010000}"/>
    <hyperlink ref="E740" r:id="rId262" xr:uid="{00000000-0004-0000-0400-000005010000}"/>
    <hyperlink ref="E741" r:id="rId263" xr:uid="{00000000-0004-0000-0400-000006010000}"/>
    <hyperlink ref="E742" r:id="rId264" xr:uid="{00000000-0004-0000-0400-000007010000}"/>
    <hyperlink ref="E743" r:id="rId265" xr:uid="{00000000-0004-0000-0400-000008010000}"/>
    <hyperlink ref="E744" r:id="rId266" xr:uid="{00000000-0004-0000-0400-000009010000}"/>
    <hyperlink ref="E745" r:id="rId267" xr:uid="{00000000-0004-0000-0400-00000A010000}"/>
    <hyperlink ref="E746" r:id="rId268" xr:uid="{00000000-0004-0000-0400-00000B010000}"/>
    <hyperlink ref="E747" r:id="rId269" xr:uid="{00000000-0004-0000-0400-00000C010000}"/>
    <hyperlink ref="E748" r:id="rId270" xr:uid="{00000000-0004-0000-0400-00000D010000}"/>
    <hyperlink ref="E749" r:id="rId271" xr:uid="{00000000-0004-0000-0400-00000E010000}"/>
    <hyperlink ref="E750" r:id="rId272" xr:uid="{00000000-0004-0000-0400-00000F010000}"/>
    <hyperlink ref="E751" r:id="rId273" xr:uid="{00000000-0004-0000-0400-000010010000}"/>
    <hyperlink ref="E752" r:id="rId274" xr:uid="{00000000-0004-0000-0400-000011010000}"/>
    <hyperlink ref="E753" r:id="rId275" xr:uid="{00000000-0004-0000-0400-000012010000}"/>
    <hyperlink ref="E754" r:id="rId276" xr:uid="{00000000-0004-0000-0400-000013010000}"/>
    <hyperlink ref="E755" r:id="rId277" xr:uid="{00000000-0004-0000-0400-000014010000}"/>
    <hyperlink ref="E756" r:id="rId278" xr:uid="{00000000-0004-0000-0400-000015010000}"/>
    <hyperlink ref="E757" r:id="rId279" xr:uid="{00000000-0004-0000-0400-000016010000}"/>
    <hyperlink ref="E758" r:id="rId280" xr:uid="{00000000-0004-0000-0400-000017010000}"/>
    <hyperlink ref="E759" r:id="rId281" xr:uid="{00000000-0004-0000-0400-000018010000}"/>
    <hyperlink ref="E760" r:id="rId282" xr:uid="{00000000-0004-0000-0400-000019010000}"/>
    <hyperlink ref="E761" r:id="rId283" xr:uid="{00000000-0004-0000-0400-00001A010000}"/>
    <hyperlink ref="E762" r:id="rId284" xr:uid="{00000000-0004-0000-0400-00001B010000}"/>
    <hyperlink ref="E763" r:id="rId285" xr:uid="{00000000-0004-0000-0400-00001C010000}"/>
    <hyperlink ref="E764" r:id="rId286" xr:uid="{00000000-0004-0000-0400-00001D010000}"/>
    <hyperlink ref="E765" r:id="rId287" xr:uid="{00000000-0004-0000-0400-00001E010000}"/>
    <hyperlink ref="E766" r:id="rId288" xr:uid="{00000000-0004-0000-0400-00001F010000}"/>
    <hyperlink ref="E767" r:id="rId289" xr:uid="{00000000-0004-0000-0400-000020010000}"/>
    <hyperlink ref="E768" r:id="rId290" xr:uid="{00000000-0004-0000-0400-000021010000}"/>
    <hyperlink ref="E769" r:id="rId291" xr:uid="{00000000-0004-0000-0400-000022010000}"/>
    <hyperlink ref="E770" r:id="rId292" xr:uid="{00000000-0004-0000-0400-000023010000}"/>
    <hyperlink ref="E771" r:id="rId293" xr:uid="{00000000-0004-0000-0400-000024010000}"/>
    <hyperlink ref="E772" r:id="rId294" xr:uid="{00000000-0004-0000-0400-000025010000}"/>
    <hyperlink ref="E773" r:id="rId295" xr:uid="{00000000-0004-0000-0400-000026010000}"/>
    <hyperlink ref="E774" r:id="rId296" xr:uid="{00000000-0004-0000-0400-000027010000}"/>
    <hyperlink ref="E775" r:id="rId297" xr:uid="{00000000-0004-0000-0400-000028010000}"/>
    <hyperlink ref="E776" r:id="rId298" xr:uid="{00000000-0004-0000-0400-000029010000}"/>
    <hyperlink ref="E777" r:id="rId299" xr:uid="{00000000-0004-0000-0400-00002A010000}"/>
    <hyperlink ref="E778" r:id="rId300" xr:uid="{00000000-0004-0000-0400-00002B010000}"/>
    <hyperlink ref="E779" r:id="rId301" xr:uid="{00000000-0004-0000-0400-00002C010000}"/>
    <hyperlink ref="E780" r:id="rId302" xr:uid="{00000000-0004-0000-0400-00002D010000}"/>
    <hyperlink ref="E781" r:id="rId303" xr:uid="{00000000-0004-0000-0400-00002E010000}"/>
    <hyperlink ref="E782" r:id="rId304" xr:uid="{00000000-0004-0000-0400-00002F010000}"/>
    <hyperlink ref="E783" r:id="rId305" xr:uid="{00000000-0004-0000-0400-000030010000}"/>
    <hyperlink ref="E784" r:id="rId306" xr:uid="{00000000-0004-0000-0400-000031010000}"/>
    <hyperlink ref="E785" r:id="rId307" xr:uid="{00000000-0004-0000-0400-000032010000}"/>
    <hyperlink ref="E786" r:id="rId308" xr:uid="{00000000-0004-0000-0400-000033010000}"/>
    <hyperlink ref="E787" r:id="rId309" xr:uid="{00000000-0004-0000-0400-000034010000}"/>
    <hyperlink ref="E788" r:id="rId310" xr:uid="{00000000-0004-0000-0400-000035010000}"/>
    <hyperlink ref="E789" r:id="rId311" xr:uid="{00000000-0004-0000-0400-000036010000}"/>
    <hyperlink ref="E790" r:id="rId312" xr:uid="{00000000-0004-0000-0400-000037010000}"/>
    <hyperlink ref="E791" r:id="rId313" xr:uid="{00000000-0004-0000-0400-000038010000}"/>
    <hyperlink ref="E792" r:id="rId314" xr:uid="{00000000-0004-0000-0400-000039010000}"/>
    <hyperlink ref="E793" r:id="rId315" xr:uid="{00000000-0004-0000-0400-00003A010000}"/>
    <hyperlink ref="E794" r:id="rId316" xr:uid="{00000000-0004-0000-0400-00003B010000}"/>
    <hyperlink ref="E796" r:id="rId317" xr:uid="{00000000-0004-0000-0400-00003C010000}"/>
    <hyperlink ref="E797" r:id="rId318" xr:uid="{00000000-0004-0000-0400-00003D010000}"/>
    <hyperlink ref="E798" r:id="rId319" xr:uid="{00000000-0004-0000-0400-00003E010000}"/>
    <hyperlink ref="E799" r:id="rId320" xr:uid="{00000000-0004-0000-0400-00003F010000}"/>
    <hyperlink ref="E800" r:id="rId321" xr:uid="{00000000-0004-0000-0400-000040010000}"/>
    <hyperlink ref="E801" r:id="rId322" xr:uid="{00000000-0004-0000-0400-000041010000}"/>
    <hyperlink ref="E802" r:id="rId323" xr:uid="{00000000-0004-0000-0400-000042010000}"/>
    <hyperlink ref="E803" r:id="rId324" xr:uid="{00000000-0004-0000-0400-000043010000}"/>
    <hyperlink ref="E804" r:id="rId325" xr:uid="{00000000-0004-0000-0400-000044010000}"/>
    <hyperlink ref="E805" r:id="rId326" xr:uid="{00000000-0004-0000-0400-000045010000}"/>
    <hyperlink ref="E806" r:id="rId327" xr:uid="{00000000-0004-0000-0400-000046010000}"/>
    <hyperlink ref="E807" r:id="rId328" xr:uid="{00000000-0004-0000-0400-000047010000}"/>
  </hyperlinks>
  <pageMargins left="0.75" right="0.75" top="1" bottom="1" header="0.5" footer="0.5"/>
  <drawing r:id="rId32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4. GEO output table"/>
  <dimension ref="A1:X55"/>
  <sheetViews>
    <sheetView topLeftCell="A2" zoomScale="118" zoomScaleNormal="118" workbookViewId="0">
      <pane xSplit="3" topLeftCell="Q1" activePane="topRight" state="frozen"/>
      <selection pane="topRight" activeCell="A2" sqref="A2"/>
    </sheetView>
  </sheetViews>
  <sheetFormatPr defaultColWidth="9.81640625" defaultRowHeight="14"/>
  <cols>
    <col min="1" max="1" width="1.90625" customWidth="1"/>
    <col min="2" max="2" width="5.54296875" customWidth="1"/>
    <col min="3" max="3" width="20.08984375" customWidth="1"/>
    <col min="4" max="16" width="9.1796875" customWidth="1"/>
    <col min="17" max="17" width="10.81640625" customWidth="1"/>
    <col min="18" max="18" width="10.7265625" customWidth="1"/>
    <col min="19" max="19" width="10.1796875" customWidth="1"/>
    <col min="20" max="20" width="14.6328125" customWidth="1"/>
    <col min="21" max="21" width="13.1796875" customWidth="1"/>
    <col min="22" max="22" width="9.1796875" customWidth="1"/>
    <col min="23" max="23" width="17.81640625" customWidth="1"/>
    <col min="24" max="24" width="9.90625" hidden="1" customWidth="1"/>
  </cols>
  <sheetData>
    <row r="1" spans="1:11" ht="9" customHeight="1">
      <c r="A1" s="268"/>
      <c r="B1" s="269"/>
      <c r="C1" s="268"/>
      <c r="D1" s="268"/>
      <c r="E1" s="268"/>
      <c r="F1" s="268"/>
      <c r="G1" s="268"/>
      <c r="H1" s="268"/>
      <c r="I1" s="268"/>
      <c r="J1" s="268"/>
      <c r="K1" s="268"/>
    </row>
    <row r="2" spans="1:11" ht="14.5">
      <c r="A2" s="268"/>
      <c r="B2" s="270"/>
      <c r="C2" s="270"/>
      <c r="D2" s="270"/>
      <c r="E2" s="270"/>
      <c r="F2" s="270"/>
      <c r="G2" s="270"/>
      <c r="H2" s="270"/>
      <c r="I2" s="270"/>
      <c r="J2" s="270"/>
      <c r="K2" s="270"/>
    </row>
    <row r="3" spans="1:11" ht="14.5">
      <c r="A3" s="268"/>
      <c r="B3" s="271"/>
      <c r="C3" s="271"/>
      <c r="D3" s="485" t="s">
        <v>318</v>
      </c>
      <c r="E3" s="486"/>
      <c r="F3" s="486"/>
      <c r="G3" s="486"/>
      <c r="H3" s="486"/>
      <c r="I3" s="486"/>
      <c r="J3" s="486"/>
      <c r="K3" s="486"/>
    </row>
    <row r="4" spans="1:11" ht="15" customHeight="1">
      <c r="A4" s="268"/>
      <c r="B4" s="487" t="s">
        <v>1412</v>
      </c>
      <c r="C4" s="486"/>
      <c r="D4" s="272" t="s">
        <v>3</v>
      </c>
      <c r="E4" s="272" t="s">
        <v>4</v>
      </c>
      <c r="F4" s="272" t="s">
        <v>5</v>
      </c>
      <c r="G4" s="272" t="s">
        <v>6</v>
      </c>
      <c r="H4" s="272" t="s">
        <v>7</v>
      </c>
      <c r="I4" s="272" t="s">
        <v>8</v>
      </c>
      <c r="J4" s="272" t="s">
        <v>9</v>
      </c>
      <c r="K4" s="272" t="s">
        <v>15</v>
      </c>
    </row>
    <row r="5" spans="1:11" ht="14.5">
      <c r="A5" s="268"/>
      <c r="B5" s="271">
        <v>1</v>
      </c>
      <c r="C5" s="273" t="s">
        <v>1413</v>
      </c>
      <c r="D5" s="274">
        <v>3446</v>
      </c>
      <c r="E5" s="275">
        <v>2146</v>
      </c>
      <c r="F5" s="275">
        <v>5326</v>
      </c>
      <c r="G5" s="275">
        <v>5290</v>
      </c>
      <c r="H5" s="275">
        <v>5831</v>
      </c>
      <c r="I5" s="275">
        <v>4756</v>
      </c>
      <c r="J5" s="276">
        <v>2825</v>
      </c>
      <c r="K5" s="274">
        <v>29620</v>
      </c>
    </row>
    <row r="6" spans="1:11" ht="14.5">
      <c r="A6" s="268"/>
      <c r="B6" s="271">
        <v>2</v>
      </c>
      <c r="C6" s="277" t="s">
        <v>1414</v>
      </c>
      <c r="D6" s="275">
        <v>2229</v>
      </c>
      <c r="E6" s="275">
        <v>1552</v>
      </c>
      <c r="F6" s="275">
        <v>3890</v>
      </c>
      <c r="G6" s="275">
        <v>3909</v>
      </c>
      <c r="H6" s="275">
        <v>4146</v>
      </c>
      <c r="I6" s="275">
        <v>3269</v>
      </c>
      <c r="J6" s="276">
        <v>1968</v>
      </c>
      <c r="K6" s="274">
        <v>20963</v>
      </c>
    </row>
    <row r="7" spans="1:11" ht="14.5">
      <c r="A7" s="268"/>
      <c r="B7" s="271">
        <v>3</v>
      </c>
      <c r="C7" s="277" t="s">
        <v>335</v>
      </c>
      <c r="D7" s="275">
        <v>3</v>
      </c>
      <c r="E7" s="275">
        <v>2</v>
      </c>
      <c r="F7" s="275">
        <v>1</v>
      </c>
      <c r="G7" s="275">
        <v>1</v>
      </c>
      <c r="H7" s="275">
        <v>1</v>
      </c>
      <c r="I7" s="275">
        <v>1</v>
      </c>
      <c r="J7" s="276">
        <v>5</v>
      </c>
      <c r="K7" s="274">
        <v>14</v>
      </c>
    </row>
    <row r="8" spans="1:11" ht="14.5">
      <c r="A8" s="268"/>
      <c r="B8" s="271">
        <v>4</v>
      </c>
      <c r="C8" s="277" t="s">
        <v>336</v>
      </c>
      <c r="D8" s="275">
        <v>119</v>
      </c>
      <c r="E8" s="275">
        <v>31</v>
      </c>
      <c r="F8" s="275">
        <v>64</v>
      </c>
      <c r="G8" s="275">
        <v>135</v>
      </c>
      <c r="H8" s="275">
        <v>111</v>
      </c>
      <c r="I8" s="275">
        <v>81</v>
      </c>
      <c r="J8" s="276">
        <v>27</v>
      </c>
      <c r="K8" s="274">
        <v>568</v>
      </c>
    </row>
    <row r="9" spans="1:11" ht="14.5">
      <c r="A9" s="268"/>
      <c r="B9" s="271">
        <v>5</v>
      </c>
      <c r="C9" s="277" t="s">
        <v>337</v>
      </c>
      <c r="D9" s="275">
        <v>1764</v>
      </c>
      <c r="E9" s="275">
        <v>1292</v>
      </c>
      <c r="F9" s="275">
        <v>3407</v>
      </c>
      <c r="G9" s="275">
        <v>3387</v>
      </c>
      <c r="H9" s="275">
        <v>3501</v>
      </c>
      <c r="I9" s="275">
        <v>2759</v>
      </c>
      <c r="J9" s="276">
        <v>1651</v>
      </c>
      <c r="K9" s="274">
        <v>17761</v>
      </c>
    </row>
    <row r="10" spans="1:11" ht="14.5">
      <c r="A10" s="268"/>
      <c r="B10" s="271">
        <v>6</v>
      </c>
      <c r="C10" s="277" t="s">
        <v>338</v>
      </c>
      <c r="D10" s="275">
        <v>150</v>
      </c>
      <c r="E10" s="275">
        <v>89</v>
      </c>
      <c r="F10" s="275">
        <v>119</v>
      </c>
      <c r="G10" s="275">
        <v>105</v>
      </c>
      <c r="H10" s="275">
        <v>245</v>
      </c>
      <c r="I10" s="275">
        <v>222</v>
      </c>
      <c r="J10" s="276">
        <v>162</v>
      </c>
      <c r="K10" s="274">
        <v>1092</v>
      </c>
    </row>
    <row r="11" spans="1:11" ht="14.5">
      <c r="A11" s="268"/>
      <c r="B11" s="271">
        <v>7</v>
      </c>
      <c r="C11" s="277" t="s">
        <v>129</v>
      </c>
      <c r="D11" s="275">
        <v>0</v>
      </c>
      <c r="E11" s="275">
        <v>0</v>
      </c>
      <c r="F11" s="275">
        <v>0</v>
      </c>
      <c r="G11" s="275">
        <v>0</v>
      </c>
      <c r="H11" s="275">
        <v>2</v>
      </c>
      <c r="I11" s="275">
        <v>0</v>
      </c>
      <c r="J11" s="276">
        <v>0</v>
      </c>
      <c r="K11" s="274">
        <v>2</v>
      </c>
    </row>
    <row r="12" spans="1:11" ht="14.5">
      <c r="A12" s="268"/>
      <c r="B12" s="271">
        <v>8</v>
      </c>
      <c r="C12" s="277" t="s">
        <v>339</v>
      </c>
      <c r="D12" s="275">
        <v>75</v>
      </c>
      <c r="E12" s="275">
        <v>63</v>
      </c>
      <c r="F12" s="275">
        <v>186</v>
      </c>
      <c r="G12" s="275">
        <v>124</v>
      </c>
      <c r="H12" s="275">
        <v>132</v>
      </c>
      <c r="I12" s="275">
        <v>116</v>
      </c>
      <c r="J12" s="276">
        <v>60</v>
      </c>
      <c r="K12" s="274">
        <v>756</v>
      </c>
    </row>
    <row r="13" spans="1:11" ht="14.5">
      <c r="A13" s="268"/>
      <c r="B13" s="271">
        <v>9</v>
      </c>
      <c r="C13" s="277" t="s">
        <v>340</v>
      </c>
      <c r="D13" s="275">
        <v>118</v>
      </c>
      <c r="E13" s="275">
        <v>75</v>
      </c>
      <c r="F13" s="275">
        <v>113</v>
      </c>
      <c r="G13" s="275">
        <v>158</v>
      </c>
      <c r="H13" s="275">
        <v>154</v>
      </c>
      <c r="I13" s="275">
        <v>90</v>
      </c>
      <c r="J13" s="276">
        <v>63</v>
      </c>
      <c r="K13" s="274">
        <v>771</v>
      </c>
    </row>
    <row r="14" spans="1:11" ht="14.5">
      <c r="A14" s="268"/>
      <c r="B14" s="271">
        <v>10</v>
      </c>
      <c r="C14" s="277" t="s">
        <v>1415</v>
      </c>
      <c r="D14" s="275">
        <v>1217</v>
      </c>
      <c r="E14" s="275">
        <v>594</v>
      </c>
      <c r="F14" s="275">
        <v>1436</v>
      </c>
      <c r="G14" s="275">
        <v>1381</v>
      </c>
      <c r="H14" s="275">
        <v>1685</v>
      </c>
      <c r="I14" s="275">
        <v>1487</v>
      </c>
      <c r="J14" s="276">
        <v>857</v>
      </c>
      <c r="K14" s="274">
        <v>8657</v>
      </c>
    </row>
    <row r="15" spans="1:11" ht="14.5">
      <c r="A15" s="268"/>
      <c r="B15" s="271">
        <v>11</v>
      </c>
      <c r="C15" s="277" t="s">
        <v>335</v>
      </c>
      <c r="D15" s="275">
        <v>0</v>
      </c>
      <c r="E15" s="275">
        <v>1</v>
      </c>
      <c r="F15" s="275">
        <v>0</v>
      </c>
      <c r="G15" s="275">
        <v>0</v>
      </c>
      <c r="H15" s="275">
        <v>0</v>
      </c>
      <c r="I15" s="275">
        <v>0</v>
      </c>
      <c r="J15" s="276">
        <v>3</v>
      </c>
      <c r="K15" s="274">
        <v>4</v>
      </c>
    </row>
    <row r="16" spans="1:11" ht="14.5">
      <c r="A16" s="268"/>
      <c r="B16" s="271">
        <v>12</v>
      </c>
      <c r="C16" s="277" t="s">
        <v>336</v>
      </c>
      <c r="D16" s="275">
        <v>15</v>
      </c>
      <c r="E16" s="275">
        <v>2</v>
      </c>
      <c r="F16" s="275">
        <v>6</v>
      </c>
      <c r="G16" s="275">
        <v>26</v>
      </c>
      <c r="H16" s="275">
        <v>57</v>
      </c>
      <c r="I16" s="275">
        <v>34</v>
      </c>
      <c r="J16" s="276">
        <v>15</v>
      </c>
      <c r="K16" s="274">
        <v>155</v>
      </c>
    </row>
    <row r="17" spans="1:11" ht="14.5">
      <c r="A17" s="268"/>
      <c r="B17" s="271">
        <v>13</v>
      </c>
      <c r="C17" s="277" t="s">
        <v>337</v>
      </c>
      <c r="D17" s="275">
        <v>808</v>
      </c>
      <c r="E17" s="275">
        <v>435</v>
      </c>
      <c r="F17" s="275">
        <v>1170</v>
      </c>
      <c r="G17" s="275">
        <v>999</v>
      </c>
      <c r="H17" s="275">
        <v>941</v>
      </c>
      <c r="I17" s="275">
        <v>858</v>
      </c>
      <c r="J17" s="276">
        <v>471</v>
      </c>
      <c r="K17" s="274">
        <v>5682</v>
      </c>
    </row>
    <row r="18" spans="1:11" ht="14.5">
      <c r="A18" s="268"/>
      <c r="B18" s="271">
        <v>14</v>
      </c>
      <c r="C18" s="277" t="s">
        <v>338</v>
      </c>
      <c r="D18" s="275">
        <v>284</v>
      </c>
      <c r="E18" s="275">
        <v>77</v>
      </c>
      <c r="F18" s="275">
        <v>108</v>
      </c>
      <c r="G18" s="275">
        <v>227</v>
      </c>
      <c r="H18" s="275">
        <v>547</v>
      </c>
      <c r="I18" s="275">
        <v>514</v>
      </c>
      <c r="J18" s="276">
        <v>311</v>
      </c>
      <c r="K18" s="274">
        <v>2068</v>
      </c>
    </row>
    <row r="19" spans="1:11" ht="14.5">
      <c r="A19" s="268"/>
      <c r="B19" s="271">
        <v>15</v>
      </c>
      <c r="C19" s="277" t="s">
        <v>129</v>
      </c>
      <c r="D19" s="275">
        <v>0</v>
      </c>
      <c r="E19" s="275">
        <v>0</v>
      </c>
      <c r="F19" s="275">
        <v>0</v>
      </c>
      <c r="G19" s="275">
        <v>0</v>
      </c>
      <c r="H19" s="275">
        <v>0</v>
      </c>
      <c r="I19" s="275">
        <v>0</v>
      </c>
      <c r="J19" s="276">
        <v>0</v>
      </c>
      <c r="K19" s="274">
        <v>0</v>
      </c>
    </row>
    <row r="20" spans="1:11" ht="14.5">
      <c r="A20" s="268"/>
      <c r="B20" s="271">
        <v>16</v>
      </c>
      <c r="C20" s="277" t="s">
        <v>339</v>
      </c>
      <c r="D20" s="275">
        <v>28</v>
      </c>
      <c r="E20" s="275">
        <v>28</v>
      </c>
      <c r="F20" s="275">
        <v>45</v>
      </c>
      <c r="G20" s="275">
        <v>33</v>
      </c>
      <c r="H20" s="275">
        <v>25</v>
      </c>
      <c r="I20" s="275">
        <v>15</v>
      </c>
      <c r="J20" s="276">
        <v>16</v>
      </c>
      <c r="K20" s="274">
        <v>190</v>
      </c>
    </row>
    <row r="21" spans="1:11" ht="14.5">
      <c r="A21" s="268"/>
      <c r="B21" s="271">
        <v>17</v>
      </c>
      <c r="C21" s="277" t="s">
        <v>340</v>
      </c>
      <c r="D21" s="275">
        <v>82</v>
      </c>
      <c r="E21" s="275">
        <v>51</v>
      </c>
      <c r="F21" s="275">
        <v>107</v>
      </c>
      <c r="G21" s="275">
        <v>96</v>
      </c>
      <c r="H21" s="275">
        <v>115</v>
      </c>
      <c r="I21" s="275">
        <v>66</v>
      </c>
      <c r="J21" s="276">
        <v>41</v>
      </c>
      <c r="K21" s="274">
        <v>558</v>
      </c>
    </row>
    <row r="22" spans="1:11" ht="14.5">
      <c r="A22" s="268"/>
      <c r="B22" s="271">
        <v>18</v>
      </c>
      <c r="C22" s="278" t="s">
        <v>1416</v>
      </c>
      <c r="D22" s="274">
        <v>163</v>
      </c>
      <c r="E22" s="274">
        <v>104</v>
      </c>
      <c r="F22" s="274">
        <v>249</v>
      </c>
      <c r="G22" s="274">
        <v>229</v>
      </c>
      <c r="H22" s="274">
        <v>248</v>
      </c>
      <c r="I22" s="274">
        <v>246</v>
      </c>
      <c r="J22" s="276">
        <v>102</v>
      </c>
      <c r="K22" s="274">
        <v>1341</v>
      </c>
    </row>
    <row r="23" spans="1:11" ht="14.5">
      <c r="A23" s="268"/>
      <c r="B23" s="271">
        <v>19</v>
      </c>
      <c r="C23" s="277" t="s">
        <v>1414</v>
      </c>
      <c r="D23" s="275">
        <v>89</v>
      </c>
      <c r="E23" s="275">
        <v>62</v>
      </c>
      <c r="F23" s="275">
        <v>169</v>
      </c>
      <c r="G23" s="275">
        <v>165</v>
      </c>
      <c r="H23" s="275">
        <v>155</v>
      </c>
      <c r="I23" s="275">
        <v>155</v>
      </c>
      <c r="J23" s="276">
        <v>70</v>
      </c>
      <c r="K23" s="274">
        <v>865</v>
      </c>
    </row>
    <row r="24" spans="1:11" ht="14.5">
      <c r="A24" s="268"/>
      <c r="B24" s="271">
        <v>20</v>
      </c>
      <c r="C24" s="277" t="s">
        <v>335</v>
      </c>
      <c r="D24" s="275">
        <v>0</v>
      </c>
      <c r="E24" s="275">
        <v>0</v>
      </c>
      <c r="F24" s="275">
        <v>0</v>
      </c>
      <c r="G24" s="275">
        <v>0</v>
      </c>
      <c r="H24" s="275">
        <v>0</v>
      </c>
      <c r="I24" s="275">
        <v>0</v>
      </c>
      <c r="J24" s="276">
        <v>0</v>
      </c>
      <c r="K24" s="274">
        <v>0</v>
      </c>
    </row>
    <row r="25" spans="1:11" ht="14.5">
      <c r="A25" s="268"/>
      <c r="B25" s="271">
        <v>21</v>
      </c>
      <c r="C25" s="277" t="s">
        <v>336</v>
      </c>
      <c r="D25" s="275">
        <v>1</v>
      </c>
      <c r="E25" s="275">
        <v>0</v>
      </c>
      <c r="F25" s="275">
        <v>1</v>
      </c>
      <c r="G25" s="275">
        <v>0</v>
      </c>
      <c r="H25" s="275">
        <v>3</v>
      </c>
      <c r="I25" s="275">
        <v>0</v>
      </c>
      <c r="J25" s="276">
        <v>0</v>
      </c>
      <c r="K25" s="274">
        <v>5</v>
      </c>
    </row>
    <row r="26" spans="1:11" ht="14.5">
      <c r="A26" s="268"/>
      <c r="B26" s="271">
        <v>22</v>
      </c>
      <c r="C26" s="277" t="s">
        <v>337</v>
      </c>
      <c r="D26" s="275">
        <v>73</v>
      </c>
      <c r="E26" s="275">
        <v>51</v>
      </c>
      <c r="F26" s="275">
        <v>147</v>
      </c>
      <c r="G26" s="275">
        <v>149</v>
      </c>
      <c r="H26" s="275">
        <v>128</v>
      </c>
      <c r="I26" s="275">
        <v>123</v>
      </c>
      <c r="J26" s="276">
        <v>56</v>
      </c>
      <c r="K26" s="274">
        <v>727</v>
      </c>
    </row>
    <row r="27" spans="1:11" ht="14.5">
      <c r="A27" s="268"/>
      <c r="B27" s="271">
        <v>23</v>
      </c>
      <c r="C27" s="277" t="s">
        <v>338</v>
      </c>
      <c r="D27" s="275">
        <v>5</v>
      </c>
      <c r="E27" s="275">
        <v>6</v>
      </c>
      <c r="F27" s="275">
        <v>7</v>
      </c>
      <c r="G27" s="275">
        <v>6</v>
      </c>
      <c r="H27" s="275">
        <v>14</v>
      </c>
      <c r="I27" s="275">
        <v>23</v>
      </c>
      <c r="J27" s="276">
        <v>9</v>
      </c>
      <c r="K27" s="274">
        <v>70</v>
      </c>
    </row>
    <row r="28" spans="1:11" ht="14.5">
      <c r="A28" s="268"/>
      <c r="B28" s="271">
        <v>24</v>
      </c>
      <c r="C28" s="277" t="s">
        <v>129</v>
      </c>
      <c r="D28" s="275">
        <v>0</v>
      </c>
      <c r="E28" s="275">
        <v>0</v>
      </c>
      <c r="F28" s="275">
        <v>0</v>
      </c>
      <c r="G28" s="275">
        <v>0</v>
      </c>
      <c r="H28" s="275">
        <v>0</v>
      </c>
      <c r="I28" s="275">
        <v>0</v>
      </c>
      <c r="J28" s="276">
        <v>0</v>
      </c>
      <c r="K28" s="274">
        <v>0</v>
      </c>
    </row>
    <row r="29" spans="1:11" ht="14.5">
      <c r="A29" s="268"/>
      <c r="B29" s="271">
        <v>25</v>
      </c>
      <c r="C29" s="277" t="s">
        <v>339</v>
      </c>
      <c r="D29" s="275">
        <v>0</v>
      </c>
      <c r="E29" s="275">
        <v>3</v>
      </c>
      <c r="F29" s="275">
        <v>5</v>
      </c>
      <c r="G29" s="275">
        <v>0</v>
      </c>
      <c r="H29" s="275">
        <v>0</v>
      </c>
      <c r="I29" s="275">
        <v>0</v>
      </c>
      <c r="J29" s="276">
        <v>2</v>
      </c>
      <c r="K29" s="274">
        <v>10</v>
      </c>
    </row>
    <row r="30" spans="1:11" ht="14.5">
      <c r="A30" s="268"/>
      <c r="B30" s="271">
        <v>26</v>
      </c>
      <c r="C30" s="277" t="s">
        <v>340</v>
      </c>
      <c r="D30" s="275">
        <v>10</v>
      </c>
      <c r="E30" s="275">
        <v>2</v>
      </c>
      <c r="F30" s="275">
        <v>9</v>
      </c>
      <c r="G30" s="275">
        <v>10</v>
      </c>
      <c r="H30" s="275">
        <v>10</v>
      </c>
      <c r="I30" s="275">
        <v>9</v>
      </c>
      <c r="J30" s="276">
        <v>3</v>
      </c>
      <c r="K30" s="274">
        <v>53</v>
      </c>
    </row>
    <row r="31" spans="1:11" ht="14.5">
      <c r="A31" s="268"/>
      <c r="B31" s="271">
        <v>27</v>
      </c>
      <c r="C31" s="277" t="s">
        <v>1415</v>
      </c>
      <c r="D31" s="275">
        <v>74</v>
      </c>
      <c r="E31" s="275">
        <v>42</v>
      </c>
      <c r="F31" s="275">
        <v>80</v>
      </c>
      <c r="G31" s="275">
        <v>64</v>
      </c>
      <c r="H31" s="275">
        <v>93</v>
      </c>
      <c r="I31" s="275">
        <v>91</v>
      </c>
      <c r="J31" s="276">
        <v>32</v>
      </c>
      <c r="K31" s="274">
        <v>476</v>
      </c>
    </row>
    <row r="32" spans="1:11" ht="14.5">
      <c r="A32" s="268"/>
      <c r="B32" s="271">
        <v>28</v>
      </c>
      <c r="C32" s="277" t="s">
        <v>335</v>
      </c>
      <c r="D32" s="279"/>
      <c r="E32" s="275">
        <v>0</v>
      </c>
      <c r="F32" s="279"/>
      <c r="G32" s="279"/>
      <c r="H32" s="279"/>
      <c r="I32" s="279"/>
      <c r="J32" s="276">
        <v>0</v>
      </c>
      <c r="K32" s="274">
        <v>0</v>
      </c>
    </row>
    <row r="33" spans="1:11" ht="14.5">
      <c r="A33" s="268"/>
      <c r="B33" s="271">
        <v>29</v>
      </c>
      <c r="C33" s="277" t="s">
        <v>336</v>
      </c>
      <c r="D33" s="275">
        <v>1</v>
      </c>
      <c r="E33" s="275">
        <v>0</v>
      </c>
      <c r="F33" s="275">
        <v>1</v>
      </c>
      <c r="G33" s="275">
        <v>0</v>
      </c>
      <c r="H33" s="275">
        <v>2</v>
      </c>
      <c r="I33" s="275">
        <v>2</v>
      </c>
      <c r="J33" s="276">
        <v>0</v>
      </c>
      <c r="K33" s="274">
        <v>6</v>
      </c>
    </row>
    <row r="34" spans="1:11" ht="14.5">
      <c r="A34" s="268"/>
      <c r="B34" s="271">
        <v>30</v>
      </c>
      <c r="C34" s="277" t="s">
        <v>337</v>
      </c>
      <c r="D34" s="275">
        <v>27</v>
      </c>
      <c r="E34" s="275">
        <v>18</v>
      </c>
      <c r="F34" s="275">
        <v>37</v>
      </c>
      <c r="G34" s="275">
        <v>34</v>
      </c>
      <c r="H34" s="275">
        <v>25</v>
      </c>
      <c r="I34" s="275">
        <v>21</v>
      </c>
      <c r="J34" s="276">
        <v>9</v>
      </c>
      <c r="K34" s="274">
        <v>171</v>
      </c>
    </row>
    <row r="35" spans="1:11" ht="14.5">
      <c r="A35" s="268"/>
      <c r="B35" s="271">
        <v>31</v>
      </c>
      <c r="C35" s="277" t="s">
        <v>338</v>
      </c>
      <c r="D35" s="275">
        <v>40</v>
      </c>
      <c r="E35" s="275">
        <v>22</v>
      </c>
      <c r="F35" s="275">
        <v>33</v>
      </c>
      <c r="G35" s="275">
        <v>22</v>
      </c>
      <c r="H35" s="275">
        <v>57</v>
      </c>
      <c r="I35" s="275">
        <v>59</v>
      </c>
      <c r="J35" s="276">
        <v>22</v>
      </c>
      <c r="K35" s="274">
        <v>255</v>
      </c>
    </row>
    <row r="36" spans="1:11" ht="14.5">
      <c r="A36" s="268"/>
      <c r="B36" s="271">
        <v>32</v>
      </c>
      <c r="C36" s="277" t="s">
        <v>129</v>
      </c>
      <c r="D36" s="275">
        <v>0</v>
      </c>
      <c r="E36" s="275">
        <v>0</v>
      </c>
      <c r="F36" s="275">
        <v>0</v>
      </c>
      <c r="G36" s="275">
        <v>0</v>
      </c>
      <c r="H36" s="275">
        <v>0</v>
      </c>
      <c r="I36" s="275">
        <v>0</v>
      </c>
      <c r="J36" s="276">
        <v>0</v>
      </c>
      <c r="K36" s="274">
        <v>0</v>
      </c>
    </row>
    <row r="37" spans="1:11" ht="14.5">
      <c r="A37" s="268"/>
      <c r="B37" s="271">
        <v>33</v>
      </c>
      <c r="C37" s="277" t="s">
        <v>339</v>
      </c>
      <c r="D37" s="275">
        <v>1</v>
      </c>
      <c r="E37" s="275">
        <v>1</v>
      </c>
      <c r="F37" s="275">
        <v>1</v>
      </c>
      <c r="G37" s="275">
        <v>2</v>
      </c>
      <c r="H37" s="275">
        <v>0</v>
      </c>
      <c r="I37" s="275">
        <v>1</v>
      </c>
      <c r="J37" s="276">
        <v>1</v>
      </c>
      <c r="K37" s="274">
        <v>7</v>
      </c>
    </row>
    <row r="38" spans="1:11" ht="14.5">
      <c r="A38" s="268"/>
      <c r="B38" s="271">
        <v>34</v>
      </c>
      <c r="C38" s="277" t="s">
        <v>340</v>
      </c>
      <c r="D38" s="275">
        <v>5</v>
      </c>
      <c r="E38" s="275">
        <v>1</v>
      </c>
      <c r="F38" s="275">
        <v>8</v>
      </c>
      <c r="G38" s="275">
        <v>6</v>
      </c>
      <c r="H38" s="275">
        <v>9</v>
      </c>
      <c r="I38" s="275">
        <v>8</v>
      </c>
      <c r="J38" s="276">
        <v>0</v>
      </c>
      <c r="K38" s="274">
        <v>37</v>
      </c>
    </row>
    <row r="39" spans="1:11" ht="14.5">
      <c r="A39" s="268"/>
      <c r="B39" s="271">
        <v>35</v>
      </c>
      <c r="C39" s="273" t="s">
        <v>1417</v>
      </c>
      <c r="D39" s="280">
        <v>4.7E-2</v>
      </c>
      <c r="E39" s="280">
        <v>4.8000000000000001E-2</v>
      </c>
      <c r="F39" s="280">
        <v>4.7E-2</v>
      </c>
      <c r="G39" s="280">
        <v>4.2999999999999997E-2</v>
      </c>
      <c r="H39" s="280">
        <v>4.2999999999999997E-2</v>
      </c>
      <c r="I39" s="280">
        <v>5.1999999999999998E-2</v>
      </c>
      <c r="J39" s="281">
        <v>3.5999999999999997E-2</v>
      </c>
      <c r="K39" s="280">
        <v>4.4999999999999998E-2</v>
      </c>
    </row>
    <row r="40" spans="1:11" ht="14.5">
      <c r="A40" s="268"/>
      <c r="B40" s="271">
        <v>36</v>
      </c>
      <c r="C40" s="277" t="s">
        <v>1414</v>
      </c>
      <c r="D40" s="280">
        <v>0.04</v>
      </c>
      <c r="E40" s="280">
        <v>0.04</v>
      </c>
      <c r="F40" s="280">
        <v>4.2999999999999997E-2</v>
      </c>
      <c r="G40" s="280">
        <v>4.2000000000000003E-2</v>
      </c>
      <c r="H40" s="280">
        <v>3.6999999999999998E-2</v>
      </c>
      <c r="I40" s="280">
        <v>4.7E-2</v>
      </c>
      <c r="J40" s="281">
        <v>3.5999999999999997E-2</v>
      </c>
      <c r="K40" s="280">
        <v>4.1000000000000002E-2</v>
      </c>
    </row>
    <row r="41" spans="1:11" ht="14.5">
      <c r="A41" s="268"/>
      <c r="B41" s="271">
        <v>37</v>
      </c>
      <c r="C41" s="277" t="s">
        <v>335</v>
      </c>
      <c r="D41" s="280">
        <v>0</v>
      </c>
      <c r="E41" s="280">
        <v>0</v>
      </c>
      <c r="F41" s="280">
        <v>0</v>
      </c>
      <c r="G41" s="280">
        <v>0</v>
      </c>
      <c r="H41" s="280">
        <v>0</v>
      </c>
      <c r="I41" s="280">
        <v>0</v>
      </c>
      <c r="J41" s="281">
        <v>0</v>
      </c>
      <c r="K41" s="280">
        <v>0</v>
      </c>
    </row>
    <row r="42" spans="1:11" ht="14.5">
      <c r="A42" s="268"/>
      <c r="B42" s="271">
        <v>38</v>
      </c>
      <c r="C42" s="277" t="s">
        <v>336</v>
      </c>
      <c r="D42" s="280">
        <v>8.0000000000000002E-3</v>
      </c>
      <c r="E42" s="280">
        <v>0</v>
      </c>
      <c r="F42" s="280">
        <v>1.6E-2</v>
      </c>
      <c r="G42" s="280">
        <v>0</v>
      </c>
      <c r="H42" s="280">
        <v>2.7E-2</v>
      </c>
      <c r="I42" s="280">
        <v>0</v>
      </c>
      <c r="J42" s="281">
        <v>0</v>
      </c>
      <c r="K42" s="280">
        <v>8.9999999999999993E-3</v>
      </c>
    </row>
    <row r="43" spans="1:11" ht="14.5">
      <c r="A43" s="268"/>
      <c r="B43" s="271">
        <v>39</v>
      </c>
      <c r="C43" s="277" t="s">
        <v>337</v>
      </c>
      <c r="D43" s="280">
        <v>4.1000000000000002E-2</v>
      </c>
      <c r="E43" s="280">
        <v>3.9E-2</v>
      </c>
      <c r="F43" s="280">
        <v>4.2999999999999997E-2</v>
      </c>
      <c r="G43" s="280">
        <v>4.3999999999999997E-2</v>
      </c>
      <c r="H43" s="280">
        <v>3.6999999999999998E-2</v>
      </c>
      <c r="I43" s="280">
        <v>4.4999999999999998E-2</v>
      </c>
      <c r="J43" s="281">
        <v>3.4000000000000002E-2</v>
      </c>
      <c r="K43" s="280">
        <v>4.1000000000000002E-2</v>
      </c>
    </row>
    <row r="44" spans="1:11" ht="14.5">
      <c r="A44" s="268"/>
      <c r="B44" s="271">
        <v>40</v>
      </c>
      <c r="C44" s="277" t="s">
        <v>338</v>
      </c>
      <c r="D44" s="280">
        <v>3.3000000000000002E-2</v>
      </c>
      <c r="E44" s="280">
        <v>6.7000000000000004E-2</v>
      </c>
      <c r="F44" s="280">
        <v>5.8999999999999997E-2</v>
      </c>
      <c r="G44" s="280">
        <v>5.7000000000000002E-2</v>
      </c>
      <c r="H44" s="280">
        <v>5.7000000000000002E-2</v>
      </c>
      <c r="I44" s="280">
        <v>0.104</v>
      </c>
      <c r="J44" s="281">
        <v>5.6000000000000001E-2</v>
      </c>
      <c r="K44" s="280">
        <v>6.4000000000000001E-2</v>
      </c>
    </row>
    <row r="45" spans="1:11" ht="14.5">
      <c r="A45" s="268"/>
      <c r="B45" s="271">
        <v>41</v>
      </c>
      <c r="C45" s="277" t="s">
        <v>129</v>
      </c>
      <c r="D45" s="280" t="e">
        <v>#DIV/0!</v>
      </c>
      <c r="E45" s="280" t="e">
        <v>#DIV/0!</v>
      </c>
      <c r="F45" s="280" t="e">
        <v>#DIV/0!</v>
      </c>
      <c r="G45" s="280">
        <v>0</v>
      </c>
      <c r="H45" s="280">
        <v>1</v>
      </c>
      <c r="I45" s="280">
        <v>2</v>
      </c>
      <c r="J45" s="281">
        <v>3</v>
      </c>
      <c r="K45" s="280">
        <v>0</v>
      </c>
    </row>
    <row r="46" spans="1:11" ht="14.5">
      <c r="A46" s="268"/>
      <c r="B46" s="271">
        <v>42</v>
      </c>
      <c r="C46" s="277" t="s">
        <v>339</v>
      </c>
      <c r="D46" s="280">
        <v>0</v>
      </c>
      <c r="E46" s="280">
        <v>4.8000000000000001E-2</v>
      </c>
      <c r="F46" s="280">
        <v>2.7E-2</v>
      </c>
      <c r="G46" s="280">
        <v>0</v>
      </c>
      <c r="H46" s="280">
        <v>0</v>
      </c>
      <c r="I46" s="280">
        <v>0</v>
      </c>
      <c r="J46" s="281">
        <v>3.3000000000000002E-2</v>
      </c>
      <c r="K46" s="280">
        <v>1.2999999999999999E-2</v>
      </c>
    </row>
    <row r="47" spans="1:11" ht="14.5">
      <c r="A47" s="268"/>
      <c r="B47" s="271">
        <v>43</v>
      </c>
      <c r="C47" s="277" t="s">
        <v>340</v>
      </c>
      <c r="D47" s="280">
        <v>8.5000000000000006E-2</v>
      </c>
      <c r="E47" s="280">
        <v>2.7E-2</v>
      </c>
      <c r="F47" s="280">
        <v>0.08</v>
      </c>
      <c r="G47" s="280">
        <v>6.3E-2</v>
      </c>
      <c r="H47" s="280">
        <v>6.5000000000000002E-2</v>
      </c>
      <c r="I47" s="280">
        <v>0.1</v>
      </c>
      <c r="J47" s="281">
        <v>4.8000000000000001E-2</v>
      </c>
      <c r="K47" s="280">
        <v>6.9000000000000006E-2</v>
      </c>
    </row>
    <row r="48" spans="1:11" ht="14.5">
      <c r="A48" s="268"/>
      <c r="B48" s="271">
        <v>44</v>
      </c>
      <c r="C48" s="277" t="s">
        <v>1415</v>
      </c>
      <c r="D48" s="280">
        <v>6.0999999999999999E-2</v>
      </c>
      <c r="E48" s="280">
        <v>7.0999999999999994E-2</v>
      </c>
      <c r="F48" s="280">
        <v>5.6000000000000001E-2</v>
      </c>
      <c r="G48" s="280">
        <v>4.5999999999999999E-2</v>
      </c>
      <c r="H48" s="280">
        <v>5.5E-2</v>
      </c>
      <c r="I48" s="280">
        <v>6.0999999999999999E-2</v>
      </c>
      <c r="J48" s="281">
        <v>3.6999999999999998E-2</v>
      </c>
      <c r="K48" s="280">
        <v>5.5E-2</v>
      </c>
    </row>
    <row r="49" spans="1:11" ht="14.5">
      <c r="A49" s="268"/>
      <c r="B49" s="271">
        <v>45</v>
      </c>
      <c r="C49" s="277" t="s">
        <v>335</v>
      </c>
      <c r="D49" s="280" t="e">
        <v>#DIV/0!</v>
      </c>
      <c r="E49" s="280">
        <v>0</v>
      </c>
      <c r="F49" s="280" t="e">
        <v>#DIV/0!</v>
      </c>
      <c r="G49" s="280" t="e">
        <v>#DIV/0!</v>
      </c>
      <c r="H49" s="280" t="e">
        <v>#DIV/0!</v>
      </c>
      <c r="I49" s="280" t="e">
        <v>#DIV/0!</v>
      </c>
      <c r="J49" s="281">
        <v>0</v>
      </c>
      <c r="K49" s="280">
        <v>0</v>
      </c>
    </row>
    <row r="50" spans="1:11" ht="14.5">
      <c r="A50" s="268"/>
      <c r="B50" s="271">
        <v>46</v>
      </c>
      <c r="C50" s="277" t="s">
        <v>336</v>
      </c>
      <c r="D50" s="280">
        <v>6.7000000000000004E-2</v>
      </c>
      <c r="E50" s="280">
        <v>0</v>
      </c>
      <c r="F50" s="280">
        <v>0.16700000000000001</v>
      </c>
      <c r="G50" s="280">
        <v>0</v>
      </c>
      <c r="H50" s="280">
        <v>3.5000000000000003E-2</v>
      </c>
      <c r="I50" s="280">
        <v>5.8999999999999997E-2</v>
      </c>
      <c r="J50" s="281">
        <v>0</v>
      </c>
      <c r="K50" s="280">
        <v>3.9E-2</v>
      </c>
    </row>
    <row r="51" spans="1:11" ht="14.5">
      <c r="A51" s="268"/>
      <c r="B51" s="271">
        <v>47</v>
      </c>
      <c r="C51" s="277" t="s">
        <v>337</v>
      </c>
      <c r="D51" s="280">
        <v>3.3000000000000002E-2</v>
      </c>
      <c r="E51" s="280">
        <v>4.1000000000000002E-2</v>
      </c>
      <c r="F51" s="280">
        <v>3.2000000000000001E-2</v>
      </c>
      <c r="G51" s="280">
        <v>3.4000000000000002E-2</v>
      </c>
      <c r="H51" s="280">
        <v>2.7E-2</v>
      </c>
      <c r="I51" s="280">
        <v>2.4E-2</v>
      </c>
      <c r="J51" s="281">
        <v>1.9E-2</v>
      </c>
      <c r="K51" s="280">
        <v>0.03</v>
      </c>
    </row>
    <row r="52" spans="1:11" ht="14.5">
      <c r="A52" s="268"/>
      <c r="B52" s="271">
        <v>48</v>
      </c>
      <c r="C52" s="277" t="s">
        <v>338</v>
      </c>
      <c r="D52" s="280">
        <v>0.14099999999999999</v>
      </c>
      <c r="E52" s="280">
        <v>0.28599999999999998</v>
      </c>
      <c r="F52" s="280">
        <v>0.30599999999999999</v>
      </c>
      <c r="G52" s="280">
        <v>9.7000000000000003E-2</v>
      </c>
      <c r="H52" s="280">
        <v>0.104</v>
      </c>
      <c r="I52" s="280">
        <v>0.115</v>
      </c>
      <c r="J52" s="281">
        <v>7.0999999999999994E-2</v>
      </c>
      <c r="K52" s="280">
        <v>0.123</v>
      </c>
    </row>
    <row r="53" spans="1:11" ht="14.5">
      <c r="A53" s="268"/>
      <c r="B53" s="271">
        <v>49</v>
      </c>
      <c r="C53" s="277" t="s">
        <v>129</v>
      </c>
      <c r="D53" s="280" t="e">
        <v>#DIV/0!</v>
      </c>
      <c r="E53" s="280" t="e">
        <v>#DIV/0!</v>
      </c>
      <c r="F53" s="280" t="e">
        <v>#DIV/0!</v>
      </c>
      <c r="G53" s="280" t="e">
        <v>#DIV/0!</v>
      </c>
      <c r="H53" s="280" t="e">
        <v>#DIV/0!</v>
      </c>
      <c r="I53" s="280" t="e">
        <v>#DIV/0!</v>
      </c>
      <c r="J53" s="281" t="e">
        <v>#DIV/0!</v>
      </c>
      <c r="K53" s="280" t="e">
        <v>#DIV/0!</v>
      </c>
    </row>
    <row r="54" spans="1:11" ht="14.5">
      <c r="A54" s="268"/>
      <c r="B54" s="271">
        <v>50</v>
      </c>
      <c r="C54" s="277" t="s">
        <v>339</v>
      </c>
      <c r="D54" s="280">
        <v>3.5999999999999997E-2</v>
      </c>
      <c r="E54" s="280">
        <v>3.5999999999999997E-2</v>
      </c>
      <c r="F54" s="280">
        <v>2.1999999999999999E-2</v>
      </c>
      <c r="G54" s="280">
        <v>6.0999999999999999E-2</v>
      </c>
      <c r="H54" s="280">
        <v>0</v>
      </c>
      <c r="I54" s="280">
        <v>6.7000000000000004E-2</v>
      </c>
      <c r="J54" s="281">
        <v>6.3E-2</v>
      </c>
      <c r="K54" s="280">
        <v>3.6999999999999998E-2</v>
      </c>
    </row>
    <row r="55" spans="1:11" ht="14.5">
      <c r="A55" s="268"/>
      <c r="B55" s="271">
        <v>51</v>
      </c>
      <c r="C55" s="277" t="s">
        <v>340</v>
      </c>
      <c r="D55" s="280">
        <v>6.0999999999999999E-2</v>
      </c>
      <c r="E55" s="280">
        <v>0.02</v>
      </c>
      <c r="F55" s="280">
        <v>7.4999999999999997E-2</v>
      </c>
      <c r="G55" s="280">
        <v>6.3E-2</v>
      </c>
      <c r="H55" s="280">
        <v>7.8E-2</v>
      </c>
      <c r="I55" s="280">
        <v>0.121</v>
      </c>
      <c r="J55" s="281">
        <v>0</v>
      </c>
      <c r="K55" s="280">
        <v>6.6000000000000003E-2</v>
      </c>
    </row>
  </sheetData>
  <mergeCells count="2">
    <mergeCell ref="D3:K3"/>
    <mergeCell ref="B4:C4"/>
  </mergeCells>
  <phoneticPr fontId="96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5.GEO Search volumn-Ge"/>
  <dimension ref="A1:O65"/>
  <sheetViews>
    <sheetView showGridLines="0" workbookViewId="0"/>
  </sheetViews>
  <sheetFormatPr defaultColWidth="9.81640625" defaultRowHeight="14"/>
  <cols>
    <col min="1" max="1" width="2.54296875" customWidth="1"/>
    <col min="2" max="2" width="47.7265625" customWidth="1"/>
    <col min="3" max="3" width="10.1796875" customWidth="1"/>
    <col min="4" max="18" width="11.54296875" customWidth="1"/>
  </cols>
  <sheetData>
    <row r="1" spans="1:15" ht="21" customHeight="1">
      <c r="A1" s="282"/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</row>
    <row r="2" spans="1:15">
      <c r="A2" s="282"/>
      <c r="B2" s="488" t="s">
        <v>1418</v>
      </c>
      <c r="C2" s="489"/>
      <c r="D2" s="489"/>
      <c r="E2" s="489"/>
      <c r="F2" s="489"/>
      <c r="G2" s="489"/>
      <c r="H2" s="489"/>
      <c r="I2" s="489"/>
      <c r="J2" s="489"/>
      <c r="K2" s="489"/>
      <c r="L2" s="489"/>
      <c r="M2" s="489"/>
      <c r="N2" s="489"/>
      <c r="O2" s="282"/>
    </row>
    <row r="3" spans="1:15" ht="28" customHeight="1">
      <c r="A3" s="282"/>
      <c r="B3" s="489"/>
      <c r="C3" s="489"/>
      <c r="D3" s="489"/>
      <c r="E3" s="489"/>
      <c r="F3" s="489"/>
      <c r="G3" s="489"/>
      <c r="H3" s="489"/>
      <c r="I3" s="489"/>
      <c r="J3" s="489"/>
      <c r="K3" s="489"/>
      <c r="L3" s="489"/>
      <c r="M3" s="489"/>
      <c r="N3" s="489"/>
      <c r="O3" s="282"/>
    </row>
    <row r="4" spans="1:15">
      <c r="A4" s="282"/>
      <c r="B4" s="282"/>
      <c r="C4" s="282"/>
      <c r="D4" s="282"/>
      <c r="E4" s="282"/>
      <c r="F4" s="282"/>
      <c r="G4" s="282"/>
      <c r="H4" s="282"/>
      <c r="I4" s="282"/>
      <c r="J4" s="282"/>
      <c r="K4" s="282"/>
      <c r="L4" s="282"/>
      <c r="M4" s="282"/>
      <c r="N4" s="282"/>
      <c r="O4" s="282"/>
    </row>
    <row r="5" spans="1:15" ht="10" customHeight="1">
      <c r="A5" s="282"/>
      <c r="B5" s="282"/>
      <c r="C5" s="282"/>
      <c r="D5" s="282"/>
      <c r="E5" s="282"/>
      <c r="F5" s="282"/>
      <c r="G5" s="282"/>
      <c r="H5" s="282"/>
      <c r="I5" s="282"/>
      <c r="J5" s="282"/>
      <c r="K5" s="282"/>
      <c r="L5" s="282"/>
      <c r="M5" s="282"/>
      <c r="N5" s="282"/>
      <c r="O5" s="282"/>
    </row>
    <row r="6" spans="1:15">
      <c r="A6" s="282"/>
      <c r="B6" s="490" t="s">
        <v>2854</v>
      </c>
      <c r="C6" s="283"/>
      <c r="D6" s="491" t="s">
        <v>1419</v>
      </c>
      <c r="E6" s="486"/>
      <c r="F6" s="486"/>
      <c r="G6" s="486"/>
      <c r="H6" s="486"/>
      <c r="I6" s="486"/>
      <c r="J6" s="486"/>
      <c r="K6" s="486"/>
      <c r="L6" s="486"/>
      <c r="M6" s="486"/>
      <c r="N6" s="486"/>
      <c r="O6" s="284"/>
    </row>
    <row r="7" spans="1:15">
      <c r="A7" s="282"/>
      <c r="B7" s="486"/>
      <c r="C7" s="283" t="s">
        <v>3</v>
      </c>
      <c r="D7" s="285" t="s">
        <v>4</v>
      </c>
      <c r="E7" s="283" t="s">
        <v>5</v>
      </c>
      <c r="F7" s="283" t="s">
        <v>6</v>
      </c>
      <c r="G7" s="283" t="s">
        <v>7</v>
      </c>
      <c r="H7" s="283" t="s">
        <v>8</v>
      </c>
      <c r="I7" s="283" t="s">
        <v>9</v>
      </c>
      <c r="J7" s="283" t="s">
        <v>10</v>
      </c>
      <c r="K7" s="283" t="s">
        <v>11</v>
      </c>
      <c r="L7" s="283" t="s">
        <v>12</v>
      </c>
      <c r="M7" s="283" t="s">
        <v>13</v>
      </c>
      <c r="N7" s="283" t="s">
        <v>14</v>
      </c>
      <c r="O7" s="283" t="s">
        <v>1420</v>
      </c>
    </row>
    <row r="8" spans="1:15">
      <c r="A8" s="282"/>
      <c r="B8" s="286" t="s">
        <v>731</v>
      </c>
      <c r="C8" s="287"/>
      <c r="D8" s="287"/>
      <c r="E8" s="288">
        <v>25678</v>
      </c>
      <c r="F8" s="288">
        <v>112987</v>
      </c>
      <c r="G8" s="289">
        <v>135802</v>
      </c>
      <c r="H8" s="289">
        <v>121634</v>
      </c>
      <c r="I8" s="290"/>
      <c r="J8" s="290"/>
      <c r="K8" s="290"/>
      <c r="L8" s="290"/>
      <c r="M8" s="290"/>
      <c r="N8" s="290"/>
      <c r="O8" s="291">
        <v>0.2</v>
      </c>
    </row>
    <row r="9" spans="1:15">
      <c r="A9" s="282"/>
      <c r="B9" s="286" t="s">
        <v>796</v>
      </c>
      <c r="C9" s="287"/>
      <c r="D9" s="287"/>
      <c r="E9" s="288">
        <v>32109</v>
      </c>
      <c r="F9" s="288">
        <v>105432</v>
      </c>
      <c r="G9" s="289">
        <v>122086</v>
      </c>
      <c r="H9" s="289">
        <v>111203</v>
      </c>
      <c r="I9" s="290"/>
      <c r="J9" s="290"/>
      <c r="K9" s="290"/>
      <c r="L9" s="290"/>
      <c r="M9" s="290"/>
      <c r="N9" s="290"/>
      <c r="O9" s="291">
        <v>0.16</v>
      </c>
    </row>
    <row r="10" spans="1:15">
      <c r="A10" s="282"/>
      <c r="B10" s="286" t="s">
        <v>797</v>
      </c>
      <c r="C10" s="287"/>
      <c r="D10" s="287"/>
      <c r="E10" s="288">
        <v>31876</v>
      </c>
      <c r="F10" s="288">
        <v>99123</v>
      </c>
      <c r="G10" s="289">
        <v>116246</v>
      </c>
      <c r="H10" s="289">
        <v>108974</v>
      </c>
      <c r="I10" s="290"/>
      <c r="J10" s="290"/>
      <c r="K10" s="290"/>
      <c r="L10" s="290"/>
      <c r="M10" s="290"/>
      <c r="N10" s="290"/>
      <c r="O10" s="291">
        <v>0.17</v>
      </c>
    </row>
    <row r="11" spans="1:15">
      <c r="A11" s="282"/>
      <c r="B11" s="286" t="s">
        <v>795</v>
      </c>
      <c r="C11" s="287"/>
      <c r="D11" s="287"/>
      <c r="E11" s="288">
        <v>35432</v>
      </c>
      <c r="F11" s="288">
        <v>98765</v>
      </c>
      <c r="G11" s="289">
        <v>108642</v>
      </c>
      <c r="H11" s="289">
        <v>97115</v>
      </c>
      <c r="I11" s="290"/>
      <c r="J11" s="290"/>
      <c r="K11" s="290"/>
      <c r="L11" s="290"/>
      <c r="M11" s="290"/>
      <c r="N11" s="290"/>
      <c r="O11" s="291">
        <v>0.1</v>
      </c>
    </row>
    <row r="12" spans="1:15">
      <c r="A12" s="282"/>
      <c r="B12" s="286" t="s">
        <v>786</v>
      </c>
      <c r="C12" s="287"/>
      <c r="D12" s="287"/>
      <c r="E12" s="288">
        <v>30123</v>
      </c>
      <c r="F12" s="288">
        <v>97345</v>
      </c>
      <c r="G12" s="289">
        <v>107284</v>
      </c>
      <c r="H12" s="289">
        <v>95486</v>
      </c>
      <c r="I12" s="290"/>
      <c r="J12" s="290"/>
      <c r="K12" s="290"/>
      <c r="L12" s="290"/>
      <c r="M12" s="290"/>
      <c r="N12" s="290"/>
      <c r="O12" s="291">
        <v>0.1</v>
      </c>
    </row>
    <row r="13" spans="1:15">
      <c r="A13" s="282"/>
      <c r="B13" s="289" t="s">
        <v>798</v>
      </c>
      <c r="C13" s="287"/>
      <c r="D13" s="287"/>
      <c r="E13" s="288">
        <v>31543</v>
      </c>
      <c r="F13" s="288">
        <v>95876</v>
      </c>
      <c r="G13" s="289">
        <v>98035</v>
      </c>
      <c r="H13" s="289">
        <v>96021</v>
      </c>
      <c r="I13" s="290"/>
      <c r="J13" s="290"/>
      <c r="K13" s="290"/>
      <c r="L13" s="290"/>
      <c r="M13" s="290"/>
      <c r="N13" s="290"/>
      <c r="O13" s="291">
        <v>0.02</v>
      </c>
    </row>
    <row r="14" spans="1:15">
      <c r="A14" s="282"/>
      <c r="B14" s="288" t="s">
        <v>2855</v>
      </c>
      <c r="C14" s="287"/>
      <c r="D14" s="287"/>
      <c r="E14" s="288">
        <v>28765</v>
      </c>
      <c r="F14" s="288">
        <v>87654</v>
      </c>
      <c r="G14" s="289">
        <v>84197</v>
      </c>
      <c r="H14" s="289">
        <v>86384</v>
      </c>
      <c r="I14" s="290"/>
      <c r="J14" s="290"/>
      <c r="K14" s="290"/>
      <c r="L14" s="290"/>
      <c r="M14" s="290"/>
      <c r="N14" s="290"/>
      <c r="O14" s="291">
        <v>-0.04</v>
      </c>
    </row>
    <row r="15" spans="1:15">
      <c r="A15" s="282"/>
      <c r="B15" s="289" t="s">
        <v>733</v>
      </c>
      <c r="C15" s="287"/>
      <c r="D15" s="287"/>
      <c r="E15" s="288">
        <v>23456</v>
      </c>
      <c r="F15" s="288">
        <v>78453</v>
      </c>
      <c r="G15" s="289">
        <v>74680</v>
      </c>
      <c r="H15" s="289">
        <v>69112</v>
      </c>
      <c r="I15" s="290"/>
      <c r="J15" s="290"/>
      <c r="K15" s="290"/>
      <c r="L15" s="290"/>
      <c r="M15" s="290"/>
      <c r="N15" s="290"/>
      <c r="O15" s="291">
        <v>-0.05</v>
      </c>
    </row>
    <row r="16" spans="1:15">
      <c r="A16" s="282"/>
      <c r="B16" s="289" t="s">
        <v>660</v>
      </c>
      <c r="C16" s="287"/>
      <c r="D16" s="287"/>
      <c r="E16" s="288">
        <v>8765</v>
      </c>
      <c r="F16" s="288">
        <v>67890</v>
      </c>
      <c r="G16" s="289">
        <v>59753</v>
      </c>
      <c r="H16" s="289">
        <v>53884</v>
      </c>
      <c r="I16" s="290"/>
      <c r="J16" s="290"/>
      <c r="K16" s="290"/>
      <c r="L16" s="290"/>
      <c r="M16" s="290"/>
      <c r="N16" s="290"/>
      <c r="O16" s="291">
        <v>-0.12</v>
      </c>
    </row>
    <row r="17" spans="1:15">
      <c r="A17" s="282"/>
      <c r="B17" s="289" t="s">
        <v>672</v>
      </c>
      <c r="C17" s="287"/>
      <c r="D17" s="287"/>
      <c r="E17" s="288">
        <v>8654</v>
      </c>
      <c r="F17" s="288">
        <v>65432</v>
      </c>
      <c r="G17" s="289">
        <v>58286</v>
      </c>
      <c r="H17" s="289">
        <v>50974</v>
      </c>
      <c r="I17" s="290"/>
      <c r="J17" s="290"/>
      <c r="K17" s="290"/>
      <c r="L17" s="290"/>
      <c r="M17" s="290"/>
      <c r="N17" s="290"/>
      <c r="O17" s="291">
        <v>-0.11</v>
      </c>
    </row>
    <row r="18" spans="1:15">
      <c r="A18" s="282"/>
      <c r="B18" s="289" t="s">
        <v>681</v>
      </c>
      <c r="C18" s="287"/>
      <c r="D18" s="287"/>
      <c r="E18" s="288">
        <v>8567</v>
      </c>
      <c r="F18" s="288">
        <v>63210</v>
      </c>
      <c r="G18" s="289">
        <v>53642</v>
      </c>
      <c r="H18" s="289">
        <v>47311</v>
      </c>
      <c r="I18" s="290"/>
      <c r="J18" s="290"/>
      <c r="K18" s="290"/>
      <c r="L18" s="290"/>
      <c r="M18" s="290"/>
      <c r="N18" s="290"/>
      <c r="O18" s="291">
        <v>-0.15</v>
      </c>
    </row>
    <row r="19" spans="1:15">
      <c r="A19" s="282"/>
      <c r="B19" s="289" t="s">
        <v>664</v>
      </c>
      <c r="C19" s="287"/>
      <c r="D19" s="287"/>
      <c r="E19" s="288">
        <v>8543</v>
      </c>
      <c r="F19" s="288">
        <v>61789</v>
      </c>
      <c r="G19" s="289">
        <v>51835</v>
      </c>
      <c r="H19" s="289">
        <v>44931</v>
      </c>
      <c r="I19" s="290"/>
      <c r="J19" s="290"/>
      <c r="K19" s="290"/>
      <c r="L19" s="290"/>
      <c r="M19" s="290"/>
      <c r="N19" s="290"/>
      <c r="O19" s="291">
        <v>-0.16</v>
      </c>
    </row>
    <row r="20" spans="1:15">
      <c r="A20" s="282"/>
      <c r="B20" s="289" t="s">
        <v>677</v>
      </c>
      <c r="C20" s="287"/>
      <c r="D20" s="287"/>
      <c r="E20" s="288">
        <v>8432</v>
      </c>
      <c r="F20" s="288">
        <v>60123</v>
      </c>
      <c r="G20" s="289">
        <v>50246</v>
      </c>
      <c r="H20" s="289">
        <v>45722</v>
      </c>
      <c r="I20" s="290"/>
      <c r="J20" s="290"/>
      <c r="K20" s="290"/>
      <c r="L20" s="290"/>
      <c r="M20" s="290"/>
      <c r="N20" s="290"/>
      <c r="O20" s="291">
        <v>-0.16</v>
      </c>
    </row>
    <row r="21" spans="1:15">
      <c r="A21" s="282"/>
      <c r="B21" s="289" t="s">
        <v>766</v>
      </c>
      <c r="C21" s="287"/>
      <c r="D21" s="287"/>
      <c r="E21" s="288">
        <v>11012</v>
      </c>
      <c r="F21" s="288">
        <v>58912</v>
      </c>
      <c r="G21" s="289">
        <v>30935</v>
      </c>
      <c r="H21" s="289">
        <v>26604</v>
      </c>
      <c r="I21" s="290"/>
      <c r="J21" s="290"/>
      <c r="K21" s="290"/>
      <c r="L21" s="290"/>
      <c r="M21" s="290"/>
      <c r="N21" s="290"/>
      <c r="O21" s="291">
        <v>-0.47</v>
      </c>
    </row>
    <row r="22" spans="1:15">
      <c r="A22" s="282"/>
      <c r="B22" s="289" t="s">
        <v>771</v>
      </c>
      <c r="C22" s="287"/>
      <c r="D22" s="287"/>
      <c r="E22" s="288">
        <v>10987</v>
      </c>
      <c r="F22" s="288">
        <v>57109</v>
      </c>
      <c r="G22" s="289">
        <v>30680</v>
      </c>
      <c r="H22" s="289">
        <v>28534</v>
      </c>
      <c r="I22" s="290"/>
      <c r="J22" s="290"/>
      <c r="K22" s="290"/>
      <c r="L22" s="290"/>
      <c r="M22" s="290"/>
      <c r="N22" s="290"/>
      <c r="O22" s="291">
        <v>-0.46</v>
      </c>
    </row>
    <row r="23" spans="1:15">
      <c r="A23" s="282"/>
      <c r="B23" s="289" t="s">
        <v>755</v>
      </c>
      <c r="C23" s="287"/>
      <c r="D23" s="287"/>
      <c r="E23" s="288">
        <v>11234</v>
      </c>
      <c r="F23" s="288">
        <v>56789</v>
      </c>
      <c r="G23" s="289">
        <v>29442</v>
      </c>
      <c r="H23" s="289">
        <v>24159</v>
      </c>
      <c r="I23" s="290"/>
      <c r="J23" s="290"/>
      <c r="K23" s="290"/>
      <c r="L23" s="290"/>
      <c r="M23" s="290"/>
      <c r="N23" s="290"/>
      <c r="O23" s="291">
        <v>-0.48</v>
      </c>
    </row>
    <row r="24" spans="1:15">
      <c r="A24" s="282"/>
      <c r="B24" s="289" t="s">
        <v>666</v>
      </c>
      <c r="C24" s="287"/>
      <c r="D24" s="287"/>
      <c r="E24" s="288">
        <v>9456</v>
      </c>
      <c r="F24" s="288">
        <v>49876</v>
      </c>
      <c r="G24" s="289">
        <v>20791</v>
      </c>
      <c r="H24" s="289">
        <v>18087</v>
      </c>
      <c r="I24" s="290"/>
      <c r="J24" s="290"/>
      <c r="K24" s="290"/>
      <c r="L24" s="290"/>
      <c r="M24" s="290"/>
      <c r="N24" s="290"/>
      <c r="O24" s="291">
        <v>-0.57999999999999996</v>
      </c>
    </row>
    <row r="25" spans="1:15">
      <c r="A25" s="282"/>
      <c r="B25" s="289" t="s">
        <v>761</v>
      </c>
      <c r="C25" s="287"/>
      <c r="D25" s="287"/>
      <c r="E25" s="288">
        <v>10876</v>
      </c>
      <c r="F25" s="288">
        <v>48976</v>
      </c>
      <c r="G25" s="289">
        <v>19202</v>
      </c>
      <c r="H25" s="289">
        <v>20116</v>
      </c>
      <c r="I25" s="290"/>
      <c r="J25" s="290"/>
      <c r="K25" s="290"/>
      <c r="L25" s="290"/>
      <c r="M25" s="290"/>
      <c r="N25" s="290"/>
      <c r="O25" s="291">
        <v>-0.61</v>
      </c>
    </row>
    <row r="26" spans="1:15">
      <c r="A26" s="282"/>
      <c r="B26" s="289" t="s">
        <v>715</v>
      </c>
      <c r="C26" s="287"/>
      <c r="D26" s="287"/>
      <c r="E26" s="288">
        <v>9321</v>
      </c>
      <c r="F26" s="288">
        <v>47567</v>
      </c>
      <c r="G26" s="289">
        <v>17246</v>
      </c>
      <c r="H26" s="289">
        <v>15867</v>
      </c>
      <c r="I26" s="290"/>
      <c r="J26" s="290"/>
      <c r="K26" s="290"/>
      <c r="L26" s="290"/>
      <c r="M26" s="290"/>
      <c r="N26" s="290"/>
      <c r="O26" s="291">
        <v>-0.64</v>
      </c>
    </row>
    <row r="27" spans="1:15">
      <c r="A27" s="282"/>
      <c r="B27" s="289" t="s">
        <v>805</v>
      </c>
      <c r="C27" s="287"/>
      <c r="D27" s="287"/>
      <c r="E27" s="288">
        <v>8987</v>
      </c>
      <c r="F27" s="288">
        <v>38910</v>
      </c>
      <c r="G27" s="289">
        <v>15753</v>
      </c>
      <c r="H27" s="289">
        <v>13121</v>
      </c>
      <c r="I27" s="290"/>
      <c r="J27" s="290"/>
      <c r="K27" s="290"/>
      <c r="L27" s="290"/>
      <c r="M27" s="290"/>
      <c r="N27" s="290"/>
      <c r="O27" s="291">
        <v>-0.6</v>
      </c>
    </row>
    <row r="28" spans="1:15">
      <c r="A28" s="282"/>
      <c r="B28" s="289" t="s">
        <v>919</v>
      </c>
      <c r="C28" s="287"/>
      <c r="D28" s="287"/>
      <c r="E28" s="288">
        <v>18765</v>
      </c>
      <c r="F28" s="288">
        <v>35678</v>
      </c>
      <c r="G28" s="289">
        <v>12208</v>
      </c>
      <c r="H28" s="289">
        <v>10255</v>
      </c>
      <c r="I28" s="290"/>
      <c r="J28" s="290"/>
      <c r="K28" s="290"/>
      <c r="L28" s="290"/>
      <c r="M28" s="290"/>
      <c r="N28" s="290"/>
      <c r="O28" s="291">
        <v>-0.66</v>
      </c>
    </row>
    <row r="29" spans="1:15">
      <c r="A29" s="282"/>
      <c r="B29" s="289" t="s">
        <v>913</v>
      </c>
      <c r="C29" s="287"/>
      <c r="D29" s="287"/>
      <c r="E29" s="288">
        <v>14765</v>
      </c>
      <c r="F29" s="288">
        <v>31567</v>
      </c>
      <c r="G29" s="289">
        <v>9803</v>
      </c>
      <c r="H29" s="289">
        <v>8136</v>
      </c>
      <c r="I29" s="290"/>
      <c r="J29" s="290"/>
      <c r="K29" s="290"/>
      <c r="L29" s="290"/>
      <c r="M29" s="290"/>
      <c r="N29" s="290"/>
      <c r="O29" s="291">
        <v>-0.69</v>
      </c>
    </row>
    <row r="30" spans="1:15">
      <c r="A30" s="282"/>
      <c r="B30" s="289" t="s">
        <v>838</v>
      </c>
      <c r="C30" s="287"/>
      <c r="D30" s="287"/>
      <c r="E30" s="288">
        <v>28976</v>
      </c>
      <c r="F30" s="288">
        <v>29102</v>
      </c>
      <c r="G30" s="289">
        <v>8419</v>
      </c>
      <c r="H30" s="289">
        <v>7488</v>
      </c>
      <c r="I30" s="290"/>
      <c r="J30" s="290"/>
      <c r="K30" s="290"/>
      <c r="L30" s="290"/>
      <c r="M30" s="290"/>
      <c r="N30" s="290"/>
      <c r="O30" s="291">
        <v>-0.71</v>
      </c>
    </row>
    <row r="31" spans="1:15">
      <c r="A31" s="282"/>
      <c r="B31" s="289" t="s">
        <v>949</v>
      </c>
      <c r="C31" s="287"/>
      <c r="D31" s="287"/>
      <c r="E31" s="288">
        <v>58762</v>
      </c>
      <c r="F31" s="288">
        <v>23456</v>
      </c>
      <c r="G31" s="289">
        <v>7820</v>
      </c>
      <c r="H31" s="289">
        <v>7014</v>
      </c>
      <c r="I31" s="290"/>
      <c r="J31" s="290"/>
      <c r="K31" s="290"/>
      <c r="L31" s="290"/>
      <c r="M31" s="290"/>
      <c r="N31" s="290"/>
      <c r="O31" s="291">
        <v>-0.67</v>
      </c>
    </row>
    <row r="32" spans="1:15">
      <c r="A32" s="282"/>
      <c r="B32" s="289" t="s">
        <v>830</v>
      </c>
      <c r="C32" s="287"/>
      <c r="D32" s="287"/>
      <c r="E32" s="288">
        <v>49117</v>
      </c>
      <c r="F32" s="288">
        <v>18781</v>
      </c>
      <c r="G32" s="289">
        <v>7197</v>
      </c>
      <c r="H32" s="289">
        <v>6833</v>
      </c>
      <c r="I32" s="290"/>
      <c r="J32" s="290"/>
      <c r="K32" s="290"/>
      <c r="L32" s="290"/>
      <c r="M32" s="290"/>
      <c r="N32" s="290"/>
      <c r="O32" s="291">
        <v>-0.62</v>
      </c>
    </row>
    <row r="33" spans="1:15">
      <c r="A33" s="282"/>
      <c r="B33" s="289" t="s">
        <v>673</v>
      </c>
      <c r="C33" s="287"/>
      <c r="D33" s="287"/>
      <c r="E33" s="288">
        <v>10876</v>
      </c>
      <c r="F33" s="288">
        <v>3215</v>
      </c>
      <c r="G33" s="289">
        <v>5975</v>
      </c>
      <c r="H33" s="289">
        <v>6214</v>
      </c>
      <c r="I33" s="290"/>
      <c r="J33" s="290"/>
      <c r="K33" s="290"/>
      <c r="L33" s="290"/>
      <c r="M33" s="290"/>
      <c r="N33" s="290"/>
      <c r="O33" s="291">
        <v>0.86</v>
      </c>
    </row>
    <row r="34" spans="1:15">
      <c r="A34" s="282"/>
      <c r="B34" s="289" t="s">
        <v>878</v>
      </c>
      <c r="C34" s="287"/>
      <c r="D34" s="287"/>
      <c r="E34" s="288">
        <v>37889</v>
      </c>
      <c r="F34" s="288">
        <v>3127</v>
      </c>
      <c r="G34" s="289">
        <v>5364</v>
      </c>
      <c r="H34" s="289">
        <v>4775</v>
      </c>
      <c r="I34" s="290"/>
      <c r="J34" s="290"/>
      <c r="K34" s="290"/>
      <c r="L34" s="290"/>
      <c r="M34" s="290"/>
      <c r="N34" s="290"/>
      <c r="O34" s="291">
        <v>0.72</v>
      </c>
    </row>
    <row r="35" spans="1:15">
      <c r="A35" s="282"/>
      <c r="B35" s="289" t="s">
        <v>959</v>
      </c>
      <c r="C35" s="287"/>
      <c r="D35" s="287"/>
      <c r="E35" s="288">
        <v>10123</v>
      </c>
      <c r="F35" s="288">
        <v>3112</v>
      </c>
      <c r="G35" s="289">
        <v>4386</v>
      </c>
      <c r="H35" s="289">
        <v>4167</v>
      </c>
      <c r="I35" s="290"/>
      <c r="J35" s="290"/>
      <c r="K35" s="290"/>
      <c r="L35" s="290"/>
      <c r="M35" s="290"/>
      <c r="N35" s="290"/>
      <c r="O35" s="291">
        <v>0.41</v>
      </c>
    </row>
    <row r="36" spans="1:15">
      <c r="A36" s="282"/>
      <c r="B36" s="289" t="s">
        <v>989</v>
      </c>
      <c r="C36" s="287"/>
      <c r="D36" s="287"/>
      <c r="E36" s="288">
        <v>16421</v>
      </c>
      <c r="F36" s="288">
        <v>2871</v>
      </c>
      <c r="G36" s="289">
        <v>4142</v>
      </c>
      <c r="H36" s="289">
        <v>4349</v>
      </c>
      <c r="I36" s="290"/>
      <c r="J36" s="290"/>
      <c r="K36" s="290"/>
      <c r="L36" s="290"/>
      <c r="M36" s="290"/>
      <c r="N36" s="290"/>
      <c r="O36" s="291">
        <v>0.44</v>
      </c>
    </row>
    <row r="37" spans="1:15">
      <c r="A37" s="282"/>
      <c r="B37" s="289" t="s">
        <v>957</v>
      </c>
      <c r="C37" s="287"/>
      <c r="D37" s="287"/>
      <c r="E37" s="288">
        <v>10543</v>
      </c>
      <c r="F37" s="288">
        <v>2765</v>
      </c>
      <c r="G37" s="289">
        <v>3802</v>
      </c>
      <c r="H37" s="289">
        <v>3308</v>
      </c>
      <c r="I37" s="290"/>
      <c r="J37" s="290"/>
      <c r="K37" s="290"/>
      <c r="L37" s="290"/>
      <c r="M37" s="290"/>
      <c r="N37" s="290"/>
      <c r="O37" s="291">
        <v>0.38</v>
      </c>
    </row>
    <row r="38" spans="1:15">
      <c r="A38" s="282"/>
      <c r="B38" s="289" t="s">
        <v>911</v>
      </c>
      <c r="C38" s="287"/>
      <c r="D38" s="287"/>
      <c r="E38" s="288">
        <v>12987</v>
      </c>
      <c r="F38" s="288">
        <v>2678</v>
      </c>
      <c r="G38" s="289">
        <v>3531</v>
      </c>
      <c r="H38" s="289">
        <v>3249</v>
      </c>
      <c r="I38" s="290"/>
      <c r="J38" s="290"/>
      <c r="K38" s="290"/>
      <c r="L38" s="290"/>
      <c r="M38" s="290"/>
      <c r="N38" s="290"/>
      <c r="O38" s="291">
        <v>0.32</v>
      </c>
    </row>
    <row r="39" spans="1:15">
      <c r="A39" s="282"/>
      <c r="B39" s="289" t="s">
        <v>892</v>
      </c>
      <c r="C39" s="287"/>
      <c r="D39" s="287"/>
      <c r="E39" s="288">
        <v>10876</v>
      </c>
      <c r="F39" s="288">
        <v>2587</v>
      </c>
      <c r="G39" s="289">
        <v>3164</v>
      </c>
      <c r="H39" s="289">
        <v>2847</v>
      </c>
      <c r="I39" s="290"/>
      <c r="J39" s="290"/>
      <c r="K39" s="290"/>
      <c r="L39" s="290"/>
      <c r="M39" s="290"/>
      <c r="N39" s="290"/>
      <c r="O39" s="291">
        <v>0.22</v>
      </c>
    </row>
    <row r="40" spans="1:15">
      <c r="A40" s="282"/>
      <c r="B40" s="289" t="s">
        <v>939</v>
      </c>
      <c r="C40" s="287"/>
      <c r="D40" s="287"/>
      <c r="E40" s="288">
        <v>14987</v>
      </c>
      <c r="F40" s="288">
        <v>2456</v>
      </c>
      <c r="G40" s="289">
        <v>2919</v>
      </c>
      <c r="H40" s="289">
        <v>2714</v>
      </c>
      <c r="I40" s="290"/>
      <c r="J40" s="290"/>
      <c r="K40" s="290"/>
      <c r="L40" s="290"/>
      <c r="M40" s="290"/>
      <c r="N40" s="290"/>
      <c r="O40" s="291">
        <v>0.19</v>
      </c>
    </row>
    <row r="41" spans="1:15">
      <c r="A41" s="282"/>
      <c r="B41" s="289" t="s">
        <v>993</v>
      </c>
      <c r="C41" s="287"/>
      <c r="D41" s="287"/>
      <c r="E41" s="288">
        <v>11456</v>
      </c>
      <c r="F41" s="288">
        <v>2345</v>
      </c>
      <c r="G41" s="289">
        <v>2675</v>
      </c>
      <c r="H41" s="289">
        <v>2514</v>
      </c>
      <c r="I41" s="290"/>
      <c r="J41" s="290"/>
      <c r="K41" s="290"/>
      <c r="L41" s="290"/>
      <c r="M41" s="290"/>
      <c r="N41" s="290"/>
      <c r="O41" s="291">
        <v>0.14000000000000001</v>
      </c>
    </row>
    <row r="42" spans="1:15">
      <c r="A42" s="282"/>
      <c r="B42" s="289" t="s">
        <v>674</v>
      </c>
      <c r="C42" s="287"/>
      <c r="D42" s="287"/>
      <c r="E42" s="288">
        <v>9121</v>
      </c>
      <c r="F42" s="288">
        <v>2341</v>
      </c>
      <c r="G42" s="289">
        <v>2431</v>
      </c>
      <c r="H42" s="289">
        <v>2528</v>
      </c>
      <c r="I42" s="290"/>
      <c r="J42" s="290"/>
      <c r="K42" s="290"/>
      <c r="L42" s="290"/>
      <c r="M42" s="290"/>
      <c r="N42" s="290"/>
      <c r="O42" s="291">
        <v>0.04</v>
      </c>
    </row>
    <row r="43" spans="1:15">
      <c r="A43" s="282"/>
      <c r="B43" s="289" t="s">
        <v>832</v>
      </c>
      <c r="C43" s="287"/>
      <c r="D43" s="287"/>
      <c r="E43" s="288">
        <v>9432</v>
      </c>
      <c r="F43" s="288">
        <v>2234</v>
      </c>
      <c r="G43" s="289">
        <v>2186</v>
      </c>
      <c r="H43" s="289">
        <v>2011</v>
      </c>
      <c r="I43" s="290"/>
      <c r="J43" s="290"/>
      <c r="K43" s="290"/>
      <c r="L43" s="290"/>
      <c r="M43" s="290"/>
      <c r="N43" s="290"/>
      <c r="O43" s="291">
        <v>-0.02</v>
      </c>
    </row>
    <row r="44" spans="1:15">
      <c r="A44" s="282"/>
      <c r="B44" s="289" t="s">
        <v>685</v>
      </c>
      <c r="C44" s="287"/>
      <c r="D44" s="287"/>
      <c r="E44" s="288">
        <v>15123</v>
      </c>
      <c r="F44" s="288">
        <v>2109</v>
      </c>
      <c r="G44" s="289">
        <v>1942</v>
      </c>
      <c r="H44" s="289">
        <v>1709</v>
      </c>
      <c r="I44" s="290"/>
      <c r="J44" s="290"/>
      <c r="K44" s="290"/>
      <c r="L44" s="290"/>
      <c r="M44" s="290"/>
      <c r="N44" s="290"/>
      <c r="O44" s="291">
        <v>-0.08</v>
      </c>
    </row>
    <row r="45" spans="1:15">
      <c r="A45" s="282"/>
      <c r="B45" s="289" t="s">
        <v>874</v>
      </c>
      <c r="C45" s="287"/>
      <c r="D45" s="287"/>
      <c r="E45" s="288">
        <v>10987</v>
      </c>
      <c r="F45" s="288">
        <v>2101</v>
      </c>
      <c r="G45" s="289">
        <v>1697</v>
      </c>
      <c r="H45" s="289">
        <v>1596</v>
      </c>
      <c r="I45" s="290"/>
      <c r="J45" s="290"/>
      <c r="K45" s="290"/>
      <c r="L45" s="290"/>
      <c r="M45" s="290"/>
      <c r="N45" s="290"/>
      <c r="O45" s="291">
        <v>-0.19</v>
      </c>
    </row>
    <row r="46" spans="1:15">
      <c r="A46" s="282"/>
      <c r="B46" s="289" t="s">
        <v>762</v>
      </c>
      <c r="C46" s="287"/>
      <c r="D46" s="287"/>
      <c r="E46" s="288">
        <v>8012</v>
      </c>
      <c r="F46" s="288">
        <v>2056</v>
      </c>
      <c r="G46" s="289">
        <v>1453</v>
      </c>
      <c r="H46" s="289">
        <v>1264</v>
      </c>
      <c r="I46" s="290"/>
      <c r="J46" s="290"/>
      <c r="K46" s="290"/>
      <c r="L46" s="290"/>
      <c r="M46" s="290"/>
      <c r="N46" s="290"/>
      <c r="O46" s="291">
        <v>-0.28999999999999998</v>
      </c>
    </row>
    <row r="47" spans="1:15">
      <c r="A47" s="282"/>
      <c r="B47" s="289" t="s">
        <v>876</v>
      </c>
      <c r="C47" s="287"/>
      <c r="D47" s="287"/>
      <c r="E47" s="288">
        <v>9765</v>
      </c>
      <c r="F47" s="288">
        <v>2001</v>
      </c>
      <c r="G47" s="289">
        <v>1220</v>
      </c>
      <c r="H47" s="289">
        <v>1147</v>
      </c>
      <c r="I47" s="290"/>
      <c r="J47" s="290"/>
      <c r="K47" s="290"/>
      <c r="L47" s="290"/>
      <c r="M47" s="290"/>
      <c r="N47" s="290"/>
      <c r="O47" s="291">
        <v>-0.39</v>
      </c>
    </row>
    <row r="48" spans="1:15">
      <c r="A48" s="282"/>
      <c r="B48" s="289" t="s">
        <v>719</v>
      </c>
      <c r="C48" s="287"/>
      <c r="D48" s="287"/>
      <c r="E48" s="288">
        <v>8123</v>
      </c>
      <c r="F48" s="288">
        <v>1999</v>
      </c>
      <c r="G48" s="289">
        <v>1086</v>
      </c>
      <c r="H48" s="289">
        <v>990</v>
      </c>
      <c r="I48" s="290"/>
      <c r="J48" s="290"/>
      <c r="K48" s="290"/>
      <c r="L48" s="290"/>
      <c r="M48" s="290"/>
      <c r="N48" s="290"/>
      <c r="O48" s="291">
        <v>-0.46</v>
      </c>
    </row>
    <row r="49" spans="1:15">
      <c r="A49" s="282"/>
      <c r="B49" s="288" t="s">
        <v>2856</v>
      </c>
      <c r="C49" s="287"/>
      <c r="D49" s="287"/>
      <c r="E49" s="288">
        <v>13546</v>
      </c>
      <c r="F49" s="288">
        <v>1987</v>
      </c>
      <c r="G49" s="289">
        <v>964</v>
      </c>
      <c r="H49" s="289">
        <v>1012</v>
      </c>
      <c r="I49" s="290"/>
      <c r="J49" s="290"/>
      <c r="K49" s="290"/>
      <c r="L49" s="290"/>
      <c r="M49" s="290"/>
      <c r="N49" s="290"/>
      <c r="O49" s="291">
        <v>-0.51</v>
      </c>
    </row>
    <row r="50" spans="1:15">
      <c r="A50" s="282"/>
      <c r="B50" s="289" t="s">
        <v>937</v>
      </c>
      <c r="C50" s="287"/>
      <c r="D50" s="287"/>
      <c r="E50" s="288">
        <v>12876</v>
      </c>
      <c r="F50" s="288">
        <v>1876</v>
      </c>
      <c r="G50" s="289">
        <v>719</v>
      </c>
      <c r="H50" s="289">
        <v>654</v>
      </c>
      <c r="I50" s="290"/>
      <c r="J50" s="290"/>
      <c r="K50" s="290"/>
      <c r="L50" s="290"/>
      <c r="M50" s="290"/>
      <c r="N50" s="290"/>
      <c r="O50" s="291">
        <v>-0.62</v>
      </c>
    </row>
    <row r="51" spans="1:15">
      <c r="A51" s="282"/>
      <c r="B51" s="289" t="s">
        <v>836</v>
      </c>
      <c r="C51" s="287"/>
      <c r="D51" s="287"/>
      <c r="E51" s="288">
        <v>9123</v>
      </c>
      <c r="F51" s="288">
        <v>1789</v>
      </c>
      <c r="G51" s="289">
        <v>597</v>
      </c>
      <c r="H51" s="289">
        <v>525</v>
      </c>
      <c r="I51" s="290"/>
      <c r="J51" s="290"/>
      <c r="K51" s="290"/>
      <c r="L51" s="290"/>
      <c r="M51" s="290"/>
      <c r="N51" s="290"/>
      <c r="O51" s="291">
        <v>-0.67</v>
      </c>
    </row>
    <row r="52" spans="1:15">
      <c r="A52" s="282"/>
      <c r="B52" s="289" t="s">
        <v>414</v>
      </c>
      <c r="C52" s="287"/>
      <c r="D52" s="287"/>
      <c r="E52" s="288">
        <v>13212</v>
      </c>
      <c r="F52" s="288">
        <v>1734</v>
      </c>
      <c r="G52" s="289">
        <v>475</v>
      </c>
      <c r="H52" s="289">
        <v>432</v>
      </c>
      <c r="I52" s="290"/>
      <c r="J52" s="290"/>
      <c r="K52" s="290"/>
      <c r="L52" s="290"/>
      <c r="M52" s="290"/>
      <c r="N52" s="290"/>
      <c r="O52" s="291">
        <v>-0.73</v>
      </c>
    </row>
    <row r="53" spans="1:15">
      <c r="A53" s="282"/>
      <c r="B53" s="289" t="s">
        <v>894</v>
      </c>
      <c r="C53" s="287"/>
      <c r="D53" s="287"/>
      <c r="E53" s="288">
        <v>10121</v>
      </c>
      <c r="F53" s="288">
        <v>1689</v>
      </c>
      <c r="G53" s="289">
        <v>353</v>
      </c>
      <c r="H53" s="289">
        <v>381</v>
      </c>
      <c r="I53" s="290"/>
      <c r="J53" s="290"/>
      <c r="K53" s="290"/>
      <c r="L53" s="290"/>
      <c r="M53" s="290"/>
      <c r="N53" s="290"/>
      <c r="O53" s="291">
        <v>-0.79</v>
      </c>
    </row>
    <row r="54" spans="1:15">
      <c r="A54" s="282"/>
      <c r="B54" s="289" t="s">
        <v>834</v>
      </c>
      <c r="C54" s="287"/>
      <c r="D54" s="287"/>
      <c r="E54" s="288">
        <v>11765</v>
      </c>
      <c r="F54" s="288">
        <v>1567</v>
      </c>
      <c r="G54" s="289">
        <v>231</v>
      </c>
      <c r="H54" s="289">
        <v>205</v>
      </c>
      <c r="I54" s="290"/>
      <c r="J54" s="290"/>
      <c r="K54" s="290"/>
      <c r="L54" s="290"/>
      <c r="M54" s="290"/>
      <c r="N54" s="290"/>
      <c r="O54" s="291">
        <v>-0.85</v>
      </c>
    </row>
    <row r="55" spans="1:15">
      <c r="A55" s="282"/>
      <c r="B55" s="289" t="s">
        <v>882</v>
      </c>
      <c r="C55" s="287"/>
      <c r="D55" s="287"/>
      <c r="E55" s="288">
        <v>11234</v>
      </c>
      <c r="F55" s="288">
        <v>1432</v>
      </c>
      <c r="G55" s="289">
        <v>218</v>
      </c>
      <c r="H55" s="289">
        <v>196</v>
      </c>
      <c r="I55" s="290"/>
      <c r="J55" s="290"/>
      <c r="K55" s="290"/>
      <c r="L55" s="290"/>
      <c r="M55" s="290"/>
      <c r="N55" s="290"/>
      <c r="O55" s="291">
        <v>-0.85</v>
      </c>
    </row>
    <row r="56" spans="1:15">
      <c r="A56" s="282"/>
      <c r="B56" s="289" t="s">
        <v>921</v>
      </c>
      <c r="C56" s="287"/>
      <c r="D56" s="287"/>
      <c r="E56" s="288">
        <v>9234</v>
      </c>
      <c r="F56" s="288">
        <v>1345</v>
      </c>
      <c r="G56" s="289">
        <v>194</v>
      </c>
      <c r="H56" s="289">
        <v>177</v>
      </c>
      <c r="I56" s="290"/>
      <c r="J56" s="290"/>
      <c r="K56" s="290"/>
      <c r="L56" s="290"/>
      <c r="M56" s="290"/>
      <c r="N56" s="290"/>
      <c r="O56" s="291">
        <v>-0.86</v>
      </c>
    </row>
    <row r="57" spans="1:15">
      <c r="A57" s="282"/>
      <c r="B57" s="288" t="s">
        <v>1164</v>
      </c>
      <c r="C57" s="287"/>
      <c r="D57" s="287"/>
      <c r="E57" s="290"/>
      <c r="F57" s="290"/>
      <c r="G57" s="289">
        <v>18720</v>
      </c>
      <c r="H57" s="289">
        <v>16842</v>
      </c>
      <c r="I57" s="292"/>
      <c r="J57" s="292"/>
      <c r="K57" s="292"/>
      <c r="L57" s="292"/>
      <c r="M57" s="292"/>
      <c r="N57" s="292"/>
      <c r="O57" s="292"/>
    </row>
    <row r="58" spans="1:15">
      <c r="A58" s="282"/>
      <c r="B58" s="288" t="s">
        <v>1162</v>
      </c>
      <c r="C58" s="287"/>
      <c r="D58" s="287"/>
      <c r="E58" s="290"/>
      <c r="F58" s="290"/>
      <c r="G58" s="289">
        <v>12400</v>
      </c>
      <c r="H58" s="289">
        <v>11532</v>
      </c>
      <c r="I58" s="292"/>
      <c r="J58" s="292"/>
      <c r="K58" s="292"/>
      <c r="L58" s="292"/>
      <c r="M58" s="292"/>
      <c r="N58" s="292"/>
      <c r="O58" s="292"/>
    </row>
    <row r="59" spans="1:15">
      <c r="A59" s="282"/>
      <c r="B59" s="288" t="s">
        <v>1161</v>
      </c>
      <c r="C59" s="287"/>
      <c r="D59" s="287"/>
      <c r="E59" s="290"/>
      <c r="F59" s="290"/>
      <c r="G59" s="289">
        <v>8450</v>
      </c>
      <c r="H59" s="289">
        <v>7183</v>
      </c>
      <c r="I59" s="292"/>
      <c r="J59" s="292"/>
      <c r="K59" s="292"/>
      <c r="L59" s="292"/>
      <c r="M59" s="292"/>
      <c r="N59" s="292"/>
      <c r="O59" s="292"/>
    </row>
    <row r="60" spans="1:15">
      <c r="A60" s="282"/>
      <c r="B60" s="288" t="s">
        <v>1199</v>
      </c>
      <c r="C60" s="287"/>
      <c r="D60" s="287"/>
      <c r="E60" s="290"/>
      <c r="F60" s="290"/>
      <c r="G60" s="289">
        <v>8450</v>
      </c>
      <c r="H60" s="289">
        <v>8703</v>
      </c>
      <c r="I60" s="292"/>
      <c r="J60" s="292"/>
      <c r="K60" s="292"/>
      <c r="L60" s="292"/>
      <c r="M60" s="292"/>
      <c r="N60" s="292"/>
      <c r="O60" s="292"/>
    </row>
    <row r="61" spans="1:15">
      <c r="A61" s="282"/>
      <c r="B61" s="288" t="s">
        <v>1167</v>
      </c>
      <c r="C61" s="287"/>
      <c r="D61" s="287"/>
      <c r="E61" s="290"/>
      <c r="F61" s="290"/>
      <c r="G61" s="289">
        <v>4560</v>
      </c>
      <c r="H61" s="289">
        <v>4104</v>
      </c>
      <c r="I61" s="292"/>
      <c r="J61" s="292"/>
      <c r="K61" s="292"/>
      <c r="L61" s="292"/>
      <c r="M61" s="292"/>
      <c r="N61" s="292"/>
      <c r="O61" s="292"/>
    </row>
    <row r="62" spans="1:15">
      <c r="A62" s="282"/>
      <c r="B62" s="288" t="s">
        <v>1241</v>
      </c>
      <c r="C62" s="287"/>
      <c r="D62" s="287"/>
      <c r="E62" s="290"/>
      <c r="F62" s="290"/>
      <c r="G62" s="289">
        <v>4120</v>
      </c>
      <c r="H62" s="289">
        <v>3543</v>
      </c>
      <c r="I62" s="292"/>
      <c r="J62" s="292"/>
      <c r="K62" s="292"/>
      <c r="L62" s="292"/>
      <c r="M62" s="292"/>
      <c r="N62" s="292"/>
      <c r="O62" s="292"/>
    </row>
    <row r="63" spans="1:15">
      <c r="A63" s="282"/>
      <c r="B63" s="288" t="s">
        <v>1403</v>
      </c>
      <c r="C63" s="287"/>
      <c r="D63" s="287"/>
      <c r="E63" s="290"/>
      <c r="F63" s="290"/>
      <c r="G63" s="289">
        <v>4120</v>
      </c>
      <c r="H63" s="289">
        <v>3873</v>
      </c>
      <c r="I63" s="292"/>
      <c r="J63" s="292"/>
      <c r="K63" s="292"/>
      <c r="L63" s="292"/>
      <c r="M63" s="292"/>
      <c r="N63" s="292"/>
      <c r="O63" s="292"/>
    </row>
    <row r="64" spans="1:15">
      <c r="A64" s="282"/>
      <c r="B64" s="293" t="s">
        <v>1266</v>
      </c>
      <c r="C64" s="287"/>
      <c r="D64" s="287"/>
      <c r="E64" s="290"/>
      <c r="F64" s="290"/>
      <c r="G64" s="289">
        <v>3950</v>
      </c>
      <c r="H64" s="289">
        <v>4108</v>
      </c>
      <c r="I64" s="292"/>
      <c r="J64" s="292"/>
      <c r="K64" s="292"/>
      <c r="L64" s="292"/>
      <c r="M64" s="292"/>
      <c r="N64" s="292"/>
      <c r="O64" s="292"/>
    </row>
    <row r="65" spans="1:15">
      <c r="A65" s="282"/>
      <c r="B65" s="288" t="s">
        <v>1237</v>
      </c>
      <c r="C65" s="287"/>
      <c r="D65" s="287"/>
      <c r="E65" s="290"/>
      <c r="F65" s="290"/>
      <c r="G65" s="289">
        <v>3890</v>
      </c>
      <c r="H65" s="289">
        <v>3462</v>
      </c>
      <c r="I65" s="292"/>
      <c r="J65" s="292"/>
      <c r="K65" s="292"/>
      <c r="L65" s="292"/>
      <c r="M65" s="292"/>
      <c r="N65" s="292"/>
      <c r="O65" s="292"/>
    </row>
  </sheetData>
  <autoFilter ref="B7:O65" xr:uid="{00000000-0009-0000-0000-000006000000}">
    <sortState xmlns:xlrd2="http://schemas.microsoft.com/office/spreadsheetml/2017/richdata2" ref="B9:O65">
      <sortCondition descending="1" ref="E7:E65"/>
    </sortState>
  </autoFilter>
  <mergeCells count="3">
    <mergeCell ref="B2:N3"/>
    <mergeCell ref="B6:B7"/>
    <mergeCell ref="D6:N6"/>
  </mergeCells>
  <phoneticPr fontId="9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6. 语义范围（详细）"/>
  <dimension ref="A1:AQ760"/>
  <sheetViews>
    <sheetView workbookViewId="0"/>
  </sheetViews>
  <sheetFormatPr defaultColWidth="11.7265625" defaultRowHeight="14"/>
  <cols>
    <col min="1" max="1" width="17" style="378" customWidth="1"/>
    <col min="2" max="2" width="18.26953125" style="378" customWidth="1"/>
    <col min="3" max="3" width="62.7265625" style="378" customWidth="1"/>
    <col min="4" max="4" width="20.36328125" style="378" customWidth="1"/>
    <col min="5" max="5" width="54.90625" style="378" customWidth="1"/>
    <col min="6" max="42" width="15.7265625" style="379" customWidth="1"/>
    <col min="43" max="43" width="15.7265625" style="380" customWidth="1"/>
  </cols>
  <sheetData>
    <row r="1" spans="1:43" s="377" customFormat="1" ht="44.25" customHeight="1">
      <c r="A1" s="501" t="s">
        <v>1421</v>
      </c>
      <c r="B1" s="486"/>
      <c r="C1" s="486"/>
      <c r="D1" s="486"/>
      <c r="E1" s="486"/>
      <c r="F1" s="486"/>
      <c r="G1" s="486"/>
      <c r="H1" s="486"/>
      <c r="I1" s="486"/>
      <c r="J1" s="486"/>
      <c r="K1" s="486"/>
      <c r="L1" s="486"/>
      <c r="M1" s="486"/>
      <c r="N1" s="486"/>
      <c r="O1" s="486"/>
      <c r="P1" s="486"/>
      <c r="Q1" s="486"/>
      <c r="R1" s="486"/>
      <c r="S1" s="486"/>
      <c r="T1" s="486"/>
      <c r="U1" s="486"/>
      <c r="V1" s="486"/>
      <c r="W1" s="486"/>
      <c r="X1" s="486"/>
      <c r="Y1" s="486"/>
      <c r="Z1" s="486"/>
      <c r="AA1" s="486"/>
      <c r="AB1" s="486"/>
      <c r="AC1" s="486"/>
      <c r="AD1" s="486"/>
      <c r="AE1" s="486"/>
      <c r="AF1" s="486"/>
      <c r="AG1" s="486"/>
      <c r="AH1" s="486"/>
      <c r="AI1" s="486"/>
      <c r="AJ1" s="486"/>
      <c r="AK1" s="486"/>
      <c r="AL1" s="486"/>
      <c r="AM1" s="486"/>
      <c r="AN1" s="486"/>
      <c r="AO1" s="486"/>
      <c r="AP1" s="294"/>
      <c r="AQ1" s="295"/>
    </row>
    <row r="2" spans="1:43" s="377" customFormat="1" ht="44.25" customHeight="1">
      <c r="A2" s="492" t="s">
        <v>372</v>
      </c>
      <c r="B2" s="492" t="s">
        <v>1422</v>
      </c>
      <c r="C2" s="492" t="s">
        <v>1423</v>
      </c>
      <c r="D2" s="494" t="s">
        <v>59</v>
      </c>
      <c r="E2" s="493"/>
      <c r="F2" s="493"/>
      <c r="G2" s="493"/>
      <c r="H2" s="493"/>
      <c r="I2" s="493"/>
      <c r="J2" s="493"/>
      <c r="K2" s="493"/>
      <c r="L2" s="495" t="s">
        <v>128</v>
      </c>
      <c r="M2" s="493"/>
      <c r="N2" s="493"/>
      <c r="O2" s="493"/>
      <c r="P2" s="493"/>
      <c r="Q2" s="493"/>
      <c r="R2" s="493"/>
      <c r="S2" s="493"/>
      <c r="T2" s="496" t="s">
        <v>44</v>
      </c>
      <c r="U2" s="493"/>
      <c r="V2" s="493"/>
      <c r="W2" s="493"/>
      <c r="X2" s="493"/>
      <c r="Y2" s="493"/>
      <c r="Z2" s="493"/>
      <c r="AA2" s="493"/>
      <c r="AB2" s="497" t="s">
        <v>114</v>
      </c>
      <c r="AC2" s="493"/>
      <c r="AD2" s="493"/>
      <c r="AE2" s="493"/>
      <c r="AF2" s="493"/>
      <c r="AG2" s="493"/>
      <c r="AH2" s="493"/>
      <c r="AI2" s="493"/>
      <c r="AJ2" s="498" t="s">
        <v>306</v>
      </c>
      <c r="AK2" s="493"/>
      <c r="AL2" s="499" t="s">
        <v>97</v>
      </c>
      <c r="AM2" s="493"/>
      <c r="AN2" s="500" t="s">
        <v>118</v>
      </c>
      <c r="AO2" s="493"/>
      <c r="AP2" s="294"/>
      <c r="AQ2" s="295"/>
    </row>
    <row r="3" spans="1:43" s="377" customFormat="1" ht="44.25" customHeight="1">
      <c r="A3" s="493"/>
      <c r="B3" s="493"/>
      <c r="C3" s="493"/>
      <c r="D3" s="296" t="s">
        <v>375</v>
      </c>
      <c r="E3" s="296" t="s">
        <v>376</v>
      </c>
      <c r="F3" s="296" t="s">
        <v>377</v>
      </c>
      <c r="G3" s="296" t="s">
        <v>378</v>
      </c>
      <c r="H3" s="296" t="s">
        <v>379</v>
      </c>
      <c r="I3" s="296" t="s">
        <v>380</v>
      </c>
      <c r="J3" s="296" t="s">
        <v>383</v>
      </c>
      <c r="K3" s="296" t="s">
        <v>127</v>
      </c>
      <c r="L3" s="297" t="s">
        <v>375</v>
      </c>
      <c r="M3" s="297" t="s">
        <v>376</v>
      </c>
      <c r="N3" s="297" t="s">
        <v>377</v>
      </c>
      <c r="O3" s="297" t="s">
        <v>378</v>
      </c>
      <c r="P3" s="297" t="s">
        <v>379</v>
      </c>
      <c r="Q3" s="297" t="s">
        <v>380</v>
      </c>
      <c r="R3" s="297" t="s">
        <v>383</v>
      </c>
      <c r="S3" s="297" t="s">
        <v>127</v>
      </c>
      <c r="T3" s="298" t="s">
        <v>375</v>
      </c>
      <c r="U3" s="298" t="s">
        <v>376</v>
      </c>
      <c r="V3" s="298" t="s">
        <v>377</v>
      </c>
      <c r="W3" s="298" t="s">
        <v>378</v>
      </c>
      <c r="X3" s="298" t="s">
        <v>379</v>
      </c>
      <c r="Y3" s="298" t="s">
        <v>380</v>
      </c>
      <c r="Z3" s="298" t="s">
        <v>383</v>
      </c>
      <c r="AA3" s="298" t="s">
        <v>127</v>
      </c>
      <c r="AB3" s="299" t="s">
        <v>375</v>
      </c>
      <c r="AC3" s="299" t="s">
        <v>376</v>
      </c>
      <c r="AD3" s="299" t="s">
        <v>377</v>
      </c>
      <c r="AE3" s="299" t="s">
        <v>378</v>
      </c>
      <c r="AF3" s="299" t="s">
        <v>379</v>
      </c>
      <c r="AG3" s="299" t="s">
        <v>380</v>
      </c>
      <c r="AH3" s="299" t="s">
        <v>383</v>
      </c>
      <c r="AI3" s="299" t="s">
        <v>127</v>
      </c>
      <c r="AJ3" s="300" t="s">
        <v>383</v>
      </c>
      <c r="AK3" s="300" t="s">
        <v>127</v>
      </c>
      <c r="AL3" s="301" t="s">
        <v>383</v>
      </c>
      <c r="AM3" s="301" t="s">
        <v>127</v>
      </c>
      <c r="AN3" s="302" t="s">
        <v>383</v>
      </c>
      <c r="AO3" s="302" t="s">
        <v>127</v>
      </c>
      <c r="AP3" s="294"/>
      <c r="AQ3" s="295"/>
    </row>
    <row r="4" spans="1:43" s="377" customFormat="1" ht="44.25" customHeight="1">
      <c r="A4" s="503">
        <v>1</v>
      </c>
      <c r="B4" s="503" t="s">
        <v>1424</v>
      </c>
      <c r="C4" s="502" t="s">
        <v>1425</v>
      </c>
      <c r="D4" s="303">
        <v>6</v>
      </c>
      <c r="E4" s="303">
        <v>28</v>
      </c>
      <c r="F4" s="303">
        <v>34</v>
      </c>
      <c r="G4" s="303">
        <v>39</v>
      </c>
      <c r="H4" s="303">
        <v>45</v>
      </c>
      <c r="I4" s="303">
        <v>55</v>
      </c>
      <c r="J4" s="303">
        <v>115</v>
      </c>
      <c r="K4" s="303">
        <v>112</v>
      </c>
      <c r="L4" s="303">
        <v>7</v>
      </c>
      <c r="M4" s="303">
        <v>14</v>
      </c>
      <c r="N4" s="303">
        <v>24</v>
      </c>
      <c r="O4" s="303">
        <v>27</v>
      </c>
      <c r="P4" s="303">
        <v>40</v>
      </c>
      <c r="Q4" s="303">
        <v>46</v>
      </c>
      <c r="R4" s="303">
        <v>106</v>
      </c>
      <c r="S4" s="303">
        <v>101</v>
      </c>
      <c r="T4" s="303">
        <v>13</v>
      </c>
      <c r="U4" s="303">
        <v>36</v>
      </c>
      <c r="V4" s="303">
        <v>44</v>
      </c>
      <c r="W4" s="303">
        <v>44</v>
      </c>
      <c r="X4" s="303">
        <v>44</v>
      </c>
      <c r="Y4" s="303">
        <v>50</v>
      </c>
      <c r="Z4" s="303">
        <v>46</v>
      </c>
      <c r="AA4" s="303">
        <v>73</v>
      </c>
      <c r="AB4" s="303">
        <v>7</v>
      </c>
      <c r="AC4" s="303">
        <v>21</v>
      </c>
      <c r="AD4" s="303">
        <v>23</v>
      </c>
      <c r="AE4" s="303">
        <v>34</v>
      </c>
      <c r="AF4" s="303">
        <v>31</v>
      </c>
      <c r="AG4" s="303">
        <v>28</v>
      </c>
      <c r="AH4" s="303">
        <v>38</v>
      </c>
      <c r="AI4" s="303">
        <v>42</v>
      </c>
      <c r="AJ4" s="303">
        <v>104</v>
      </c>
      <c r="AK4" s="303">
        <v>110</v>
      </c>
      <c r="AL4" s="303">
        <v>104</v>
      </c>
      <c r="AM4" s="303">
        <v>107</v>
      </c>
      <c r="AN4" s="303">
        <v>91</v>
      </c>
      <c r="AO4" s="303">
        <v>91</v>
      </c>
      <c r="AP4" s="294"/>
      <c r="AQ4" s="295"/>
    </row>
    <row r="5" spans="1:43" s="377" customFormat="1" ht="44.25" customHeight="1">
      <c r="A5" s="486"/>
      <c r="B5" s="486"/>
      <c r="C5" s="486"/>
      <c r="D5" s="367">
        <v>87</v>
      </c>
      <c r="E5" s="367">
        <v>87</v>
      </c>
      <c r="F5" s="367">
        <v>87</v>
      </c>
      <c r="G5" s="367">
        <v>87</v>
      </c>
      <c r="H5" s="367">
        <v>96</v>
      </c>
      <c r="I5" s="367">
        <v>148</v>
      </c>
      <c r="J5" s="367">
        <v>149</v>
      </c>
      <c r="K5" s="367">
        <v>161</v>
      </c>
      <c r="L5" s="367">
        <v>87</v>
      </c>
      <c r="M5" s="367">
        <v>87</v>
      </c>
      <c r="N5" s="367">
        <v>87</v>
      </c>
      <c r="O5" s="367">
        <v>87</v>
      </c>
      <c r="P5" s="367">
        <v>96</v>
      </c>
      <c r="Q5" s="367">
        <v>148</v>
      </c>
      <c r="R5" s="367">
        <v>149</v>
      </c>
      <c r="S5" s="367">
        <v>161</v>
      </c>
      <c r="T5" s="367">
        <v>87</v>
      </c>
      <c r="U5" s="367">
        <v>87</v>
      </c>
      <c r="V5" s="367">
        <v>87</v>
      </c>
      <c r="W5" s="367">
        <v>87</v>
      </c>
      <c r="X5" s="367">
        <v>96</v>
      </c>
      <c r="Y5" s="367">
        <v>148</v>
      </c>
      <c r="Z5" s="367">
        <v>149</v>
      </c>
      <c r="AA5" s="367">
        <v>161</v>
      </c>
      <c r="AB5" s="367">
        <v>87</v>
      </c>
      <c r="AC5" s="367">
        <v>87</v>
      </c>
      <c r="AD5" s="367">
        <v>87</v>
      </c>
      <c r="AE5" s="367">
        <v>87</v>
      </c>
      <c r="AF5" s="367">
        <v>96</v>
      </c>
      <c r="AG5" s="367">
        <v>148</v>
      </c>
      <c r="AH5" s="367">
        <v>149</v>
      </c>
      <c r="AI5" s="367">
        <v>161</v>
      </c>
      <c r="AJ5" s="367">
        <v>149</v>
      </c>
      <c r="AK5" s="367">
        <v>161</v>
      </c>
      <c r="AL5" s="367">
        <v>149</v>
      </c>
      <c r="AM5" s="367">
        <v>161</v>
      </c>
      <c r="AN5" s="367">
        <v>149</v>
      </c>
      <c r="AO5" s="367">
        <v>161</v>
      </c>
      <c r="AP5" s="304"/>
      <c r="AQ5" s="295"/>
    </row>
    <row r="6" spans="1:43" s="377" customFormat="1" ht="44.25" customHeight="1">
      <c r="A6" s="486"/>
      <c r="B6" s="486"/>
      <c r="C6" s="486"/>
      <c r="D6" s="305">
        <f t="shared" ref="D6:AO6" si="0">D4/D5</f>
        <v>6.8965517241379309E-2</v>
      </c>
      <c r="E6" s="305">
        <f t="shared" si="0"/>
        <v>0.32183908045977011</v>
      </c>
      <c r="F6" s="305">
        <f t="shared" si="0"/>
        <v>0.39080459770114945</v>
      </c>
      <c r="G6" s="305">
        <f t="shared" si="0"/>
        <v>0.44827586206896552</v>
      </c>
      <c r="H6" s="305">
        <f t="shared" si="0"/>
        <v>0.46875</v>
      </c>
      <c r="I6" s="305">
        <f t="shared" si="0"/>
        <v>0.3716216216216216</v>
      </c>
      <c r="J6" s="305">
        <f t="shared" si="0"/>
        <v>0.77181208053691275</v>
      </c>
      <c r="K6" s="305">
        <f t="shared" si="0"/>
        <v>0.69565217391304346</v>
      </c>
      <c r="L6" s="305">
        <f t="shared" si="0"/>
        <v>8.0459770114942528E-2</v>
      </c>
      <c r="M6" s="305">
        <f t="shared" si="0"/>
        <v>0.16091954022988506</v>
      </c>
      <c r="N6" s="305">
        <f t="shared" si="0"/>
        <v>0.27586206896551724</v>
      </c>
      <c r="O6" s="305">
        <f t="shared" si="0"/>
        <v>0.31034482758620691</v>
      </c>
      <c r="P6" s="305">
        <f t="shared" si="0"/>
        <v>0.41666666666666669</v>
      </c>
      <c r="Q6" s="305">
        <f t="shared" si="0"/>
        <v>0.3108108108108108</v>
      </c>
      <c r="R6" s="305">
        <f t="shared" si="0"/>
        <v>0.71140939597315433</v>
      </c>
      <c r="S6" s="305">
        <f t="shared" si="0"/>
        <v>0.62732919254658381</v>
      </c>
      <c r="T6" s="305">
        <f t="shared" si="0"/>
        <v>0.14942528735632185</v>
      </c>
      <c r="U6" s="305">
        <f t="shared" si="0"/>
        <v>0.41379310344827586</v>
      </c>
      <c r="V6" s="305">
        <f t="shared" si="0"/>
        <v>0.50574712643678166</v>
      </c>
      <c r="W6" s="305">
        <f t="shared" si="0"/>
        <v>0.50574712643678166</v>
      </c>
      <c r="X6" s="305">
        <f t="shared" si="0"/>
        <v>0.45833333333333331</v>
      </c>
      <c r="Y6" s="305">
        <f t="shared" si="0"/>
        <v>0.33783783783783783</v>
      </c>
      <c r="Z6" s="305">
        <f t="shared" si="0"/>
        <v>0.3087248322147651</v>
      </c>
      <c r="AA6" s="305">
        <f t="shared" si="0"/>
        <v>0.453416149068323</v>
      </c>
      <c r="AB6" s="305">
        <f t="shared" si="0"/>
        <v>8.0459770114942528E-2</v>
      </c>
      <c r="AC6" s="305">
        <f t="shared" si="0"/>
        <v>0.2413793103448276</v>
      </c>
      <c r="AD6" s="305">
        <f t="shared" si="0"/>
        <v>0.26436781609195403</v>
      </c>
      <c r="AE6" s="305">
        <f t="shared" si="0"/>
        <v>0.39080459770114945</v>
      </c>
      <c r="AF6" s="305">
        <f t="shared" si="0"/>
        <v>0.32291666666666669</v>
      </c>
      <c r="AG6" s="305">
        <f t="shared" si="0"/>
        <v>0.1891891891891892</v>
      </c>
      <c r="AH6" s="305">
        <f t="shared" si="0"/>
        <v>0.25503355704697989</v>
      </c>
      <c r="AI6" s="305">
        <f t="shared" si="0"/>
        <v>0.2608695652173913</v>
      </c>
      <c r="AJ6" s="305">
        <f t="shared" si="0"/>
        <v>0.69798657718120805</v>
      </c>
      <c r="AK6" s="305">
        <f t="shared" si="0"/>
        <v>0.68322981366459623</v>
      </c>
      <c r="AL6" s="305">
        <f t="shared" si="0"/>
        <v>0.69798657718120805</v>
      </c>
      <c r="AM6" s="305">
        <f t="shared" si="0"/>
        <v>0.6645962732919255</v>
      </c>
      <c r="AN6" s="305">
        <f t="shared" si="0"/>
        <v>0.61073825503355705</v>
      </c>
      <c r="AO6" s="305">
        <f t="shared" si="0"/>
        <v>0.56521739130434778</v>
      </c>
      <c r="AP6" s="294"/>
      <c r="AQ6" s="295"/>
    </row>
    <row r="7" spans="1:43" s="377" customFormat="1" ht="44.25" customHeight="1">
      <c r="A7" s="505">
        <v>2</v>
      </c>
      <c r="B7" s="505" t="s">
        <v>1426</v>
      </c>
      <c r="C7" s="504" t="s">
        <v>1427</v>
      </c>
      <c r="D7" s="306">
        <v>13</v>
      </c>
      <c r="E7" s="306">
        <v>28</v>
      </c>
      <c r="F7" s="306">
        <v>39</v>
      </c>
      <c r="G7" s="306">
        <v>43</v>
      </c>
      <c r="H7" s="306">
        <v>49</v>
      </c>
      <c r="I7" s="306">
        <v>58</v>
      </c>
      <c r="J7" s="306">
        <v>68</v>
      </c>
      <c r="K7" s="306">
        <v>73</v>
      </c>
      <c r="L7" s="306">
        <v>17</v>
      </c>
      <c r="M7" s="306">
        <v>40</v>
      </c>
      <c r="N7" s="306">
        <v>55</v>
      </c>
      <c r="O7" s="306">
        <v>59</v>
      </c>
      <c r="P7" s="306">
        <v>57</v>
      </c>
      <c r="Q7" s="306">
        <v>41</v>
      </c>
      <c r="R7" s="306">
        <v>68</v>
      </c>
      <c r="S7" s="306">
        <v>75</v>
      </c>
      <c r="T7" s="306">
        <v>23</v>
      </c>
      <c r="U7" s="306">
        <v>36</v>
      </c>
      <c r="V7" s="306">
        <v>54</v>
      </c>
      <c r="W7" s="306">
        <v>55</v>
      </c>
      <c r="X7" s="306">
        <v>54</v>
      </c>
      <c r="Y7" s="306">
        <v>56</v>
      </c>
      <c r="Z7" s="306">
        <v>52</v>
      </c>
      <c r="AA7" s="306">
        <v>58</v>
      </c>
      <c r="AB7" s="306">
        <v>6</v>
      </c>
      <c r="AC7" s="306">
        <v>10</v>
      </c>
      <c r="AD7" s="306">
        <v>28</v>
      </c>
      <c r="AE7" s="306">
        <v>30</v>
      </c>
      <c r="AF7" s="306">
        <v>34</v>
      </c>
      <c r="AG7" s="306">
        <v>43</v>
      </c>
      <c r="AH7" s="306">
        <v>33</v>
      </c>
      <c r="AI7" s="306">
        <v>32</v>
      </c>
      <c r="AJ7" s="306">
        <v>38</v>
      </c>
      <c r="AK7" s="306">
        <v>26</v>
      </c>
      <c r="AL7" s="306">
        <v>71</v>
      </c>
      <c r="AM7" s="306">
        <v>75</v>
      </c>
      <c r="AN7" s="306">
        <v>42</v>
      </c>
      <c r="AO7" s="306">
        <v>42</v>
      </c>
      <c r="AP7" s="294"/>
      <c r="AQ7" s="295"/>
    </row>
    <row r="8" spans="1:43" s="377" customFormat="1" ht="44.25" customHeight="1">
      <c r="A8" s="486"/>
      <c r="B8" s="486"/>
      <c r="C8" s="486"/>
      <c r="D8" s="368">
        <v>44</v>
      </c>
      <c r="E8" s="367">
        <v>44</v>
      </c>
      <c r="F8" s="367">
        <v>44</v>
      </c>
      <c r="G8" s="367">
        <v>83</v>
      </c>
      <c r="H8" s="367">
        <v>83</v>
      </c>
      <c r="I8" s="367">
        <v>87</v>
      </c>
      <c r="J8" s="367">
        <v>87</v>
      </c>
      <c r="K8" s="367">
        <v>105</v>
      </c>
      <c r="L8" s="367">
        <v>44</v>
      </c>
      <c r="M8" s="367">
        <v>44</v>
      </c>
      <c r="N8" s="367">
        <v>83</v>
      </c>
      <c r="O8" s="367">
        <v>83</v>
      </c>
      <c r="P8" s="367">
        <v>83</v>
      </c>
      <c r="Q8" s="367">
        <v>87</v>
      </c>
      <c r="R8" s="367">
        <v>87</v>
      </c>
      <c r="S8" s="367">
        <v>105</v>
      </c>
      <c r="T8" s="367">
        <v>44</v>
      </c>
      <c r="U8" s="367">
        <v>44</v>
      </c>
      <c r="V8" s="367">
        <v>83</v>
      </c>
      <c r="W8" s="367">
        <v>83</v>
      </c>
      <c r="X8" s="367">
        <v>83</v>
      </c>
      <c r="Y8" s="367">
        <v>87</v>
      </c>
      <c r="Z8" s="367">
        <v>87</v>
      </c>
      <c r="AA8" s="367">
        <v>105</v>
      </c>
      <c r="AB8" s="367">
        <v>44</v>
      </c>
      <c r="AC8" s="367">
        <v>44</v>
      </c>
      <c r="AD8" s="367">
        <v>83</v>
      </c>
      <c r="AE8" s="367">
        <v>83</v>
      </c>
      <c r="AF8" s="367">
        <v>83</v>
      </c>
      <c r="AG8" s="367">
        <v>87</v>
      </c>
      <c r="AH8" s="367">
        <v>87</v>
      </c>
      <c r="AI8" s="367">
        <v>105</v>
      </c>
      <c r="AJ8" s="367">
        <v>87</v>
      </c>
      <c r="AK8" s="367">
        <v>105</v>
      </c>
      <c r="AL8" s="367">
        <v>87</v>
      </c>
      <c r="AM8" s="367">
        <v>105</v>
      </c>
      <c r="AN8" s="367">
        <v>87</v>
      </c>
      <c r="AO8" s="367">
        <v>105</v>
      </c>
      <c r="AP8" s="294"/>
      <c r="AQ8" s="295"/>
    </row>
    <row r="9" spans="1:43" s="377" customFormat="1" ht="44.25" customHeight="1">
      <c r="A9" s="486"/>
      <c r="B9" s="486"/>
      <c r="C9" s="486"/>
      <c r="D9" s="305">
        <f t="shared" ref="D9:AO9" si="1">D7/D8</f>
        <v>0.29545454545454547</v>
      </c>
      <c r="E9" s="305">
        <f t="shared" si="1"/>
        <v>0.63636363636363635</v>
      </c>
      <c r="F9" s="305">
        <f t="shared" si="1"/>
        <v>0.88636363636363635</v>
      </c>
      <c r="G9" s="305">
        <f t="shared" si="1"/>
        <v>0.51807228915662651</v>
      </c>
      <c r="H9" s="305">
        <f t="shared" si="1"/>
        <v>0.59036144578313254</v>
      </c>
      <c r="I9" s="305">
        <f t="shared" si="1"/>
        <v>0.66666666666666663</v>
      </c>
      <c r="J9" s="305">
        <f t="shared" si="1"/>
        <v>0.7816091954022989</v>
      </c>
      <c r="K9" s="305">
        <f t="shared" si="1"/>
        <v>0.69523809523809521</v>
      </c>
      <c r="L9" s="305">
        <f t="shared" si="1"/>
        <v>0.38636363636363635</v>
      </c>
      <c r="M9" s="305">
        <f t="shared" si="1"/>
        <v>0.90909090909090906</v>
      </c>
      <c r="N9" s="305">
        <f t="shared" si="1"/>
        <v>0.66265060240963858</v>
      </c>
      <c r="O9" s="305">
        <f t="shared" si="1"/>
        <v>0.71084337349397586</v>
      </c>
      <c r="P9" s="305">
        <f t="shared" si="1"/>
        <v>0.68674698795180722</v>
      </c>
      <c r="Q9" s="305">
        <f t="shared" si="1"/>
        <v>0.47126436781609193</v>
      </c>
      <c r="R9" s="305">
        <f t="shared" si="1"/>
        <v>0.7816091954022989</v>
      </c>
      <c r="S9" s="305">
        <f t="shared" si="1"/>
        <v>0.7142857142857143</v>
      </c>
      <c r="T9" s="305">
        <f t="shared" si="1"/>
        <v>0.52272727272727271</v>
      </c>
      <c r="U9" s="305">
        <f t="shared" si="1"/>
        <v>0.81818181818181823</v>
      </c>
      <c r="V9" s="305">
        <f t="shared" si="1"/>
        <v>0.6506024096385542</v>
      </c>
      <c r="W9" s="305">
        <f t="shared" si="1"/>
        <v>0.66265060240963858</v>
      </c>
      <c r="X9" s="305">
        <f t="shared" si="1"/>
        <v>0.6506024096385542</v>
      </c>
      <c r="Y9" s="305">
        <f t="shared" si="1"/>
        <v>0.64367816091954022</v>
      </c>
      <c r="Z9" s="305">
        <f t="shared" si="1"/>
        <v>0.5977011494252874</v>
      </c>
      <c r="AA9" s="305">
        <f t="shared" si="1"/>
        <v>0.55238095238095242</v>
      </c>
      <c r="AB9" s="305">
        <f t="shared" si="1"/>
        <v>0.13636363636363635</v>
      </c>
      <c r="AC9" s="305">
        <f t="shared" si="1"/>
        <v>0.22727272727272727</v>
      </c>
      <c r="AD9" s="305">
        <f t="shared" si="1"/>
        <v>0.33734939759036142</v>
      </c>
      <c r="AE9" s="305">
        <f t="shared" si="1"/>
        <v>0.36144578313253012</v>
      </c>
      <c r="AF9" s="305">
        <f t="shared" si="1"/>
        <v>0.40963855421686746</v>
      </c>
      <c r="AG9" s="305">
        <f t="shared" si="1"/>
        <v>0.4942528735632184</v>
      </c>
      <c r="AH9" s="305">
        <f t="shared" si="1"/>
        <v>0.37931034482758619</v>
      </c>
      <c r="AI9" s="305">
        <f t="shared" si="1"/>
        <v>0.30476190476190479</v>
      </c>
      <c r="AJ9" s="305">
        <f t="shared" si="1"/>
        <v>0.43678160919540232</v>
      </c>
      <c r="AK9" s="305">
        <f t="shared" si="1"/>
        <v>0.24761904761904763</v>
      </c>
      <c r="AL9" s="305">
        <f t="shared" si="1"/>
        <v>0.81609195402298851</v>
      </c>
      <c r="AM9" s="305">
        <f t="shared" si="1"/>
        <v>0.7142857142857143</v>
      </c>
      <c r="AN9" s="305">
        <f t="shared" si="1"/>
        <v>0.48275862068965519</v>
      </c>
      <c r="AO9" s="305">
        <f t="shared" si="1"/>
        <v>0.4</v>
      </c>
      <c r="AP9" s="294"/>
      <c r="AQ9" s="295"/>
    </row>
    <row r="10" spans="1:43" s="377" customFormat="1" ht="44.25" customHeight="1">
      <c r="A10" s="503">
        <v>3</v>
      </c>
      <c r="B10" s="503" t="s">
        <v>1428</v>
      </c>
      <c r="C10" s="502" t="s">
        <v>1429</v>
      </c>
      <c r="D10" s="307">
        <v>0</v>
      </c>
      <c r="E10" s="303">
        <v>13</v>
      </c>
      <c r="F10" s="303">
        <v>27</v>
      </c>
      <c r="G10" s="303">
        <v>27</v>
      </c>
      <c r="H10" s="303">
        <v>37</v>
      </c>
      <c r="I10" s="303">
        <v>34</v>
      </c>
      <c r="J10" s="303">
        <v>42</v>
      </c>
      <c r="K10" s="303">
        <v>45</v>
      </c>
      <c r="L10" s="303">
        <v>0</v>
      </c>
      <c r="M10" s="303">
        <v>16</v>
      </c>
      <c r="N10" s="303">
        <v>25</v>
      </c>
      <c r="O10" s="303">
        <v>26</v>
      </c>
      <c r="P10" s="303">
        <v>35</v>
      </c>
      <c r="Q10" s="303">
        <v>29</v>
      </c>
      <c r="R10" s="303">
        <v>34</v>
      </c>
      <c r="S10" s="303">
        <v>38</v>
      </c>
      <c r="T10" s="303">
        <v>0</v>
      </c>
      <c r="U10" s="303">
        <v>18</v>
      </c>
      <c r="V10" s="303">
        <v>28</v>
      </c>
      <c r="W10" s="303">
        <v>28</v>
      </c>
      <c r="X10" s="303">
        <v>39</v>
      </c>
      <c r="Y10" s="303">
        <v>37</v>
      </c>
      <c r="Z10" s="303">
        <v>37</v>
      </c>
      <c r="AA10" s="303">
        <v>44</v>
      </c>
      <c r="AB10" s="303">
        <v>1</v>
      </c>
      <c r="AC10" s="303">
        <v>11</v>
      </c>
      <c r="AD10" s="303">
        <v>19</v>
      </c>
      <c r="AE10" s="303">
        <v>19</v>
      </c>
      <c r="AF10" s="303">
        <v>29</v>
      </c>
      <c r="AG10" s="303">
        <v>26</v>
      </c>
      <c r="AH10" s="303">
        <v>32</v>
      </c>
      <c r="AI10" s="303">
        <v>32</v>
      </c>
      <c r="AJ10" s="303">
        <v>33</v>
      </c>
      <c r="AK10" s="303">
        <v>25</v>
      </c>
      <c r="AL10" s="303">
        <v>40</v>
      </c>
      <c r="AM10" s="303">
        <v>40</v>
      </c>
      <c r="AN10" s="303">
        <v>27</v>
      </c>
      <c r="AO10" s="303">
        <v>27</v>
      </c>
      <c r="AP10" s="294"/>
      <c r="AQ10" s="295"/>
    </row>
    <row r="11" spans="1:43" s="377" customFormat="1" ht="44.25" customHeight="1">
      <c r="A11" s="486"/>
      <c r="B11" s="486"/>
      <c r="C11" s="486"/>
      <c r="D11" s="367">
        <v>1</v>
      </c>
      <c r="E11" s="367">
        <v>48</v>
      </c>
      <c r="F11" s="367">
        <v>48</v>
      </c>
      <c r="G11" s="367">
        <v>48</v>
      </c>
      <c r="H11" s="367">
        <v>51</v>
      </c>
      <c r="I11" s="367">
        <v>51</v>
      </c>
      <c r="J11" s="367">
        <v>51</v>
      </c>
      <c r="K11" s="367">
        <v>51</v>
      </c>
      <c r="L11" s="367">
        <v>1</v>
      </c>
      <c r="M11" s="367">
        <v>48</v>
      </c>
      <c r="N11" s="367">
        <v>48</v>
      </c>
      <c r="O11" s="367">
        <v>48</v>
      </c>
      <c r="P11" s="367">
        <v>51</v>
      </c>
      <c r="Q11" s="367">
        <v>51</v>
      </c>
      <c r="R11" s="367">
        <v>51</v>
      </c>
      <c r="S11" s="367">
        <v>51</v>
      </c>
      <c r="T11" s="367">
        <v>1</v>
      </c>
      <c r="U11" s="367">
        <v>48</v>
      </c>
      <c r="V11" s="367">
        <v>48</v>
      </c>
      <c r="W11" s="367">
        <v>48</v>
      </c>
      <c r="X11" s="367">
        <v>51</v>
      </c>
      <c r="Y11" s="367">
        <v>51</v>
      </c>
      <c r="Z11" s="367">
        <v>51</v>
      </c>
      <c r="AA11" s="367">
        <v>51</v>
      </c>
      <c r="AB11" s="367">
        <v>1</v>
      </c>
      <c r="AC11" s="367">
        <v>48</v>
      </c>
      <c r="AD11" s="367">
        <v>48</v>
      </c>
      <c r="AE11" s="367">
        <v>48</v>
      </c>
      <c r="AF11" s="367">
        <v>51</v>
      </c>
      <c r="AG11" s="367">
        <v>51</v>
      </c>
      <c r="AH11" s="367">
        <v>51</v>
      </c>
      <c r="AI11" s="367">
        <v>51</v>
      </c>
      <c r="AJ11" s="367">
        <v>51</v>
      </c>
      <c r="AK11" s="367">
        <v>51</v>
      </c>
      <c r="AL11" s="367">
        <v>51</v>
      </c>
      <c r="AM11" s="367">
        <v>51</v>
      </c>
      <c r="AN11" s="367">
        <v>51</v>
      </c>
      <c r="AO11" s="367">
        <v>51</v>
      </c>
      <c r="AP11" s="294"/>
      <c r="AQ11" s="295"/>
    </row>
    <row r="12" spans="1:43" s="377" customFormat="1" ht="44.25" customHeight="1">
      <c r="A12" s="486"/>
      <c r="B12" s="486"/>
      <c r="C12" s="486"/>
      <c r="D12" s="305">
        <f t="shared" ref="D12:AO12" si="2">D10/D11</f>
        <v>0</v>
      </c>
      <c r="E12" s="305">
        <f t="shared" si="2"/>
        <v>0.27083333333333331</v>
      </c>
      <c r="F12" s="305">
        <f t="shared" si="2"/>
        <v>0.5625</v>
      </c>
      <c r="G12" s="305">
        <f t="shared" si="2"/>
        <v>0.5625</v>
      </c>
      <c r="H12" s="305">
        <f t="shared" si="2"/>
        <v>0.72549019607843135</v>
      </c>
      <c r="I12" s="305">
        <f t="shared" si="2"/>
        <v>0.66666666666666663</v>
      </c>
      <c r="J12" s="305">
        <f t="shared" si="2"/>
        <v>0.82352941176470584</v>
      </c>
      <c r="K12" s="305">
        <f t="shared" si="2"/>
        <v>0.88235294117647056</v>
      </c>
      <c r="L12" s="305">
        <f t="shared" si="2"/>
        <v>0</v>
      </c>
      <c r="M12" s="305">
        <f t="shared" si="2"/>
        <v>0.33333333333333331</v>
      </c>
      <c r="N12" s="305">
        <f t="shared" si="2"/>
        <v>0.52083333333333337</v>
      </c>
      <c r="O12" s="305">
        <f t="shared" si="2"/>
        <v>0.54166666666666663</v>
      </c>
      <c r="P12" s="305">
        <f t="shared" si="2"/>
        <v>0.68627450980392157</v>
      </c>
      <c r="Q12" s="305">
        <f t="shared" si="2"/>
        <v>0.56862745098039214</v>
      </c>
      <c r="R12" s="305">
        <f t="shared" si="2"/>
        <v>0.66666666666666663</v>
      </c>
      <c r="S12" s="305">
        <f t="shared" si="2"/>
        <v>0.74509803921568629</v>
      </c>
      <c r="T12" s="305">
        <f t="shared" si="2"/>
        <v>0</v>
      </c>
      <c r="U12" s="305">
        <f t="shared" si="2"/>
        <v>0.375</v>
      </c>
      <c r="V12" s="305">
        <f t="shared" si="2"/>
        <v>0.58333333333333337</v>
      </c>
      <c r="W12" s="305">
        <f t="shared" si="2"/>
        <v>0.58333333333333337</v>
      </c>
      <c r="X12" s="305">
        <f t="shared" si="2"/>
        <v>0.76470588235294112</v>
      </c>
      <c r="Y12" s="305">
        <f t="shared" si="2"/>
        <v>0.72549019607843135</v>
      </c>
      <c r="Z12" s="305">
        <f t="shared" si="2"/>
        <v>0.72549019607843135</v>
      </c>
      <c r="AA12" s="305">
        <f t="shared" si="2"/>
        <v>0.86274509803921573</v>
      </c>
      <c r="AB12" s="305">
        <f t="shared" si="2"/>
        <v>1</v>
      </c>
      <c r="AC12" s="305">
        <f t="shared" si="2"/>
        <v>0.22916666666666666</v>
      </c>
      <c r="AD12" s="305">
        <f t="shared" si="2"/>
        <v>0.39583333333333331</v>
      </c>
      <c r="AE12" s="305">
        <f t="shared" si="2"/>
        <v>0.39583333333333331</v>
      </c>
      <c r="AF12" s="305">
        <f t="shared" si="2"/>
        <v>0.56862745098039214</v>
      </c>
      <c r="AG12" s="305">
        <f t="shared" si="2"/>
        <v>0.50980392156862742</v>
      </c>
      <c r="AH12" s="305">
        <f t="shared" si="2"/>
        <v>0.62745098039215685</v>
      </c>
      <c r="AI12" s="305">
        <f t="shared" si="2"/>
        <v>0.62745098039215685</v>
      </c>
      <c r="AJ12" s="305">
        <f t="shared" si="2"/>
        <v>0.6470588235294118</v>
      </c>
      <c r="AK12" s="305">
        <f t="shared" si="2"/>
        <v>0.49019607843137253</v>
      </c>
      <c r="AL12" s="305">
        <f t="shared" si="2"/>
        <v>0.78431372549019607</v>
      </c>
      <c r="AM12" s="305">
        <f t="shared" si="2"/>
        <v>0.78431372549019607</v>
      </c>
      <c r="AN12" s="305">
        <f t="shared" si="2"/>
        <v>0.52941176470588236</v>
      </c>
      <c r="AO12" s="305">
        <f t="shared" si="2"/>
        <v>0.52941176470588236</v>
      </c>
      <c r="AP12" s="294"/>
      <c r="AQ12" s="295"/>
    </row>
    <row r="13" spans="1:43" s="377" customFormat="1" ht="44.25" customHeight="1">
      <c r="A13" s="505">
        <v>4</v>
      </c>
      <c r="B13" s="505" t="s">
        <v>1430</v>
      </c>
      <c r="C13" s="504" t="s">
        <v>1431</v>
      </c>
      <c r="D13" s="306">
        <v>3</v>
      </c>
      <c r="E13" s="306">
        <v>5</v>
      </c>
      <c r="F13" s="306">
        <v>19</v>
      </c>
      <c r="G13" s="306">
        <v>19</v>
      </c>
      <c r="H13" s="306">
        <v>26</v>
      </c>
      <c r="I13" s="306">
        <v>16</v>
      </c>
      <c r="J13" s="306">
        <v>24</v>
      </c>
      <c r="K13" s="306">
        <v>28</v>
      </c>
      <c r="L13" s="306">
        <v>1</v>
      </c>
      <c r="M13" s="306">
        <v>14</v>
      </c>
      <c r="N13" s="306">
        <v>21</v>
      </c>
      <c r="O13" s="306">
        <v>22</v>
      </c>
      <c r="P13" s="306">
        <v>24</v>
      </c>
      <c r="Q13" s="306">
        <v>14</v>
      </c>
      <c r="R13" s="306">
        <v>23</v>
      </c>
      <c r="S13" s="306">
        <v>25</v>
      </c>
      <c r="T13" s="306">
        <v>5</v>
      </c>
      <c r="U13" s="306">
        <v>20</v>
      </c>
      <c r="V13" s="306">
        <v>23</v>
      </c>
      <c r="W13" s="306">
        <v>23</v>
      </c>
      <c r="X13" s="306">
        <v>28</v>
      </c>
      <c r="Y13" s="306">
        <v>21</v>
      </c>
      <c r="Z13" s="306">
        <v>26</v>
      </c>
      <c r="AA13" s="306">
        <v>29</v>
      </c>
      <c r="AB13" s="306">
        <v>2</v>
      </c>
      <c r="AC13" s="306">
        <v>4</v>
      </c>
      <c r="AD13" s="306">
        <v>19</v>
      </c>
      <c r="AE13" s="306">
        <v>19</v>
      </c>
      <c r="AF13" s="306">
        <v>14</v>
      </c>
      <c r="AG13" s="306">
        <v>18</v>
      </c>
      <c r="AH13" s="306">
        <v>13</v>
      </c>
      <c r="AI13" s="306">
        <v>14</v>
      </c>
      <c r="AJ13" s="306">
        <v>15</v>
      </c>
      <c r="AK13" s="306">
        <v>10</v>
      </c>
      <c r="AL13" s="306">
        <v>22</v>
      </c>
      <c r="AM13" s="306">
        <v>24</v>
      </c>
      <c r="AN13" s="306">
        <v>6</v>
      </c>
      <c r="AO13" s="306">
        <v>6</v>
      </c>
      <c r="AP13" s="294"/>
      <c r="AQ13" s="295"/>
    </row>
    <row r="14" spans="1:43" s="377" customFormat="1" ht="44.25" customHeight="1">
      <c r="A14" s="486"/>
      <c r="B14" s="486"/>
      <c r="C14" s="486"/>
      <c r="D14" s="368">
        <v>8</v>
      </c>
      <c r="E14" s="367">
        <v>33</v>
      </c>
      <c r="F14" s="367">
        <v>33</v>
      </c>
      <c r="G14" s="367">
        <v>33</v>
      </c>
      <c r="H14" s="367">
        <v>35</v>
      </c>
      <c r="I14" s="367">
        <v>36</v>
      </c>
      <c r="J14" s="367">
        <v>36</v>
      </c>
      <c r="K14" s="367">
        <v>45</v>
      </c>
      <c r="L14" s="368">
        <v>8</v>
      </c>
      <c r="M14" s="367">
        <v>33</v>
      </c>
      <c r="N14" s="367">
        <v>33</v>
      </c>
      <c r="O14" s="367">
        <v>33</v>
      </c>
      <c r="P14" s="367">
        <v>35</v>
      </c>
      <c r="Q14" s="367">
        <v>36</v>
      </c>
      <c r="R14" s="367">
        <v>36</v>
      </c>
      <c r="S14" s="367">
        <v>45</v>
      </c>
      <c r="T14" s="368">
        <v>8</v>
      </c>
      <c r="U14" s="367">
        <v>33</v>
      </c>
      <c r="V14" s="367">
        <v>33</v>
      </c>
      <c r="W14" s="367">
        <v>33</v>
      </c>
      <c r="X14" s="367">
        <v>35</v>
      </c>
      <c r="Y14" s="367">
        <v>36</v>
      </c>
      <c r="Z14" s="367">
        <v>36</v>
      </c>
      <c r="AA14" s="367">
        <v>45</v>
      </c>
      <c r="AB14" s="368">
        <v>8</v>
      </c>
      <c r="AC14" s="367">
        <v>33</v>
      </c>
      <c r="AD14" s="367">
        <v>33</v>
      </c>
      <c r="AE14" s="367">
        <v>33</v>
      </c>
      <c r="AF14" s="367">
        <v>35</v>
      </c>
      <c r="AG14" s="367">
        <v>36</v>
      </c>
      <c r="AH14" s="367">
        <v>36</v>
      </c>
      <c r="AI14" s="367">
        <v>45</v>
      </c>
      <c r="AJ14" s="367">
        <v>36</v>
      </c>
      <c r="AK14" s="367">
        <v>45</v>
      </c>
      <c r="AL14" s="367">
        <v>36</v>
      </c>
      <c r="AM14" s="367">
        <v>45</v>
      </c>
      <c r="AN14" s="367">
        <v>36</v>
      </c>
      <c r="AO14" s="367">
        <v>45</v>
      </c>
      <c r="AP14" s="294"/>
      <c r="AQ14" s="295"/>
    </row>
    <row r="15" spans="1:43" s="377" customFormat="1" ht="44.25" customHeight="1">
      <c r="A15" s="486"/>
      <c r="B15" s="486"/>
      <c r="C15" s="486"/>
      <c r="D15" s="305">
        <f t="shared" ref="D15:AO15" si="3">D13/D14</f>
        <v>0.375</v>
      </c>
      <c r="E15" s="305">
        <f t="shared" si="3"/>
        <v>0.15151515151515152</v>
      </c>
      <c r="F15" s="305">
        <f t="shared" si="3"/>
        <v>0.5757575757575758</v>
      </c>
      <c r="G15" s="305">
        <f t="shared" si="3"/>
        <v>0.5757575757575758</v>
      </c>
      <c r="H15" s="305">
        <f t="shared" si="3"/>
        <v>0.74285714285714288</v>
      </c>
      <c r="I15" s="305">
        <f t="shared" si="3"/>
        <v>0.44444444444444442</v>
      </c>
      <c r="J15" s="305">
        <f t="shared" si="3"/>
        <v>0.66666666666666663</v>
      </c>
      <c r="K15" s="305">
        <f t="shared" si="3"/>
        <v>0.62222222222222223</v>
      </c>
      <c r="L15" s="305">
        <f t="shared" si="3"/>
        <v>0.125</v>
      </c>
      <c r="M15" s="305">
        <f t="shared" si="3"/>
        <v>0.42424242424242425</v>
      </c>
      <c r="N15" s="305">
        <f t="shared" si="3"/>
        <v>0.63636363636363635</v>
      </c>
      <c r="O15" s="305">
        <f t="shared" si="3"/>
        <v>0.66666666666666663</v>
      </c>
      <c r="P15" s="305">
        <f t="shared" si="3"/>
        <v>0.68571428571428572</v>
      </c>
      <c r="Q15" s="305">
        <f t="shared" si="3"/>
        <v>0.3888888888888889</v>
      </c>
      <c r="R15" s="305">
        <f t="shared" si="3"/>
        <v>0.63888888888888884</v>
      </c>
      <c r="S15" s="305">
        <f t="shared" si="3"/>
        <v>0.55555555555555558</v>
      </c>
      <c r="T15" s="305">
        <f t="shared" si="3"/>
        <v>0.625</v>
      </c>
      <c r="U15" s="305">
        <f t="shared" si="3"/>
        <v>0.60606060606060608</v>
      </c>
      <c r="V15" s="305">
        <f t="shared" si="3"/>
        <v>0.69696969696969702</v>
      </c>
      <c r="W15" s="305">
        <f t="shared" si="3"/>
        <v>0.69696969696969702</v>
      </c>
      <c r="X15" s="305">
        <f t="shared" si="3"/>
        <v>0.8</v>
      </c>
      <c r="Y15" s="305">
        <f t="shared" si="3"/>
        <v>0.58333333333333337</v>
      </c>
      <c r="Z15" s="305">
        <f t="shared" si="3"/>
        <v>0.72222222222222221</v>
      </c>
      <c r="AA15" s="305">
        <f t="shared" si="3"/>
        <v>0.64444444444444449</v>
      </c>
      <c r="AB15" s="305">
        <f t="shared" si="3"/>
        <v>0.25</v>
      </c>
      <c r="AC15" s="305">
        <f t="shared" si="3"/>
        <v>0.12121212121212122</v>
      </c>
      <c r="AD15" s="305">
        <f t="shared" si="3"/>
        <v>0.5757575757575758</v>
      </c>
      <c r="AE15" s="305">
        <f t="shared" si="3"/>
        <v>0.5757575757575758</v>
      </c>
      <c r="AF15" s="305">
        <f t="shared" si="3"/>
        <v>0.4</v>
      </c>
      <c r="AG15" s="305">
        <f t="shared" si="3"/>
        <v>0.5</v>
      </c>
      <c r="AH15" s="305">
        <f t="shared" si="3"/>
        <v>0.3611111111111111</v>
      </c>
      <c r="AI15" s="305">
        <f t="shared" si="3"/>
        <v>0.31111111111111112</v>
      </c>
      <c r="AJ15" s="305">
        <f t="shared" si="3"/>
        <v>0.41666666666666669</v>
      </c>
      <c r="AK15" s="305">
        <f t="shared" si="3"/>
        <v>0.22222222222222221</v>
      </c>
      <c r="AL15" s="305">
        <f t="shared" si="3"/>
        <v>0.61111111111111116</v>
      </c>
      <c r="AM15" s="305">
        <f t="shared" si="3"/>
        <v>0.53333333333333333</v>
      </c>
      <c r="AN15" s="305">
        <f t="shared" si="3"/>
        <v>0.16666666666666666</v>
      </c>
      <c r="AO15" s="305">
        <f t="shared" si="3"/>
        <v>0.13333333333333333</v>
      </c>
      <c r="AP15" s="294"/>
      <c r="AQ15" s="295"/>
    </row>
    <row r="16" spans="1:43" s="377" customFormat="1" ht="44.25" customHeight="1">
      <c r="A16" s="503">
        <v>5</v>
      </c>
      <c r="B16" s="503" t="s">
        <v>1432</v>
      </c>
      <c r="C16" s="502" t="s">
        <v>1433</v>
      </c>
      <c r="D16" s="307">
        <v>5</v>
      </c>
      <c r="E16" s="303">
        <v>3</v>
      </c>
      <c r="F16" s="303">
        <v>5</v>
      </c>
      <c r="G16" s="303">
        <v>7</v>
      </c>
      <c r="H16" s="303">
        <v>14</v>
      </c>
      <c r="I16" s="303">
        <v>17</v>
      </c>
      <c r="J16" s="303">
        <v>22</v>
      </c>
      <c r="K16" s="303">
        <v>24</v>
      </c>
      <c r="L16" s="303">
        <v>2</v>
      </c>
      <c r="M16" s="303">
        <v>2</v>
      </c>
      <c r="N16" s="303">
        <v>7</v>
      </c>
      <c r="O16" s="303">
        <v>11</v>
      </c>
      <c r="P16" s="303">
        <v>9</v>
      </c>
      <c r="Q16" s="303">
        <v>10</v>
      </c>
      <c r="R16" s="303">
        <v>18</v>
      </c>
      <c r="S16" s="303">
        <v>21</v>
      </c>
      <c r="T16" s="303">
        <v>9</v>
      </c>
      <c r="U16" s="303">
        <v>5</v>
      </c>
      <c r="V16" s="303">
        <v>12</v>
      </c>
      <c r="W16" s="303">
        <v>12</v>
      </c>
      <c r="X16" s="303">
        <v>12</v>
      </c>
      <c r="Y16" s="303">
        <v>18</v>
      </c>
      <c r="Z16" s="303">
        <v>13</v>
      </c>
      <c r="AA16" s="303">
        <v>18</v>
      </c>
      <c r="AB16" s="303">
        <v>6</v>
      </c>
      <c r="AC16" s="303">
        <v>7</v>
      </c>
      <c r="AD16" s="303">
        <v>3</v>
      </c>
      <c r="AE16" s="303">
        <v>8</v>
      </c>
      <c r="AF16" s="303">
        <v>8</v>
      </c>
      <c r="AG16" s="303">
        <v>9</v>
      </c>
      <c r="AH16" s="303">
        <v>4</v>
      </c>
      <c r="AI16" s="303">
        <v>3</v>
      </c>
      <c r="AJ16" s="303">
        <v>18</v>
      </c>
      <c r="AK16" s="303">
        <v>21</v>
      </c>
      <c r="AL16" s="303">
        <v>19</v>
      </c>
      <c r="AM16" s="303">
        <v>21</v>
      </c>
      <c r="AN16" s="303">
        <v>17</v>
      </c>
      <c r="AO16" s="303">
        <v>17</v>
      </c>
      <c r="AP16" s="294"/>
      <c r="AQ16" s="295"/>
    </row>
    <row r="17" spans="1:43" s="377" customFormat="1" ht="44.25" customHeight="1">
      <c r="A17" s="486"/>
      <c r="B17" s="486"/>
      <c r="C17" s="486"/>
      <c r="D17" s="367">
        <v>11</v>
      </c>
      <c r="E17" s="367">
        <v>11</v>
      </c>
      <c r="F17" s="367">
        <v>25</v>
      </c>
      <c r="G17" s="367">
        <v>25</v>
      </c>
      <c r="H17" s="367">
        <v>27</v>
      </c>
      <c r="I17" s="367">
        <v>34</v>
      </c>
      <c r="J17" s="367">
        <v>34</v>
      </c>
      <c r="K17" s="367">
        <v>62</v>
      </c>
      <c r="L17" s="367">
        <v>11</v>
      </c>
      <c r="M17" s="367">
        <v>11</v>
      </c>
      <c r="N17" s="367">
        <v>25</v>
      </c>
      <c r="O17" s="367">
        <v>25</v>
      </c>
      <c r="P17" s="367">
        <v>27</v>
      </c>
      <c r="Q17" s="367">
        <v>34</v>
      </c>
      <c r="R17" s="367">
        <v>34</v>
      </c>
      <c r="S17" s="367">
        <v>62</v>
      </c>
      <c r="T17" s="367">
        <v>11</v>
      </c>
      <c r="U17" s="367">
        <v>11</v>
      </c>
      <c r="V17" s="367">
        <v>25</v>
      </c>
      <c r="W17" s="367">
        <v>25</v>
      </c>
      <c r="X17" s="367">
        <v>27</v>
      </c>
      <c r="Y17" s="367">
        <v>34</v>
      </c>
      <c r="Z17" s="367">
        <v>34</v>
      </c>
      <c r="AA17" s="367">
        <v>62</v>
      </c>
      <c r="AB17" s="367">
        <v>11</v>
      </c>
      <c r="AC17" s="367">
        <v>11</v>
      </c>
      <c r="AD17" s="367">
        <v>25</v>
      </c>
      <c r="AE17" s="367">
        <v>25</v>
      </c>
      <c r="AF17" s="367">
        <v>27</v>
      </c>
      <c r="AG17" s="367">
        <v>34</v>
      </c>
      <c r="AH17" s="367">
        <v>34</v>
      </c>
      <c r="AI17" s="367">
        <v>62</v>
      </c>
      <c r="AJ17" s="367">
        <v>34</v>
      </c>
      <c r="AK17" s="367">
        <v>62</v>
      </c>
      <c r="AL17" s="367">
        <v>34</v>
      </c>
      <c r="AM17" s="367">
        <v>62</v>
      </c>
      <c r="AN17" s="367">
        <v>34</v>
      </c>
      <c r="AO17" s="367">
        <v>62</v>
      </c>
      <c r="AP17" s="294"/>
      <c r="AQ17" s="295"/>
    </row>
    <row r="18" spans="1:43" s="377" customFormat="1" ht="44.25" customHeight="1">
      <c r="A18" s="486"/>
      <c r="B18" s="486"/>
      <c r="C18" s="486"/>
      <c r="D18" s="305">
        <f t="shared" ref="D18:AO18" si="4">D16/D17</f>
        <v>0.45454545454545453</v>
      </c>
      <c r="E18" s="305">
        <f t="shared" si="4"/>
        <v>0.27272727272727271</v>
      </c>
      <c r="F18" s="305">
        <f t="shared" si="4"/>
        <v>0.2</v>
      </c>
      <c r="G18" s="305">
        <f t="shared" si="4"/>
        <v>0.28000000000000003</v>
      </c>
      <c r="H18" s="305">
        <f t="shared" si="4"/>
        <v>0.51851851851851849</v>
      </c>
      <c r="I18" s="305">
        <f t="shared" si="4"/>
        <v>0.5</v>
      </c>
      <c r="J18" s="305">
        <f t="shared" si="4"/>
        <v>0.6470588235294118</v>
      </c>
      <c r="K18" s="305">
        <f t="shared" si="4"/>
        <v>0.38709677419354838</v>
      </c>
      <c r="L18" s="305">
        <f t="shared" si="4"/>
        <v>0.18181818181818182</v>
      </c>
      <c r="M18" s="305">
        <f t="shared" si="4"/>
        <v>0.18181818181818182</v>
      </c>
      <c r="N18" s="305">
        <f t="shared" si="4"/>
        <v>0.28000000000000003</v>
      </c>
      <c r="O18" s="305">
        <f t="shared" si="4"/>
        <v>0.44</v>
      </c>
      <c r="P18" s="305">
        <f t="shared" si="4"/>
        <v>0.33333333333333331</v>
      </c>
      <c r="Q18" s="305">
        <f t="shared" si="4"/>
        <v>0.29411764705882354</v>
      </c>
      <c r="R18" s="305">
        <f t="shared" si="4"/>
        <v>0.52941176470588236</v>
      </c>
      <c r="S18" s="305">
        <f t="shared" si="4"/>
        <v>0.33870967741935482</v>
      </c>
      <c r="T18" s="305">
        <f t="shared" si="4"/>
        <v>0.81818181818181823</v>
      </c>
      <c r="U18" s="305">
        <f t="shared" si="4"/>
        <v>0.45454545454545453</v>
      </c>
      <c r="V18" s="305">
        <f t="shared" si="4"/>
        <v>0.48</v>
      </c>
      <c r="W18" s="305">
        <f t="shared" si="4"/>
        <v>0.48</v>
      </c>
      <c r="X18" s="305">
        <f t="shared" si="4"/>
        <v>0.44444444444444442</v>
      </c>
      <c r="Y18" s="305">
        <f t="shared" si="4"/>
        <v>0.52941176470588236</v>
      </c>
      <c r="Z18" s="305">
        <f t="shared" si="4"/>
        <v>0.38235294117647056</v>
      </c>
      <c r="AA18" s="305">
        <f t="shared" si="4"/>
        <v>0.29032258064516131</v>
      </c>
      <c r="AB18" s="305">
        <f t="shared" si="4"/>
        <v>0.54545454545454541</v>
      </c>
      <c r="AC18" s="305">
        <f t="shared" si="4"/>
        <v>0.63636363636363635</v>
      </c>
      <c r="AD18" s="305">
        <f t="shared" si="4"/>
        <v>0.12</v>
      </c>
      <c r="AE18" s="305">
        <f t="shared" si="4"/>
        <v>0.32</v>
      </c>
      <c r="AF18" s="305">
        <f t="shared" si="4"/>
        <v>0.29629629629629628</v>
      </c>
      <c r="AG18" s="305">
        <f t="shared" si="4"/>
        <v>0.26470588235294118</v>
      </c>
      <c r="AH18" s="305">
        <f t="shared" si="4"/>
        <v>0.11764705882352941</v>
      </c>
      <c r="AI18" s="305">
        <f t="shared" si="4"/>
        <v>4.8387096774193547E-2</v>
      </c>
      <c r="AJ18" s="305">
        <f t="shared" si="4"/>
        <v>0.52941176470588236</v>
      </c>
      <c r="AK18" s="305">
        <f t="shared" si="4"/>
        <v>0.33870967741935482</v>
      </c>
      <c r="AL18" s="305">
        <f t="shared" si="4"/>
        <v>0.55882352941176472</v>
      </c>
      <c r="AM18" s="305">
        <f t="shared" si="4"/>
        <v>0.33870967741935482</v>
      </c>
      <c r="AN18" s="305">
        <f t="shared" si="4"/>
        <v>0.5</v>
      </c>
      <c r="AO18" s="305">
        <f t="shared" si="4"/>
        <v>0.27419354838709675</v>
      </c>
      <c r="AP18" s="294"/>
      <c r="AQ18" s="295"/>
    </row>
    <row r="19" spans="1:43" s="377" customFormat="1" ht="44.25" customHeight="1">
      <c r="A19" s="505">
        <v>6</v>
      </c>
      <c r="B19" s="505" t="s">
        <v>1434</v>
      </c>
      <c r="C19" s="504" t="s">
        <v>1435</v>
      </c>
      <c r="D19" s="306">
        <v>6</v>
      </c>
      <c r="E19" s="306">
        <v>9</v>
      </c>
      <c r="F19" s="306">
        <v>9</v>
      </c>
      <c r="G19" s="306">
        <v>10</v>
      </c>
      <c r="H19" s="306">
        <v>12</v>
      </c>
      <c r="I19" s="306">
        <v>8</v>
      </c>
      <c r="J19" s="306">
        <v>13</v>
      </c>
      <c r="K19" s="306">
        <v>13</v>
      </c>
      <c r="L19" s="306">
        <v>3</v>
      </c>
      <c r="M19" s="306">
        <v>5</v>
      </c>
      <c r="N19" s="306">
        <v>11</v>
      </c>
      <c r="O19" s="306">
        <v>11</v>
      </c>
      <c r="P19" s="306">
        <v>9</v>
      </c>
      <c r="Q19" s="306">
        <v>9</v>
      </c>
      <c r="R19" s="306">
        <v>12</v>
      </c>
      <c r="S19" s="306">
        <v>13</v>
      </c>
      <c r="T19" s="306">
        <v>9</v>
      </c>
      <c r="U19" s="306">
        <v>7</v>
      </c>
      <c r="V19" s="306">
        <v>12</v>
      </c>
      <c r="W19" s="306">
        <v>12</v>
      </c>
      <c r="X19" s="306">
        <v>12</v>
      </c>
      <c r="Y19" s="306">
        <v>9</v>
      </c>
      <c r="Z19" s="306">
        <v>12</v>
      </c>
      <c r="AA19" s="306">
        <v>12</v>
      </c>
      <c r="AB19" s="306">
        <v>3</v>
      </c>
      <c r="AC19" s="306">
        <v>2</v>
      </c>
      <c r="AD19" s="306">
        <v>7</v>
      </c>
      <c r="AE19" s="306">
        <v>8</v>
      </c>
      <c r="AF19" s="306">
        <v>8</v>
      </c>
      <c r="AG19" s="306">
        <v>7</v>
      </c>
      <c r="AH19" s="306">
        <v>4</v>
      </c>
      <c r="AI19" s="306">
        <v>4</v>
      </c>
      <c r="AJ19" s="306">
        <v>10</v>
      </c>
      <c r="AK19" s="306">
        <v>11</v>
      </c>
      <c r="AL19" s="306">
        <v>12</v>
      </c>
      <c r="AM19" s="306">
        <v>13</v>
      </c>
      <c r="AN19" s="306">
        <v>10</v>
      </c>
      <c r="AO19" s="306">
        <v>10</v>
      </c>
      <c r="AP19" s="308"/>
      <c r="AQ19" s="309"/>
    </row>
    <row r="20" spans="1:43" s="377" customFormat="1" ht="44.25" customHeight="1">
      <c r="A20" s="486"/>
      <c r="B20" s="486"/>
      <c r="C20" s="486"/>
      <c r="D20" s="368">
        <v>10</v>
      </c>
      <c r="E20" s="367">
        <v>10</v>
      </c>
      <c r="F20" s="367">
        <v>17</v>
      </c>
      <c r="G20" s="367">
        <v>17</v>
      </c>
      <c r="H20" s="367">
        <v>17</v>
      </c>
      <c r="I20" s="367">
        <v>17</v>
      </c>
      <c r="J20" s="367">
        <v>17</v>
      </c>
      <c r="K20" s="367">
        <v>29</v>
      </c>
      <c r="L20" s="368">
        <v>10</v>
      </c>
      <c r="M20" s="367">
        <v>10</v>
      </c>
      <c r="N20" s="367">
        <v>17</v>
      </c>
      <c r="O20" s="367">
        <v>17</v>
      </c>
      <c r="P20" s="367">
        <v>17</v>
      </c>
      <c r="Q20" s="367">
        <v>17</v>
      </c>
      <c r="R20" s="367">
        <v>17</v>
      </c>
      <c r="S20" s="367">
        <v>29</v>
      </c>
      <c r="T20" s="368">
        <v>10</v>
      </c>
      <c r="U20" s="367">
        <v>10</v>
      </c>
      <c r="V20" s="367">
        <v>17</v>
      </c>
      <c r="W20" s="367">
        <v>17</v>
      </c>
      <c r="X20" s="367">
        <v>17</v>
      </c>
      <c r="Y20" s="367">
        <v>17</v>
      </c>
      <c r="Z20" s="367">
        <v>17</v>
      </c>
      <c r="AA20" s="367">
        <v>29</v>
      </c>
      <c r="AB20" s="368">
        <v>10</v>
      </c>
      <c r="AC20" s="367">
        <v>10</v>
      </c>
      <c r="AD20" s="367">
        <v>17</v>
      </c>
      <c r="AE20" s="367">
        <v>17</v>
      </c>
      <c r="AF20" s="367">
        <v>17</v>
      </c>
      <c r="AG20" s="367">
        <v>17</v>
      </c>
      <c r="AH20" s="367">
        <v>17</v>
      </c>
      <c r="AI20" s="367">
        <v>29</v>
      </c>
      <c r="AJ20" s="367">
        <v>17</v>
      </c>
      <c r="AK20" s="367">
        <v>29</v>
      </c>
      <c r="AL20" s="367">
        <v>17</v>
      </c>
      <c r="AM20" s="367">
        <v>29</v>
      </c>
      <c r="AN20" s="367">
        <v>17</v>
      </c>
      <c r="AO20" s="367">
        <v>29</v>
      </c>
      <c r="AP20" s="308"/>
      <c r="AQ20" s="309"/>
    </row>
    <row r="21" spans="1:43" s="377" customFormat="1" ht="44.25" customHeight="1">
      <c r="A21" s="486"/>
      <c r="B21" s="486"/>
      <c r="C21" s="486"/>
      <c r="D21" s="305">
        <f t="shared" ref="D21:AO21" si="5">D19/D20</f>
        <v>0.6</v>
      </c>
      <c r="E21" s="305">
        <f t="shared" si="5"/>
        <v>0.9</v>
      </c>
      <c r="F21" s="305">
        <f t="shared" si="5"/>
        <v>0.52941176470588236</v>
      </c>
      <c r="G21" s="305">
        <f t="shared" si="5"/>
        <v>0.58823529411764708</v>
      </c>
      <c r="H21" s="305">
        <f t="shared" si="5"/>
        <v>0.70588235294117652</v>
      </c>
      <c r="I21" s="305">
        <f t="shared" si="5"/>
        <v>0.47058823529411764</v>
      </c>
      <c r="J21" s="305">
        <f t="shared" si="5"/>
        <v>0.76470588235294112</v>
      </c>
      <c r="K21" s="305">
        <f t="shared" si="5"/>
        <v>0.44827586206896552</v>
      </c>
      <c r="L21" s="305">
        <f t="shared" si="5"/>
        <v>0.3</v>
      </c>
      <c r="M21" s="305">
        <f t="shared" si="5"/>
        <v>0.5</v>
      </c>
      <c r="N21" s="305">
        <f t="shared" si="5"/>
        <v>0.6470588235294118</v>
      </c>
      <c r="O21" s="305">
        <f t="shared" si="5"/>
        <v>0.6470588235294118</v>
      </c>
      <c r="P21" s="305">
        <f t="shared" si="5"/>
        <v>0.52941176470588236</v>
      </c>
      <c r="Q21" s="305">
        <f t="shared" si="5"/>
        <v>0.52941176470588236</v>
      </c>
      <c r="R21" s="305">
        <f t="shared" si="5"/>
        <v>0.70588235294117652</v>
      </c>
      <c r="S21" s="305">
        <f t="shared" si="5"/>
        <v>0.44827586206896552</v>
      </c>
      <c r="T21" s="305">
        <f t="shared" si="5"/>
        <v>0.9</v>
      </c>
      <c r="U21" s="305">
        <f t="shared" si="5"/>
        <v>0.7</v>
      </c>
      <c r="V21" s="305">
        <f t="shared" si="5"/>
        <v>0.70588235294117652</v>
      </c>
      <c r="W21" s="305">
        <f t="shared" si="5"/>
        <v>0.70588235294117652</v>
      </c>
      <c r="X21" s="305">
        <f t="shared" si="5"/>
        <v>0.70588235294117652</v>
      </c>
      <c r="Y21" s="305">
        <f t="shared" si="5"/>
        <v>0.52941176470588236</v>
      </c>
      <c r="Z21" s="305">
        <f t="shared" si="5"/>
        <v>0.70588235294117652</v>
      </c>
      <c r="AA21" s="305">
        <f t="shared" si="5"/>
        <v>0.41379310344827586</v>
      </c>
      <c r="AB21" s="305">
        <f t="shared" si="5"/>
        <v>0.3</v>
      </c>
      <c r="AC21" s="305">
        <f t="shared" si="5"/>
        <v>0.2</v>
      </c>
      <c r="AD21" s="305">
        <f t="shared" si="5"/>
        <v>0.41176470588235292</v>
      </c>
      <c r="AE21" s="305">
        <f t="shared" si="5"/>
        <v>0.47058823529411764</v>
      </c>
      <c r="AF21" s="305">
        <f t="shared" si="5"/>
        <v>0.47058823529411764</v>
      </c>
      <c r="AG21" s="305">
        <f t="shared" si="5"/>
        <v>0.41176470588235292</v>
      </c>
      <c r="AH21" s="305">
        <f t="shared" si="5"/>
        <v>0.23529411764705882</v>
      </c>
      <c r="AI21" s="305">
        <f t="shared" si="5"/>
        <v>0.13793103448275862</v>
      </c>
      <c r="AJ21" s="305">
        <f t="shared" si="5"/>
        <v>0.58823529411764708</v>
      </c>
      <c r="AK21" s="305">
        <f t="shared" si="5"/>
        <v>0.37931034482758619</v>
      </c>
      <c r="AL21" s="305">
        <f t="shared" si="5"/>
        <v>0.70588235294117652</v>
      </c>
      <c r="AM21" s="305">
        <f t="shared" si="5"/>
        <v>0.44827586206896552</v>
      </c>
      <c r="AN21" s="305">
        <f t="shared" si="5"/>
        <v>0.58823529411764708</v>
      </c>
      <c r="AO21" s="305">
        <f t="shared" si="5"/>
        <v>0.34482758620689657</v>
      </c>
      <c r="AP21" s="310"/>
      <c r="AQ21" s="295"/>
    </row>
    <row r="22" spans="1:43" s="377" customFormat="1" ht="44.25" customHeight="1">
      <c r="A22" s="503">
        <v>7</v>
      </c>
      <c r="B22" s="503" t="s">
        <v>1436</v>
      </c>
      <c r="C22" s="502" t="s">
        <v>1437</v>
      </c>
      <c r="D22" s="307">
        <v>0</v>
      </c>
      <c r="E22" s="303">
        <v>0</v>
      </c>
      <c r="F22" s="303">
        <v>1</v>
      </c>
      <c r="G22" s="303">
        <v>1</v>
      </c>
      <c r="H22" s="303">
        <v>1</v>
      </c>
      <c r="I22" s="303">
        <v>4</v>
      </c>
      <c r="J22" s="303">
        <v>10</v>
      </c>
      <c r="K22" s="303">
        <v>27</v>
      </c>
      <c r="L22" s="303">
        <v>0</v>
      </c>
      <c r="M22" s="303">
        <v>0</v>
      </c>
      <c r="N22" s="303">
        <v>1</v>
      </c>
      <c r="O22" s="303">
        <v>1</v>
      </c>
      <c r="P22" s="303">
        <v>1</v>
      </c>
      <c r="Q22" s="303">
        <v>3</v>
      </c>
      <c r="R22" s="303">
        <v>9</v>
      </c>
      <c r="S22" s="303">
        <v>28</v>
      </c>
      <c r="T22" s="303">
        <v>0</v>
      </c>
      <c r="U22" s="303">
        <v>1</v>
      </c>
      <c r="V22" s="303">
        <v>1</v>
      </c>
      <c r="W22" s="303">
        <v>1</v>
      </c>
      <c r="X22" s="303">
        <v>1</v>
      </c>
      <c r="Y22" s="303">
        <v>4</v>
      </c>
      <c r="Z22" s="303">
        <v>4</v>
      </c>
      <c r="AA22" s="303">
        <v>30</v>
      </c>
      <c r="AB22" s="303">
        <v>0</v>
      </c>
      <c r="AC22" s="303">
        <v>0</v>
      </c>
      <c r="AD22" s="303">
        <v>1</v>
      </c>
      <c r="AE22" s="303">
        <v>1</v>
      </c>
      <c r="AF22" s="303">
        <v>0</v>
      </c>
      <c r="AG22" s="303">
        <v>1</v>
      </c>
      <c r="AH22" s="303">
        <v>5</v>
      </c>
      <c r="AI22" s="303">
        <v>25</v>
      </c>
      <c r="AJ22" s="303">
        <v>8</v>
      </c>
      <c r="AK22" s="303">
        <v>24</v>
      </c>
      <c r="AL22" s="303">
        <v>8</v>
      </c>
      <c r="AM22" s="303">
        <v>26</v>
      </c>
      <c r="AN22" s="303">
        <v>6</v>
      </c>
      <c r="AO22" s="303">
        <v>6</v>
      </c>
      <c r="AP22" s="294"/>
      <c r="AQ22" s="295"/>
    </row>
    <row r="23" spans="1:43" s="377" customFormat="1" ht="44.25" customHeight="1">
      <c r="A23" s="486"/>
      <c r="B23" s="486"/>
      <c r="C23" s="486"/>
      <c r="D23" s="367">
        <v>5</v>
      </c>
      <c r="E23" s="367">
        <v>5</v>
      </c>
      <c r="F23" s="367">
        <v>5</v>
      </c>
      <c r="G23" s="367">
        <v>5</v>
      </c>
      <c r="H23" s="367">
        <v>6</v>
      </c>
      <c r="I23" s="367">
        <v>33</v>
      </c>
      <c r="J23" s="367">
        <v>33</v>
      </c>
      <c r="K23" s="367">
        <v>34</v>
      </c>
      <c r="L23" s="367">
        <v>5</v>
      </c>
      <c r="M23" s="367">
        <v>5</v>
      </c>
      <c r="N23" s="367">
        <v>5</v>
      </c>
      <c r="O23" s="367">
        <v>5</v>
      </c>
      <c r="P23" s="367">
        <v>6</v>
      </c>
      <c r="Q23" s="367">
        <v>33</v>
      </c>
      <c r="R23" s="367">
        <v>33</v>
      </c>
      <c r="S23" s="367">
        <v>34</v>
      </c>
      <c r="T23" s="367">
        <v>5</v>
      </c>
      <c r="U23" s="367">
        <v>5</v>
      </c>
      <c r="V23" s="367">
        <v>5</v>
      </c>
      <c r="W23" s="367">
        <v>5</v>
      </c>
      <c r="X23" s="367">
        <v>6</v>
      </c>
      <c r="Y23" s="367">
        <v>33</v>
      </c>
      <c r="Z23" s="367">
        <v>33</v>
      </c>
      <c r="AA23" s="367">
        <v>34</v>
      </c>
      <c r="AB23" s="367">
        <v>5</v>
      </c>
      <c r="AC23" s="367">
        <v>5</v>
      </c>
      <c r="AD23" s="367">
        <v>5</v>
      </c>
      <c r="AE23" s="367">
        <v>5</v>
      </c>
      <c r="AF23" s="367">
        <v>6</v>
      </c>
      <c r="AG23" s="367">
        <v>33</v>
      </c>
      <c r="AH23" s="367">
        <v>33</v>
      </c>
      <c r="AI23" s="367">
        <v>34</v>
      </c>
      <c r="AJ23" s="367">
        <v>33</v>
      </c>
      <c r="AK23" s="367">
        <v>34</v>
      </c>
      <c r="AL23" s="367">
        <v>33</v>
      </c>
      <c r="AM23" s="367">
        <v>34</v>
      </c>
      <c r="AN23" s="367">
        <v>33</v>
      </c>
      <c r="AO23" s="367">
        <v>34</v>
      </c>
      <c r="AP23" s="294"/>
      <c r="AQ23" s="295"/>
    </row>
    <row r="24" spans="1:43" s="377" customFormat="1" ht="44.25" customHeight="1">
      <c r="A24" s="486"/>
      <c r="B24" s="486"/>
      <c r="C24" s="486"/>
      <c r="D24" s="305">
        <f t="shared" ref="D24:AO24" si="6">D22/D23</f>
        <v>0</v>
      </c>
      <c r="E24" s="305">
        <f t="shared" si="6"/>
        <v>0</v>
      </c>
      <c r="F24" s="305">
        <f t="shared" si="6"/>
        <v>0.2</v>
      </c>
      <c r="G24" s="305">
        <f t="shared" si="6"/>
        <v>0.2</v>
      </c>
      <c r="H24" s="305">
        <f t="shared" si="6"/>
        <v>0.16666666666666666</v>
      </c>
      <c r="I24" s="305">
        <f t="shared" si="6"/>
        <v>0.12121212121212122</v>
      </c>
      <c r="J24" s="305">
        <f t="shared" si="6"/>
        <v>0.30303030303030304</v>
      </c>
      <c r="K24" s="305">
        <f t="shared" si="6"/>
        <v>0.79411764705882348</v>
      </c>
      <c r="L24" s="305">
        <f t="shared" si="6"/>
        <v>0</v>
      </c>
      <c r="M24" s="305">
        <f t="shared" si="6"/>
        <v>0</v>
      </c>
      <c r="N24" s="305">
        <f t="shared" si="6"/>
        <v>0.2</v>
      </c>
      <c r="O24" s="305">
        <f t="shared" si="6"/>
        <v>0.2</v>
      </c>
      <c r="P24" s="305">
        <f t="shared" si="6"/>
        <v>0.16666666666666666</v>
      </c>
      <c r="Q24" s="305">
        <f t="shared" si="6"/>
        <v>9.0909090909090912E-2</v>
      </c>
      <c r="R24" s="305">
        <f t="shared" si="6"/>
        <v>0.27272727272727271</v>
      </c>
      <c r="S24" s="305">
        <f t="shared" si="6"/>
        <v>0.82352941176470584</v>
      </c>
      <c r="T24" s="305">
        <f t="shared" si="6"/>
        <v>0</v>
      </c>
      <c r="U24" s="305">
        <f t="shared" si="6"/>
        <v>0.2</v>
      </c>
      <c r="V24" s="305">
        <f t="shared" si="6"/>
        <v>0.2</v>
      </c>
      <c r="W24" s="305">
        <f t="shared" si="6"/>
        <v>0.2</v>
      </c>
      <c r="X24" s="305">
        <f t="shared" si="6"/>
        <v>0.16666666666666666</v>
      </c>
      <c r="Y24" s="305">
        <f t="shared" si="6"/>
        <v>0.12121212121212122</v>
      </c>
      <c r="Z24" s="305">
        <f t="shared" si="6"/>
        <v>0.12121212121212122</v>
      </c>
      <c r="AA24" s="305">
        <f t="shared" si="6"/>
        <v>0.88235294117647056</v>
      </c>
      <c r="AB24" s="305">
        <f t="shared" si="6"/>
        <v>0</v>
      </c>
      <c r="AC24" s="305">
        <f t="shared" si="6"/>
        <v>0</v>
      </c>
      <c r="AD24" s="305">
        <f t="shared" si="6"/>
        <v>0.2</v>
      </c>
      <c r="AE24" s="305">
        <f t="shared" si="6"/>
        <v>0.2</v>
      </c>
      <c r="AF24" s="305">
        <f t="shared" si="6"/>
        <v>0</v>
      </c>
      <c r="AG24" s="305">
        <f t="shared" si="6"/>
        <v>3.0303030303030304E-2</v>
      </c>
      <c r="AH24" s="305">
        <f t="shared" si="6"/>
        <v>0.15151515151515152</v>
      </c>
      <c r="AI24" s="305">
        <f t="shared" si="6"/>
        <v>0.73529411764705888</v>
      </c>
      <c r="AJ24" s="305">
        <f t="shared" si="6"/>
        <v>0.24242424242424243</v>
      </c>
      <c r="AK24" s="305">
        <f t="shared" si="6"/>
        <v>0.70588235294117652</v>
      </c>
      <c r="AL24" s="305">
        <f t="shared" si="6"/>
        <v>0.24242424242424243</v>
      </c>
      <c r="AM24" s="305">
        <f t="shared" si="6"/>
        <v>0.76470588235294112</v>
      </c>
      <c r="AN24" s="305">
        <f t="shared" si="6"/>
        <v>0.18181818181818182</v>
      </c>
      <c r="AO24" s="305">
        <f t="shared" si="6"/>
        <v>0.17647058823529413</v>
      </c>
      <c r="AP24" s="294"/>
      <c r="AQ24" s="295"/>
    </row>
    <row r="25" spans="1:43" s="377" customFormat="1" ht="44.25" customHeight="1">
      <c r="A25" s="505">
        <v>8</v>
      </c>
      <c r="B25" s="505" t="s">
        <v>1438</v>
      </c>
      <c r="C25" s="504" t="s">
        <v>1439</v>
      </c>
      <c r="D25" s="306">
        <v>1</v>
      </c>
      <c r="E25" s="306">
        <v>2</v>
      </c>
      <c r="F25" s="306">
        <v>4</v>
      </c>
      <c r="G25" s="306">
        <v>4</v>
      </c>
      <c r="H25" s="306">
        <v>5</v>
      </c>
      <c r="I25" s="306">
        <v>10</v>
      </c>
      <c r="J25" s="306">
        <v>9</v>
      </c>
      <c r="K25" s="306">
        <v>14</v>
      </c>
      <c r="L25" s="306">
        <v>1</v>
      </c>
      <c r="M25" s="306">
        <v>2</v>
      </c>
      <c r="N25" s="306">
        <v>4</v>
      </c>
      <c r="O25" s="306">
        <v>4</v>
      </c>
      <c r="P25" s="306">
        <v>4</v>
      </c>
      <c r="Q25" s="306">
        <v>7</v>
      </c>
      <c r="R25" s="306">
        <v>4</v>
      </c>
      <c r="S25" s="306">
        <v>10</v>
      </c>
      <c r="T25" s="306">
        <v>3</v>
      </c>
      <c r="U25" s="306">
        <v>2</v>
      </c>
      <c r="V25" s="306">
        <v>5</v>
      </c>
      <c r="W25" s="306">
        <v>5</v>
      </c>
      <c r="X25" s="306">
        <v>8</v>
      </c>
      <c r="Y25" s="306">
        <v>9</v>
      </c>
      <c r="Z25" s="306">
        <v>7</v>
      </c>
      <c r="AA25" s="306">
        <v>12</v>
      </c>
      <c r="AB25" s="306">
        <v>2</v>
      </c>
      <c r="AC25" s="306">
        <v>2</v>
      </c>
      <c r="AD25" s="306">
        <v>1</v>
      </c>
      <c r="AE25" s="306">
        <v>2</v>
      </c>
      <c r="AF25" s="306">
        <v>2</v>
      </c>
      <c r="AG25" s="306">
        <v>6</v>
      </c>
      <c r="AH25" s="306">
        <v>5</v>
      </c>
      <c r="AI25" s="306">
        <v>10</v>
      </c>
      <c r="AJ25" s="306">
        <v>9</v>
      </c>
      <c r="AK25" s="306">
        <v>13</v>
      </c>
      <c r="AL25" s="306">
        <v>5</v>
      </c>
      <c r="AM25" s="306">
        <v>11</v>
      </c>
      <c r="AN25" s="306">
        <v>3</v>
      </c>
      <c r="AO25" s="306">
        <v>3</v>
      </c>
      <c r="AP25" s="294"/>
      <c r="AQ25" s="295"/>
    </row>
    <row r="26" spans="1:43" s="377" customFormat="1" ht="44.25" customHeight="1">
      <c r="A26" s="486"/>
      <c r="B26" s="486"/>
      <c r="C26" s="486"/>
      <c r="D26" s="368">
        <v>8</v>
      </c>
      <c r="E26" s="367">
        <v>8</v>
      </c>
      <c r="F26" s="367">
        <v>8</v>
      </c>
      <c r="G26" s="367">
        <v>20</v>
      </c>
      <c r="H26" s="367">
        <v>22</v>
      </c>
      <c r="I26" s="367">
        <v>25</v>
      </c>
      <c r="J26" s="367">
        <v>28</v>
      </c>
      <c r="K26" s="367">
        <v>40</v>
      </c>
      <c r="L26" s="367">
        <v>8</v>
      </c>
      <c r="M26" s="367">
        <v>8</v>
      </c>
      <c r="N26" s="367">
        <v>8</v>
      </c>
      <c r="O26" s="367">
        <v>20</v>
      </c>
      <c r="P26" s="367">
        <v>22</v>
      </c>
      <c r="Q26" s="367">
        <v>25</v>
      </c>
      <c r="R26" s="367">
        <v>28</v>
      </c>
      <c r="S26" s="367">
        <v>40</v>
      </c>
      <c r="T26" s="367">
        <v>8</v>
      </c>
      <c r="U26" s="367">
        <v>8</v>
      </c>
      <c r="V26" s="367">
        <v>8</v>
      </c>
      <c r="W26" s="367">
        <v>20</v>
      </c>
      <c r="X26" s="367">
        <v>22</v>
      </c>
      <c r="Y26" s="367">
        <v>25</v>
      </c>
      <c r="Z26" s="367">
        <v>28</v>
      </c>
      <c r="AA26" s="367">
        <v>40</v>
      </c>
      <c r="AB26" s="367">
        <v>8</v>
      </c>
      <c r="AC26" s="367">
        <v>8</v>
      </c>
      <c r="AD26" s="367">
        <v>8</v>
      </c>
      <c r="AE26" s="367">
        <v>20</v>
      </c>
      <c r="AF26" s="367">
        <v>22</v>
      </c>
      <c r="AG26" s="367">
        <v>25</v>
      </c>
      <c r="AH26" s="367">
        <v>28</v>
      </c>
      <c r="AI26" s="367">
        <v>40</v>
      </c>
      <c r="AJ26" s="367">
        <v>28</v>
      </c>
      <c r="AK26" s="367">
        <v>40</v>
      </c>
      <c r="AL26" s="367">
        <v>28</v>
      </c>
      <c r="AM26" s="367">
        <v>40</v>
      </c>
      <c r="AN26" s="367">
        <v>28</v>
      </c>
      <c r="AO26" s="367">
        <v>40</v>
      </c>
      <c r="AP26" s="294"/>
      <c r="AQ26" s="295"/>
    </row>
    <row r="27" spans="1:43" s="377" customFormat="1" ht="44.25" customHeight="1">
      <c r="A27" s="486"/>
      <c r="B27" s="486"/>
      <c r="C27" s="486"/>
      <c r="D27" s="305">
        <f t="shared" ref="D27:AO27" si="7">D25/D26</f>
        <v>0.125</v>
      </c>
      <c r="E27" s="305">
        <f t="shared" si="7"/>
        <v>0.25</v>
      </c>
      <c r="F27" s="305">
        <f t="shared" si="7"/>
        <v>0.5</v>
      </c>
      <c r="G27" s="305">
        <f t="shared" si="7"/>
        <v>0.2</v>
      </c>
      <c r="H27" s="305">
        <f t="shared" si="7"/>
        <v>0.22727272727272727</v>
      </c>
      <c r="I27" s="305">
        <f t="shared" si="7"/>
        <v>0.4</v>
      </c>
      <c r="J27" s="305">
        <f t="shared" si="7"/>
        <v>0.32142857142857145</v>
      </c>
      <c r="K27" s="305">
        <f t="shared" si="7"/>
        <v>0.35</v>
      </c>
      <c r="L27" s="305">
        <f t="shared" si="7"/>
        <v>0.125</v>
      </c>
      <c r="M27" s="305">
        <f t="shared" si="7"/>
        <v>0.25</v>
      </c>
      <c r="N27" s="305">
        <f t="shared" si="7"/>
        <v>0.5</v>
      </c>
      <c r="O27" s="305">
        <f t="shared" si="7"/>
        <v>0.2</v>
      </c>
      <c r="P27" s="305">
        <f t="shared" si="7"/>
        <v>0.18181818181818182</v>
      </c>
      <c r="Q27" s="305">
        <f t="shared" si="7"/>
        <v>0.28000000000000003</v>
      </c>
      <c r="R27" s="305">
        <f t="shared" si="7"/>
        <v>0.14285714285714285</v>
      </c>
      <c r="S27" s="305">
        <f t="shared" si="7"/>
        <v>0.25</v>
      </c>
      <c r="T27" s="305">
        <f t="shared" si="7"/>
        <v>0.375</v>
      </c>
      <c r="U27" s="305">
        <f t="shared" si="7"/>
        <v>0.25</v>
      </c>
      <c r="V27" s="305">
        <f t="shared" si="7"/>
        <v>0.625</v>
      </c>
      <c r="W27" s="305">
        <f t="shared" si="7"/>
        <v>0.25</v>
      </c>
      <c r="X27" s="305">
        <f t="shared" si="7"/>
        <v>0.36363636363636365</v>
      </c>
      <c r="Y27" s="305">
        <f t="shared" si="7"/>
        <v>0.36</v>
      </c>
      <c r="Z27" s="305">
        <f t="shared" si="7"/>
        <v>0.25</v>
      </c>
      <c r="AA27" s="305">
        <f t="shared" si="7"/>
        <v>0.3</v>
      </c>
      <c r="AB27" s="305">
        <f t="shared" si="7"/>
        <v>0.25</v>
      </c>
      <c r="AC27" s="305">
        <f t="shared" si="7"/>
        <v>0.25</v>
      </c>
      <c r="AD27" s="305">
        <f t="shared" si="7"/>
        <v>0.125</v>
      </c>
      <c r="AE27" s="305">
        <f t="shared" si="7"/>
        <v>0.1</v>
      </c>
      <c r="AF27" s="305">
        <f t="shared" si="7"/>
        <v>9.0909090909090912E-2</v>
      </c>
      <c r="AG27" s="305">
        <f t="shared" si="7"/>
        <v>0.24</v>
      </c>
      <c r="AH27" s="305">
        <f t="shared" si="7"/>
        <v>0.17857142857142858</v>
      </c>
      <c r="AI27" s="305">
        <f t="shared" si="7"/>
        <v>0.25</v>
      </c>
      <c r="AJ27" s="305">
        <f t="shared" si="7"/>
        <v>0.32142857142857145</v>
      </c>
      <c r="AK27" s="305">
        <f t="shared" si="7"/>
        <v>0.32500000000000001</v>
      </c>
      <c r="AL27" s="305">
        <f t="shared" si="7"/>
        <v>0.17857142857142858</v>
      </c>
      <c r="AM27" s="305">
        <f t="shared" si="7"/>
        <v>0.27500000000000002</v>
      </c>
      <c r="AN27" s="305">
        <f t="shared" si="7"/>
        <v>0.10714285714285714</v>
      </c>
      <c r="AO27" s="305">
        <f t="shared" si="7"/>
        <v>7.4999999999999997E-2</v>
      </c>
      <c r="AP27" s="294"/>
      <c r="AQ27" s="295"/>
    </row>
    <row r="28" spans="1:43" s="377" customFormat="1" ht="44.25" customHeight="1">
      <c r="A28" s="507">
        <v>9</v>
      </c>
      <c r="B28" s="507" t="s">
        <v>1440</v>
      </c>
      <c r="C28" s="506" t="s">
        <v>1441</v>
      </c>
      <c r="D28" s="307">
        <v>1</v>
      </c>
      <c r="E28" s="307">
        <v>2</v>
      </c>
      <c r="F28" s="307">
        <v>4</v>
      </c>
      <c r="G28" s="307">
        <v>4</v>
      </c>
      <c r="H28" s="307">
        <v>5</v>
      </c>
      <c r="I28" s="307">
        <v>19</v>
      </c>
      <c r="J28" s="307">
        <v>4</v>
      </c>
      <c r="K28" s="307">
        <v>7</v>
      </c>
      <c r="L28" s="307">
        <v>1</v>
      </c>
      <c r="M28" s="307">
        <v>1</v>
      </c>
      <c r="N28" s="307">
        <v>2</v>
      </c>
      <c r="O28" s="307">
        <v>2</v>
      </c>
      <c r="P28" s="307">
        <v>4</v>
      </c>
      <c r="Q28" s="307">
        <v>16</v>
      </c>
      <c r="R28" s="307">
        <v>3</v>
      </c>
      <c r="S28" s="307">
        <v>5</v>
      </c>
      <c r="T28" s="307">
        <v>6</v>
      </c>
      <c r="U28" s="307">
        <v>4</v>
      </c>
      <c r="V28" s="307">
        <v>2</v>
      </c>
      <c r="W28" s="307">
        <v>5</v>
      </c>
      <c r="X28" s="307">
        <v>5</v>
      </c>
      <c r="Y28" s="307">
        <v>20</v>
      </c>
      <c r="Z28" s="307">
        <v>6</v>
      </c>
      <c r="AA28" s="307">
        <v>8</v>
      </c>
      <c r="AB28" s="307">
        <v>1</v>
      </c>
      <c r="AC28" s="307">
        <v>1</v>
      </c>
      <c r="AD28" s="307">
        <v>1</v>
      </c>
      <c r="AE28" s="307">
        <v>1</v>
      </c>
      <c r="AF28" s="307">
        <v>1</v>
      </c>
      <c r="AG28" s="307">
        <v>10</v>
      </c>
      <c r="AH28" s="307">
        <v>1</v>
      </c>
      <c r="AI28" s="307">
        <v>2</v>
      </c>
      <c r="AJ28" s="307">
        <v>7</v>
      </c>
      <c r="AK28" s="307">
        <v>6</v>
      </c>
      <c r="AL28" s="307">
        <v>6</v>
      </c>
      <c r="AM28" s="307">
        <v>11</v>
      </c>
      <c r="AN28" s="307">
        <v>4</v>
      </c>
      <c r="AO28" s="307">
        <v>4</v>
      </c>
      <c r="AP28" s="308"/>
      <c r="AQ28" s="309"/>
    </row>
    <row r="29" spans="1:43" s="377" customFormat="1" ht="44.25" customHeight="1">
      <c r="A29" s="486"/>
      <c r="B29" s="486"/>
      <c r="C29" s="486"/>
      <c r="D29" s="367">
        <v>24</v>
      </c>
      <c r="E29" s="367">
        <v>24</v>
      </c>
      <c r="F29" s="367">
        <v>24</v>
      </c>
      <c r="G29" s="367">
        <v>25</v>
      </c>
      <c r="H29" s="367">
        <v>26</v>
      </c>
      <c r="I29" s="367">
        <v>26</v>
      </c>
      <c r="J29" s="367">
        <v>28</v>
      </c>
      <c r="K29" s="367">
        <v>28</v>
      </c>
      <c r="L29" s="367">
        <v>24</v>
      </c>
      <c r="M29" s="367">
        <v>24</v>
      </c>
      <c r="N29" s="367">
        <v>24</v>
      </c>
      <c r="O29" s="367">
        <v>25</v>
      </c>
      <c r="P29" s="367">
        <v>26</v>
      </c>
      <c r="Q29" s="367">
        <v>26</v>
      </c>
      <c r="R29" s="367">
        <v>28</v>
      </c>
      <c r="S29" s="367">
        <v>28</v>
      </c>
      <c r="T29" s="367">
        <v>24</v>
      </c>
      <c r="U29" s="367">
        <v>24</v>
      </c>
      <c r="V29" s="367">
        <v>24</v>
      </c>
      <c r="W29" s="367">
        <v>25</v>
      </c>
      <c r="X29" s="367">
        <v>26</v>
      </c>
      <c r="Y29" s="367">
        <v>26</v>
      </c>
      <c r="Z29" s="367">
        <v>28</v>
      </c>
      <c r="AA29" s="367">
        <v>28</v>
      </c>
      <c r="AB29" s="367">
        <v>24</v>
      </c>
      <c r="AC29" s="367">
        <v>24</v>
      </c>
      <c r="AD29" s="367">
        <v>24</v>
      </c>
      <c r="AE29" s="367">
        <v>25</v>
      </c>
      <c r="AF29" s="367">
        <v>26</v>
      </c>
      <c r="AG29" s="367">
        <v>26</v>
      </c>
      <c r="AH29" s="367">
        <v>28</v>
      </c>
      <c r="AI29" s="367">
        <v>28</v>
      </c>
      <c r="AJ29" s="367">
        <v>28</v>
      </c>
      <c r="AK29" s="367">
        <v>28</v>
      </c>
      <c r="AL29" s="367">
        <v>28</v>
      </c>
      <c r="AM29" s="367">
        <v>28</v>
      </c>
      <c r="AN29" s="367">
        <v>28</v>
      </c>
      <c r="AO29" s="367">
        <v>28</v>
      </c>
      <c r="AP29" s="308"/>
      <c r="AQ29" s="309"/>
    </row>
    <row r="30" spans="1:43" s="377" customFormat="1" ht="44.25" customHeight="1">
      <c r="A30" s="486"/>
      <c r="B30" s="486"/>
      <c r="C30" s="486"/>
      <c r="D30" s="305">
        <f t="shared" ref="D30:AO30" si="8">D28/D29</f>
        <v>4.1666666666666664E-2</v>
      </c>
      <c r="E30" s="305">
        <f t="shared" si="8"/>
        <v>8.3333333333333329E-2</v>
      </c>
      <c r="F30" s="305">
        <f t="shared" si="8"/>
        <v>0.16666666666666666</v>
      </c>
      <c r="G30" s="305">
        <f t="shared" si="8"/>
        <v>0.16</v>
      </c>
      <c r="H30" s="305">
        <f t="shared" si="8"/>
        <v>0.19230769230769232</v>
      </c>
      <c r="I30" s="305">
        <f t="shared" si="8"/>
        <v>0.73076923076923073</v>
      </c>
      <c r="J30" s="305">
        <f t="shared" si="8"/>
        <v>0.14285714285714285</v>
      </c>
      <c r="K30" s="305">
        <f t="shared" si="8"/>
        <v>0.25</v>
      </c>
      <c r="L30" s="305">
        <f t="shared" si="8"/>
        <v>4.1666666666666664E-2</v>
      </c>
      <c r="M30" s="305">
        <f t="shared" si="8"/>
        <v>4.1666666666666664E-2</v>
      </c>
      <c r="N30" s="305">
        <f t="shared" si="8"/>
        <v>8.3333333333333329E-2</v>
      </c>
      <c r="O30" s="305">
        <f t="shared" si="8"/>
        <v>0.08</v>
      </c>
      <c r="P30" s="305">
        <f t="shared" si="8"/>
        <v>0.15384615384615385</v>
      </c>
      <c r="Q30" s="305">
        <f t="shared" si="8"/>
        <v>0.61538461538461542</v>
      </c>
      <c r="R30" s="305">
        <f t="shared" si="8"/>
        <v>0.10714285714285714</v>
      </c>
      <c r="S30" s="305">
        <f t="shared" si="8"/>
        <v>0.17857142857142858</v>
      </c>
      <c r="T30" s="305">
        <f t="shared" si="8"/>
        <v>0.25</v>
      </c>
      <c r="U30" s="305">
        <f t="shared" si="8"/>
        <v>0.16666666666666666</v>
      </c>
      <c r="V30" s="305">
        <f t="shared" si="8"/>
        <v>8.3333333333333329E-2</v>
      </c>
      <c r="W30" s="305">
        <f t="shared" si="8"/>
        <v>0.2</v>
      </c>
      <c r="X30" s="305">
        <f t="shared" si="8"/>
        <v>0.19230769230769232</v>
      </c>
      <c r="Y30" s="305">
        <f t="shared" si="8"/>
        <v>0.76923076923076927</v>
      </c>
      <c r="Z30" s="305">
        <f t="shared" si="8"/>
        <v>0.21428571428571427</v>
      </c>
      <c r="AA30" s="305">
        <f t="shared" si="8"/>
        <v>0.2857142857142857</v>
      </c>
      <c r="AB30" s="305">
        <f t="shared" si="8"/>
        <v>4.1666666666666664E-2</v>
      </c>
      <c r="AC30" s="305">
        <f t="shared" si="8"/>
        <v>4.1666666666666664E-2</v>
      </c>
      <c r="AD30" s="305">
        <f t="shared" si="8"/>
        <v>4.1666666666666664E-2</v>
      </c>
      <c r="AE30" s="305">
        <f t="shared" si="8"/>
        <v>0.04</v>
      </c>
      <c r="AF30" s="305">
        <f t="shared" si="8"/>
        <v>3.8461538461538464E-2</v>
      </c>
      <c r="AG30" s="305">
        <f t="shared" si="8"/>
        <v>0.38461538461538464</v>
      </c>
      <c r="AH30" s="305">
        <f t="shared" si="8"/>
        <v>3.5714285714285712E-2</v>
      </c>
      <c r="AI30" s="305">
        <f t="shared" si="8"/>
        <v>7.1428571428571425E-2</v>
      </c>
      <c r="AJ30" s="305">
        <f t="shared" si="8"/>
        <v>0.25</v>
      </c>
      <c r="AK30" s="305">
        <f t="shared" si="8"/>
        <v>0.21428571428571427</v>
      </c>
      <c r="AL30" s="305">
        <f t="shared" si="8"/>
        <v>0.21428571428571427</v>
      </c>
      <c r="AM30" s="305">
        <f t="shared" si="8"/>
        <v>0.39285714285714285</v>
      </c>
      <c r="AN30" s="305">
        <f t="shared" si="8"/>
        <v>0.14285714285714285</v>
      </c>
      <c r="AO30" s="305">
        <f t="shared" si="8"/>
        <v>0.14285714285714285</v>
      </c>
      <c r="AP30" s="310"/>
      <c r="AQ30" s="295"/>
    </row>
    <row r="31" spans="1:43" s="377" customFormat="1" ht="44.25" customHeight="1">
      <c r="A31" s="505">
        <v>10</v>
      </c>
      <c r="B31" s="505" t="s">
        <v>1442</v>
      </c>
      <c r="C31" s="504" t="s">
        <v>1443</v>
      </c>
      <c r="D31" s="306">
        <v>0</v>
      </c>
      <c r="E31" s="306">
        <v>0</v>
      </c>
      <c r="F31" s="306">
        <v>0</v>
      </c>
      <c r="G31" s="306">
        <v>0</v>
      </c>
      <c r="H31" s="306">
        <v>0</v>
      </c>
      <c r="I31" s="306">
        <v>6</v>
      </c>
      <c r="J31" s="306">
        <v>0</v>
      </c>
      <c r="K31" s="306">
        <v>22</v>
      </c>
      <c r="L31" s="306">
        <v>0</v>
      </c>
      <c r="M31" s="306">
        <v>0</v>
      </c>
      <c r="N31" s="306">
        <v>0</v>
      </c>
      <c r="O31" s="306">
        <v>0</v>
      </c>
      <c r="P31" s="306">
        <v>0</v>
      </c>
      <c r="Q31" s="306">
        <v>4</v>
      </c>
      <c r="R31" s="306">
        <v>0</v>
      </c>
      <c r="S31" s="306">
        <v>26</v>
      </c>
      <c r="T31" s="306">
        <v>0</v>
      </c>
      <c r="U31" s="306">
        <v>0</v>
      </c>
      <c r="V31" s="306">
        <v>0</v>
      </c>
      <c r="W31" s="306">
        <v>0</v>
      </c>
      <c r="X31" s="306">
        <v>0</v>
      </c>
      <c r="Y31" s="306">
        <v>5</v>
      </c>
      <c r="Z31" s="306">
        <v>0</v>
      </c>
      <c r="AA31" s="306">
        <v>26</v>
      </c>
      <c r="AB31" s="306">
        <v>0</v>
      </c>
      <c r="AC31" s="306">
        <v>0</v>
      </c>
      <c r="AD31" s="306">
        <v>0</v>
      </c>
      <c r="AE31" s="306">
        <v>0</v>
      </c>
      <c r="AF31" s="306">
        <v>0</v>
      </c>
      <c r="AG31" s="306">
        <v>5</v>
      </c>
      <c r="AH31" s="306">
        <v>0</v>
      </c>
      <c r="AI31" s="306">
        <v>26</v>
      </c>
      <c r="AJ31" s="306">
        <v>5</v>
      </c>
      <c r="AK31" s="306">
        <v>24</v>
      </c>
      <c r="AL31" s="306">
        <v>0</v>
      </c>
      <c r="AM31" s="306">
        <v>23</v>
      </c>
      <c r="AN31" s="306">
        <v>1</v>
      </c>
      <c r="AO31" s="306">
        <v>1</v>
      </c>
      <c r="AP31" s="294"/>
      <c r="AQ31" s="295"/>
    </row>
    <row r="32" spans="1:43" s="377" customFormat="1" ht="44.25" customHeight="1">
      <c r="A32" s="486"/>
      <c r="B32" s="486"/>
      <c r="C32" s="486"/>
      <c r="D32" s="368">
        <v>7</v>
      </c>
      <c r="E32" s="367">
        <v>7</v>
      </c>
      <c r="F32" s="367">
        <v>7</v>
      </c>
      <c r="G32" s="367">
        <v>7</v>
      </c>
      <c r="H32" s="367">
        <v>7</v>
      </c>
      <c r="I32" s="367">
        <v>19</v>
      </c>
      <c r="J32" s="367">
        <v>36</v>
      </c>
      <c r="K32" s="367">
        <v>36</v>
      </c>
      <c r="L32" s="368">
        <v>7</v>
      </c>
      <c r="M32" s="367">
        <v>7</v>
      </c>
      <c r="N32" s="367">
        <v>7</v>
      </c>
      <c r="O32" s="367">
        <v>7</v>
      </c>
      <c r="P32" s="367">
        <v>7</v>
      </c>
      <c r="Q32" s="367">
        <v>19</v>
      </c>
      <c r="R32" s="367">
        <v>36</v>
      </c>
      <c r="S32" s="367">
        <v>36</v>
      </c>
      <c r="T32" s="368">
        <v>7</v>
      </c>
      <c r="U32" s="367">
        <v>7</v>
      </c>
      <c r="V32" s="367">
        <v>7</v>
      </c>
      <c r="W32" s="367">
        <v>7</v>
      </c>
      <c r="X32" s="367">
        <v>7</v>
      </c>
      <c r="Y32" s="367">
        <v>19</v>
      </c>
      <c r="Z32" s="367">
        <v>36</v>
      </c>
      <c r="AA32" s="367">
        <v>36</v>
      </c>
      <c r="AB32" s="368">
        <v>7</v>
      </c>
      <c r="AC32" s="367">
        <v>7</v>
      </c>
      <c r="AD32" s="367">
        <v>7</v>
      </c>
      <c r="AE32" s="367">
        <v>7</v>
      </c>
      <c r="AF32" s="367">
        <v>7</v>
      </c>
      <c r="AG32" s="367">
        <v>19</v>
      </c>
      <c r="AH32" s="367">
        <v>36</v>
      </c>
      <c r="AI32" s="367">
        <v>36</v>
      </c>
      <c r="AJ32" s="367">
        <v>36</v>
      </c>
      <c r="AK32" s="367">
        <v>36</v>
      </c>
      <c r="AL32" s="367">
        <v>36</v>
      </c>
      <c r="AM32" s="367">
        <v>36</v>
      </c>
      <c r="AN32" s="367">
        <v>36</v>
      </c>
      <c r="AO32" s="367">
        <v>36</v>
      </c>
      <c r="AP32" s="294"/>
      <c r="AQ32" s="295"/>
    </row>
    <row r="33" spans="1:43" s="377" customFormat="1" ht="44.25" customHeight="1">
      <c r="A33" s="486"/>
      <c r="B33" s="486"/>
      <c r="C33" s="486"/>
      <c r="D33" s="305">
        <f t="shared" ref="D33:AO33" si="9">D31/D32</f>
        <v>0</v>
      </c>
      <c r="E33" s="305">
        <f t="shared" si="9"/>
        <v>0</v>
      </c>
      <c r="F33" s="305">
        <f t="shared" si="9"/>
        <v>0</v>
      </c>
      <c r="G33" s="305">
        <f t="shared" si="9"/>
        <v>0</v>
      </c>
      <c r="H33" s="305">
        <f t="shared" si="9"/>
        <v>0</v>
      </c>
      <c r="I33" s="305">
        <f t="shared" si="9"/>
        <v>0.31578947368421051</v>
      </c>
      <c r="J33" s="305">
        <f t="shared" si="9"/>
        <v>0</v>
      </c>
      <c r="K33" s="305">
        <f t="shared" si="9"/>
        <v>0.61111111111111116</v>
      </c>
      <c r="L33" s="305">
        <f t="shared" si="9"/>
        <v>0</v>
      </c>
      <c r="M33" s="305">
        <f t="shared" si="9"/>
        <v>0</v>
      </c>
      <c r="N33" s="305">
        <f t="shared" si="9"/>
        <v>0</v>
      </c>
      <c r="O33" s="305">
        <f t="shared" si="9"/>
        <v>0</v>
      </c>
      <c r="P33" s="305">
        <f t="shared" si="9"/>
        <v>0</v>
      </c>
      <c r="Q33" s="305">
        <f t="shared" si="9"/>
        <v>0.21052631578947367</v>
      </c>
      <c r="R33" s="305">
        <f t="shared" si="9"/>
        <v>0</v>
      </c>
      <c r="S33" s="305">
        <f t="shared" si="9"/>
        <v>0.72222222222222221</v>
      </c>
      <c r="T33" s="305">
        <f t="shared" si="9"/>
        <v>0</v>
      </c>
      <c r="U33" s="305">
        <f t="shared" si="9"/>
        <v>0</v>
      </c>
      <c r="V33" s="305">
        <f t="shared" si="9"/>
        <v>0</v>
      </c>
      <c r="W33" s="305">
        <f t="shared" si="9"/>
        <v>0</v>
      </c>
      <c r="X33" s="305">
        <f t="shared" si="9"/>
        <v>0</v>
      </c>
      <c r="Y33" s="305">
        <f t="shared" si="9"/>
        <v>0.26315789473684209</v>
      </c>
      <c r="Z33" s="305">
        <f t="shared" si="9"/>
        <v>0</v>
      </c>
      <c r="AA33" s="305">
        <f t="shared" si="9"/>
        <v>0.72222222222222221</v>
      </c>
      <c r="AB33" s="305">
        <f t="shared" si="9"/>
        <v>0</v>
      </c>
      <c r="AC33" s="305">
        <f t="shared" si="9"/>
        <v>0</v>
      </c>
      <c r="AD33" s="305">
        <f t="shared" si="9"/>
        <v>0</v>
      </c>
      <c r="AE33" s="305">
        <f t="shared" si="9"/>
        <v>0</v>
      </c>
      <c r="AF33" s="305">
        <f t="shared" si="9"/>
        <v>0</v>
      </c>
      <c r="AG33" s="305">
        <f t="shared" si="9"/>
        <v>0.26315789473684209</v>
      </c>
      <c r="AH33" s="305">
        <f t="shared" si="9"/>
        <v>0</v>
      </c>
      <c r="AI33" s="305">
        <f t="shared" si="9"/>
        <v>0.72222222222222221</v>
      </c>
      <c r="AJ33" s="305">
        <f t="shared" si="9"/>
        <v>0.1388888888888889</v>
      </c>
      <c r="AK33" s="305">
        <f t="shared" si="9"/>
        <v>0.66666666666666663</v>
      </c>
      <c r="AL33" s="305">
        <f t="shared" si="9"/>
        <v>0</v>
      </c>
      <c r="AM33" s="305">
        <f t="shared" si="9"/>
        <v>0.63888888888888884</v>
      </c>
      <c r="AN33" s="305">
        <f t="shared" si="9"/>
        <v>2.7777777777777776E-2</v>
      </c>
      <c r="AO33" s="305">
        <f t="shared" si="9"/>
        <v>2.7777777777777776E-2</v>
      </c>
      <c r="AP33" s="294"/>
      <c r="AQ33" s="295"/>
    </row>
    <row r="34" spans="1:43" s="377" customFormat="1" ht="44.25" customHeight="1">
      <c r="A34" s="503">
        <v>11</v>
      </c>
      <c r="B34" s="503" t="s">
        <v>1444</v>
      </c>
      <c r="C34" s="502" t="s">
        <v>1445</v>
      </c>
      <c r="D34" s="307">
        <v>1</v>
      </c>
      <c r="E34" s="303">
        <v>1</v>
      </c>
      <c r="F34" s="303">
        <v>2</v>
      </c>
      <c r="G34" s="303">
        <v>2</v>
      </c>
      <c r="H34" s="303">
        <v>3</v>
      </c>
      <c r="I34" s="303">
        <v>12</v>
      </c>
      <c r="J34" s="303">
        <v>5</v>
      </c>
      <c r="K34" s="303">
        <v>8</v>
      </c>
      <c r="L34" s="303">
        <v>1</v>
      </c>
      <c r="M34" s="303">
        <v>2</v>
      </c>
      <c r="N34" s="303">
        <v>1</v>
      </c>
      <c r="O34" s="303">
        <v>2</v>
      </c>
      <c r="P34" s="303">
        <v>2</v>
      </c>
      <c r="Q34" s="303">
        <v>13</v>
      </c>
      <c r="R34" s="303">
        <v>2</v>
      </c>
      <c r="S34" s="303">
        <v>3</v>
      </c>
      <c r="T34" s="303">
        <v>2</v>
      </c>
      <c r="U34" s="303">
        <v>2</v>
      </c>
      <c r="V34" s="303">
        <v>2</v>
      </c>
      <c r="W34" s="303">
        <v>2</v>
      </c>
      <c r="X34" s="303">
        <v>3</v>
      </c>
      <c r="Y34" s="303">
        <v>17</v>
      </c>
      <c r="Z34" s="303">
        <v>4</v>
      </c>
      <c r="AA34" s="303">
        <v>7</v>
      </c>
      <c r="AB34" s="303">
        <v>1</v>
      </c>
      <c r="AC34" s="303">
        <v>1</v>
      </c>
      <c r="AD34" s="303">
        <v>1</v>
      </c>
      <c r="AE34" s="303">
        <v>2</v>
      </c>
      <c r="AF34" s="303">
        <v>3</v>
      </c>
      <c r="AG34" s="303">
        <v>4</v>
      </c>
      <c r="AH34" s="303">
        <v>4</v>
      </c>
      <c r="AI34" s="303">
        <v>6</v>
      </c>
      <c r="AJ34" s="303">
        <v>7</v>
      </c>
      <c r="AK34" s="303">
        <v>5</v>
      </c>
      <c r="AL34" s="303">
        <v>5</v>
      </c>
      <c r="AM34" s="303">
        <v>5</v>
      </c>
      <c r="AN34" s="303">
        <v>2</v>
      </c>
      <c r="AO34" s="303">
        <v>2</v>
      </c>
      <c r="AP34" s="294"/>
      <c r="AQ34" s="295"/>
    </row>
    <row r="35" spans="1:43" s="377" customFormat="1" ht="44.25" customHeight="1">
      <c r="A35" s="486"/>
      <c r="B35" s="486"/>
      <c r="C35" s="486"/>
      <c r="D35" s="367">
        <v>20</v>
      </c>
      <c r="E35" s="367">
        <v>20</v>
      </c>
      <c r="F35" s="367">
        <v>20</v>
      </c>
      <c r="G35" s="367">
        <v>21</v>
      </c>
      <c r="H35" s="367">
        <v>23</v>
      </c>
      <c r="I35" s="367">
        <v>25</v>
      </c>
      <c r="J35" s="367">
        <v>25</v>
      </c>
      <c r="K35" s="367">
        <v>25</v>
      </c>
      <c r="L35" s="367">
        <v>20</v>
      </c>
      <c r="M35" s="367">
        <v>20</v>
      </c>
      <c r="N35" s="367">
        <v>20</v>
      </c>
      <c r="O35" s="367">
        <v>21</v>
      </c>
      <c r="P35" s="367">
        <v>23</v>
      </c>
      <c r="Q35" s="367">
        <v>25</v>
      </c>
      <c r="R35" s="367">
        <v>25</v>
      </c>
      <c r="S35" s="367">
        <v>25</v>
      </c>
      <c r="T35" s="367">
        <v>20</v>
      </c>
      <c r="U35" s="367">
        <v>20</v>
      </c>
      <c r="V35" s="367">
        <v>20</v>
      </c>
      <c r="W35" s="367">
        <v>21</v>
      </c>
      <c r="X35" s="367">
        <v>23</v>
      </c>
      <c r="Y35" s="367">
        <v>25</v>
      </c>
      <c r="Z35" s="367">
        <v>25</v>
      </c>
      <c r="AA35" s="367">
        <v>25</v>
      </c>
      <c r="AB35" s="367">
        <v>20</v>
      </c>
      <c r="AC35" s="367">
        <v>20</v>
      </c>
      <c r="AD35" s="367">
        <v>20</v>
      </c>
      <c r="AE35" s="367">
        <v>21</v>
      </c>
      <c r="AF35" s="367">
        <v>23</v>
      </c>
      <c r="AG35" s="367">
        <v>25</v>
      </c>
      <c r="AH35" s="367">
        <v>25</v>
      </c>
      <c r="AI35" s="367">
        <v>25</v>
      </c>
      <c r="AJ35" s="367">
        <v>25</v>
      </c>
      <c r="AK35" s="367">
        <v>25</v>
      </c>
      <c r="AL35" s="367">
        <v>25</v>
      </c>
      <c r="AM35" s="367">
        <v>25</v>
      </c>
      <c r="AN35" s="367">
        <v>25</v>
      </c>
      <c r="AO35" s="367">
        <v>25</v>
      </c>
      <c r="AP35" s="294"/>
      <c r="AQ35" s="295"/>
    </row>
    <row r="36" spans="1:43" s="377" customFormat="1" ht="44.25" customHeight="1">
      <c r="A36" s="486"/>
      <c r="B36" s="486"/>
      <c r="C36" s="486"/>
      <c r="D36" s="305">
        <f t="shared" ref="D36:AO36" si="10">D34/D35</f>
        <v>0.05</v>
      </c>
      <c r="E36" s="305">
        <f t="shared" si="10"/>
        <v>0.05</v>
      </c>
      <c r="F36" s="305">
        <f t="shared" si="10"/>
        <v>0.1</v>
      </c>
      <c r="G36" s="305">
        <f t="shared" si="10"/>
        <v>9.5238095238095233E-2</v>
      </c>
      <c r="H36" s="305">
        <f t="shared" si="10"/>
        <v>0.13043478260869565</v>
      </c>
      <c r="I36" s="305">
        <f t="shared" si="10"/>
        <v>0.48</v>
      </c>
      <c r="J36" s="305">
        <f t="shared" si="10"/>
        <v>0.2</v>
      </c>
      <c r="K36" s="305">
        <f t="shared" si="10"/>
        <v>0.32</v>
      </c>
      <c r="L36" s="305">
        <f t="shared" si="10"/>
        <v>0.05</v>
      </c>
      <c r="M36" s="305">
        <f t="shared" si="10"/>
        <v>0.1</v>
      </c>
      <c r="N36" s="305">
        <f t="shared" si="10"/>
        <v>0.05</v>
      </c>
      <c r="O36" s="305">
        <f t="shared" si="10"/>
        <v>9.5238095238095233E-2</v>
      </c>
      <c r="P36" s="305">
        <f t="shared" si="10"/>
        <v>8.6956521739130432E-2</v>
      </c>
      <c r="Q36" s="305">
        <f t="shared" si="10"/>
        <v>0.52</v>
      </c>
      <c r="R36" s="305">
        <f t="shared" si="10"/>
        <v>0.08</v>
      </c>
      <c r="S36" s="305">
        <f t="shared" si="10"/>
        <v>0.12</v>
      </c>
      <c r="T36" s="305">
        <f t="shared" si="10"/>
        <v>0.1</v>
      </c>
      <c r="U36" s="305">
        <f t="shared" si="10"/>
        <v>0.1</v>
      </c>
      <c r="V36" s="305">
        <f t="shared" si="10"/>
        <v>0.1</v>
      </c>
      <c r="W36" s="305">
        <f t="shared" si="10"/>
        <v>9.5238095238095233E-2</v>
      </c>
      <c r="X36" s="305">
        <f t="shared" si="10"/>
        <v>0.13043478260869565</v>
      </c>
      <c r="Y36" s="305">
        <f t="shared" si="10"/>
        <v>0.68</v>
      </c>
      <c r="Z36" s="305">
        <f t="shared" si="10"/>
        <v>0.16</v>
      </c>
      <c r="AA36" s="305">
        <f t="shared" si="10"/>
        <v>0.28000000000000003</v>
      </c>
      <c r="AB36" s="305">
        <f t="shared" si="10"/>
        <v>0.05</v>
      </c>
      <c r="AC36" s="305">
        <f t="shared" si="10"/>
        <v>0.05</v>
      </c>
      <c r="AD36" s="305">
        <f t="shared" si="10"/>
        <v>0.05</v>
      </c>
      <c r="AE36" s="305">
        <f t="shared" si="10"/>
        <v>9.5238095238095233E-2</v>
      </c>
      <c r="AF36" s="305">
        <f t="shared" si="10"/>
        <v>0.13043478260869565</v>
      </c>
      <c r="AG36" s="305">
        <f t="shared" si="10"/>
        <v>0.16</v>
      </c>
      <c r="AH36" s="305">
        <f t="shared" si="10"/>
        <v>0.16</v>
      </c>
      <c r="AI36" s="305">
        <f t="shared" si="10"/>
        <v>0.24</v>
      </c>
      <c r="AJ36" s="305">
        <f t="shared" si="10"/>
        <v>0.28000000000000003</v>
      </c>
      <c r="AK36" s="305">
        <f t="shared" si="10"/>
        <v>0.2</v>
      </c>
      <c r="AL36" s="305">
        <f t="shared" si="10"/>
        <v>0.2</v>
      </c>
      <c r="AM36" s="305">
        <f t="shared" si="10"/>
        <v>0.2</v>
      </c>
      <c r="AN36" s="305">
        <f t="shared" si="10"/>
        <v>0.08</v>
      </c>
      <c r="AO36" s="305">
        <f t="shared" si="10"/>
        <v>0.08</v>
      </c>
      <c r="AP36" s="294"/>
      <c r="AQ36" s="295"/>
    </row>
    <row r="37" spans="1:43" s="377" customFormat="1" ht="44.25" customHeight="1">
      <c r="A37" s="505">
        <v>12</v>
      </c>
      <c r="B37" s="505" t="s">
        <v>1446</v>
      </c>
      <c r="C37" s="504" t="s">
        <v>1447</v>
      </c>
      <c r="D37" s="306">
        <v>0</v>
      </c>
      <c r="E37" s="306">
        <v>1</v>
      </c>
      <c r="F37" s="306">
        <v>1</v>
      </c>
      <c r="G37" s="306">
        <v>1</v>
      </c>
      <c r="H37" s="306">
        <v>1</v>
      </c>
      <c r="I37" s="306">
        <v>3</v>
      </c>
      <c r="J37" s="306">
        <v>5</v>
      </c>
      <c r="K37" s="306">
        <v>7</v>
      </c>
      <c r="L37" s="306">
        <v>1</v>
      </c>
      <c r="M37" s="306">
        <v>0</v>
      </c>
      <c r="N37" s="306">
        <v>0</v>
      </c>
      <c r="O37" s="306">
        <v>1</v>
      </c>
      <c r="P37" s="306">
        <v>2</v>
      </c>
      <c r="Q37" s="306">
        <v>5</v>
      </c>
      <c r="R37" s="306">
        <v>5</v>
      </c>
      <c r="S37" s="306">
        <v>5</v>
      </c>
      <c r="T37" s="306">
        <v>1</v>
      </c>
      <c r="U37" s="306">
        <v>2</v>
      </c>
      <c r="V37" s="306">
        <v>2</v>
      </c>
      <c r="W37" s="306">
        <v>2</v>
      </c>
      <c r="X37" s="306">
        <v>2</v>
      </c>
      <c r="Y37" s="306">
        <v>3</v>
      </c>
      <c r="Z37" s="306">
        <v>4</v>
      </c>
      <c r="AA37" s="306">
        <v>5</v>
      </c>
      <c r="AB37" s="306">
        <v>1</v>
      </c>
      <c r="AC37" s="306">
        <v>1</v>
      </c>
      <c r="AD37" s="306">
        <v>1</v>
      </c>
      <c r="AE37" s="306">
        <v>2</v>
      </c>
      <c r="AF37" s="306">
        <v>0</v>
      </c>
      <c r="AG37" s="306">
        <v>1</v>
      </c>
      <c r="AH37" s="306">
        <v>2</v>
      </c>
      <c r="AI37" s="306">
        <v>3</v>
      </c>
      <c r="AJ37" s="306">
        <v>7</v>
      </c>
      <c r="AK37" s="306">
        <v>8</v>
      </c>
      <c r="AL37" s="306">
        <v>4</v>
      </c>
      <c r="AM37" s="306">
        <v>6</v>
      </c>
      <c r="AN37" s="306">
        <v>3</v>
      </c>
      <c r="AO37" s="306">
        <v>3</v>
      </c>
      <c r="AP37" s="294"/>
      <c r="AQ37" s="295"/>
    </row>
    <row r="38" spans="1:43" s="377" customFormat="1" ht="44.25" customHeight="1">
      <c r="A38" s="486"/>
      <c r="B38" s="486"/>
      <c r="C38" s="486"/>
      <c r="D38" s="367">
        <v>6</v>
      </c>
      <c r="E38" s="367">
        <v>6</v>
      </c>
      <c r="F38" s="367">
        <v>6</v>
      </c>
      <c r="G38" s="367">
        <v>6</v>
      </c>
      <c r="H38" s="367">
        <v>12</v>
      </c>
      <c r="I38" s="367">
        <v>14</v>
      </c>
      <c r="J38" s="367">
        <v>16</v>
      </c>
      <c r="K38" s="367">
        <v>19</v>
      </c>
      <c r="L38" s="367">
        <v>6</v>
      </c>
      <c r="M38" s="367">
        <v>6</v>
      </c>
      <c r="N38" s="367">
        <v>6</v>
      </c>
      <c r="O38" s="367">
        <v>6</v>
      </c>
      <c r="P38" s="367">
        <v>12</v>
      </c>
      <c r="Q38" s="367">
        <v>14</v>
      </c>
      <c r="R38" s="367">
        <v>16</v>
      </c>
      <c r="S38" s="367">
        <v>19</v>
      </c>
      <c r="T38" s="367">
        <v>6</v>
      </c>
      <c r="U38" s="367">
        <v>6</v>
      </c>
      <c r="V38" s="367">
        <v>6</v>
      </c>
      <c r="W38" s="367">
        <v>6</v>
      </c>
      <c r="X38" s="367">
        <v>12</v>
      </c>
      <c r="Y38" s="367">
        <v>14</v>
      </c>
      <c r="Z38" s="367">
        <v>16</v>
      </c>
      <c r="AA38" s="367">
        <v>19</v>
      </c>
      <c r="AB38" s="367">
        <v>6</v>
      </c>
      <c r="AC38" s="367">
        <v>6</v>
      </c>
      <c r="AD38" s="367">
        <v>6</v>
      </c>
      <c r="AE38" s="367">
        <v>6</v>
      </c>
      <c r="AF38" s="367">
        <v>12</v>
      </c>
      <c r="AG38" s="367">
        <v>14</v>
      </c>
      <c r="AH38" s="367">
        <v>16</v>
      </c>
      <c r="AI38" s="367">
        <v>19</v>
      </c>
      <c r="AJ38" s="367">
        <v>16</v>
      </c>
      <c r="AK38" s="367">
        <v>19</v>
      </c>
      <c r="AL38" s="367">
        <v>16</v>
      </c>
      <c r="AM38" s="367">
        <v>19</v>
      </c>
      <c r="AN38" s="367">
        <v>16</v>
      </c>
      <c r="AO38" s="367">
        <v>19</v>
      </c>
      <c r="AP38" s="294"/>
      <c r="AQ38" s="295"/>
    </row>
    <row r="39" spans="1:43" s="377" customFormat="1" ht="44.25" customHeight="1">
      <c r="A39" s="486"/>
      <c r="B39" s="486"/>
      <c r="C39" s="486"/>
      <c r="D39" s="305">
        <f t="shared" ref="D39:AO39" si="11">D37/D38</f>
        <v>0</v>
      </c>
      <c r="E39" s="305">
        <f t="shared" si="11"/>
        <v>0.16666666666666666</v>
      </c>
      <c r="F39" s="305">
        <f t="shared" si="11"/>
        <v>0.16666666666666666</v>
      </c>
      <c r="G39" s="305">
        <f t="shared" si="11"/>
        <v>0.16666666666666666</v>
      </c>
      <c r="H39" s="305">
        <f t="shared" si="11"/>
        <v>8.3333333333333329E-2</v>
      </c>
      <c r="I39" s="305">
        <f t="shared" si="11"/>
        <v>0.21428571428571427</v>
      </c>
      <c r="J39" s="305">
        <f t="shared" si="11"/>
        <v>0.3125</v>
      </c>
      <c r="K39" s="305">
        <f t="shared" si="11"/>
        <v>0.36842105263157893</v>
      </c>
      <c r="L39" s="305">
        <f t="shared" si="11"/>
        <v>0.16666666666666666</v>
      </c>
      <c r="M39" s="305">
        <f t="shared" si="11"/>
        <v>0</v>
      </c>
      <c r="N39" s="305">
        <f t="shared" si="11"/>
        <v>0</v>
      </c>
      <c r="O39" s="305">
        <f t="shared" si="11"/>
        <v>0.16666666666666666</v>
      </c>
      <c r="P39" s="305">
        <f t="shared" si="11"/>
        <v>0.16666666666666666</v>
      </c>
      <c r="Q39" s="305">
        <f t="shared" si="11"/>
        <v>0.35714285714285715</v>
      </c>
      <c r="R39" s="305">
        <f t="shared" si="11"/>
        <v>0.3125</v>
      </c>
      <c r="S39" s="305">
        <f t="shared" si="11"/>
        <v>0.26315789473684209</v>
      </c>
      <c r="T39" s="305">
        <f t="shared" si="11"/>
        <v>0.16666666666666666</v>
      </c>
      <c r="U39" s="305">
        <f t="shared" si="11"/>
        <v>0.33333333333333331</v>
      </c>
      <c r="V39" s="305">
        <f t="shared" si="11"/>
        <v>0.33333333333333331</v>
      </c>
      <c r="W39" s="305">
        <f t="shared" si="11"/>
        <v>0.33333333333333331</v>
      </c>
      <c r="X39" s="305">
        <f t="shared" si="11"/>
        <v>0.16666666666666666</v>
      </c>
      <c r="Y39" s="305">
        <f t="shared" si="11"/>
        <v>0.21428571428571427</v>
      </c>
      <c r="Z39" s="305">
        <f t="shared" si="11"/>
        <v>0.25</v>
      </c>
      <c r="AA39" s="305">
        <f t="shared" si="11"/>
        <v>0.26315789473684209</v>
      </c>
      <c r="AB39" s="305">
        <f t="shared" si="11"/>
        <v>0.16666666666666666</v>
      </c>
      <c r="AC39" s="305">
        <f t="shared" si="11"/>
        <v>0.16666666666666666</v>
      </c>
      <c r="AD39" s="305">
        <f t="shared" si="11"/>
        <v>0.16666666666666666</v>
      </c>
      <c r="AE39" s="305">
        <f t="shared" si="11"/>
        <v>0.33333333333333331</v>
      </c>
      <c r="AF39" s="305">
        <f t="shared" si="11"/>
        <v>0</v>
      </c>
      <c r="AG39" s="305">
        <f t="shared" si="11"/>
        <v>7.1428571428571425E-2</v>
      </c>
      <c r="AH39" s="305">
        <f t="shared" si="11"/>
        <v>0.125</v>
      </c>
      <c r="AI39" s="305">
        <f t="shared" si="11"/>
        <v>0.15789473684210525</v>
      </c>
      <c r="AJ39" s="305">
        <f t="shared" si="11"/>
        <v>0.4375</v>
      </c>
      <c r="AK39" s="305">
        <f t="shared" si="11"/>
        <v>0.42105263157894735</v>
      </c>
      <c r="AL39" s="305">
        <f t="shared" si="11"/>
        <v>0.25</v>
      </c>
      <c r="AM39" s="305">
        <f t="shared" si="11"/>
        <v>0.31578947368421051</v>
      </c>
      <c r="AN39" s="305">
        <f t="shared" si="11"/>
        <v>0.1875</v>
      </c>
      <c r="AO39" s="305">
        <f t="shared" si="11"/>
        <v>0.15789473684210525</v>
      </c>
      <c r="AP39" s="294"/>
      <c r="AQ39" s="295"/>
    </row>
    <row r="40" spans="1:43" s="377" customFormat="1" ht="44.25" customHeight="1">
      <c r="A40" s="503">
        <v>13</v>
      </c>
      <c r="B40" s="503" t="s">
        <v>1448</v>
      </c>
      <c r="C40" s="502" t="s">
        <v>1449</v>
      </c>
      <c r="D40" s="307">
        <v>0</v>
      </c>
      <c r="E40" s="303">
        <v>0</v>
      </c>
      <c r="F40" s="303">
        <v>0</v>
      </c>
      <c r="G40" s="303">
        <v>0</v>
      </c>
      <c r="H40" s="303">
        <v>0</v>
      </c>
      <c r="I40" s="303">
        <v>2</v>
      </c>
      <c r="J40" s="303">
        <v>5</v>
      </c>
      <c r="K40" s="303">
        <v>11</v>
      </c>
      <c r="L40" s="303">
        <v>0</v>
      </c>
      <c r="M40" s="303">
        <v>0</v>
      </c>
      <c r="N40" s="303">
        <v>0</v>
      </c>
      <c r="O40" s="303">
        <v>0</v>
      </c>
      <c r="P40" s="303">
        <v>0</v>
      </c>
      <c r="Q40" s="303">
        <v>2</v>
      </c>
      <c r="R40" s="303">
        <v>5</v>
      </c>
      <c r="S40" s="303">
        <v>12</v>
      </c>
      <c r="T40" s="303">
        <v>0</v>
      </c>
      <c r="U40" s="303">
        <v>0</v>
      </c>
      <c r="V40" s="303">
        <v>0</v>
      </c>
      <c r="W40" s="303">
        <v>0</v>
      </c>
      <c r="X40" s="303">
        <v>0</v>
      </c>
      <c r="Y40" s="303">
        <v>2</v>
      </c>
      <c r="Z40" s="303">
        <v>1</v>
      </c>
      <c r="AA40" s="303">
        <v>6</v>
      </c>
      <c r="AB40" s="303">
        <v>0</v>
      </c>
      <c r="AC40" s="303">
        <v>0</v>
      </c>
      <c r="AD40" s="303">
        <v>0</v>
      </c>
      <c r="AE40" s="303">
        <v>0</v>
      </c>
      <c r="AF40" s="303">
        <v>0</v>
      </c>
      <c r="AG40" s="303">
        <v>0</v>
      </c>
      <c r="AH40" s="303">
        <v>1</v>
      </c>
      <c r="AI40" s="303">
        <v>6</v>
      </c>
      <c r="AJ40" s="303">
        <v>2</v>
      </c>
      <c r="AK40" s="303">
        <v>8</v>
      </c>
      <c r="AL40" s="303">
        <v>2</v>
      </c>
      <c r="AM40" s="303">
        <v>7</v>
      </c>
      <c r="AN40" s="303">
        <v>1</v>
      </c>
      <c r="AO40" s="303">
        <v>1</v>
      </c>
      <c r="AP40" s="294"/>
      <c r="AQ40" s="295"/>
    </row>
    <row r="41" spans="1:43" s="377" customFormat="1" ht="44.25" customHeight="1">
      <c r="A41" s="486"/>
      <c r="B41" s="486"/>
      <c r="C41" s="486"/>
      <c r="D41" s="369">
        <v>3</v>
      </c>
      <c r="E41" s="369">
        <v>3</v>
      </c>
      <c r="F41" s="369">
        <v>3</v>
      </c>
      <c r="G41" s="369">
        <v>3</v>
      </c>
      <c r="H41" s="369">
        <v>3</v>
      </c>
      <c r="I41" s="369">
        <v>10</v>
      </c>
      <c r="J41" s="369">
        <v>15</v>
      </c>
      <c r="K41" s="369">
        <v>15</v>
      </c>
      <c r="L41" s="369">
        <v>3</v>
      </c>
      <c r="M41" s="369">
        <v>3</v>
      </c>
      <c r="N41" s="369">
        <v>3</v>
      </c>
      <c r="O41" s="369">
        <v>3</v>
      </c>
      <c r="P41" s="369">
        <v>3</v>
      </c>
      <c r="Q41" s="369">
        <v>10</v>
      </c>
      <c r="R41" s="369">
        <v>15</v>
      </c>
      <c r="S41" s="369">
        <v>15</v>
      </c>
      <c r="T41" s="369">
        <v>3</v>
      </c>
      <c r="U41" s="369">
        <v>3</v>
      </c>
      <c r="V41" s="369">
        <v>3</v>
      </c>
      <c r="W41" s="369">
        <v>3</v>
      </c>
      <c r="X41" s="369">
        <v>3</v>
      </c>
      <c r="Y41" s="369">
        <v>10</v>
      </c>
      <c r="Z41" s="369">
        <v>15</v>
      </c>
      <c r="AA41" s="369">
        <v>15</v>
      </c>
      <c r="AB41" s="369">
        <v>3</v>
      </c>
      <c r="AC41" s="369">
        <v>3</v>
      </c>
      <c r="AD41" s="369">
        <v>3</v>
      </c>
      <c r="AE41" s="369">
        <v>3</v>
      </c>
      <c r="AF41" s="369">
        <v>3</v>
      </c>
      <c r="AG41" s="369">
        <v>10</v>
      </c>
      <c r="AH41" s="369">
        <v>15</v>
      </c>
      <c r="AI41" s="369">
        <v>15</v>
      </c>
      <c r="AJ41" s="369">
        <v>15</v>
      </c>
      <c r="AK41" s="369">
        <v>15</v>
      </c>
      <c r="AL41" s="369">
        <v>15</v>
      </c>
      <c r="AM41" s="369">
        <v>15</v>
      </c>
      <c r="AN41" s="369">
        <v>15</v>
      </c>
      <c r="AO41" s="369">
        <v>15</v>
      </c>
      <c r="AP41" s="294"/>
      <c r="AQ41" s="295"/>
    </row>
    <row r="42" spans="1:43" s="377" customFormat="1" ht="44.25" customHeight="1">
      <c r="A42" s="486"/>
      <c r="B42" s="486"/>
      <c r="C42" s="486"/>
      <c r="D42" s="305">
        <f t="shared" ref="D42:AO42" si="12">D40/D41</f>
        <v>0</v>
      </c>
      <c r="E42" s="305">
        <f t="shared" si="12"/>
        <v>0</v>
      </c>
      <c r="F42" s="305">
        <f t="shared" si="12"/>
        <v>0</v>
      </c>
      <c r="G42" s="305">
        <f t="shared" si="12"/>
        <v>0</v>
      </c>
      <c r="H42" s="305">
        <f t="shared" si="12"/>
        <v>0</v>
      </c>
      <c r="I42" s="305">
        <f t="shared" si="12"/>
        <v>0.2</v>
      </c>
      <c r="J42" s="305">
        <f t="shared" si="12"/>
        <v>0.33333333333333331</v>
      </c>
      <c r="K42" s="305">
        <f t="shared" si="12"/>
        <v>0.73333333333333328</v>
      </c>
      <c r="L42" s="305">
        <f t="shared" si="12"/>
        <v>0</v>
      </c>
      <c r="M42" s="305">
        <f t="shared" si="12"/>
        <v>0</v>
      </c>
      <c r="N42" s="305">
        <f t="shared" si="12"/>
        <v>0</v>
      </c>
      <c r="O42" s="305">
        <f t="shared" si="12"/>
        <v>0</v>
      </c>
      <c r="P42" s="305">
        <f t="shared" si="12"/>
        <v>0</v>
      </c>
      <c r="Q42" s="305">
        <f t="shared" si="12"/>
        <v>0.2</v>
      </c>
      <c r="R42" s="305">
        <f t="shared" si="12"/>
        <v>0.33333333333333331</v>
      </c>
      <c r="S42" s="305">
        <f t="shared" si="12"/>
        <v>0.8</v>
      </c>
      <c r="T42" s="305">
        <f t="shared" si="12"/>
        <v>0</v>
      </c>
      <c r="U42" s="305">
        <f t="shared" si="12"/>
        <v>0</v>
      </c>
      <c r="V42" s="305">
        <f t="shared" si="12"/>
        <v>0</v>
      </c>
      <c r="W42" s="305">
        <f t="shared" si="12"/>
        <v>0</v>
      </c>
      <c r="X42" s="305">
        <f t="shared" si="12"/>
        <v>0</v>
      </c>
      <c r="Y42" s="305">
        <f t="shared" si="12"/>
        <v>0.2</v>
      </c>
      <c r="Z42" s="305">
        <f t="shared" si="12"/>
        <v>6.6666666666666666E-2</v>
      </c>
      <c r="AA42" s="305">
        <f t="shared" si="12"/>
        <v>0.4</v>
      </c>
      <c r="AB42" s="305">
        <f t="shared" si="12"/>
        <v>0</v>
      </c>
      <c r="AC42" s="305">
        <f t="shared" si="12"/>
        <v>0</v>
      </c>
      <c r="AD42" s="305">
        <f t="shared" si="12"/>
        <v>0</v>
      </c>
      <c r="AE42" s="305">
        <f t="shared" si="12"/>
        <v>0</v>
      </c>
      <c r="AF42" s="305">
        <f t="shared" si="12"/>
        <v>0</v>
      </c>
      <c r="AG42" s="305">
        <f t="shared" si="12"/>
        <v>0</v>
      </c>
      <c r="AH42" s="305">
        <f t="shared" si="12"/>
        <v>6.6666666666666666E-2</v>
      </c>
      <c r="AI42" s="305">
        <f t="shared" si="12"/>
        <v>0.4</v>
      </c>
      <c r="AJ42" s="305">
        <f t="shared" si="12"/>
        <v>0.13333333333333333</v>
      </c>
      <c r="AK42" s="305">
        <f t="shared" si="12"/>
        <v>0.53333333333333333</v>
      </c>
      <c r="AL42" s="305">
        <f t="shared" si="12"/>
        <v>0.13333333333333333</v>
      </c>
      <c r="AM42" s="305">
        <f t="shared" si="12"/>
        <v>0.46666666666666667</v>
      </c>
      <c r="AN42" s="305">
        <f t="shared" si="12"/>
        <v>6.6666666666666666E-2</v>
      </c>
      <c r="AO42" s="305">
        <f t="shared" si="12"/>
        <v>6.6666666666666666E-2</v>
      </c>
      <c r="AP42" s="294"/>
      <c r="AQ42" s="295"/>
    </row>
    <row r="43" spans="1:43" s="377" customFormat="1" ht="44.25" customHeight="1">
      <c r="A43" s="505">
        <v>14</v>
      </c>
      <c r="B43" s="505" t="s">
        <v>1450</v>
      </c>
      <c r="C43" s="504" t="s">
        <v>1451</v>
      </c>
      <c r="D43" s="306">
        <v>0</v>
      </c>
      <c r="E43" s="306">
        <v>0</v>
      </c>
      <c r="F43" s="306">
        <v>0</v>
      </c>
      <c r="G43" s="306">
        <v>0</v>
      </c>
      <c r="H43" s="306">
        <v>0</v>
      </c>
      <c r="I43" s="306">
        <v>0</v>
      </c>
      <c r="J43" s="306">
        <v>12</v>
      </c>
      <c r="K43" s="306">
        <v>15</v>
      </c>
      <c r="L43" s="306">
        <v>0</v>
      </c>
      <c r="M43" s="306">
        <v>0</v>
      </c>
      <c r="N43" s="306">
        <v>0</v>
      </c>
      <c r="O43" s="306">
        <v>0</v>
      </c>
      <c r="P43" s="306">
        <v>0</v>
      </c>
      <c r="Q43" s="306">
        <v>0</v>
      </c>
      <c r="R43" s="306">
        <v>10</v>
      </c>
      <c r="S43" s="306">
        <v>15</v>
      </c>
      <c r="T43" s="306">
        <v>0</v>
      </c>
      <c r="U43" s="306">
        <v>0</v>
      </c>
      <c r="V43" s="306">
        <v>0</v>
      </c>
      <c r="W43" s="306">
        <v>0</v>
      </c>
      <c r="X43" s="306">
        <v>0</v>
      </c>
      <c r="Y43" s="306">
        <v>0</v>
      </c>
      <c r="Z43" s="306">
        <v>1</v>
      </c>
      <c r="AA43" s="306">
        <v>2</v>
      </c>
      <c r="AB43" s="306">
        <v>0</v>
      </c>
      <c r="AC43" s="306">
        <v>0</v>
      </c>
      <c r="AD43" s="306">
        <v>0</v>
      </c>
      <c r="AE43" s="306">
        <v>0</v>
      </c>
      <c r="AF43" s="306">
        <v>0</v>
      </c>
      <c r="AG43" s="306">
        <v>0</v>
      </c>
      <c r="AH43" s="306">
        <v>0</v>
      </c>
      <c r="AI43" s="306">
        <v>1</v>
      </c>
      <c r="AJ43" s="306">
        <v>3</v>
      </c>
      <c r="AK43" s="306">
        <v>7</v>
      </c>
      <c r="AL43" s="306">
        <v>1</v>
      </c>
      <c r="AM43" s="306">
        <v>2</v>
      </c>
      <c r="AN43" s="306">
        <v>0</v>
      </c>
      <c r="AO43" s="306">
        <v>0</v>
      </c>
      <c r="AP43" s="294"/>
      <c r="AQ43" s="295"/>
    </row>
    <row r="44" spans="1:43" s="377" customFormat="1" ht="44.25" customHeight="1">
      <c r="A44" s="486"/>
      <c r="B44" s="486"/>
      <c r="C44" s="486"/>
      <c r="D44" s="370">
        <v>0</v>
      </c>
      <c r="E44" s="369">
        <v>0</v>
      </c>
      <c r="F44" s="369">
        <v>0</v>
      </c>
      <c r="G44" s="369">
        <v>0</v>
      </c>
      <c r="H44" s="369">
        <v>1</v>
      </c>
      <c r="I44" s="369">
        <v>8</v>
      </c>
      <c r="J44" s="369">
        <v>17</v>
      </c>
      <c r="K44" s="369">
        <v>17</v>
      </c>
      <c r="L44" s="369">
        <v>0</v>
      </c>
      <c r="M44" s="369">
        <v>0</v>
      </c>
      <c r="N44" s="369">
        <v>0</v>
      </c>
      <c r="O44" s="369">
        <v>0</v>
      </c>
      <c r="P44" s="369">
        <v>1</v>
      </c>
      <c r="Q44" s="369">
        <v>8</v>
      </c>
      <c r="R44" s="369">
        <v>17</v>
      </c>
      <c r="S44" s="369">
        <v>17</v>
      </c>
      <c r="T44" s="369">
        <v>0</v>
      </c>
      <c r="U44" s="369">
        <v>0</v>
      </c>
      <c r="V44" s="369">
        <v>0</v>
      </c>
      <c r="W44" s="369">
        <v>0</v>
      </c>
      <c r="X44" s="369">
        <v>1</v>
      </c>
      <c r="Y44" s="369">
        <v>8</v>
      </c>
      <c r="Z44" s="369">
        <v>17</v>
      </c>
      <c r="AA44" s="369">
        <v>17</v>
      </c>
      <c r="AB44" s="369">
        <v>0</v>
      </c>
      <c r="AC44" s="369">
        <v>0</v>
      </c>
      <c r="AD44" s="369">
        <v>0</v>
      </c>
      <c r="AE44" s="369">
        <v>0</v>
      </c>
      <c r="AF44" s="369">
        <v>1</v>
      </c>
      <c r="AG44" s="369">
        <v>8</v>
      </c>
      <c r="AH44" s="369">
        <v>17</v>
      </c>
      <c r="AI44" s="369">
        <v>17</v>
      </c>
      <c r="AJ44" s="369">
        <v>17</v>
      </c>
      <c r="AK44" s="369">
        <v>17</v>
      </c>
      <c r="AL44" s="369">
        <v>17</v>
      </c>
      <c r="AM44" s="369">
        <v>17</v>
      </c>
      <c r="AN44" s="369">
        <v>17</v>
      </c>
      <c r="AO44" s="369">
        <v>17</v>
      </c>
      <c r="AP44" s="294"/>
      <c r="AQ44" s="295"/>
    </row>
    <row r="45" spans="1:43" s="377" customFormat="1" ht="44.25" customHeight="1">
      <c r="A45" s="486"/>
      <c r="B45" s="486"/>
      <c r="C45" s="486"/>
      <c r="D45" s="305" t="e">
        <f t="shared" ref="D45:AO45" si="13">D43/D44</f>
        <v>#DIV/0!</v>
      </c>
      <c r="E45" s="305" t="e">
        <f t="shared" si="13"/>
        <v>#DIV/0!</v>
      </c>
      <c r="F45" s="305" t="e">
        <f t="shared" si="13"/>
        <v>#DIV/0!</v>
      </c>
      <c r="G45" s="305" t="e">
        <f t="shared" si="13"/>
        <v>#DIV/0!</v>
      </c>
      <c r="H45" s="305">
        <f t="shared" si="13"/>
        <v>0</v>
      </c>
      <c r="I45" s="305">
        <f t="shared" si="13"/>
        <v>0</v>
      </c>
      <c r="J45" s="305">
        <f t="shared" si="13"/>
        <v>0.70588235294117652</v>
      </c>
      <c r="K45" s="305">
        <f t="shared" si="13"/>
        <v>0.88235294117647056</v>
      </c>
      <c r="L45" s="305" t="e">
        <f t="shared" si="13"/>
        <v>#DIV/0!</v>
      </c>
      <c r="M45" s="305" t="e">
        <f t="shared" si="13"/>
        <v>#DIV/0!</v>
      </c>
      <c r="N45" s="305" t="e">
        <f t="shared" si="13"/>
        <v>#DIV/0!</v>
      </c>
      <c r="O45" s="305" t="e">
        <f t="shared" si="13"/>
        <v>#DIV/0!</v>
      </c>
      <c r="P45" s="305">
        <f t="shared" si="13"/>
        <v>0</v>
      </c>
      <c r="Q45" s="305">
        <f t="shared" si="13"/>
        <v>0</v>
      </c>
      <c r="R45" s="305">
        <f t="shared" si="13"/>
        <v>0.58823529411764708</v>
      </c>
      <c r="S45" s="305">
        <f t="shared" si="13"/>
        <v>0.88235294117647056</v>
      </c>
      <c r="T45" s="305" t="e">
        <f t="shared" si="13"/>
        <v>#DIV/0!</v>
      </c>
      <c r="U45" s="305" t="e">
        <f t="shared" si="13"/>
        <v>#DIV/0!</v>
      </c>
      <c r="V45" s="305" t="e">
        <f t="shared" si="13"/>
        <v>#DIV/0!</v>
      </c>
      <c r="W45" s="305" t="e">
        <f t="shared" si="13"/>
        <v>#DIV/0!</v>
      </c>
      <c r="X45" s="305">
        <f t="shared" si="13"/>
        <v>0</v>
      </c>
      <c r="Y45" s="305">
        <f t="shared" si="13"/>
        <v>0</v>
      </c>
      <c r="Z45" s="305">
        <f t="shared" si="13"/>
        <v>5.8823529411764705E-2</v>
      </c>
      <c r="AA45" s="305">
        <f t="shared" si="13"/>
        <v>0.11764705882352941</v>
      </c>
      <c r="AB45" s="305" t="e">
        <f t="shared" si="13"/>
        <v>#DIV/0!</v>
      </c>
      <c r="AC45" s="305" t="e">
        <f t="shared" si="13"/>
        <v>#DIV/0!</v>
      </c>
      <c r="AD45" s="305" t="e">
        <f t="shared" si="13"/>
        <v>#DIV/0!</v>
      </c>
      <c r="AE45" s="305" t="e">
        <f t="shared" si="13"/>
        <v>#DIV/0!</v>
      </c>
      <c r="AF45" s="305">
        <f t="shared" si="13"/>
        <v>0</v>
      </c>
      <c r="AG45" s="305">
        <f t="shared" si="13"/>
        <v>0</v>
      </c>
      <c r="AH45" s="305">
        <f t="shared" si="13"/>
        <v>0</v>
      </c>
      <c r="AI45" s="305">
        <f t="shared" si="13"/>
        <v>5.8823529411764705E-2</v>
      </c>
      <c r="AJ45" s="305">
        <f t="shared" si="13"/>
        <v>0.17647058823529413</v>
      </c>
      <c r="AK45" s="305">
        <f t="shared" si="13"/>
        <v>0.41176470588235292</v>
      </c>
      <c r="AL45" s="305">
        <f t="shared" si="13"/>
        <v>5.8823529411764705E-2</v>
      </c>
      <c r="AM45" s="305">
        <f t="shared" si="13"/>
        <v>0.11764705882352941</v>
      </c>
      <c r="AN45" s="305">
        <f t="shared" si="13"/>
        <v>0</v>
      </c>
      <c r="AO45" s="305">
        <f t="shared" si="13"/>
        <v>0</v>
      </c>
      <c r="AP45" s="294"/>
      <c r="AQ45" s="295"/>
    </row>
    <row r="46" spans="1:43" s="377" customFormat="1" ht="44.25" customHeight="1">
      <c r="A46" s="503">
        <v>15</v>
      </c>
      <c r="B46" s="503" t="s">
        <v>1452</v>
      </c>
      <c r="C46" s="502" t="s">
        <v>1453</v>
      </c>
      <c r="D46" s="307">
        <v>0</v>
      </c>
      <c r="E46" s="303">
        <v>0</v>
      </c>
      <c r="F46" s="303">
        <v>0</v>
      </c>
      <c r="G46" s="303">
        <v>0</v>
      </c>
      <c r="H46" s="303">
        <v>0</v>
      </c>
      <c r="I46" s="303">
        <v>1</v>
      </c>
      <c r="J46" s="303">
        <v>2</v>
      </c>
      <c r="K46" s="303">
        <v>2</v>
      </c>
      <c r="L46" s="303">
        <v>0</v>
      </c>
      <c r="M46" s="303">
        <v>0</v>
      </c>
      <c r="N46" s="303">
        <v>0</v>
      </c>
      <c r="O46" s="303">
        <v>0</v>
      </c>
      <c r="P46" s="303">
        <v>0</v>
      </c>
      <c r="Q46" s="303">
        <v>1</v>
      </c>
      <c r="R46" s="303">
        <v>2</v>
      </c>
      <c r="S46" s="303">
        <v>2</v>
      </c>
      <c r="T46" s="303">
        <v>0</v>
      </c>
      <c r="U46" s="303">
        <v>0</v>
      </c>
      <c r="V46" s="303">
        <v>0</v>
      </c>
      <c r="W46" s="303">
        <v>0</v>
      </c>
      <c r="X46" s="303">
        <v>0</v>
      </c>
      <c r="Y46" s="303">
        <v>1</v>
      </c>
      <c r="Z46" s="303">
        <v>2</v>
      </c>
      <c r="AA46" s="303">
        <v>3</v>
      </c>
      <c r="AB46" s="303">
        <v>0</v>
      </c>
      <c r="AC46" s="303">
        <v>0</v>
      </c>
      <c r="AD46" s="303">
        <v>0</v>
      </c>
      <c r="AE46" s="303">
        <v>0</v>
      </c>
      <c r="AF46" s="303">
        <v>0</v>
      </c>
      <c r="AG46" s="303">
        <v>0</v>
      </c>
      <c r="AH46" s="303">
        <v>1</v>
      </c>
      <c r="AI46" s="303">
        <v>1</v>
      </c>
      <c r="AJ46" s="303">
        <v>3</v>
      </c>
      <c r="AK46" s="303">
        <v>3</v>
      </c>
      <c r="AL46" s="303">
        <v>1</v>
      </c>
      <c r="AM46" s="303">
        <v>2</v>
      </c>
      <c r="AN46" s="303">
        <v>2</v>
      </c>
      <c r="AO46" s="303">
        <v>2</v>
      </c>
      <c r="AP46" s="294"/>
      <c r="AQ46" s="295"/>
    </row>
    <row r="47" spans="1:43" s="377" customFormat="1" ht="44.25" customHeight="1">
      <c r="A47" s="486"/>
      <c r="B47" s="486"/>
      <c r="C47" s="486"/>
      <c r="D47" s="369">
        <v>5</v>
      </c>
      <c r="E47" s="369">
        <v>5</v>
      </c>
      <c r="F47" s="369">
        <v>5</v>
      </c>
      <c r="G47" s="369">
        <v>5</v>
      </c>
      <c r="H47" s="369">
        <v>8</v>
      </c>
      <c r="I47" s="369">
        <v>10</v>
      </c>
      <c r="J47" s="369">
        <v>11</v>
      </c>
      <c r="K47" s="369">
        <v>11</v>
      </c>
      <c r="L47" s="369">
        <v>5</v>
      </c>
      <c r="M47" s="369">
        <v>5</v>
      </c>
      <c r="N47" s="369">
        <v>5</v>
      </c>
      <c r="O47" s="369">
        <v>5</v>
      </c>
      <c r="P47" s="369">
        <v>8</v>
      </c>
      <c r="Q47" s="369">
        <v>10</v>
      </c>
      <c r="R47" s="369">
        <v>11</v>
      </c>
      <c r="S47" s="369">
        <v>11</v>
      </c>
      <c r="T47" s="369">
        <v>5</v>
      </c>
      <c r="U47" s="369">
        <v>5</v>
      </c>
      <c r="V47" s="369">
        <v>5</v>
      </c>
      <c r="W47" s="369">
        <v>5</v>
      </c>
      <c r="X47" s="369">
        <v>8</v>
      </c>
      <c r="Y47" s="369">
        <v>10</v>
      </c>
      <c r="Z47" s="369">
        <v>11</v>
      </c>
      <c r="AA47" s="369">
        <v>11</v>
      </c>
      <c r="AB47" s="369">
        <v>5</v>
      </c>
      <c r="AC47" s="369">
        <v>5</v>
      </c>
      <c r="AD47" s="369">
        <v>5</v>
      </c>
      <c r="AE47" s="369">
        <v>5</v>
      </c>
      <c r="AF47" s="369">
        <v>8</v>
      </c>
      <c r="AG47" s="369">
        <v>10</v>
      </c>
      <c r="AH47" s="369">
        <v>11</v>
      </c>
      <c r="AI47" s="369">
        <v>11</v>
      </c>
      <c r="AJ47" s="369">
        <v>11</v>
      </c>
      <c r="AK47" s="369">
        <v>11</v>
      </c>
      <c r="AL47" s="369">
        <v>11</v>
      </c>
      <c r="AM47" s="369">
        <v>11</v>
      </c>
      <c r="AN47" s="369">
        <v>11</v>
      </c>
      <c r="AO47" s="369">
        <v>11</v>
      </c>
      <c r="AP47" s="304"/>
      <c r="AQ47" s="295"/>
    </row>
    <row r="48" spans="1:43" s="377" customFormat="1" ht="44.25" customHeight="1">
      <c r="A48" s="486"/>
      <c r="B48" s="486"/>
      <c r="C48" s="486"/>
      <c r="D48" s="305">
        <f t="shared" ref="D48:AO48" si="14">D46/D47</f>
        <v>0</v>
      </c>
      <c r="E48" s="305">
        <f t="shared" si="14"/>
        <v>0</v>
      </c>
      <c r="F48" s="305">
        <f t="shared" si="14"/>
        <v>0</v>
      </c>
      <c r="G48" s="305">
        <f t="shared" si="14"/>
        <v>0</v>
      </c>
      <c r="H48" s="305">
        <f t="shared" si="14"/>
        <v>0</v>
      </c>
      <c r="I48" s="305">
        <f t="shared" si="14"/>
        <v>0.1</v>
      </c>
      <c r="J48" s="305">
        <f t="shared" si="14"/>
        <v>0.18181818181818182</v>
      </c>
      <c r="K48" s="305">
        <f t="shared" si="14"/>
        <v>0.18181818181818182</v>
      </c>
      <c r="L48" s="305">
        <f t="shared" si="14"/>
        <v>0</v>
      </c>
      <c r="M48" s="305">
        <f t="shared" si="14"/>
        <v>0</v>
      </c>
      <c r="N48" s="305">
        <f t="shared" si="14"/>
        <v>0</v>
      </c>
      <c r="O48" s="305">
        <f t="shared" si="14"/>
        <v>0</v>
      </c>
      <c r="P48" s="305">
        <f t="shared" si="14"/>
        <v>0</v>
      </c>
      <c r="Q48" s="305">
        <f t="shared" si="14"/>
        <v>0.1</v>
      </c>
      <c r="R48" s="305">
        <f t="shared" si="14"/>
        <v>0.18181818181818182</v>
      </c>
      <c r="S48" s="305">
        <f t="shared" si="14"/>
        <v>0.18181818181818182</v>
      </c>
      <c r="T48" s="305">
        <f t="shared" si="14"/>
        <v>0</v>
      </c>
      <c r="U48" s="305">
        <f t="shared" si="14"/>
        <v>0</v>
      </c>
      <c r="V48" s="305">
        <f t="shared" si="14"/>
        <v>0</v>
      </c>
      <c r="W48" s="305">
        <f t="shared" si="14"/>
        <v>0</v>
      </c>
      <c r="X48" s="305">
        <f t="shared" si="14"/>
        <v>0</v>
      </c>
      <c r="Y48" s="305">
        <f t="shared" si="14"/>
        <v>0.1</v>
      </c>
      <c r="Z48" s="305">
        <f t="shared" si="14"/>
        <v>0.18181818181818182</v>
      </c>
      <c r="AA48" s="305">
        <f t="shared" si="14"/>
        <v>0.27272727272727271</v>
      </c>
      <c r="AB48" s="305">
        <f t="shared" si="14"/>
        <v>0</v>
      </c>
      <c r="AC48" s="305">
        <f t="shared" si="14"/>
        <v>0</v>
      </c>
      <c r="AD48" s="305">
        <f t="shared" si="14"/>
        <v>0</v>
      </c>
      <c r="AE48" s="305">
        <f t="shared" si="14"/>
        <v>0</v>
      </c>
      <c r="AF48" s="305">
        <f t="shared" si="14"/>
        <v>0</v>
      </c>
      <c r="AG48" s="305">
        <f t="shared" si="14"/>
        <v>0</v>
      </c>
      <c r="AH48" s="305">
        <f t="shared" si="14"/>
        <v>9.0909090909090912E-2</v>
      </c>
      <c r="AI48" s="305">
        <f t="shared" si="14"/>
        <v>9.0909090909090912E-2</v>
      </c>
      <c r="AJ48" s="305">
        <f t="shared" si="14"/>
        <v>0.27272727272727271</v>
      </c>
      <c r="AK48" s="305">
        <f t="shared" si="14"/>
        <v>0.27272727272727271</v>
      </c>
      <c r="AL48" s="305">
        <f t="shared" si="14"/>
        <v>9.0909090909090912E-2</v>
      </c>
      <c r="AM48" s="305">
        <f t="shared" si="14"/>
        <v>0.18181818181818182</v>
      </c>
      <c r="AN48" s="305">
        <f t="shared" si="14"/>
        <v>0.18181818181818182</v>
      </c>
      <c r="AO48" s="305">
        <f t="shared" si="14"/>
        <v>0.18181818181818182</v>
      </c>
      <c r="AP48" s="294"/>
      <c r="AQ48" s="295"/>
    </row>
    <row r="49" spans="1:43" s="377" customFormat="1" ht="44.25" customHeight="1">
      <c r="A49" s="505">
        <v>16</v>
      </c>
      <c r="B49" s="505" t="s">
        <v>1454</v>
      </c>
      <c r="C49" s="504" t="s">
        <v>1455</v>
      </c>
      <c r="D49" s="306">
        <v>0</v>
      </c>
      <c r="E49" s="306">
        <v>0</v>
      </c>
      <c r="F49" s="306">
        <v>0</v>
      </c>
      <c r="G49" s="306">
        <v>0</v>
      </c>
      <c r="H49" s="306">
        <v>0</v>
      </c>
      <c r="I49" s="306">
        <v>1</v>
      </c>
      <c r="J49" s="306">
        <v>0</v>
      </c>
      <c r="K49" s="306">
        <v>2</v>
      </c>
      <c r="L49" s="306">
        <v>0</v>
      </c>
      <c r="M49" s="306">
        <v>0</v>
      </c>
      <c r="N49" s="306">
        <v>1</v>
      </c>
      <c r="O49" s="306">
        <v>1</v>
      </c>
      <c r="P49" s="306">
        <v>0</v>
      </c>
      <c r="Q49" s="306">
        <v>2</v>
      </c>
      <c r="R49" s="306">
        <v>0</v>
      </c>
      <c r="S49" s="306">
        <v>0</v>
      </c>
      <c r="T49" s="306">
        <v>0</v>
      </c>
      <c r="U49" s="306">
        <v>0</v>
      </c>
      <c r="V49" s="306">
        <v>0</v>
      </c>
      <c r="W49" s="306">
        <v>0</v>
      </c>
      <c r="X49" s="306">
        <v>0</v>
      </c>
      <c r="Y49" s="306">
        <v>2</v>
      </c>
      <c r="Z49" s="306">
        <v>2</v>
      </c>
      <c r="AA49" s="306">
        <v>2</v>
      </c>
      <c r="AB49" s="306">
        <v>0</v>
      </c>
      <c r="AC49" s="306">
        <v>0</v>
      </c>
      <c r="AD49" s="306">
        <v>1</v>
      </c>
      <c r="AE49" s="306">
        <v>1</v>
      </c>
      <c r="AF49" s="306">
        <v>1</v>
      </c>
      <c r="AG49" s="306">
        <v>1</v>
      </c>
      <c r="AH49" s="306">
        <v>2</v>
      </c>
      <c r="AI49" s="306">
        <v>2</v>
      </c>
      <c r="AJ49" s="306">
        <v>1</v>
      </c>
      <c r="AK49" s="306">
        <v>4</v>
      </c>
      <c r="AL49" s="306">
        <v>1</v>
      </c>
      <c r="AM49" s="306">
        <v>2</v>
      </c>
      <c r="AN49" s="306">
        <v>1</v>
      </c>
      <c r="AO49" s="306">
        <v>1</v>
      </c>
      <c r="AP49" s="294"/>
      <c r="AQ49" s="295"/>
    </row>
    <row r="50" spans="1:43" s="377" customFormat="1" ht="44.25" customHeight="1">
      <c r="A50" s="486"/>
      <c r="B50" s="486"/>
      <c r="C50" s="486"/>
      <c r="D50" s="370">
        <v>1</v>
      </c>
      <c r="E50" s="369">
        <v>1</v>
      </c>
      <c r="F50" s="369">
        <v>1</v>
      </c>
      <c r="G50" s="369">
        <v>8</v>
      </c>
      <c r="H50" s="369">
        <v>8</v>
      </c>
      <c r="I50" s="369">
        <v>8</v>
      </c>
      <c r="J50" s="369">
        <v>8</v>
      </c>
      <c r="K50" s="369">
        <v>8</v>
      </c>
      <c r="L50" s="369">
        <v>1</v>
      </c>
      <c r="M50" s="369">
        <v>1</v>
      </c>
      <c r="N50" s="369">
        <v>1</v>
      </c>
      <c r="O50" s="369">
        <v>8</v>
      </c>
      <c r="P50" s="369">
        <v>8</v>
      </c>
      <c r="Q50" s="369">
        <v>8</v>
      </c>
      <c r="R50" s="369">
        <v>8</v>
      </c>
      <c r="S50" s="369">
        <v>8</v>
      </c>
      <c r="T50" s="369">
        <v>1</v>
      </c>
      <c r="U50" s="369">
        <v>1</v>
      </c>
      <c r="V50" s="369">
        <v>1</v>
      </c>
      <c r="W50" s="369">
        <v>8</v>
      </c>
      <c r="X50" s="369">
        <v>8</v>
      </c>
      <c r="Y50" s="369">
        <v>8</v>
      </c>
      <c r="Z50" s="369">
        <v>8</v>
      </c>
      <c r="AA50" s="369">
        <v>8</v>
      </c>
      <c r="AB50" s="369">
        <v>1</v>
      </c>
      <c r="AC50" s="369">
        <v>1</v>
      </c>
      <c r="AD50" s="369">
        <v>1</v>
      </c>
      <c r="AE50" s="369">
        <v>8</v>
      </c>
      <c r="AF50" s="369">
        <v>8</v>
      </c>
      <c r="AG50" s="369">
        <v>8</v>
      </c>
      <c r="AH50" s="369">
        <v>8</v>
      </c>
      <c r="AI50" s="369">
        <v>8</v>
      </c>
      <c r="AJ50" s="369">
        <v>8</v>
      </c>
      <c r="AK50" s="369">
        <v>8</v>
      </c>
      <c r="AL50" s="369">
        <v>8</v>
      </c>
      <c r="AM50" s="369">
        <v>8</v>
      </c>
      <c r="AN50" s="369">
        <v>8</v>
      </c>
      <c r="AO50" s="369">
        <v>8</v>
      </c>
      <c r="AP50" s="294"/>
      <c r="AQ50" s="295"/>
    </row>
    <row r="51" spans="1:43" s="377" customFormat="1" ht="44.25" customHeight="1">
      <c r="A51" s="486"/>
      <c r="B51" s="486"/>
      <c r="C51" s="486"/>
      <c r="D51" s="305">
        <f t="shared" ref="D51:AO51" si="15">D49/D50</f>
        <v>0</v>
      </c>
      <c r="E51" s="305">
        <f t="shared" si="15"/>
        <v>0</v>
      </c>
      <c r="F51" s="305">
        <f t="shared" si="15"/>
        <v>0</v>
      </c>
      <c r="G51" s="305">
        <f t="shared" si="15"/>
        <v>0</v>
      </c>
      <c r="H51" s="305">
        <f t="shared" si="15"/>
        <v>0</v>
      </c>
      <c r="I51" s="305">
        <f t="shared" si="15"/>
        <v>0.125</v>
      </c>
      <c r="J51" s="305">
        <f t="shared" si="15"/>
        <v>0</v>
      </c>
      <c r="K51" s="305">
        <f t="shared" si="15"/>
        <v>0.25</v>
      </c>
      <c r="L51" s="305">
        <f t="shared" si="15"/>
        <v>0</v>
      </c>
      <c r="M51" s="305">
        <f t="shared" si="15"/>
        <v>0</v>
      </c>
      <c r="N51" s="305">
        <f t="shared" si="15"/>
        <v>1</v>
      </c>
      <c r="O51" s="305">
        <f t="shared" si="15"/>
        <v>0.125</v>
      </c>
      <c r="P51" s="305">
        <f t="shared" si="15"/>
        <v>0</v>
      </c>
      <c r="Q51" s="305">
        <f t="shared" si="15"/>
        <v>0.25</v>
      </c>
      <c r="R51" s="305">
        <f t="shared" si="15"/>
        <v>0</v>
      </c>
      <c r="S51" s="305">
        <f t="shared" si="15"/>
        <v>0</v>
      </c>
      <c r="T51" s="305">
        <f t="shared" si="15"/>
        <v>0</v>
      </c>
      <c r="U51" s="305">
        <f t="shared" si="15"/>
        <v>0</v>
      </c>
      <c r="V51" s="305">
        <f t="shared" si="15"/>
        <v>0</v>
      </c>
      <c r="W51" s="305">
        <f t="shared" si="15"/>
        <v>0</v>
      </c>
      <c r="X51" s="305">
        <f t="shared" si="15"/>
        <v>0</v>
      </c>
      <c r="Y51" s="305">
        <f t="shared" si="15"/>
        <v>0.25</v>
      </c>
      <c r="Z51" s="305">
        <f t="shared" si="15"/>
        <v>0.25</v>
      </c>
      <c r="AA51" s="305">
        <f t="shared" si="15"/>
        <v>0.25</v>
      </c>
      <c r="AB51" s="305">
        <f t="shared" si="15"/>
        <v>0</v>
      </c>
      <c r="AC51" s="305">
        <f t="shared" si="15"/>
        <v>0</v>
      </c>
      <c r="AD51" s="305">
        <f t="shared" si="15"/>
        <v>1</v>
      </c>
      <c r="AE51" s="305">
        <f t="shared" si="15"/>
        <v>0.125</v>
      </c>
      <c r="AF51" s="305">
        <f t="shared" si="15"/>
        <v>0.125</v>
      </c>
      <c r="AG51" s="305">
        <f t="shared" si="15"/>
        <v>0.125</v>
      </c>
      <c r="AH51" s="305">
        <f t="shared" si="15"/>
        <v>0.25</v>
      </c>
      <c r="AI51" s="305">
        <f t="shared" si="15"/>
        <v>0.25</v>
      </c>
      <c r="AJ51" s="305">
        <f t="shared" si="15"/>
        <v>0.125</v>
      </c>
      <c r="AK51" s="305">
        <f t="shared" si="15"/>
        <v>0.5</v>
      </c>
      <c r="AL51" s="305">
        <f t="shared" si="15"/>
        <v>0.125</v>
      </c>
      <c r="AM51" s="305">
        <f t="shared" si="15"/>
        <v>0.25</v>
      </c>
      <c r="AN51" s="305">
        <f t="shared" si="15"/>
        <v>0.125</v>
      </c>
      <c r="AO51" s="305">
        <f t="shared" si="15"/>
        <v>0.125</v>
      </c>
      <c r="AP51" s="294"/>
      <c r="AQ51" s="295"/>
    </row>
    <row r="52" spans="1:43" s="377" customFormat="1" ht="44.25" customHeight="1">
      <c r="A52" s="503">
        <v>17</v>
      </c>
      <c r="B52" s="503" t="s">
        <v>1456</v>
      </c>
      <c r="C52" s="502" t="s">
        <v>1457</v>
      </c>
      <c r="D52" s="307">
        <v>0</v>
      </c>
      <c r="E52" s="303">
        <v>0</v>
      </c>
      <c r="F52" s="303">
        <v>0</v>
      </c>
      <c r="G52" s="303">
        <v>0</v>
      </c>
      <c r="H52" s="303">
        <v>0</v>
      </c>
      <c r="I52" s="303">
        <v>0</v>
      </c>
      <c r="J52" s="303">
        <v>1</v>
      </c>
      <c r="K52" s="303">
        <v>1</v>
      </c>
      <c r="L52" s="303">
        <v>0</v>
      </c>
      <c r="M52" s="303">
        <v>0</v>
      </c>
      <c r="N52" s="303">
        <v>0</v>
      </c>
      <c r="O52" s="303">
        <v>0</v>
      </c>
      <c r="P52" s="303">
        <v>0</v>
      </c>
      <c r="Q52" s="303">
        <v>0</v>
      </c>
      <c r="R52" s="303">
        <v>1</v>
      </c>
      <c r="S52" s="303">
        <v>1</v>
      </c>
      <c r="T52" s="303">
        <v>0</v>
      </c>
      <c r="U52" s="303">
        <v>0</v>
      </c>
      <c r="V52" s="303">
        <v>0</v>
      </c>
      <c r="W52" s="303">
        <v>0</v>
      </c>
      <c r="X52" s="303">
        <v>0</v>
      </c>
      <c r="Y52" s="303">
        <v>0</v>
      </c>
      <c r="Z52" s="303">
        <v>0</v>
      </c>
      <c r="AA52" s="303">
        <v>0</v>
      </c>
      <c r="AB52" s="303">
        <v>0</v>
      </c>
      <c r="AC52" s="303">
        <v>0</v>
      </c>
      <c r="AD52" s="303">
        <v>0</v>
      </c>
      <c r="AE52" s="303">
        <v>0</v>
      </c>
      <c r="AF52" s="303">
        <v>0</v>
      </c>
      <c r="AG52" s="303">
        <v>0</v>
      </c>
      <c r="AH52" s="303">
        <v>0</v>
      </c>
      <c r="AI52" s="303">
        <v>0</v>
      </c>
      <c r="AJ52" s="303">
        <v>2</v>
      </c>
      <c r="AK52" s="303">
        <v>1</v>
      </c>
      <c r="AL52" s="303">
        <v>1</v>
      </c>
      <c r="AM52" s="303">
        <v>1</v>
      </c>
      <c r="AN52" s="303">
        <v>1</v>
      </c>
      <c r="AO52" s="303">
        <v>1</v>
      </c>
      <c r="AP52" s="294"/>
      <c r="AQ52" s="295"/>
    </row>
    <row r="53" spans="1:43" s="377" customFormat="1" ht="44.25" customHeight="1">
      <c r="A53" s="486"/>
      <c r="B53" s="486"/>
      <c r="C53" s="486"/>
      <c r="D53" s="369">
        <v>2</v>
      </c>
      <c r="E53" s="369">
        <v>2</v>
      </c>
      <c r="F53" s="369">
        <v>2</v>
      </c>
      <c r="G53" s="369">
        <v>2</v>
      </c>
      <c r="H53" s="369">
        <v>2</v>
      </c>
      <c r="I53" s="369">
        <v>3</v>
      </c>
      <c r="J53" s="369">
        <v>3</v>
      </c>
      <c r="K53" s="369">
        <v>8</v>
      </c>
      <c r="L53" s="369">
        <v>2</v>
      </c>
      <c r="M53" s="369">
        <v>2</v>
      </c>
      <c r="N53" s="369">
        <v>2</v>
      </c>
      <c r="O53" s="369">
        <v>2</v>
      </c>
      <c r="P53" s="369">
        <v>2</v>
      </c>
      <c r="Q53" s="369">
        <v>3</v>
      </c>
      <c r="R53" s="369">
        <v>3</v>
      </c>
      <c r="S53" s="369">
        <v>8</v>
      </c>
      <c r="T53" s="369">
        <v>2</v>
      </c>
      <c r="U53" s="369">
        <v>2</v>
      </c>
      <c r="V53" s="369">
        <v>2</v>
      </c>
      <c r="W53" s="369">
        <v>2</v>
      </c>
      <c r="X53" s="369">
        <v>2</v>
      </c>
      <c r="Y53" s="369">
        <v>3</v>
      </c>
      <c r="Z53" s="369">
        <v>3</v>
      </c>
      <c r="AA53" s="369">
        <v>8</v>
      </c>
      <c r="AB53" s="369">
        <v>2</v>
      </c>
      <c r="AC53" s="369">
        <v>2</v>
      </c>
      <c r="AD53" s="369">
        <v>2</v>
      </c>
      <c r="AE53" s="369">
        <v>2</v>
      </c>
      <c r="AF53" s="369">
        <v>2</v>
      </c>
      <c r="AG53" s="369">
        <v>3</v>
      </c>
      <c r="AH53" s="369">
        <v>3</v>
      </c>
      <c r="AI53" s="369">
        <v>8</v>
      </c>
      <c r="AJ53" s="369">
        <v>3</v>
      </c>
      <c r="AK53" s="369">
        <v>8</v>
      </c>
      <c r="AL53" s="369">
        <v>3</v>
      </c>
      <c r="AM53" s="369">
        <v>8</v>
      </c>
      <c r="AN53" s="369">
        <v>3</v>
      </c>
      <c r="AO53" s="369">
        <v>8</v>
      </c>
      <c r="AP53" s="294"/>
      <c r="AQ53" s="295"/>
    </row>
    <row r="54" spans="1:43" s="377" customFormat="1" ht="44.25" customHeight="1">
      <c r="A54" s="486"/>
      <c r="B54" s="486"/>
      <c r="C54" s="486"/>
      <c r="D54" s="305">
        <f t="shared" ref="D54:AO54" si="16">D52/D53</f>
        <v>0</v>
      </c>
      <c r="E54" s="305">
        <f t="shared" si="16"/>
        <v>0</v>
      </c>
      <c r="F54" s="305">
        <f t="shared" si="16"/>
        <v>0</v>
      </c>
      <c r="G54" s="305">
        <f t="shared" si="16"/>
        <v>0</v>
      </c>
      <c r="H54" s="305">
        <f t="shared" si="16"/>
        <v>0</v>
      </c>
      <c r="I54" s="305">
        <f t="shared" si="16"/>
        <v>0</v>
      </c>
      <c r="J54" s="305">
        <f t="shared" si="16"/>
        <v>0.33333333333333331</v>
      </c>
      <c r="K54" s="305">
        <f t="shared" si="16"/>
        <v>0.125</v>
      </c>
      <c r="L54" s="305">
        <f t="shared" si="16"/>
        <v>0</v>
      </c>
      <c r="M54" s="305">
        <f t="shared" si="16"/>
        <v>0</v>
      </c>
      <c r="N54" s="305">
        <f t="shared" si="16"/>
        <v>0</v>
      </c>
      <c r="O54" s="305">
        <f t="shared" si="16"/>
        <v>0</v>
      </c>
      <c r="P54" s="305">
        <f t="shared" si="16"/>
        <v>0</v>
      </c>
      <c r="Q54" s="305">
        <f t="shared" si="16"/>
        <v>0</v>
      </c>
      <c r="R54" s="305">
        <f t="shared" si="16"/>
        <v>0.33333333333333331</v>
      </c>
      <c r="S54" s="305">
        <f t="shared" si="16"/>
        <v>0.125</v>
      </c>
      <c r="T54" s="305">
        <f t="shared" si="16"/>
        <v>0</v>
      </c>
      <c r="U54" s="305">
        <f t="shared" si="16"/>
        <v>0</v>
      </c>
      <c r="V54" s="305">
        <f t="shared" si="16"/>
        <v>0</v>
      </c>
      <c r="W54" s="305">
        <f t="shared" si="16"/>
        <v>0</v>
      </c>
      <c r="X54" s="305">
        <f t="shared" si="16"/>
        <v>0</v>
      </c>
      <c r="Y54" s="305">
        <f t="shared" si="16"/>
        <v>0</v>
      </c>
      <c r="Z54" s="305">
        <f t="shared" si="16"/>
        <v>0</v>
      </c>
      <c r="AA54" s="305">
        <f t="shared" si="16"/>
        <v>0</v>
      </c>
      <c r="AB54" s="305">
        <f t="shared" si="16"/>
        <v>0</v>
      </c>
      <c r="AC54" s="305">
        <f t="shared" si="16"/>
        <v>0</v>
      </c>
      <c r="AD54" s="305">
        <f t="shared" si="16"/>
        <v>0</v>
      </c>
      <c r="AE54" s="305">
        <f t="shared" si="16"/>
        <v>0</v>
      </c>
      <c r="AF54" s="305">
        <f t="shared" si="16"/>
        <v>0</v>
      </c>
      <c r="AG54" s="305">
        <f t="shared" si="16"/>
        <v>0</v>
      </c>
      <c r="AH54" s="305">
        <f t="shared" si="16"/>
        <v>0</v>
      </c>
      <c r="AI54" s="305">
        <f t="shared" si="16"/>
        <v>0</v>
      </c>
      <c r="AJ54" s="305">
        <f t="shared" si="16"/>
        <v>0.66666666666666663</v>
      </c>
      <c r="AK54" s="305">
        <f t="shared" si="16"/>
        <v>0.125</v>
      </c>
      <c r="AL54" s="305">
        <f t="shared" si="16"/>
        <v>0.33333333333333331</v>
      </c>
      <c r="AM54" s="305">
        <f t="shared" si="16"/>
        <v>0.125</v>
      </c>
      <c r="AN54" s="305">
        <f t="shared" si="16"/>
        <v>0.33333333333333331</v>
      </c>
      <c r="AO54" s="305">
        <f t="shared" si="16"/>
        <v>0.125</v>
      </c>
      <c r="AP54" s="294"/>
      <c r="AQ54" s="295"/>
    </row>
    <row r="55" spans="1:43" s="377" customFormat="1" ht="44.25" customHeight="1">
      <c r="A55" s="505">
        <v>18</v>
      </c>
      <c r="B55" s="505" t="s">
        <v>1458</v>
      </c>
      <c r="C55" s="504" t="s">
        <v>1459</v>
      </c>
      <c r="D55" s="306">
        <v>0</v>
      </c>
      <c r="E55" s="306">
        <v>0</v>
      </c>
      <c r="F55" s="306">
        <v>0</v>
      </c>
      <c r="G55" s="306">
        <v>0</v>
      </c>
      <c r="H55" s="306">
        <v>0</v>
      </c>
      <c r="I55" s="306">
        <v>2</v>
      </c>
      <c r="J55" s="306">
        <v>0</v>
      </c>
      <c r="K55" s="306">
        <v>0</v>
      </c>
      <c r="L55" s="306">
        <v>0</v>
      </c>
      <c r="M55" s="306">
        <v>0</v>
      </c>
      <c r="N55" s="306">
        <v>0</v>
      </c>
      <c r="O55" s="306">
        <v>0</v>
      </c>
      <c r="P55" s="306">
        <v>0</v>
      </c>
      <c r="Q55" s="306">
        <v>1</v>
      </c>
      <c r="R55" s="306">
        <v>1</v>
      </c>
      <c r="S55" s="306">
        <v>0</v>
      </c>
      <c r="T55" s="306">
        <v>0</v>
      </c>
      <c r="U55" s="306">
        <v>0</v>
      </c>
      <c r="V55" s="306">
        <v>0</v>
      </c>
      <c r="W55" s="306">
        <v>0</v>
      </c>
      <c r="X55" s="306">
        <v>0</v>
      </c>
      <c r="Y55" s="306">
        <v>2</v>
      </c>
      <c r="Z55" s="306">
        <v>0</v>
      </c>
      <c r="AA55" s="306">
        <v>0</v>
      </c>
      <c r="AB55" s="306">
        <v>0</v>
      </c>
      <c r="AC55" s="306">
        <v>0</v>
      </c>
      <c r="AD55" s="306">
        <v>0</v>
      </c>
      <c r="AE55" s="306">
        <v>0</v>
      </c>
      <c r="AF55" s="306">
        <v>0</v>
      </c>
      <c r="AG55" s="306">
        <v>0</v>
      </c>
      <c r="AH55" s="306">
        <v>0</v>
      </c>
      <c r="AI55" s="306">
        <v>0</v>
      </c>
      <c r="AJ55" s="306">
        <v>1</v>
      </c>
      <c r="AK55" s="306">
        <v>1</v>
      </c>
      <c r="AL55" s="306">
        <v>0</v>
      </c>
      <c r="AM55" s="306">
        <v>0</v>
      </c>
      <c r="AN55" s="306">
        <v>0</v>
      </c>
      <c r="AO55" s="306">
        <v>0</v>
      </c>
      <c r="AP55" s="294"/>
      <c r="AQ55" s="295"/>
    </row>
    <row r="56" spans="1:43" s="377" customFormat="1" ht="44.25" customHeight="1">
      <c r="A56" s="486"/>
      <c r="B56" s="486"/>
      <c r="C56" s="486"/>
      <c r="D56" s="369">
        <v>2</v>
      </c>
      <c r="E56" s="369">
        <v>2</v>
      </c>
      <c r="F56" s="369">
        <v>2</v>
      </c>
      <c r="G56" s="369">
        <v>3</v>
      </c>
      <c r="H56" s="369">
        <v>3</v>
      </c>
      <c r="I56" s="369">
        <v>3</v>
      </c>
      <c r="J56" s="369">
        <v>3</v>
      </c>
      <c r="K56" s="369">
        <v>3</v>
      </c>
      <c r="L56" s="369">
        <v>2</v>
      </c>
      <c r="M56" s="369">
        <v>2</v>
      </c>
      <c r="N56" s="369">
        <v>2</v>
      </c>
      <c r="O56" s="369">
        <v>3</v>
      </c>
      <c r="P56" s="369">
        <v>3</v>
      </c>
      <c r="Q56" s="369">
        <v>3</v>
      </c>
      <c r="R56" s="369">
        <v>3</v>
      </c>
      <c r="S56" s="369">
        <v>3</v>
      </c>
      <c r="T56" s="369">
        <v>2</v>
      </c>
      <c r="U56" s="369">
        <v>2</v>
      </c>
      <c r="V56" s="369">
        <v>2</v>
      </c>
      <c r="W56" s="369">
        <v>3</v>
      </c>
      <c r="X56" s="369">
        <v>3</v>
      </c>
      <c r="Y56" s="369">
        <v>3</v>
      </c>
      <c r="Z56" s="369">
        <v>3</v>
      </c>
      <c r="AA56" s="369">
        <v>3</v>
      </c>
      <c r="AB56" s="369">
        <v>2</v>
      </c>
      <c r="AC56" s="369">
        <v>2</v>
      </c>
      <c r="AD56" s="369">
        <v>2</v>
      </c>
      <c r="AE56" s="369">
        <v>3</v>
      </c>
      <c r="AF56" s="369">
        <v>3</v>
      </c>
      <c r="AG56" s="369">
        <v>3</v>
      </c>
      <c r="AH56" s="369">
        <v>3</v>
      </c>
      <c r="AI56" s="369">
        <v>3</v>
      </c>
      <c r="AJ56" s="369">
        <v>3</v>
      </c>
      <c r="AK56" s="369">
        <v>3</v>
      </c>
      <c r="AL56" s="369">
        <v>3</v>
      </c>
      <c r="AM56" s="369">
        <v>3</v>
      </c>
      <c r="AN56" s="369">
        <v>3</v>
      </c>
      <c r="AO56" s="369">
        <v>3</v>
      </c>
      <c r="AP56" s="366"/>
      <c r="AQ56" s="295"/>
    </row>
    <row r="57" spans="1:43" s="377" customFormat="1" ht="44.25" customHeight="1">
      <c r="A57" s="486"/>
      <c r="B57" s="486"/>
      <c r="C57" s="486"/>
      <c r="D57" s="305">
        <f t="shared" ref="D57:AO57" si="17">D55/D56</f>
        <v>0</v>
      </c>
      <c r="E57" s="305">
        <f t="shared" si="17"/>
        <v>0</v>
      </c>
      <c r="F57" s="305">
        <f t="shared" si="17"/>
        <v>0</v>
      </c>
      <c r="G57" s="305">
        <f t="shared" si="17"/>
        <v>0</v>
      </c>
      <c r="H57" s="305">
        <f t="shared" si="17"/>
        <v>0</v>
      </c>
      <c r="I57" s="305">
        <f t="shared" si="17"/>
        <v>0.66666666666666663</v>
      </c>
      <c r="J57" s="305">
        <f t="shared" si="17"/>
        <v>0</v>
      </c>
      <c r="K57" s="305">
        <f t="shared" si="17"/>
        <v>0</v>
      </c>
      <c r="L57" s="305">
        <f t="shared" si="17"/>
        <v>0</v>
      </c>
      <c r="M57" s="305">
        <f t="shared" si="17"/>
        <v>0</v>
      </c>
      <c r="N57" s="305">
        <f t="shared" si="17"/>
        <v>0</v>
      </c>
      <c r="O57" s="305">
        <f t="shared" si="17"/>
        <v>0</v>
      </c>
      <c r="P57" s="305">
        <f t="shared" si="17"/>
        <v>0</v>
      </c>
      <c r="Q57" s="305">
        <f t="shared" si="17"/>
        <v>0.33333333333333331</v>
      </c>
      <c r="R57" s="305">
        <f t="shared" si="17"/>
        <v>0.33333333333333331</v>
      </c>
      <c r="S57" s="305">
        <f t="shared" si="17"/>
        <v>0</v>
      </c>
      <c r="T57" s="305">
        <f t="shared" si="17"/>
        <v>0</v>
      </c>
      <c r="U57" s="305">
        <f t="shared" si="17"/>
        <v>0</v>
      </c>
      <c r="V57" s="305">
        <f t="shared" si="17"/>
        <v>0</v>
      </c>
      <c r="W57" s="305">
        <f t="shared" si="17"/>
        <v>0</v>
      </c>
      <c r="X57" s="305">
        <f t="shared" si="17"/>
        <v>0</v>
      </c>
      <c r="Y57" s="305">
        <f t="shared" si="17"/>
        <v>0.66666666666666663</v>
      </c>
      <c r="Z57" s="305">
        <f t="shared" si="17"/>
        <v>0</v>
      </c>
      <c r="AA57" s="305">
        <f t="shared" si="17"/>
        <v>0</v>
      </c>
      <c r="AB57" s="305">
        <f t="shared" si="17"/>
        <v>0</v>
      </c>
      <c r="AC57" s="305">
        <f t="shared" si="17"/>
        <v>0</v>
      </c>
      <c r="AD57" s="305">
        <f t="shared" si="17"/>
        <v>0</v>
      </c>
      <c r="AE57" s="305">
        <f t="shared" si="17"/>
        <v>0</v>
      </c>
      <c r="AF57" s="305">
        <f t="shared" si="17"/>
        <v>0</v>
      </c>
      <c r="AG57" s="305">
        <f t="shared" si="17"/>
        <v>0</v>
      </c>
      <c r="AH57" s="305">
        <f t="shared" si="17"/>
        <v>0</v>
      </c>
      <c r="AI57" s="305">
        <f t="shared" si="17"/>
        <v>0</v>
      </c>
      <c r="AJ57" s="305">
        <f t="shared" si="17"/>
        <v>0.33333333333333331</v>
      </c>
      <c r="AK57" s="305">
        <f t="shared" si="17"/>
        <v>0.33333333333333331</v>
      </c>
      <c r="AL57" s="305">
        <f t="shared" si="17"/>
        <v>0</v>
      </c>
      <c r="AM57" s="305">
        <f t="shared" si="17"/>
        <v>0</v>
      </c>
      <c r="AN57" s="305">
        <f t="shared" si="17"/>
        <v>0</v>
      </c>
      <c r="AO57" s="305">
        <f t="shared" si="17"/>
        <v>0</v>
      </c>
      <c r="AP57" s="366"/>
      <c r="AQ57" s="295"/>
    </row>
    <row r="58" spans="1:43" s="377" customFormat="1" ht="44.25" customHeight="1">
      <c r="A58" s="295"/>
      <c r="B58" s="295"/>
      <c r="C58" s="295"/>
      <c r="D58" s="295"/>
      <c r="E58" s="295"/>
      <c r="F58" s="295"/>
      <c r="G58" s="295"/>
      <c r="H58" s="295"/>
      <c r="I58" s="295"/>
      <c r="J58" s="295"/>
      <c r="K58" s="295"/>
      <c r="L58" s="295"/>
      <c r="M58" s="295"/>
      <c r="N58" s="295"/>
      <c r="O58" s="295"/>
      <c r="P58" s="295"/>
      <c r="Q58" s="295"/>
      <c r="R58" s="295"/>
      <c r="S58" s="295"/>
      <c r="T58" s="295"/>
      <c r="U58" s="295"/>
      <c r="V58" s="295"/>
      <c r="W58" s="295"/>
      <c r="X58" s="295"/>
      <c r="Y58" s="295"/>
      <c r="Z58" s="295"/>
      <c r="AA58" s="295"/>
      <c r="AB58" s="295"/>
      <c r="AC58" s="295"/>
      <c r="AD58" s="295"/>
      <c r="AE58" s="295"/>
      <c r="AF58" s="295"/>
      <c r="AG58" s="295"/>
      <c r="AH58" s="295"/>
      <c r="AI58" s="295"/>
      <c r="AJ58" s="295"/>
      <c r="AK58" s="295"/>
      <c r="AL58" s="295"/>
      <c r="AM58" s="295"/>
      <c r="AN58" s="295"/>
      <c r="AO58" s="295"/>
      <c r="AP58" s="295"/>
      <c r="AQ58" s="295"/>
    </row>
    <row r="59" spans="1:43" s="377" customFormat="1" ht="44.25" customHeight="1">
      <c r="A59" s="295"/>
      <c r="B59" s="295"/>
      <c r="C59" s="295"/>
      <c r="D59" s="295"/>
      <c r="E59" s="295"/>
      <c r="F59" s="295"/>
      <c r="G59" s="295"/>
      <c r="H59" s="295"/>
      <c r="I59" s="295"/>
      <c r="J59" s="295"/>
      <c r="K59" s="295"/>
      <c r="L59" s="295"/>
      <c r="M59" s="295"/>
      <c r="N59" s="295"/>
      <c r="O59" s="295"/>
      <c r="P59" s="295"/>
      <c r="Q59" s="295"/>
      <c r="R59" s="295"/>
      <c r="S59" s="295"/>
      <c r="T59" s="295"/>
      <c r="U59" s="295"/>
      <c r="V59" s="295"/>
      <c r="W59" s="295"/>
      <c r="X59" s="295"/>
      <c r="Y59" s="295"/>
      <c r="Z59" s="295"/>
      <c r="AA59" s="295"/>
      <c r="AB59" s="295"/>
      <c r="AC59" s="295"/>
      <c r="AD59" s="295"/>
      <c r="AE59" s="295"/>
      <c r="AF59" s="295"/>
      <c r="AG59" s="295"/>
      <c r="AH59" s="295"/>
      <c r="AI59" s="295"/>
      <c r="AJ59" s="295"/>
      <c r="AK59" s="295"/>
      <c r="AL59" s="295"/>
      <c r="AM59" s="295"/>
      <c r="AN59" s="295"/>
      <c r="AO59" s="295"/>
      <c r="AP59" s="295"/>
      <c r="AQ59" s="295"/>
    </row>
    <row r="60" spans="1:43" s="377" customFormat="1" ht="44.25" customHeight="1">
      <c r="A60" s="295"/>
      <c r="B60" s="295"/>
      <c r="C60" s="295"/>
      <c r="D60" s="295"/>
      <c r="E60" s="295"/>
      <c r="F60" s="295"/>
      <c r="G60" s="295"/>
      <c r="H60" s="295"/>
      <c r="I60" s="295"/>
      <c r="J60" s="295"/>
      <c r="K60" s="295"/>
      <c r="L60" s="295"/>
      <c r="M60" s="295"/>
      <c r="N60" s="295"/>
      <c r="O60" s="295"/>
      <c r="P60" s="295"/>
      <c r="Q60" s="295"/>
      <c r="R60" s="295"/>
      <c r="S60" s="295"/>
      <c r="T60" s="295"/>
      <c r="U60" s="295"/>
      <c r="V60" s="295"/>
      <c r="W60" s="295"/>
      <c r="X60" s="295"/>
      <c r="Y60" s="295"/>
      <c r="Z60" s="295"/>
      <c r="AA60" s="295"/>
      <c r="AB60" s="295"/>
      <c r="AC60" s="295"/>
      <c r="AD60" s="295"/>
      <c r="AE60" s="295"/>
      <c r="AF60" s="295"/>
      <c r="AG60" s="295"/>
      <c r="AH60" s="295"/>
      <c r="AI60" s="295"/>
      <c r="AJ60" s="295"/>
      <c r="AK60" s="295"/>
      <c r="AL60" s="295"/>
      <c r="AM60" s="295"/>
      <c r="AN60" s="295"/>
      <c r="AO60" s="295"/>
      <c r="AP60" s="295"/>
      <c r="AQ60" s="295"/>
    </row>
    <row r="61" spans="1:43" s="377" customFormat="1" ht="44.25" customHeight="1">
      <c r="A61" s="295"/>
      <c r="B61" s="295"/>
      <c r="C61" s="295"/>
      <c r="D61" s="295"/>
      <c r="E61" s="295"/>
      <c r="F61" s="295"/>
      <c r="G61" s="295"/>
      <c r="H61" s="295"/>
      <c r="I61" s="295"/>
      <c r="J61" s="295"/>
      <c r="K61" s="295"/>
      <c r="L61" s="295"/>
      <c r="M61" s="295"/>
      <c r="N61" s="295"/>
      <c r="O61" s="295"/>
      <c r="P61" s="295"/>
      <c r="Q61" s="295"/>
      <c r="R61" s="295"/>
      <c r="S61" s="295"/>
      <c r="T61" s="295"/>
      <c r="U61" s="295"/>
      <c r="V61" s="295"/>
      <c r="W61" s="295"/>
      <c r="X61" s="295"/>
      <c r="Y61" s="295"/>
      <c r="Z61" s="295"/>
      <c r="AA61" s="295"/>
      <c r="AB61" s="295"/>
      <c r="AC61" s="295"/>
      <c r="AD61" s="295"/>
      <c r="AE61" s="295"/>
      <c r="AF61" s="295"/>
      <c r="AG61" s="295"/>
      <c r="AH61" s="295"/>
      <c r="AI61" s="295"/>
      <c r="AJ61" s="295"/>
      <c r="AK61" s="295"/>
      <c r="AL61" s="295"/>
      <c r="AM61" s="295"/>
      <c r="AN61" s="295"/>
      <c r="AO61" s="295"/>
      <c r="AP61" s="295"/>
      <c r="AQ61" s="295"/>
    </row>
    <row r="62" spans="1:43" s="378" customFormat="1" ht="44.25" customHeight="1">
      <c r="A62" s="311" t="s">
        <v>1460</v>
      </c>
      <c r="B62" s="311" t="s">
        <v>1461</v>
      </c>
      <c r="C62" s="311" t="s">
        <v>1462</v>
      </c>
      <c r="D62" s="311" t="s">
        <v>1463</v>
      </c>
      <c r="E62" s="311" t="s">
        <v>398</v>
      </c>
      <c r="F62" s="311" t="s">
        <v>1464</v>
      </c>
      <c r="G62" s="311" t="s">
        <v>1465</v>
      </c>
      <c r="H62" s="311" t="s">
        <v>1466</v>
      </c>
      <c r="I62" s="311" t="s">
        <v>1467</v>
      </c>
      <c r="J62" s="311" t="s">
        <v>1468</v>
      </c>
      <c r="K62" s="311" t="s">
        <v>1469</v>
      </c>
      <c r="L62" s="311" t="s">
        <v>1470</v>
      </c>
      <c r="M62" s="311" t="s">
        <v>1471</v>
      </c>
      <c r="N62" s="311" t="s">
        <v>1472</v>
      </c>
      <c r="O62" s="311" t="s">
        <v>1473</v>
      </c>
      <c r="P62" s="311" t="s">
        <v>1474</v>
      </c>
      <c r="Q62" s="311" t="s">
        <v>1475</v>
      </c>
      <c r="R62" s="311" t="s">
        <v>1476</v>
      </c>
      <c r="S62" s="311" t="s">
        <v>1477</v>
      </c>
      <c r="T62" s="311" t="s">
        <v>1478</v>
      </c>
      <c r="U62" s="311" t="s">
        <v>1479</v>
      </c>
      <c r="V62" s="311" t="s">
        <v>1480</v>
      </c>
      <c r="W62" s="311" t="s">
        <v>1481</v>
      </c>
      <c r="X62" s="311" t="s">
        <v>1482</v>
      </c>
      <c r="Y62" s="311" t="s">
        <v>1483</v>
      </c>
      <c r="Z62" s="311" t="s">
        <v>1484</v>
      </c>
      <c r="AA62" s="311" t="s">
        <v>1485</v>
      </c>
      <c r="AB62" s="311" t="s">
        <v>1486</v>
      </c>
      <c r="AC62" s="311" t="s">
        <v>1487</v>
      </c>
      <c r="AD62" s="311" t="s">
        <v>1488</v>
      </c>
      <c r="AE62" s="311" t="s">
        <v>1489</v>
      </c>
      <c r="AF62" s="311" t="s">
        <v>1490</v>
      </c>
      <c r="AG62" s="311" t="s">
        <v>1491</v>
      </c>
      <c r="AH62" s="311" t="s">
        <v>1492</v>
      </c>
      <c r="AI62" s="311" t="s">
        <v>1493</v>
      </c>
      <c r="AJ62" s="311" t="s">
        <v>1494</v>
      </c>
      <c r="AK62" s="311" t="s">
        <v>1495</v>
      </c>
      <c r="AL62" s="311" t="s">
        <v>1496</v>
      </c>
      <c r="AM62" s="311" t="s">
        <v>1497</v>
      </c>
      <c r="AN62" s="311" t="s">
        <v>1498</v>
      </c>
      <c r="AO62" s="311" t="s">
        <v>1499</v>
      </c>
      <c r="AP62" s="311" t="s">
        <v>1500</v>
      </c>
      <c r="AQ62" s="312" t="s">
        <v>1501</v>
      </c>
    </row>
    <row r="63" spans="1:43" s="378" customFormat="1" ht="44.25" customHeight="1">
      <c r="A63" s="313" t="s">
        <v>1502</v>
      </c>
      <c r="B63" s="313" t="s">
        <v>384</v>
      </c>
      <c r="C63" s="314" t="s">
        <v>399</v>
      </c>
      <c r="D63" s="314" t="s">
        <v>1426</v>
      </c>
      <c r="E63" s="314" t="s">
        <v>400</v>
      </c>
      <c r="F63" s="315"/>
      <c r="G63" s="315"/>
      <c r="H63" s="315"/>
      <c r="I63" s="315"/>
      <c r="J63" s="315"/>
      <c r="K63" s="315">
        <v>1</v>
      </c>
      <c r="L63" s="315"/>
      <c r="M63" s="315"/>
      <c r="N63" s="315"/>
      <c r="O63" s="315">
        <v>1</v>
      </c>
      <c r="P63" s="315"/>
      <c r="Q63" s="315">
        <v>1</v>
      </c>
      <c r="R63" s="315">
        <v>1</v>
      </c>
      <c r="S63" s="315">
        <v>1</v>
      </c>
      <c r="T63" s="315"/>
      <c r="U63" s="315"/>
      <c r="V63" s="315"/>
      <c r="W63" s="315"/>
      <c r="X63" s="315">
        <v>1</v>
      </c>
      <c r="Y63" s="315">
        <v>1</v>
      </c>
      <c r="Z63" s="315"/>
      <c r="AA63" s="315">
        <v>1</v>
      </c>
      <c r="AB63" s="315"/>
      <c r="AC63" s="315">
        <v>1</v>
      </c>
      <c r="AD63" s="315"/>
      <c r="AE63" s="315"/>
      <c r="AF63" s="315"/>
      <c r="AG63" s="315"/>
      <c r="AH63" s="315"/>
      <c r="AI63" s="315"/>
      <c r="AJ63" s="315"/>
      <c r="AK63" s="315"/>
      <c r="AL63" s="315"/>
      <c r="AM63" s="315">
        <v>1</v>
      </c>
      <c r="AN63" s="315"/>
      <c r="AO63" s="315"/>
      <c r="AP63" s="315"/>
      <c r="AQ63" s="316"/>
    </row>
    <row r="64" spans="1:43" s="378" customFormat="1" ht="44.25" customHeight="1">
      <c r="A64" s="313" t="s">
        <v>1502</v>
      </c>
      <c r="B64" s="313" t="s">
        <v>384</v>
      </c>
      <c r="C64" s="314" t="s">
        <v>401</v>
      </c>
      <c r="D64" s="314" t="s">
        <v>1426</v>
      </c>
      <c r="E64" s="314" t="s">
        <v>402</v>
      </c>
      <c r="F64" s="315"/>
      <c r="G64" s="315"/>
      <c r="H64" s="315"/>
      <c r="I64" s="315">
        <v>1</v>
      </c>
      <c r="J64" s="315">
        <v>1</v>
      </c>
      <c r="K64" s="315"/>
      <c r="L64" s="315">
        <v>1</v>
      </c>
      <c r="M64" s="315">
        <v>1</v>
      </c>
      <c r="N64" s="315"/>
      <c r="O64" s="315"/>
      <c r="P64" s="315"/>
      <c r="Q64" s="315"/>
      <c r="R64" s="315">
        <v>1</v>
      </c>
      <c r="S64" s="315"/>
      <c r="T64" s="315">
        <v>1</v>
      </c>
      <c r="U64" s="315">
        <v>1</v>
      </c>
      <c r="V64" s="315"/>
      <c r="W64" s="315"/>
      <c r="X64" s="315"/>
      <c r="Y64" s="315"/>
      <c r="Z64" s="315">
        <v>1</v>
      </c>
      <c r="AA64" s="315"/>
      <c r="AB64" s="315">
        <v>1</v>
      </c>
      <c r="AC64" s="315">
        <v>1</v>
      </c>
      <c r="AD64" s="315"/>
      <c r="AE64" s="315"/>
      <c r="AF64" s="315">
        <v>1</v>
      </c>
      <c r="AG64" s="315">
        <v>1</v>
      </c>
      <c r="AH64" s="315">
        <v>1</v>
      </c>
      <c r="AI64" s="315"/>
      <c r="AJ64" s="315"/>
      <c r="AK64" s="315"/>
      <c r="AL64" s="315"/>
      <c r="AM64" s="315"/>
      <c r="AN64" s="315"/>
      <c r="AO64" s="315"/>
      <c r="AP64" s="315"/>
      <c r="AQ64" s="316"/>
    </row>
    <row r="65" spans="1:43" s="378" customFormat="1" ht="44.25" customHeight="1">
      <c r="A65" s="313" t="s">
        <v>1502</v>
      </c>
      <c r="B65" s="313" t="s">
        <v>384</v>
      </c>
      <c r="C65" s="314" t="s">
        <v>403</v>
      </c>
      <c r="D65" s="314" t="s">
        <v>1426</v>
      </c>
      <c r="E65" s="314" t="s">
        <v>404</v>
      </c>
      <c r="F65" s="315"/>
      <c r="G65" s="315"/>
      <c r="H65" s="315"/>
      <c r="I65" s="315"/>
      <c r="J65" s="315"/>
      <c r="K65" s="315"/>
      <c r="L65" s="315">
        <v>1</v>
      </c>
      <c r="M65" s="315">
        <v>1</v>
      </c>
      <c r="N65" s="315"/>
      <c r="O65" s="315"/>
      <c r="P65" s="315">
        <v>1</v>
      </c>
      <c r="Q65" s="315">
        <v>1</v>
      </c>
      <c r="R65" s="315">
        <v>1</v>
      </c>
      <c r="S65" s="315"/>
      <c r="T65" s="315">
        <v>1</v>
      </c>
      <c r="U65" s="315">
        <v>1</v>
      </c>
      <c r="V65" s="315"/>
      <c r="W65" s="315">
        <v>1</v>
      </c>
      <c r="X65" s="315">
        <v>1</v>
      </c>
      <c r="Y65" s="315">
        <v>1</v>
      </c>
      <c r="Z65" s="315">
        <v>1</v>
      </c>
      <c r="AA65" s="315"/>
      <c r="AB65" s="315">
        <v>1</v>
      </c>
      <c r="AC65" s="315">
        <v>1</v>
      </c>
      <c r="AD65" s="315"/>
      <c r="AE65" s="315"/>
      <c r="AF65" s="315"/>
      <c r="AG65" s="315"/>
      <c r="AH65" s="315">
        <v>1</v>
      </c>
      <c r="AI65" s="315"/>
      <c r="AJ65" s="315">
        <v>1</v>
      </c>
      <c r="AK65" s="315">
        <v>1</v>
      </c>
      <c r="AL65" s="315">
        <v>1</v>
      </c>
      <c r="AM65" s="315"/>
      <c r="AN65" s="315">
        <v>1</v>
      </c>
      <c r="AO65" s="315">
        <v>1</v>
      </c>
      <c r="AP65" s="315"/>
      <c r="AQ65" s="316"/>
    </row>
    <row r="66" spans="1:43" s="378" customFormat="1" ht="44.25" customHeight="1">
      <c r="A66" s="313" t="s">
        <v>1502</v>
      </c>
      <c r="B66" s="313" t="s">
        <v>384</v>
      </c>
      <c r="C66" s="314" t="s">
        <v>405</v>
      </c>
      <c r="D66" s="314" t="s">
        <v>1426</v>
      </c>
      <c r="E66" s="314" t="s">
        <v>406</v>
      </c>
      <c r="F66" s="315"/>
      <c r="G66" s="315"/>
      <c r="H66" s="315"/>
      <c r="I66" s="315">
        <v>1</v>
      </c>
      <c r="J66" s="315">
        <v>1</v>
      </c>
      <c r="K66" s="315">
        <v>1</v>
      </c>
      <c r="L66" s="315"/>
      <c r="M66" s="315">
        <v>1</v>
      </c>
      <c r="N66" s="315"/>
      <c r="O66" s="315"/>
      <c r="P66" s="315">
        <v>1</v>
      </c>
      <c r="Q66" s="315">
        <v>1</v>
      </c>
      <c r="R66" s="315">
        <v>1</v>
      </c>
      <c r="S66" s="315">
        <v>1</v>
      </c>
      <c r="T66" s="315"/>
      <c r="U66" s="315">
        <v>1</v>
      </c>
      <c r="V66" s="315"/>
      <c r="W66" s="315"/>
      <c r="X66" s="315">
        <v>1</v>
      </c>
      <c r="Y66" s="315">
        <v>1</v>
      </c>
      <c r="Z66" s="315">
        <v>1</v>
      </c>
      <c r="AA66" s="315">
        <v>1</v>
      </c>
      <c r="AB66" s="315">
        <v>1</v>
      </c>
      <c r="AC66" s="315">
        <v>1</v>
      </c>
      <c r="AD66" s="315"/>
      <c r="AE66" s="315"/>
      <c r="AF66" s="315"/>
      <c r="AG66" s="315"/>
      <c r="AH66" s="315"/>
      <c r="AI66" s="315"/>
      <c r="AJ66" s="315"/>
      <c r="AK66" s="315"/>
      <c r="AL66" s="315"/>
      <c r="AM66" s="315"/>
      <c r="AN66" s="315">
        <v>1</v>
      </c>
      <c r="AO66" s="315">
        <v>1</v>
      </c>
      <c r="AP66" s="315"/>
      <c r="AQ66" s="316"/>
    </row>
    <row r="67" spans="1:43" s="378" customFormat="1" ht="44.25" customHeight="1">
      <c r="A67" s="313" t="s">
        <v>1502</v>
      </c>
      <c r="B67" s="313" t="s">
        <v>384</v>
      </c>
      <c r="C67" s="314" t="s">
        <v>407</v>
      </c>
      <c r="D67" s="314" t="s">
        <v>1426</v>
      </c>
      <c r="E67" s="314" t="s">
        <v>408</v>
      </c>
      <c r="F67" s="315"/>
      <c r="G67" s="315">
        <v>1</v>
      </c>
      <c r="H67" s="315">
        <v>1</v>
      </c>
      <c r="I67" s="315">
        <v>1</v>
      </c>
      <c r="J67" s="315">
        <v>1</v>
      </c>
      <c r="K67" s="315"/>
      <c r="L67" s="315">
        <v>1</v>
      </c>
      <c r="M67" s="315">
        <v>1</v>
      </c>
      <c r="N67" s="315"/>
      <c r="O67" s="315">
        <v>1</v>
      </c>
      <c r="P67" s="315">
        <v>1</v>
      </c>
      <c r="Q67" s="315">
        <v>1</v>
      </c>
      <c r="R67" s="315">
        <v>1</v>
      </c>
      <c r="S67" s="315"/>
      <c r="T67" s="315">
        <v>1</v>
      </c>
      <c r="U67" s="315">
        <v>1</v>
      </c>
      <c r="V67" s="315">
        <v>1</v>
      </c>
      <c r="W67" s="315"/>
      <c r="X67" s="315">
        <v>1</v>
      </c>
      <c r="Y67" s="315">
        <v>1</v>
      </c>
      <c r="Z67" s="315">
        <v>1</v>
      </c>
      <c r="AA67" s="315"/>
      <c r="AB67" s="315">
        <v>1</v>
      </c>
      <c r="AC67" s="315">
        <v>1</v>
      </c>
      <c r="AD67" s="315"/>
      <c r="AE67" s="315"/>
      <c r="AF67" s="315"/>
      <c r="AG67" s="315"/>
      <c r="AH67" s="315"/>
      <c r="AI67" s="315"/>
      <c r="AJ67" s="315"/>
      <c r="AK67" s="315"/>
      <c r="AL67" s="315"/>
      <c r="AM67" s="315"/>
      <c r="AN67" s="315"/>
      <c r="AO67" s="315">
        <v>1</v>
      </c>
      <c r="AP67" s="315">
        <v>1</v>
      </c>
      <c r="AQ67" s="317">
        <v>1</v>
      </c>
    </row>
    <row r="68" spans="1:43" s="378" customFormat="1" ht="44.25" customHeight="1">
      <c r="A68" s="313" t="s">
        <v>1502</v>
      </c>
      <c r="B68" s="313" t="s">
        <v>384</v>
      </c>
      <c r="C68" s="314" t="s">
        <v>409</v>
      </c>
      <c r="D68" s="314" t="s">
        <v>1426</v>
      </c>
      <c r="E68" s="314" t="s">
        <v>408</v>
      </c>
      <c r="F68" s="315"/>
      <c r="G68" s="315"/>
      <c r="H68" s="315">
        <v>1</v>
      </c>
      <c r="I68" s="315">
        <v>1</v>
      </c>
      <c r="J68" s="315">
        <v>1</v>
      </c>
      <c r="K68" s="315">
        <v>1</v>
      </c>
      <c r="L68" s="315">
        <v>1</v>
      </c>
      <c r="M68" s="315">
        <v>1</v>
      </c>
      <c r="N68" s="315"/>
      <c r="O68" s="315">
        <v>1</v>
      </c>
      <c r="P68" s="315">
        <v>1</v>
      </c>
      <c r="Q68" s="315">
        <v>1</v>
      </c>
      <c r="R68" s="315">
        <v>1</v>
      </c>
      <c r="S68" s="315"/>
      <c r="T68" s="315">
        <v>1</v>
      </c>
      <c r="U68" s="315">
        <v>1</v>
      </c>
      <c r="V68" s="315"/>
      <c r="W68" s="315">
        <v>1</v>
      </c>
      <c r="X68" s="315">
        <v>1</v>
      </c>
      <c r="Y68" s="315">
        <v>1</v>
      </c>
      <c r="Z68" s="315">
        <v>1</v>
      </c>
      <c r="AA68" s="315"/>
      <c r="AB68" s="315">
        <v>1</v>
      </c>
      <c r="AC68" s="315">
        <v>1</v>
      </c>
      <c r="AD68" s="315"/>
      <c r="AE68" s="315"/>
      <c r="AF68" s="315"/>
      <c r="AG68" s="315"/>
      <c r="AH68" s="315"/>
      <c r="AI68" s="315"/>
      <c r="AJ68" s="315">
        <v>1</v>
      </c>
      <c r="AK68" s="315">
        <v>1</v>
      </c>
      <c r="AL68" s="315"/>
      <c r="AM68" s="315"/>
      <c r="AN68" s="315">
        <v>1</v>
      </c>
      <c r="AO68" s="315">
        <v>1</v>
      </c>
      <c r="AP68" s="315">
        <v>1</v>
      </c>
      <c r="AQ68" s="317">
        <v>1</v>
      </c>
    </row>
    <row r="69" spans="1:43" s="378" customFormat="1" ht="44.25" customHeight="1">
      <c r="A69" s="313" t="s">
        <v>1502</v>
      </c>
      <c r="B69" s="313" t="s">
        <v>395</v>
      </c>
      <c r="C69" s="314" t="s">
        <v>410</v>
      </c>
      <c r="D69" s="314" t="s">
        <v>1432</v>
      </c>
      <c r="E69" s="314" t="s">
        <v>411</v>
      </c>
      <c r="F69" s="315"/>
      <c r="G69" s="315"/>
      <c r="H69" s="315"/>
      <c r="I69" s="315"/>
      <c r="J69" s="315"/>
      <c r="K69" s="315">
        <v>1</v>
      </c>
      <c r="L69" s="315">
        <v>1</v>
      </c>
      <c r="M69" s="315">
        <v>1</v>
      </c>
      <c r="N69" s="315"/>
      <c r="O69" s="315"/>
      <c r="P69" s="315"/>
      <c r="Q69" s="315"/>
      <c r="R69" s="315"/>
      <c r="S69" s="315"/>
      <c r="T69" s="315"/>
      <c r="U69" s="315">
        <v>1</v>
      </c>
      <c r="V69" s="315"/>
      <c r="W69" s="315"/>
      <c r="X69" s="315"/>
      <c r="Y69" s="315"/>
      <c r="Z69" s="315"/>
      <c r="AA69" s="315">
        <v>1</v>
      </c>
      <c r="AB69" s="315"/>
      <c r="AC69" s="315"/>
      <c r="AD69" s="315"/>
      <c r="AE69" s="315"/>
      <c r="AF69" s="315"/>
      <c r="AG69" s="315"/>
      <c r="AH69" s="315"/>
      <c r="AI69" s="315"/>
      <c r="AJ69" s="315">
        <v>1</v>
      </c>
      <c r="AK69" s="315">
        <v>1</v>
      </c>
      <c r="AL69" s="315"/>
      <c r="AM69" s="315"/>
      <c r="AN69" s="315"/>
      <c r="AO69" s="315">
        <v>1</v>
      </c>
      <c r="AP69" s="315"/>
      <c r="AQ69" s="317"/>
    </row>
    <row r="70" spans="1:43" s="378" customFormat="1" ht="44.25" customHeight="1">
      <c r="A70" s="313" t="s">
        <v>1502</v>
      </c>
      <c r="B70" s="313" t="s">
        <v>386</v>
      </c>
      <c r="C70" s="314" t="s">
        <v>412</v>
      </c>
      <c r="D70" s="314" t="s">
        <v>1434</v>
      </c>
      <c r="E70" s="314" t="s">
        <v>413</v>
      </c>
      <c r="F70" s="315"/>
      <c r="G70" s="315">
        <v>1</v>
      </c>
      <c r="H70" s="315">
        <v>1</v>
      </c>
      <c r="I70" s="315">
        <v>1</v>
      </c>
      <c r="J70" s="315">
        <v>1</v>
      </c>
      <c r="K70" s="315"/>
      <c r="L70" s="315">
        <v>1</v>
      </c>
      <c r="M70" s="315">
        <v>1</v>
      </c>
      <c r="N70" s="315"/>
      <c r="O70" s="315"/>
      <c r="P70" s="315">
        <v>1</v>
      </c>
      <c r="Q70" s="315">
        <v>1</v>
      </c>
      <c r="R70" s="315">
        <v>1</v>
      </c>
      <c r="S70" s="315"/>
      <c r="T70" s="315">
        <v>1</v>
      </c>
      <c r="U70" s="315">
        <v>1</v>
      </c>
      <c r="V70" s="315"/>
      <c r="W70" s="315">
        <v>1</v>
      </c>
      <c r="X70" s="315">
        <v>1</v>
      </c>
      <c r="Y70" s="315">
        <v>1</v>
      </c>
      <c r="Z70" s="315">
        <v>1</v>
      </c>
      <c r="AA70" s="315">
        <v>1</v>
      </c>
      <c r="AB70" s="315">
        <v>1</v>
      </c>
      <c r="AC70" s="315">
        <v>1</v>
      </c>
      <c r="AD70" s="315"/>
      <c r="AE70" s="315"/>
      <c r="AF70" s="315">
        <v>1</v>
      </c>
      <c r="AG70" s="315">
        <v>1</v>
      </c>
      <c r="AH70" s="315">
        <v>1</v>
      </c>
      <c r="AI70" s="315"/>
      <c r="AJ70" s="315"/>
      <c r="AK70" s="315"/>
      <c r="AL70" s="315">
        <v>1</v>
      </c>
      <c r="AM70" s="315"/>
      <c r="AN70" s="315">
        <v>1</v>
      </c>
      <c r="AO70" s="315">
        <v>1</v>
      </c>
      <c r="AP70" s="315">
        <v>1</v>
      </c>
      <c r="AQ70" s="316">
        <v>1</v>
      </c>
    </row>
    <row r="71" spans="1:43" s="378" customFormat="1" ht="44.25" customHeight="1">
      <c r="A71" s="313" t="s">
        <v>1502</v>
      </c>
      <c r="B71" s="313" t="s">
        <v>387</v>
      </c>
      <c r="C71" s="314" t="s">
        <v>414</v>
      </c>
      <c r="D71" s="314" t="s">
        <v>1438</v>
      </c>
      <c r="E71" s="314" t="s">
        <v>415</v>
      </c>
      <c r="F71" s="315"/>
      <c r="G71" s="315"/>
      <c r="H71" s="315"/>
      <c r="I71" s="315"/>
      <c r="J71" s="315"/>
      <c r="K71" s="315">
        <v>1</v>
      </c>
      <c r="L71" s="315">
        <v>1</v>
      </c>
      <c r="M71" s="315"/>
      <c r="N71" s="315"/>
      <c r="O71" s="315"/>
      <c r="P71" s="315"/>
      <c r="Q71" s="315"/>
      <c r="R71" s="315"/>
      <c r="S71" s="315"/>
      <c r="T71" s="315"/>
      <c r="U71" s="315"/>
      <c r="V71" s="315"/>
      <c r="W71" s="315"/>
      <c r="X71" s="315"/>
      <c r="Y71" s="315"/>
      <c r="Z71" s="315"/>
      <c r="AA71" s="315"/>
      <c r="AB71" s="315"/>
      <c r="AC71" s="315"/>
      <c r="AD71" s="315"/>
      <c r="AE71" s="315"/>
      <c r="AF71" s="315"/>
      <c r="AG71" s="315"/>
      <c r="AH71" s="315"/>
      <c r="AI71" s="315">
        <v>1</v>
      </c>
      <c r="AJ71" s="315"/>
      <c r="AK71" s="315"/>
      <c r="AL71" s="315"/>
      <c r="AM71" s="315">
        <v>1</v>
      </c>
      <c r="AN71" s="315"/>
      <c r="AO71" s="315">
        <v>1</v>
      </c>
      <c r="AP71" s="315"/>
      <c r="AQ71" s="316"/>
    </row>
    <row r="72" spans="1:43" s="378" customFormat="1" ht="44.25" customHeight="1">
      <c r="A72" s="313" t="s">
        <v>1502</v>
      </c>
      <c r="B72" s="313" t="s">
        <v>387</v>
      </c>
      <c r="C72" s="314" t="s">
        <v>416</v>
      </c>
      <c r="D72" s="314" t="s">
        <v>1438</v>
      </c>
      <c r="E72" s="314" t="s">
        <v>417</v>
      </c>
      <c r="F72" s="315"/>
      <c r="G72" s="315"/>
      <c r="H72" s="315"/>
      <c r="I72" s="315"/>
      <c r="J72" s="315"/>
      <c r="K72" s="315"/>
      <c r="L72" s="315"/>
      <c r="M72" s="315">
        <v>1</v>
      </c>
      <c r="N72" s="315"/>
      <c r="O72" s="315"/>
      <c r="P72" s="315"/>
      <c r="Q72" s="315"/>
      <c r="R72" s="315"/>
      <c r="S72" s="315"/>
      <c r="T72" s="315"/>
      <c r="U72" s="315"/>
      <c r="V72" s="315"/>
      <c r="W72" s="315"/>
      <c r="X72" s="315"/>
      <c r="Y72" s="315"/>
      <c r="Z72" s="315"/>
      <c r="AA72" s="315"/>
      <c r="AB72" s="315">
        <v>1</v>
      </c>
      <c r="AC72" s="315">
        <v>1</v>
      </c>
      <c r="AD72" s="315"/>
      <c r="AE72" s="315"/>
      <c r="AF72" s="315"/>
      <c r="AG72" s="315"/>
      <c r="AH72" s="315"/>
      <c r="AI72" s="315">
        <v>1</v>
      </c>
      <c r="AJ72" s="315"/>
      <c r="AK72" s="315"/>
      <c r="AL72" s="315">
        <v>1</v>
      </c>
      <c r="AM72" s="315"/>
      <c r="AN72" s="315"/>
      <c r="AO72" s="315"/>
      <c r="AP72" s="315"/>
      <c r="AQ72" s="316"/>
    </row>
    <row r="73" spans="1:43" s="378" customFormat="1" ht="44.25" customHeight="1">
      <c r="A73" s="313" t="s">
        <v>1502</v>
      </c>
      <c r="B73" s="313" t="s">
        <v>386</v>
      </c>
      <c r="C73" s="314" t="s">
        <v>418</v>
      </c>
      <c r="D73" s="314" t="s">
        <v>1454</v>
      </c>
      <c r="E73" s="314" t="s">
        <v>419</v>
      </c>
      <c r="F73" s="315"/>
      <c r="G73" s="315"/>
      <c r="H73" s="315"/>
      <c r="I73" s="315"/>
      <c r="J73" s="315"/>
      <c r="K73" s="315">
        <v>1</v>
      </c>
      <c r="L73" s="315"/>
      <c r="M73" s="315"/>
      <c r="N73" s="315"/>
      <c r="O73" s="315"/>
      <c r="P73" s="315">
        <v>1</v>
      </c>
      <c r="Q73" s="315">
        <v>1</v>
      </c>
      <c r="R73" s="315"/>
      <c r="S73" s="315">
        <v>1</v>
      </c>
      <c r="T73" s="315"/>
      <c r="U73" s="315"/>
      <c r="V73" s="315"/>
      <c r="W73" s="315"/>
      <c r="X73" s="315"/>
      <c r="Y73" s="315"/>
      <c r="Z73" s="315"/>
      <c r="AA73" s="315">
        <v>1</v>
      </c>
      <c r="AB73" s="315"/>
      <c r="AC73" s="315"/>
      <c r="AD73" s="315"/>
      <c r="AE73" s="315"/>
      <c r="AF73" s="315">
        <v>1</v>
      </c>
      <c r="AG73" s="315">
        <v>1</v>
      </c>
      <c r="AH73" s="315">
        <v>1</v>
      </c>
      <c r="AI73" s="315"/>
      <c r="AJ73" s="315"/>
      <c r="AK73" s="315"/>
      <c r="AL73" s="315">
        <v>1</v>
      </c>
      <c r="AM73" s="315">
        <v>1</v>
      </c>
      <c r="AN73" s="315"/>
      <c r="AO73" s="315">
        <v>1</v>
      </c>
      <c r="AP73" s="315">
        <v>1</v>
      </c>
      <c r="AQ73" s="316">
        <v>1</v>
      </c>
    </row>
    <row r="74" spans="1:43" s="378" customFormat="1" ht="44.25" customHeight="1">
      <c r="A74" s="313" t="s">
        <v>1502</v>
      </c>
      <c r="B74" s="313" t="s">
        <v>386</v>
      </c>
      <c r="C74" s="314" t="s">
        <v>420</v>
      </c>
      <c r="D74" s="314" t="s">
        <v>1438</v>
      </c>
      <c r="E74" s="314" t="s">
        <v>421</v>
      </c>
      <c r="F74" s="315"/>
      <c r="G74" s="315"/>
      <c r="H74" s="315"/>
      <c r="I74" s="315"/>
      <c r="J74" s="315"/>
      <c r="K74" s="315"/>
      <c r="L74" s="315"/>
      <c r="M74" s="315"/>
      <c r="N74" s="315"/>
      <c r="O74" s="315"/>
      <c r="P74" s="315"/>
      <c r="Q74" s="315"/>
      <c r="R74" s="315"/>
      <c r="S74" s="315"/>
      <c r="T74" s="315"/>
      <c r="U74" s="315"/>
      <c r="V74" s="315"/>
      <c r="W74" s="315"/>
      <c r="X74" s="315"/>
      <c r="Y74" s="315"/>
      <c r="Z74" s="315"/>
      <c r="AA74" s="315"/>
      <c r="AB74" s="315"/>
      <c r="AC74" s="315"/>
      <c r="AD74" s="315"/>
      <c r="AE74" s="315"/>
      <c r="AF74" s="315"/>
      <c r="AG74" s="315"/>
      <c r="AH74" s="315"/>
      <c r="AI74" s="315"/>
      <c r="AJ74" s="315">
        <v>1</v>
      </c>
      <c r="AK74" s="315">
        <v>1</v>
      </c>
      <c r="AL74" s="315"/>
      <c r="AM74" s="315"/>
      <c r="AN74" s="315"/>
      <c r="AO74" s="315"/>
      <c r="AP74" s="315"/>
      <c r="AQ74" s="317"/>
    </row>
    <row r="75" spans="1:43" s="378" customFormat="1" ht="44.25" customHeight="1">
      <c r="A75" s="313" t="s">
        <v>1502</v>
      </c>
      <c r="B75" s="313" t="s">
        <v>395</v>
      </c>
      <c r="C75" s="314" t="s">
        <v>422</v>
      </c>
      <c r="D75" s="314" t="s">
        <v>1458</v>
      </c>
      <c r="E75" s="314"/>
      <c r="F75" s="315"/>
      <c r="G75" s="315"/>
      <c r="H75" s="315"/>
      <c r="I75" s="315"/>
      <c r="J75" s="315"/>
      <c r="K75" s="315">
        <v>1</v>
      </c>
      <c r="L75" s="315"/>
      <c r="M75" s="315"/>
      <c r="N75" s="315"/>
      <c r="O75" s="315"/>
      <c r="P75" s="315"/>
      <c r="Q75" s="315"/>
      <c r="R75" s="315"/>
      <c r="S75" s="315"/>
      <c r="T75" s="315">
        <v>1</v>
      </c>
      <c r="U75" s="315"/>
      <c r="V75" s="315"/>
      <c r="W75" s="315"/>
      <c r="X75" s="315"/>
      <c r="Y75" s="315"/>
      <c r="Z75" s="315"/>
      <c r="AA75" s="315">
        <v>1</v>
      </c>
      <c r="AB75" s="315"/>
      <c r="AC75" s="315"/>
      <c r="AD75" s="315"/>
      <c r="AE75" s="315"/>
      <c r="AF75" s="315"/>
      <c r="AG75" s="315"/>
      <c r="AH75" s="315"/>
      <c r="AI75" s="315"/>
      <c r="AJ75" s="315"/>
      <c r="AK75" s="315"/>
      <c r="AL75" s="315"/>
      <c r="AM75" s="315"/>
      <c r="AN75" s="315"/>
      <c r="AO75" s="315"/>
      <c r="AP75" s="315"/>
      <c r="AQ75" s="317"/>
    </row>
    <row r="76" spans="1:43" s="378" customFormat="1" ht="44.25" customHeight="1">
      <c r="A76" s="313" t="s">
        <v>1502</v>
      </c>
      <c r="B76" s="313" t="s">
        <v>395</v>
      </c>
      <c r="C76" s="314" t="s">
        <v>423</v>
      </c>
      <c r="D76" s="314" t="s">
        <v>1426</v>
      </c>
      <c r="E76" s="314" t="s">
        <v>424</v>
      </c>
      <c r="F76" s="315"/>
      <c r="G76" s="315"/>
      <c r="H76" s="315"/>
      <c r="I76" s="315"/>
      <c r="J76" s="315"/>
      <c r="K76" s="315"/>
      <c r="L76" s="315">
        <v>1</v>
      </c>
      <c r="M76" s="315">
        <v>1</v>
      </c>
      <c r="N76" s="315"/>
      <c r="O76" s="315">
        <v>1</v>
      </c>
      <c r="P76" s="315">
        <v>1</v>
      </c>
      <c r="Q76" s="315">
        <v>1</v>
      </c>
      <c r="R76" s="315">
        <v>1</v>
      </c>
      <c r="S76" s="315"/>
      <c r="T76" s="315"/>
      <c r="U76" s="315"/>
      <c r="V76" s="315"/>
      <c r="W76" s="315"/>
      <c r="X76" s="315"/>
      <c r="Y76" s="315"/>
      <c r="Z76" s="315"/>
      <c r="AA76" s="315"/>
      <c r="AB76" s="315"/>
      <c r="AC76" s="315"/>
      <c r="AD76" s="315"/>
      <c r="AE76" s="315"/>
      <c r="AF76" s="315">
        <v>1</v>
      </c>
      <c r="AG76" s="315">
        <v>1</v>
      </c>
      <c r="AH76" s="315"/>
      <c r="AI76" s="315"/>
      <c r="AJ76" s="315">
        <v>1</v>
      </c>
      <c r="AK76" s="315">
        <v>1</v>
      </c>
      <c r="AL76" s="315"/>
      <c r="AM76" s="315"/>
      <c r="AN76" s="315">
        <v>1</v>
      </c>
      <c r="AO76" s="315">
        <v>1</v>
      </c>
      <c r="AP76" s="315"/>
      <c r="AQ76" s="317"/>
    </row>
    <row r="77" spans="1:43" s="378" customFormat="1" ht="44.25" customHeight="1">
      <c r="A77" s="313" t="s">
        <v>1502</v>
      </c>
      <c r="B77" s="313" t="s">
        <v>395</v>
      </c>
      <c r="C77" s="314" t="s">
        <v>425</v>
      </c>
      <c r="D77" s="314" t="s">
        <v>1430</v>
      </c>
      <c r="E77" s="314" t="s">
        <v>426</v>
      </c>
      <c r="F77" s="315"/>
      <c r="G77" s="315"/>
      <c r="H77" s="315"/>
      <c r="I77" s="315"/>
      <c r="J77" s="315"/>
      <c r="K77" s="315"/>
      <c r="L77" s="315"/>
      <c r="M77" s="315"/>
      <c r="N77" s="315"/>
      <c r="O77" s="315"/>
      <c r="P77" s="315"/>
      <c r="Q77" s="315"/>
      <c r="R77" s="315"/>
      <c r="S77" s="315"/>
      <c r="T77" s="315">
        <v>1</v>
      </c>
      <c r="U77" s="315"/>
      <c r="V77" s="315"/>
      <c r="W77" s="315"/>
      <c r="X77" s="315"/>
      <c r="Y77" s="315"/>
      <c r="Z77" s="315"/>
      <c r="AA77" s="315">
        <v>1</v>
      </c>
      <c r="AB77" s="315"/>
      <c r="AC77" s="315"/>
      <c r="AD77" s="315"/>
      <c r="AE77" s="315"/>
      <c r="AF77" s="315"/>
      <c r="AG77" s="315"/>
      <c r="AH77" s="315"/>
      <c r="AI77" s="315"/>
      <c r="AJ77" s="315">
        <v>1</v>
      </c>
      <c r="AK77" s="315">
        <v>1</v>
      </c>
      <c r="AL77" s="315"/>
      <c r="AM77" s="315"/>
      <c r="AN77" s="315"/>
      <c r="AO77" s="315"/>
      <c r="AP77" s="315"/>
      <c r="AQ77" s="317"/>
    </row>
    <row r="78" spans="1:43" s="378" customFormat="1" ht="44.25" customHeight="1">
      <c r="A78" s="313" t="s">
        <v>1502</v>
      </c>
      <c r="B78" s="313" t="s">
        <v>395</v>
      </c>
      <c r="C78" s="314" t="s">
        <v>427</v>
      </c>
      <c r="D78" s="314" t="s">
        <v>1426</v>
      </c>
      <c r="E78" s="314"/>
      <c r="F78" s="315"/>
      <c r="G78" s="315"/>
      <c r="H78" s="315"/>
      <c r="I78" s="315"/>
      <c r="J78" s="315"/>
      <c r="K78" s="315">
        <v>1</v>
      </c>
      <c r="L78" s="315"/>
      <c r="M78" s="315">
        <v>1</v>
      </c>
      <c r="N78" s="315"/>
      <c r="O78" s="315"/>
      <c r="P78" s="315"/>
      <c r="Q78" s="315"/>
      <c r="R78" s="315"/>
      <c r="S78" s="315"/>
      <c r="T78" s="315"/>
      <c r="U78" s="315"/>
      <c r="V78" s="315"/>
      <c r="W78" s="315"/>
      <c r="X78" s="315"/>
      <c r="Y78" s="315"/>
      <c r="Z78" s="315"/>
      <c r="AA78" s="315">
        <v>1</v>
      </c>
      <c r="AB78" s="315"/>
      <c r="AC78" s="315"/>
      <c r="AD78" s="315"/>
      <c r="AE78" s="315"/>
      <c r="AF78" s="315"/>
      <c r="AG78" s="315"/>
      <c r="AH78" s="315"/>
      <c r="AI78" s="315"/>
      <c r="AJ78" s="315"/>
      <c r="AK78" s="315"/>
      <c r="AL78" s="315"/>
      <c r="AM78" s="315"/>
      <c r="AN78" s="315"/>
      <c r="AO78" s="315"/>
      <c r="AP78" s="315"/>
      <c r="AQ78" s="317"/>
    </row>
    <row r="79" spans="1:43" s="378" customFormat="1" ht="44.25" customHeight="1">
      <c r="A79" s="313" t="s">
        <v>1502</v>
      </c>
      <c r="B79" s="313" t="s">
        <v>395</v>
      </c>
      <c r="C79" s="314" t="s">
        <v>428</v>
      </c>
      <c r="D79" s="314" t="s">
        <v>1444</v>
      </c>
      <c r="E79" s="314" t="s">
        <v>429</v>
      </c>
      <c r="F79" s="315"/>
      <c r="G79" s="315"/>
      <c r="H79" s="315"/>
      <c r="I79" s="315"/>
      <c r="J79" s="315"/>
      <c r="K79" s="315"/>
      <c r="L79" s="315"/>
      <c r="M79" s="315"/>
      <c r="N79" s="315"/>
      <c r="O79" s="315"/>
      <c r="P79" s="315"/>
      <c r="Q79" s="315"/>
      <c r="R79" s="315"/>
      <c r="S79" s="315">
        <v>1</v>
      </c>
      <c r="T79" s="315"/>
      <c r="U79" s="315"/>
      <c r="V79" s="315"/>
      <c r="W79" s="315"/>
      <c r="X79" s="315"/>
      <c r="Y79" s="315"/>
      <c r="Z79" s="315"/>
      <c r="AA79" s="315">
        <v>1</v>
      </c>
      <c r="AB79" s="315"/>
      <c r="AC79" s="315"/>
      <c r="AD79" s="315"/>
      <c r="AE79" s="315"/>
      <c r="AF79" s="315"/>
      <c r="AG79" s="315"/>
      <c r="AH79" s="315"/>
      <c r="AI79" s="315"/>
      <c r="AJ79" s="315">
        <v>1</v>
      </c>
      <c r="AK79" s="315">
        <v>1</v>
      </c>
      <c r="AL79" s="315"/>
      <c r="AM79" s="315"/>
      <c r="AN79" s="315"/>
      <c r="AO79" s="315"/>
      <c r="AP79" s="315"/>
      <c r="AQ79" s="317"/>
    </row>
    <row r="80" spans="1:43" s="378" customFormat="1" ht="44.25" customHeight="1">
      <c r="A80" s="313" t="s">
        <v>1502</v>
      </c>
      <c r="B80" s="313" t="s">
        <v>395</v>
      </c>
      <c r="C80" s="314" t="s">
        <v>430</v>
      </c>
      <c r="D80" s="314" t="s">
        <v>1444</v>
      </c>
      <c r="E80" s="314" t="s">
        <v>431</v>
      </c>
      <c r="F80" s="315"/>
      <c r="G80" s="315"/>
      <c r="H80" s="315"/>
      <c r="I80" s="315"/>
      <c r="J80" s="315"/>
      <c r="K80" s="315">
        <v>1</v>
      </c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  <c r="Y80" s="315"/>
      <c r="Z80" s="315"/>
      <c r="AA80" s="315"/>
      <c r="AB80" s="315"/>
      <c r="AC80" s="315"/>
      <c r="AD80" s="315"/>
      <c r="AE80" s="315"/>
      <c r="AF80" s="315"/>
      <c r="AG80" s="315"/>
      <c r="AH80" s="315"/>
      <c r="AI80" s="315"/>
      <c r="AJ80" s="315"/>
      <c r="AK80" s="315"/>
      <c r="AL80" s="315"/>
      <c r="AM80" s="315"/>
      <c r="AN80" s="315"/>
      <c r="AO80" s="315"/>
      <c r="AP80" s="315"/>
      <c r="AQ80" s="317"/>
    </row>
    <row r="81" spans="1:43" s="378" customFormat="1" ht="44.25" customHeight="1">
      <c r="A81" s="313" t="s">
        <v>1502</v>
      </c>
      <c r="B81" s="313" t="s">
        <v>395</v>
      </c>
      <c r="C81" s="314" t="s">
        <v>432</v>
      </c>
      <c r="D81" s="314" t="s">
        <v>1440</v>
      </c>
      <c r="E81" s="314" t="s">
        <v>433</v>
      </c>
      <c r="F81" s="315"/>
      <c r="G81" s="315"/>
      <c r="H81" s="315"/>
      <c r="I81" s="315"/>
      <c r="J81" s="315"/>
      <c r="K81" s="315"/>
      <c r="L81" s="315"/>
      <c r="M81" s="315"/>
      <c r="N81" s="315"/>
      <c r="O81" s="315"/>
      <c r="P81" s="315"/>
      <c r="Q81" s="315"/>
      <c r="R81" s="315"/>
      <c r="S81" s="315"/>
      <c r="T81" s="315"/>
      <c r="U81" s="315"/>
      <c r="V81" s="315"/>
      <c r="W81" s="315"/>
      <c r="X81" s="315"/>
      <c r="Y81" s="315"/>
      <c r="Z81" s="315"/>
      <c r="AA81" s="315"/>
      <c r="AB81" s="315"/>
      <c r="AC81" s="315">
        <v>1</v>
      </c>
      <c r="AD81" s="315"/>
      <c r="AE81" s="315"/>
      <c r="AF81" s="315"/>
      <c r="AG81" s="315"/>
      <c r="AH81" s="315"/>
      <c r="AI81" s="315"/>
      <c r="AJ81" s="315"/>
      <c r="AK81" s="315"/>
      <c r="AL81" s="315"/>
      <c r="AM81" s="315"/>
      <c r="AN81" s="315"/>
      <c r="AO81" s="315"/>
      <c r="AP81" s="315"/>
      <c r="AQ81" s="317"/>
    </row>
    <row r="82" spans="1:43" s="378" customFormat="1" ht="44.25" customHeight="1">
      <c r="A82" s="313" t="s">
        <v>1502</v>
      </c>
      <c r="B82" s="313" t="s">
        <v>395</v>
      </c>
      <c r="C82" s="314" t="s">
        <v>434</v>
      </c>
      <c r="D82" s="314" t="s">
        <v>1424</v>
      </c>
      <c r="E82" s="314" t="s">
        <v>435</v>
      </c>
      <c r="F82" s="315"/>
      <c r="G82" s="315"/>
      <c r="H82" s="315">
        <v>1</v>
      </c>
      <c r="I82" s="315">
        <v>1</v>
      </c>
      <c r="J82" s="315">
        <v>1</v>
      </c>
      <c r="K82" s="315">
        <v>1</v>
      </c>
      <c r="L82" s="315"/>
      <c r="M82" s="315">
        <v>1</v>
      </c>
      <c r="N82" s="315"/>
      <c r="O82" s="315"/>
      <c r="P82" s="315"/>
      <c r="Q82" s="315"/>
      <c r="R82" s="315"/>
      <c r="S82" s="315">
        <v>1</v>
      </c>
      <c r="T82" s="315"/>
      <c r="U82" s="315"/>
      <c r="V82" s="315"/>
      <c r="W82" s="315"/>
      <c r="X82" s="315"/>
      <c r="Y82" s="315"/>
      <c r="Z82" s="315"/>
      <c r="AA82" s="315">
        <v>1</v>
      </c>
      <c r="AB82" s="315"/>
      <c r="AC82" s="315"/>
      <c r="AD82" s="315"/>
      <c r="AE82" s="315"/>
      <c r="AF82" s="315"/>
      <c r="AG82" s="315"/>
      <c r="AH82" s="315"/>
      <c r="AI82" s="315">
        <v>1</v>
      </c>
      <c r="AJ82" s="315">
        <v>1</v>
      </c>
      <c r="AK82" s="315">
        <v>1</v>
      </c>
      <c r="AL82" s="315"/>
      <c r="AM82" s="315"/>
      <c r="AN82" s="315">
        <v>1</v>
      </c>
      <c r="AO82" s="315"/>
      <c r="AP82" s="315"/>
      <c r="AQ82" s="317"/>
    </row>
    <row r="83" spans="1:43" s="378" customFormat="1" ht="44.25" customHeight="1">
      <c r="A83" s="313" t="s">
        <v>1502</v>
      </c>
      <c r="B83" s="313" t="s">
        <v>395</v>
      </c>
      <c r="C83" s="314" t="s">
        <v>436</v>
      </c>
      <c r="D83" s="314" t="s">
        <v>1444</v>
      </c>
      <c r="E83" s="314" t="s">
        <v>437</v>
      </c>
      <c r="F83" s="315"/>
      <c r="G83" s="315"/>
      <c r="H83" s="315"/>
      <c r="I83" s="315"/>
      <c r="J83" s="315"/>
      <c r="K83" s="315"/>
      <c r="L83" s="315"/>
      <c r="M83" s="315"/>
      <c r="N83" s="315"/>
      <c r="O83" s="315"/>
      <c r="P83" s="315"/>
      <c r="Q83" s="315"/>
      <c r="R83" s="315"/>
      <c r="S83" s="315"/>
      <c r="T83" s="315"/>
      <c r="U83" s="315"/>
      <c r="V83" s="315"/>
      <c r="W83" s="315"/>
      <c r="X83" s="315"/>
      <c r="Y83" s="315"/>
      <c r="Z83" s="315"/>
      <c r="AA83" s="315"/>
      <c r="AB83" s="315"/>
      <c r="AC83" s="315"/>
      <c r="AD83" s="315"/>
      <c r="AE83" s="315"/>
      <c r="AF83" s="315"/>
      <c r="AG83" s="315"/>
      <c r="AH83" s="315"/>
      <c r="AI83" s="315"/>
      <c r="AJ83" s="315"/>
      <c r="AK83" s="315"/>
      <c r="AL83" s="315"/>
      <c r="AM83" s="315"/>
      <c r="AN83" s="315"/>
      <c r="AO83" s="315"/>
      <c r="AP83" s="315"/>
      <c r="AQ83" s="317"/>
    </row>
    <row r="84" spans="1:43" s="378" customFormat="1" ht="44.25" customHeight="1">
      <c r="A84" s="313" t="s">
        <v>1502</v>
      </c>
      <c r="B84" s="313" t="s">
        <v>395</v>
      </c>
      <c r="C84" s="314" t="s">
        <v>438</v>
      </c>
      <c r="D84" s="314" t="s">
        <v>1444</v>
      </c>
      <c r="E84" s="314" t="s">
        <v>439</v>
      </c>
      <c r="F84" s="315"/>
      <c r="G84" s="315"/>
      <c r="H84" s="315"/>
      <c r="I84" s="315"/>
      <c r="J84" s="315"/>
      <c r="K84" s="315"/>
      <c r="L84" s="315"/>
      <c r="M84" s="315"/>
      <c r="N84" s="315"/>
      <c r="O84" s="315"/>
      <c r="P84" s="315"/>
      <c r="Q84" s="315"/>
      <c r="R84" s="315"/>
      <c r="S84" s="315"/>
      <c r="T84" s="315"/>
      <c r="U84" s="315"/>
      <c r="V84" s="315"/>
      <c r="W84" s="315"/>
      <c r="X84" s="315"/>
      <c r="Y84" s="315"/>
      <c r="Z84" s="315"/>
      <c r="AA84" s="315"/>
      <c r="AB84" s="315"/>
      <c r="AC84" s="315"/>
      <c r="AD84" s="315"/>
      <c r="AE84" s="315"/>
      <c r="AF84" s="315"/>
      <c r="AG84" s="315"/>
      <c r="AH84" s="315"/>
      <c r="AI84" s="315"/>
      <c r="AJ84" s="315"/>
      <c r="AK84" s="315"/>
      <c r="AL84" s="315">
        <v>1</v>
      </c>
      <c r="AM84" s="315"/>
      <c r="AN84" s="315">
        <v>1</v>
      </c>
      <c r="AO84" s="315"/>
      <c r="AP84" s="315"/>
      <c r="AQ84" s="317"/>
    </row>
    <row r="85" spans="1:43" s="378" customFormat="1" ht="44.25" customHeight="1">
      <c r="A85" s="313" t="s">
        <v>1502</v>
      </c>
      <c r="B85" s="313" t="s">
        <v>395</v>
      </c>
      <c r="C85" s="314" t="s">
        <v>440</v>
      </c>
      <c r="D85" s="314" t="s">
        <v>1442</v>
      </c>
      <c r="E85" s="314" t="s">
        <v>441</v>
      </c>
      <c r="F85" s="315"/>
      <c r="G85" s="315"/>
      <c r="H85" s="315"/>
      <c r="I85" s="315"/>
      <c r="J85" s="315"/>
      <c r="K85" s="315"/>
      <c r="L85" s="315"/>
      <c r="M85" s="315"/>
      <c r="N85" s="315"/>
      <c r="O85" s="315"/>
      <c r="P85" s="315"/>
      <c r="Q85" s="315"/>
      <c r="R85" s="315"/>
      <c r="S85" s="315"/>
      <c r="T85" s="315"/>
      <c r="U85" s="315"/>
      <c r="V85" s="315"/>
      <c r="W85" s="315"/>
      <c r="X85" s="315"/>
      <c r="Y85" s="315"/>
      <c r="Z85" s="315"/>
      <c r="AA85" s="315"/>
      <c r="AB85" s="315"/>
      <c r="AC85" s="315"/>
      <c r="AD85" s="315"/>
      <c r="AE85" s="315"/>
      <c r="AF85" s="315"/>
      <c r="AG85" s="315"/>
      <c r="AH85" s="315"/>
      <c r="AI85" s="315"/>
      <c r="AJ85" s="315"/>
      <c r="AK85" s="315"/>
      <c r="AL85" s="315"/>
      <c r="AM85" s="315"/>
      <c r="AN85" s="315"/>
      <c r="AO85" s="315">
        <v>1</v>
      </c>
      <c r="AP85" s="315"/>
      <c r="AQ85" s="317"/>
    </row>
    <row r="86" spans="1:43" s="378" customFormat="1" ht="44.25" customHeight="1">
      <c r="A86" s="313" t="s">
        <v>1502</v>
      </c>
      <c r="B86" s="313" t="s">
        <v>395</v>
      </c>
      <c r="C86" s="314" t="s">
        <v>442</v>
      </c>
      <c r="D86" s="314" t="s">
        <v>1442</v>
      </c>
      <c r="E86" s="314" t="s">
        <v>443</v>
      </c>
      <c r="F86" s="315"/>
      <c r="G86" s="315"/>
      <c r="H86" s="315"/>
      <c r="I86" s="315"/>
      <c r="J86" s="315"/>
      <c r="K86" s="315">
        <v>1</v>
      </c>
      <c r="L86" s="315"/>
      <c r="M86" s="315"/>
      <c r="N86" s="315"/>
      <c r="O86" s="315"/>
      <c r="P86" s="315"/>
      <c r="Q86" s="315"/>
      <c r="R86" s="315"/>
      <c r="S86" s="315"/>
      <c r="T86" s="315"/>
      <c r="U86" s="315"/>
      <c r="V86" s="315"/>
      <c r="W86" s="315"/>
      <c r="X86" s="315"/>
      <c r="Y86" s="315"/>
      <c r="Z86" s="315"/>
      <c r="AA86" s="315"/>
      <c r="AB86" s="315"/>
      <c r="AC86" s="315"/>
      <c r="AD86" s="315"/>
      <c r="AE86" s="315"/>
      <c r="AF86" s="315"/>
      <c r="AG86" s="315"/>
      <c r="AH86" s="315"/>
      <c r="AI86" s="315">
        <v>1</v>
      </c>
      <c r="AJ86" s="315"/>
      <c r="AK86" s="315"/>
      <c r="AL86" s="315"/>
      <c r="AM86" s="315"/>
      <c r="AN86" s="315"/>
      <c r="AO86" s="315"/>
      <c r="AP86" s="315"/>
      <c r="AQ86" s="317"/>
    </row>
    <row r="87" spans="1:43" s="378" customFormat="1" ht="44.25" customHeight="1">
      <c r="A87" s="313" t="s">
        <v>1502</v>
      </c>
      <c r="B87" s="313" t="s">
        <v>395</v>
      </c>
      <c r="C87" s="314" t="s">
        <v>444</v>
      </c>
      <c r="D87" s="314" t="s">
        <v>1440</v>
      </c>
      <c r="E87" s="314" t="s">
        <v>445</v>
      </c>
      <c r="F87" s="315"/>
      <c r="G87" s="315"/>
      <c r="H87" s="315"/>
      <c r="I87" s="315"/>
      <c r="J87" s="315"/>
      <c r="K87" s="315"/>
      <c r="L87" s="315"/>
      <c r="M87" s="315"/>
      <c r="N87" s="315"/>
      <c r="O87" s="315"/>
      <c r="P87" s="315"/>
      <c r="Q87" s="315"/>
      <c r="R87" s="315"/>
      <c r="S87" s="315"/>
      <c r="T87" s="315"/>
      <c r="U87" s="315"/>
      <c r="V87" s="315"/>
      <c r="W87" s="315"/>
      <c r="X87" s="315"/>
      <c r="Y87" s="315"/>
      <c r="Z87" s="315"/>
      <c r="AA87" s="315">
        <v>1</v>
      </c>
      <c r="AB87" s="315"/>
      <c r="AC87" s="315"/>
      <c r="AD87" s="315"/>
      <c r="AE87" s="315"/>
      <c r="AF87" s="315"/>
      <c r="AG87" s="315"/>
      <c r="AH87" s="315"/>
      <c r="AI87" s="315"/>
      <c r="AJ87" s="315"/>
      <c r="AK87" s="315"/>
      <c r="AL87" s="315">
        <v>1</v>
      </c>
      <c r="AM87" s="315"/>
      <c r="AN87" s="315"/>
      <c r="AO87" s="315"/>
      <c r="AP87" s="315"/>
      <c r="AQ87" s="317"/>
    </row>
    <row r="88" spans="1:43" s="378" customFormat="1" ht="44.25" customHeight="1">
      <c r="A88" s="313" t="s">
        <v>1502</v>
      </c>
      <c r="B88" s="313" t="s">
        <v>395</v>
      </c>
      <c r="C88" s="314" t="s">
        <v>446</v>
      </c>
      <c r="D88" s="314" t="s">
        <v>1426</v>
      </c>
      <c r="E88" s="314" t="s">
        <v>447</v>
      </c>
      <c r="F88" s="315"/>
      <c r="G88" s="315"/>
      <c r="H88" s="315"/>
      <c r="I88" s="315"/>
      <c r="J88" s="315"/>
      <c r="K88" s="315">
        <v>1</v>
      </c>
      <c r="L88" s="315"/>
      <c r="M88" s="315"/>
      <c r="N88" s="315"/>
      <c r="O88" s="315"/>
      <c r="P88" s="315">
        <v>1</v>
      </c>
      <c r="Q88" s="315">
        <v>1</v>
      </c>
      <c r="R88" s="315">
        <v>1</v>
      </c>
      <c r="S88" s="315"/>
      <c r="T88" s="315">
        <v>1</v>
      </c>
      <c r="U88" s="315">
        <v>1</v>
      </c>
      <c r="V88" s="315"/>
      <c r="W88" s="315"/>
      <c r="X88" s="315">
        <v>1</v>
      </c>
      <c r="Y88" s="315">
        <v>1</v>
      </c>
      <c r="Z88" s="315"/>
      <c r="AA88" s="315">
        <v>1</v>
      </c>
      <c r="AB88" s="315"/>
      <c r="AC88" s="315"/>
      <c r="AD88" s="315"/>
      <c r="AE88" s="315"/>
      <c r="AF88" s="315"/>
      <c r="AG88" s="315"/>
      <c r="AH88" s="315"/>
      <c r="AI88" s="315"/>
      <c r="AJ88" s="315"/>
      <c r="AK88" s="315"/>
      <c r="AL88" s="315">
        <v>1</v>
      </c>
      <c r="AM88" s="315"/>
      <c r="AN88" s="315"/>
      <c r="AO88" s="315"/>
      <c r="AP88" s="315"/>
      <c r="AQ88" s="317"/>
    </row>
    <row r="89" spans="1:43" s="378" customFormat="1" ht="44.25" customHeight="1">
      <c r="A89" s="313" t="s">
        <v>1502</v>
      </c>
      <c r="B89" s="313" t="s">
        <v>395</v>
      </c>
      <c r="C89" s="314" t="s">
        <v>448</v>
      </c>
      <c r="D89" s="314" t="s">
        <v>1426</v>
      </c>
      <c r="E89" s="314" t="s">
        <v>449</v>
      </c>
      <c r="F89" s="315"/>
      <c r="G89" s="315"/>
      <c r="H89" s="315"/>
      <c r="I89" s="315"/>
      <c r="J89" s="315"/>
      <c r="K89" s="315"/>
      <c r="L89" s="315"/>
      <c r="M89" s="315"/>
      <c r="N89" s="315"/>
      <c r="O89" s="315">
        <v>1</v>
      </c>
      <c r="P89" s="315"/>
      <c r="Q89" s="315">
        <v>1</v>
      </c>
      <c r="R89" s="315"/>
      <c r="S89" s="315">
        <v>1</v>
      </c>
      <c r="T89" s="315"/>
      <c r="U89" s="315">
        <v>1</v>
      </c>
      <c r="V89" s="315"/>
      <c r="W89" s="315"/>
      <c r="X89" s="315"/>
      <c r="Y89" s="315"/>
      <c r="Z89" s="315"/>
      <c r="AA89" s="315"/>
      <c r="AB89" s="315"/>
      <c r="AC89" s="315"/>
      <c r="AD89" s="315"/>
      <c r="AE89" s="315"/>
      <c r="AF89" s="315"/>
      <c r="AG89" s="315"/>
      <c r="AH89" s="315"/>
      <c r="AI89" s="315"/>
      <c r="AJ89" s="315"/>
      <c r="AK89" s="315"/>
      <c r="AL89" s="315"/>
      <c r="AM89" s="315"/>
      <c r="AN89" s="315"/>
      <c r="AO89" s="315"/>
      <c r="AP89" s="315"/>
      <c r="AQ89" s="317"/>
    </row>
    <row r="90" spans="1:43" s="378" customFormat="1" ht="44.25" customHeight="1">
      <c r="A90" s="313" t="s">
        <v>1502</v>
      </c>
      <c r="B90" s="313" t="s">
        <v>395</v>
      </c>
      <c r="C90" s="314" t="s">
        <v>450</v>
      </c>
      <c r="D90" s="314" t="s">
        <v>1444</v>
      </c>
      <c r="E90" s="314" t="s">
        <v>429</v>
      </c>
      <c r="F90" s="315"/>
      <c r="G90" s="315"/>
      <c r="H90" s="315"/>
      <c r="I90" s="315"/>
      <c r="J90" s="315"/>
      <c r="K90" s="315">
        <v>1</v>
      </c>
      <c r="L90" s="315"/>
      <c r="M90" s="315">
        <v>1</v>
      </c>
      <c r="N90" s="315"/>
      <c r="O90" s="315"/>
      <c r="P90" s="315"/>
      <c r="Q90" s="315"/>
      <c r="R90" s="315"/>
      <c r="S90" s="315"/>
      <c r="T90" s="315"/>
      <c r="U90" s="315"/>
      <c r="V90" s="315"/>
      <c r="W90" s="315"/>
      <c r="X90" s="315"/>
      <c r="Y90" s="315"/>
      <c r="Z90" s="315"/>
      <c r="AA90" s="315">
        <v>1</v>
      </c>
      <c r="AB90" s="315"/>
      <c r="AC90" s="315"/>
      <c r="AD90" s="315"/>
      <c r="AE90" s="315"/>
      <c r="AF90" s="315"/>
      <c r="AG90" s="315"/>
      <c r="AH90" s="315"/>
      <c r="AI90" s="315"/>
      <c r="AJ90" s="315"/>
      <c r="AK90" s="315"/>
      <c r="AL90" s="315">
        <v>1</v>
      </c>
      <c r="AM90" s="315"/>
      <c r="AN90" s="315"/>
      <c r="AO90" s="315"/>
      <c r="AP90" s="315"/>
      <c r="AQ90" s="317"/>
    </row>
    <row r="91" spans="1:43" s="378" customFormat="1" ht="44.25" customHeight="1">
      <c r="A91" s="313" t="s">
        <v>1502</v>
      </c>
      <c r="B91" s="313" t="s">
        <v>395</v>
      </c>
      <c r="C91" s="314" t="s">
        <v>451</v>
      </c>
      <c r="D91" s="314" t="s">
        <v>1444</v>
      </c>
      <c r="E91" s="314" t="s">
        <v>431</v>
      </c>
      <c r="F91" s="315"/>
      <c r="G91" s="315"/>
      <c r="H91" s="315"/>
      <c r="I91" s="315"/>
      <c r="J91" s="315"/>
      <c r="K91" s="315"/>
      <c r="L91" s="315"/>
      <c r="M91" s="315">
        <v>1</v>
      </c>
      <c r="N91" s="315"/>
      <c r="O91" s="315"/>
      <c r="P91" s="315"/>
      <c r="Q91" s="315"/>
      <c r="R91" s="315"/>
      <c r="S91" s="315">
        <v>1</v>
      </c>
      <c r="T91" s="315"/>
      <c r="U91" s="315"/>
      <c r="V91" s="315"/>
      <c r="W91" s="315"/>
      <c r="X91" s="315"/>
      <c r="Y91" s="315"/>
      <c r="Z91" s="315"/>
      <c r="AA91" s="315"/>
      <c r="AB91" s="315">
        <v>1</v>
      </c>
      <c r="AC91" s="315">
        <v>1</v>
      </c>
      <c r="AD91" s="315"/>
      <c r="AE91" s="315"/>
      <c r="AF91" s="315"/>
      <c r="AG91" s="315"/>
      <c r="AH91" s="315"/>
      <c r="AI91" s="315"/>
      <c r="AJ91" s="315"/>
      <c r="AK91" s="315"/>
      <c r="AL91" s="315"/>
      <c r="AM91" s="315"/>
      <c r="AN91" s="315"/>
      <c r="AO91" s="315"/>
      <c r="AP91" s="315"/>
      <c r="AQ91" s="317"/>
    </row>
    <row r="92" spans="1:43" s="378" customFormat="1" ht="44.25" customHeight="1">
      <c r="A92" s="313" t="s">
        <v>1502</v>
      </c>
      <c r="B92" s="313" t="s">
        <v>395</v>
      </c>
      <c r="C92" s="314" t="s">
        <v>452</v>
      </c>
      <c r="D92" s="314" t="s">
        <v>1444</v>
      </c>
      <c r="E92" s="314" t="s">
        <v>453</v>
      </c>
      <c r="F92" s="315"/>
      <c r="G92" s="315"/>
      <c r="H92" s="315"/>
      <c r="I92" s="315"/>
      <c r="J92" s="315"/>
      <c r="K92" s="315"/>
      <c r="L92" s="315">
        <v>1</v>
      </c>
      <c r="M92" s="315"/>
      <c r="N92" s="315"/>
      <c r="O92" s="315"/>
      <c r="P92" s="315"/>
      <c r="Q92" s="315"/>
      <c r="R92" s="315"/>
      <c r="S92" s="315">
        <v>1</v>
      </c>
      <c r="T92" s="315"/>
      <c r="U92" s="315"/>
      <c r="V92" s="315"/>
      <c r="W92" s="315"/>
      <c r="X92" s="315"/>
      <c r="Y92" s="315"/>
      <c r="Z92" s="315"/>
      <c r="AA92" s="315">
        <v>1</v>
      </c>
      <c r="AB92" s="315"/>
      <c r="AC92" s="315"/>
      <c r="AD92" s="315"/>
      <c r="AE92" s="315"/>
      <c r="AF92" s="315"/>
      <c r="AG92" s="315"/>
      <c r="AH92" s="315"/>
      <c r="AI92" s="315"/>
      <c r="AJ92" s="315"/>
      <c r="AK92" s="315"/>
      <c r="AL92" s="315">
        <v>1</v>
      </c>
      <c r="AM92" s="315"/>
      <c r="AN92" s="315">
        <v>1</v>
      </c>
      <c r="AO92" s="315"/>
      <c r="AP92" s="315"/>
      <c r="AQ92" s="317"/>
    </row>
    <row r="93" spans="1:43" s="378" customFormat="1" ht="44.25" customHeight="1">
      <c r="A93" s="313" t="s">
        <v>1502</v>
      </c>
      <c r="B93" s="313" t="s">
        <v>395</v>
      </c>
      <c r="C93" s="314" t="s">
        <v>454</v>
      </c>
      <c r="D93" s="314" t="s">
        <v>1442</v>
      </c>
      <c r="E93" s="314" t="s">
        <v>455</v>
      </c>
      <c r="F93" s="315"/>
      <c r="G93" s="315"/>
      <c r="H93" s="315"/>
      <c r="I93" s="315"/>
      <c r="J93" s="315"/>
      <c r="K93" s="315">
        <v>1</v>
      </c>
      <c r="L93" s="315"/>
      <c r="M93" s="315"/>
      <c r="N93" s="315"/>
      <c r="O93" s="315"/>
      <c r="P93" s="315"/>
      <c r="Q93" s="315"/>
      <c r="R93" s="315"/>
      <c r="S93" s="315"/>
      <c r="T93" s="315"/>
      <c r="U93" s="315"/>
      <c r="V93" s="315"/>
      <c r="W93" s="315"/>
      <c r="X93" s="315"/>
      <c r="Y93" s="315"/>
      <c r="Z93" s="315"/>
      <c r="AA93" s="315">
        <v>1</v>
      </c>
      <c r="AB93" s="315"/>
      <c r="AC93" s="315"/>
      <c r="AD93" s="315"/>
      <c r="AE93" s="315"/>
      <c r="AF93" s="315"/>
      <c r="AG93" s="315"/>
      <c r="AH93" s="315"/>
      <c r="AI93" s="315"/>
      <c r="AJ93" s="315"/>
      <c r="AK93" s="315"/>
      <c r="AL93" s="315"/>
      <c r="AM93" s="315"/>
      <c r="AN93" s="315"/>
      <c r="AO93" s="315"/>
      <c r="AP93" s="315"/>
      <c r="AQ93" s="317"/>
    </row>
    <row r="94" spans="1:43" s="378" customFormat="1" ht="44.25" customHeight="1">
      <c r="A94" s="313" t="s">
        <v>1502</v>
      </c>
      <c r="B94" s="313" t="s">
        <v>395</v>
      </c>
      <c r="C94" s="314" t="s">
        <v>456</v>
      </c>
      <c r="D94" s="314" t="s">
        <v>1444</v>
      </c>
      <c r="E94" s="314" t="s">
        <v>457</v>
      </c>
      <c r="F94" s="315"/>
      <c r="G94" s="315"/>
      <c r="H94" s="315"/>
      <c r="I94" s="315"/>
      <c r="J94" s="315"/>
      <c r="K94" s="315"/>
      <c r="L94" s="315"/>
      <c r="M94" s="315"/>
      <c r="N94" s="315"/>
      <c r="O94" s="315"/>
      <c r="P94" s="315"/>
      <c r="Q94" s="315"/>
      <c r="R94" s="315"/>
      <c r="S94" s="315">
        <v>1</v>
      </c>
      <c r="T94" s="315"/>
      <c r="U94" s="315"/>
      <c r="V94" s="315"/>
      <c r="W94" s="315"/>
      <c r="X94" s="315"/>
      <c r="Y94" s="315"/>
      <c r="Z94" s="315"/>
      <c r="AA94" s="315">
        <v>1</v>
      </c>
      <c r="AB94" s="315"/>
      <c r="AC94" s="315"/>
      <c r="AD94" s="315"/>
      <c r="AE94" s="315"/>
      <c r="AF94" s="315"/>
      <c r="AG94" s="315"/>
      <c r="AH94" s="315"/>
      <c r="AI94" s="315"/>
      <c r="AJ94" s="315"/>
      <c r="AK94" s="315"/>
      <c r="AL94" s="315">
        <v>1</v>
      </c>
      <c r="AM94" s="315"/>
      <c r="AN94" s="315"/>
      <c r="AO94" s="315"/>
      <c r="AP94" s="315"/>
      <c r="AQ94" s="317"/>
    </row>
    <row r="95" spans="1:43" s="378" customFormat="1" ht="44.25" customHeight="1">
      <c r="A95" s="313" t="s">
        <v>1502</v>
      </c>
      <c r="B95" s="313" t="s">
        <v>395</v>
      </c>
      <c r="C95" s="314" t="s">
        <v>458</v>
      </c>
      <c r="D95" s="314" t="s">
        <v>1444</v>
      </c>
      <c r="E95" s="314" t="s">
        <v>459</v>
      </c>
      <c r="F95" s="315"/>
      <c r="G95" s="315"/>
      <c r="H95" s="315"/>
      <c r="I95" s="315"/>
      <c r="J95" s="315"/>
      <c r="K95" s="315"/>
      <c r="L95" s="315"/>
      <c r="M95" s="315">
        <v>1</v>
      </c>
      <c r="N95" s="315"/>
      <c r="O95" s="315"/>
      <c r="P95" s="315"/>
      <c r="Q95" s="315"/>
      <c r="R95" s="315"/>
      <c r="S95" s="315"/>
      <c r="T95" s="315"/>
      <c r="U95" s="315"/>
      <c r="V95" s="315"/>
      <c r="W95" s="315"/>
      <c r="X95" s="315"/>
      <c r="Y95" s="315"/>
      <c r="Z95" s="315"/>
      <c r="AA95" s="315">
        <v>1</v>
      </c>
      <c r="AB95" s="315">
        <v>1</v>
      </c>
      <c r="AC95" s="315">
        <v>1</v>
      </c>
      <c r="AD95" s="315"/>
      <c r="AE95" s="315"/>
      <c r="AF95" s="315"/>
      <c r="AG95" s="315"/>
      <c r="AH95" s="315"/>
      <c r="AI95" s="315"/>
      <c r="AJ95" s="315"/>
      <c r="AK95" s="315"/>
      <c r="AL95" s="315"/>
      <c r="AM95" s="315"/>
      <c r="AN95" s="315"/>
      <c r="AO95" s="315"/>
      <c r="AP95" s="315"/>
      <c r="AQ95" s="317"/>
    </row>
    <row r="96" spans="1:43" s="378" customFormat="1" ht="44.25" customHeight="1">
      <c r="A96" s="313" t="s">
        <v>1502</v>
      </c>
      <c r="B96" s="313" t="s">
        <v>395</v>
      </c>
      <c r="C96" s="314" t="s">
        <v>460</v>
      </c>
      <c r="D96" s="314" t="s">
        <v>1458</v>
      </c>
      <c r="E96" s="314" t="s">
        <v>461</v>
      </c>
      <c r="F96" s="315"/>
      <c r="G96" s="315"/>
      <c r="H96" s="315"/>
      <c r="I96" s="315"/>
      <c r="J96" s="315"/>
      <c r="K96" s="315">
        <v>1</v>
      </c>
      <c r="L96" s="315"/>
      <c r="M96" s="315"/>
      <c r="N96" s="315"/>
      <c r="O96" s="315"/>
      <c r="P96" s="315"/>
      <c r="Q96" s="315"/>
      <c r="R96" s="315"/>
      <c r="S96" s="315">
        <v>1</v>
      </c>
      <c r="T96" s="315"/>
      <c r="U96" s="315"/>
      <c r="V96" s="315"/>
      <c r="W96" s="315"/>
      <c r="X96" s="315"/>
      <c r="Y96" s="315"/>
      <c r="Z96" s="315"/>
      <c r="AA96" s="315">
        <v>1</v>
      </c>
      <c r="AB96" s="315"/>
      <c r="AC96" s="315"/>
      <c r="AD96" s="315"/>
      <c r="AE96" s="315"/>
      <c r="AF96" s="315"/>
      <c r="AG96" s="315"/>
      <c r="AH96" s="315"/>
      <c r="AI96" s="315"/>
      <c r="AJ96" s="315"/>
      <c r="AK96" s="315"/>
      <c r="AL96" s="315"/>
      <c r="AM96" s="315"/>
      <c r="AN96" s="315"/>
      <c r="AO96" s="315"/>
      <c r="AP96" s="315"/>
      <c r="AQ96" s="317"/>
    </row>
    <row r="97" spans="1:43" s="378" customFormat="1" ht="44.25" customHeight="1">
      <c r="A97" s="313" t="s">
        <v>1502</v>
      </c>
      <c r="B97" s="313" t="s">
        <v>395</v>
      </c>
      <c r="C97" s="314" t="s">
        <v>462</v>
      </c>
      <c r="D97" s="314" t="s">
        <v>1442</v>
      </c>
      <c r="E97" s="314" t="s">
        <v>443</v>
      </c>
      <c r="F97" s="315"/>
      <c r="G97" s="315"/>
      <c r="H97" s="315"/>
      <c r="I97" s="315"/>
      <c r="J97" s="315"/>
      <c r="K97" s="315">
        <v>1</v>
      </c>
      <c r="L97" s="315"/>
      <c r="M97" s="315"/>
      <c r="N97" s="315"/>
      <c r="O97" s="315"/>
      <c r="P97" s="315"/>
      <c r="Q97" s="315"/>
      <c r="R97" s="315"/>
      <c r="S97" s="315">
        <v>1</v>
      </c>
      <c r="T97" s="315"/>
      <c r="U97" s="315"/>
      <c r="V97" s="315"/>
      <c r="W97" s="315"/>
      <c r="X97" s="315"/>
      <c r="Y97" s="315"/>
      <c r="Z97" s="315"/>
      <c r="AA97" s="315">
        <v>1</v>
      </c>
      <c r="AB97" s="315"/>
      <c r="AC97" s="315"/>
      <c r="AD97" s="315"/>
      <c r="AE97" s="315"/>
      <c r="AF97" s="315"/>
      <c r="AG97" s="315"/>
      <c r="AH97" s="315"/>
      <c r="AI97" s="315">
        <v>1</v>
      </c>
      <c r="AJ97" s="315"/>
      <c r="AK97" s="315"/>
      <c r="AL97" s="315"/>
      <c r="AM97" s="315"/>
      <c r="AN97" s="315"/>
      <c r="AO97" s="315"/>
      <c r="AP97" s="315"/>
      <c r="AQ97" s="317"/>
    </row>
    <row r="98" spans="1:43" s="378" customFormat="1" ht="44.25" customHeight="1">
      <c r="A98" s="313" t="s">
        <v>1502</v>
      </c>
      <c r="B98" s="313" t="s">
        <v>395</v>
      </c>
      <c r="C98" s="314" t="s">
        <v>463</v>
      </c>
      <c r="D98" s="314" t="s">
        <v>1426</v>
      </c>
      <c r="E98" s="314" t="s">
        <v>464</v>
      </c>
      <c r="F98" s="315"/>
      <c r="G98" s="315"/>
      <c r="H98" s="315"/>
      <c r="I98" s="315"/>
      <c r="J98" s="315"/>
      <c r="K98" s="315">
        <v>1</v>
      </c>
      <c r="L98" s="315"/>
      <c r="M98" s="315"/>
      <c r="N98" s="315"/>
      <c r="O98" s="315"/>
      <c r="P98" s="315">
        <v>1</v>
      </c>
      <c r="Q98" s="315">
        <v>1</v>
      </c>
      <c r="R98" s="315">
        <v>1</v>
      </c>
      <c r="S98" s="315">
        <v>1</v>
      </c>
      <c r="T98" s="315">
        <v>1</v>
      </c>
      <c r="U98" s="315">
        <v>1</v>
      </c>
      <c r="V98" s="315"/>
      <c r="W98" s="315"/>
      <c r="X98" s="315"/>
      <c r="Y98" s="315"/>
      <c r="Z98" s="315"/>
      <c r="AA98" s="315">
        <v>1</v>
      </c>
      <c r="AB98" s="315"/>
      <c r="AC98" s="315"/>
      <c r="AD98" s="315"/>
      <c r="AE98" s="315"/>
      <c r="AF98" s="315"/>
      <c r="AG98" s="315"/>
      <c r="AH98" s="315"/>
      <c r="AI98" s="315"/>
      <c r="AJ98" s="315"/>
      <c r="AK98" s="315"/>
      <c r="AL98" s="315"/>
      <c r="AM98" s="315"/>
      <c r="AN98" s="315">
        <v>1</v>
      </c>
      <c r="AO98" s="315">
        <v>1</v>
      </c>
      <c r="AP98" s="315"/>
      <c r="AQ98" s="317"/>
    </row>
    <row r="99" spans="1:43" s="378" customFormat="1" ht="44.25" customHeight="1">
      <c r="A99" s="313" t="s">
        <v>1502</v>
      </c>
      <c r="B99" s="313" t="s">
        <v>395</v>
      </c>
      <c r="C99" s="314" t="s">
        <v>465</v>
      </c>
      <c r="D99" s="314" t="s">
        <v>1440</v>
      </c>
      <c r="E99" s="314"/>
      <c r="F99" s="315"/>
      <c r="G99" s="315"/>
      <c r="H99" s="315"/>
      <c r="I99" s="315"/>
      <c r="J99" s="315"/>
      <c r="K99" s="315">
        <v>1</v>
      </c>
      <c r="L99" s="315"/>
      <c r="M99" s="315"/>
      <c r="N99" s="315"/>
      <c r="O99" s="315"/>
      <c r="P99" s="315"/>
      <c r="Q99" s="315"/>
      <c r="R99" s="315"/>
      <c r="S99" s="315">
        <v>1</v>
      </c>
      <c r="T99" s="315"/>
      <c r="U99" s="315"/>
      <c r="V99" s="315"/>
      <c r="W99" s="315"/>
      <c r="X99" s="315"/>
      <c r="Y99" s="315"/>
      <c r="Z99" s="315"/>
      <c r="AA99" s="315">
        <v>1</v>
      </c>
      <c r="AB99" s="315"/>
      <c r="AC99" s="315"/>
      <c r="AD99" s="315"/>
      <c r="AE99" s="315"/>
      <c r="AF99" s="315"/>
      <c r="AG99" s="315"/>
      <c r="AH99" s="315"/>
      <c r="AI99" s="315">
        <v>1</v>
      </c>
      <c r="AJ99" s="315"/>
      <c r="AK99" s="315"/>
      <c r="AL99" s="315"/>
      <c r="AM99" s="315"/>
      <c r="AN99" s="315"/>
      <c r="AO99" s="315"/>
      <c r="AP99" s="315"/>
      <c r="AQ99" s="317"/>
    </row>
    <row r="100" spans="1:43" s="378" customFormat="1" ht="44.25" customHeight="1">
      <c r="A100" s="313" t="s">
        <v>1502</v>
      </c>
      <c r="B100" s="313" t="s">
        <v>395</v>
      </c>
      <c r="C100" s="314" t="s">
        <v>466</v>
      </c>
      <c r="D100" s="314" t="s">
        <v>1440</v>
      </c>
      <c r="E100" s="314" t="s">
        <v>467</v>
      </c>
      <c r="F100" s="315"/>
      <c r="G100" s="315"/>
      <c r="H100" s="315"/>
      <c r="I100" s="315"/>
      <c r="J100" s="315"/>
      <c r="K100" s="315">
        <v>1</v>
      </c>
      <c r="L100" s="315"/>
      <c r="M100" s="315"/>
      <c r="N100" s="315"/>
      <c r="O100" s="315"/>
      <c r="P100" s="315"/>
      <c r="Q100" s="315"/>
      <c r="R100" s="315"/>
      <c r="S100" s="315">
        <v>1</v>
      </c>
      <c r="T100" s="315"/>
      <c r="U100" s="315"/>
      <c r="V100" s="315"/>
      <c r="W100" s="315"/>
      <c r="X100" s="315"/>
      <c r="Y100" s="315"/>
      <c r="Z100" s="315"/>
      <c r="AA100" s="315">
        <v>1</v>
      </c>
      <c r="AB100" s="315"/>
      <c r="AC100" s="315"/>
      <c r="AD100" s="315"/>
      <c r="AE100" s="315"/>
      <c r="AF100" s="315"/>
      <c r="AG100" s="315"/>
      <c r="AH100" s="315"/>
      <c r="AI100" s="315"/>
      <c r="AJ100" s="315"/>
      <c r="AK100" s="315"/>
      <c r="AL100" s="315"/>
      <c r="AM100" s="315"/>
      <c r="AN100" s="315">
        <v>1</v>
      </c>
      <c r="AO100" s="315"/>
      <c r="AP100" s="315"/>
      <c r="AQ100" s="317"/>
    </row>
    <row r="101" spans="1:43" s="378" customFormat="1" ht="44.25" customHeight="1">
      <c r="A101" s="313" t="s">
        <v>1502</v>
      </c>
      <c r="B101" s="313" t="s">
        <v>395</v>
      </c>
      <c r="C101" s="314" t="s">
        <v>468</v>
      </c>
      <c r="D101" s="314" t="s">
        <v>1426</v>
      </c>
      <c r="E101" s="314" t="s">
        <v>469</v>
      </c>
      <c r="F101" s="315"/>
      <c r="G101" s="315"/>
      <c r="H101" s="315"/>
      <c r="I101" s="315"/>
      <c r="J101" s="315"/>
      <c r="K101" s="315">
        <v>1</v>
      </c>
      <c r="L101" s="315">
        <v>1</v>
      </c>
      <c r="M101" s="315">
        <v>1</v>
      </c>
      <c r="N101" s="315"/>
      <c r="O101" s="315"/>
      <c r="P101" s="315"/>
      <c r="Q101" s="315"/>
      <c r="R101" s="315">
        <v>1</v>
      </c>
      <c r="S101" s="315">
        <v>1</v>
      </c>
      <c r="T101" s="315"/>
      <c r="U101" s="315">
        <v>1</v>
      </c>
      <c r="V101" s="315"/>
      <c r="W101" s="315"/>
      <c r="X101" s="315"/>
      <c r="Y101" s="315"/>
      <c r="Z101" s="315"/>
      <c r="AA101" s="315">
        <v>1</v>
      </c>
      <c r="AB101" s="315"/>
      <c r="AC101" s="315"/>
      <c r="AD101" s="315"/>
      <c r="AE101" s="315"/>
      <c r="AF101" s="315"/>
      <c r="AG101" s="315"/>
      <c r="AH101" s="315"/>
      <c r="AI101" s="315">
        <v>1</v>
      </c>
      <c r="AJ101" s="315"/>
      <c r="AK101" s="315"/>
      <c r="AL101" s="315"/>
      <c r="AM101" s="315"/>
      <c r="AN101" s="315"/>
      <c r="AO101" s="315"/>
      <c r="AP101" s="315"/>
      <c r="AQ101" s="317"/>
    </row>
    <row r="102" spans="1:43" s="378" customFormat="1" ht="44.25" customHeight="1">
      <c r="A102" s="313" t="s">
        <v>1502</v>
      </c>
      <c r="B102" s="313" t="s">
        <v>395</v>
      </c>
      <c r="C102" s="314" t="s">
        <v>470</v>
      </c>
      <c r="D102" s="314" t="s">
        <v>1426</v>
      </c>
      <c r="E102" s="314" t="s">
        <v>449</v>
      </c>
      <c r="F102" s="315"/>
      <c r="G102" s="315"/>
      <c r="H102" s="315"/>
      <c r="I102" s="315"/>
      <c r="J102" s="315"/>
      <c r="K102" s="315">
        <v>1</v>
      </c>
      <c r="L102" s="315"/>
      <c r="M102" s="315"/>
      <c r="N102" s="315"/>
      <c r="O102" s="315"/>
      <c r="P102" s="315"/>
      <c r="Q102" s="315"/>
      <c r="R102" s="315">
        <v>1</v>
      </c>
      <c r="S102" s="315">
        <v>1</v>
      </c>
      <c r="T102" s="315">
        <v>1</v>
      </c>
      <c r="U102" s="315">
        <v>1</v>
      </c>
      <c r="V102" s="315"/>
      <c r="W102" s="315"/>
      <c r="X102" s="315"/>
      <c r="Y102" s="315"/>
      <c r="Z102" s="315"/>
      <c r="AA102" s="315">
        <v>1</v>
      </c>
      <c r="AB102" s="315"/>
      <c r="AC102" s="315"/>
      <c r="AD102" s="315"/>
      <c r="AE102" s="315"/>
      <c r="AF102" s="315"/>
      <c r="AG102" s="315"/>
      <c r="AH102" s="315"/>
      <c r="AI102" s="315">
        <v>1</v>
      </c>
      <c r="AJ102" s="315"/>
      <c r="AK102" s="315"/>
      <c r="AL102" s="315"/>
      <c r="AM102" s="315"/>
      <c r="AN102" s="315"/>
      <c r="AO102" s="315">
        <v>1</v>
      </c>
      <c r="AP102" s="315"/>
      <c r="AQ102" s="317"/>
    </row>
    <row r="103" spans="1:43" s="378" customFormat="1" ht="44.25" customHeight="1">
      <c r="A103" s="313" t="s">
        <v>1502</v>
      </c>
      <c r="B103" s="313" t="s">
        <v>395</v>
      </c>
      <c r="C103" s="314" t="s">
        <v>471</v>
      </c>
      <c r="D103" s="314" t="s">
        <v>1426</v>
      </c>
      <c r="E103" s="314" t="s">
        <v>472</v>
      </c>
      <c r="F103" s="315"/>
      <c r="G103" s="315"/>
      <c r="H103" s="315"/>
      <c r="I103" s="315"/>
      <c r="J103" s="315"/>
      <c r="K103" s="315">
        <v>1</v>
      </c>
      <c r="L103" s="315"/>
      <c r="M103" s="315"/>
      <c r="N103" s="315"/>
      <c r="O103" s="315"/>
      <c r="P103" s="315"/>
      <c r="Q103" s="315"/>
      <c r="R103" s="315"/>
      <c r="S103" s="315">
        <v>1</v>
      </c>
      <c r="T103" s="315"/>
      <c r="U103" s="315"/>
      <c r="V103" s="315"/>
      <c r="W103" s="315"/>
      <c r="X103" s="315"/>
      <c r="Y103" s="315"/>
      <c r="Z103" s="315"/>
      <c r="AA103" s="315">
        <v>1</v>
      </c>
      <c r="AB103" s="315"/>
      <c r="AC103" s="315"/>
      <c r="AD103" s="315"/>
      <c r="AE103" s="315"/>
      <c r="AF103" s="315"/>
      <c r="AG103" s="315"/>
      <c r="AH103" s="315"/>
      <c r="AI103" s="315"/>
      <c r="AJ103" s="315"/>
      <c r="AK103" s="315"/>
      <c r="AL103" s="315"/>
      <c r="AM103" s="315"/>
      <c r="AN103" s="315"/>
      <c r="AO103" s="315"/>
      <c r="AP103" s="315"/>
      <c r="AQ103" s="317"/>
    </row>
    <row r="104" spans="1:43" s="378" customFormat="1" ht="44.25" customHeight="1">
      <c r="A104" s="313" t="s">
        <v>1502</v>
      </c>
      <c r="B104" s="313" t="s">
        <v>395</v>
      </c>
      <c r="C104" s="314" t="s">
        <v>473</v>
      </c>
      <c r="D104" s="314" t="s">
        <v>1426</v>
      </c>
      <c r="E104" s="314" t="s">
        <v>472</v>
      </c>
      <c r="F104" s="315"/>
      <c r="G104" s="315"/>
      <c r="H104" s="315"/>
      <c r="I104" s="315"/>
      <c r="J104" s="315"/>
      <c r="K104" s="315">
        <v>1</v>
      </c>
      <c r="L104" s="315"/>
      <c r="M104" s="315">
        <v>1</v>
      </c>
      <c r="N104" s="315"/>
      <c r="O104" s="315"/>
      <c r="P104" s="315"/>
      <c r="Q104" s="315"/>
      <c r="R104" s="315"/>
      <c r="S104" s="315">
        <v>1</v>
      </c>
      <c r="T104" s="315"/>
      <c r="U104" s="315"/>
      <c r="V104" s="315"/>
      <c r="W104" s="315"/>
      <c r="X104" s="315"/>
      <c r="Y104" s="315"/>
      <c r="Z104" s="315"/>
      <c r="AA104" s="315">
        <v>1</v>
      </c>
      <c r="AB104" s="315"/>
      <c r="AC104" s="315"/>
      <c r="AD104" s="315"/>
      <c r="AE104" s="315"/>
      <c r="AF104" s="315"/>
      <c r="AG104" s="315"/>
      <c r="AH104" s="315"/>
      <c r="AI104" s="315"/>
      <c r="AJ104" s="315"/>
      <c r="AK104" s="315"/>
      <c r="AL104" s="315"/>
      <c r="AM104" s="315">
        <v>1</v>
      </c>
      <c r="AN104" s="315"/>
      <c r="AO104" s="315"/>
      <c r="AP104" s="315"/>
      <c r="AQ104" s="317"/>
    </row>
    <row r="105" spans="1:43" s="378" customFormat="1" ht="44.25" customHeight="1">
      <c r="A105" s="313" t="s">
        <v>1502</v>
      </c>
      <c r="B105" s="313" t="s">
        <v>395</v>
      </c>
      <c r="C105" s="314" t="s">
        <v>474</v>
      </c>
      <c r="D105" s="314" t="s">
        <v>1444</v>
      </c>
      <c r="E105" s="314"/>
      <c r="F105" s="315"/>
      <c r="G105" s="315"/>
      <c r="H105" s="315"/>
      <c r="I105" s="315"/>
      <c r="J105" s="315"/>
      <c r="K105" s="315"/>
      <c r="L105" s="315"/>
      <c r="M105" s="315"/>
      <c r="N105" s="315"/>
      <c r="O105" s="315"/>
      <c r="P105" s="315"/>
      <c r="Q105" s="315"/>
      <c r="R105" s="315"/>
      <c r="S105" s="315">
        <v>1</v>
      </c>
      <c r="T105" s="315"/>
      <c r="U105" s="315"/>
      <c r="V105" s="315"/>
      <c r="W105" s="315"/>
      <c r="X105" s="315"/>
      <c r="Y105" s="315"/>
      <c r="Z105" s="315"/>
      <c r="AA105" s="315">
        <v>1</v>
      </c>
      <c r="AB105" s="315"/>
      <c r="AC105" s="315"/>
      <c r="AD105" s="315"/>
      <c r="AE105" s="315"/>
      <c r="AF105" s="315"/>
      <c r="AG105" s="315"/>
      <c r="AH105" s="315"/>
      <c r="AI105" s="315"/>
      <c r="AJ105" s="315"/>
      <c r="AK105" s="315"/>
      <c r="AL105" s="315"/>
      <c r="AM105" s="315"/>
      <c r="AN105" s="315"/>
      <c r="AO105" s="315"/>
      <c r="AP105" s="315"/>
      <c r="AQ105" s="317"/>
    </row>
    <row r="106" spans="1:43" s="378" customFormat="1" ht="44.25" customHeight="1">
      <c r="A106" s="313" t="s">
        <v>1502</v>
      </c>
      <c r="B106" s="313" t="s">
        <v>395</v>
      </c>
      <c r="C106" s="314" t="s">
        <v>475</v>
      </c>
      <c r="D106" s="314" t="s">
        <v>1426</v>
      </c>
      <c r="E106" s="314" t="s">
        <v>476</v>
      </c>
      <c r="F106" s="315"/>
      <c r="G106" s="315"/>
      <c r="H106" s="315"/>
      <c r="I106" s="315"/>
      <c r="J106" s="315"/>
      <c r="K106" s="315">
        <v>1</v>
      </c>
      <c r="L106" s="315"/>
      <c r="M106" s="315"/>
      <c r="N106" s="315"/>
      <c r="O106" s="315">
        <v>1</v>
      </c>
      <c r="P106" s="315"/>
      <c r="Q106" s="315">
        <v>1</v>
      </c>
      <c r="R106" s="315"/>
      <c r="S106" s="315">
        <v>1</v>
      </c>
      <c r="T106" s="315"/>
      <c r="U106" s="315"/>
      <c r="V106" s="315"/>
      <c r="W106" s="315"/>
      <c r="X106" s="315"/>
      <c r="Y106" s="315"/>
      <c r="Z106" s="315"/>
      <c r="AA106" s="315">
        <v>1</v>
      </c>
      <c r="AB106" s="315"/>
      <c r="AC106" s="315"/>
      <c r="AD106" s="315"/>
      <c r="AE106" s="315"/>
      <c r="AF106" s="315"/>
      <c r="AG106" s="315"/>
      <c r="AH106" s="315"/>
      <c r="AI106" s="315"/>
      <c r="AJ106" s="315"/>
      <c r="AK106" s="315"/>
      <c r="AL106" s="315"/>
      <c r="AM106" s="315"/>
      <c r="AN106" s="315"/>
      <c r="AO106" s="315"/>
      <c r="AP106" s="315"/>
      <c r="AQ106" s="317"/>
    </row>
    <row r="107" spans="1:43" s="378" customFormat="1" ht="44.25" customHeight="1">
      <c r="A107" s="313" t="s">
        <v>1502</v>
      </c>
      <c r="B107" s="313" t="s">
        <v>395</v>
      </c>
      <c r="C107" s="314" t="s">
        <v>477</v>
      </c>
      <c r="D107" s="314" t="s">
        <v>1444</v>
      </c>
      <c r="E107" s="314" t="s">
        <v>478</v>
      </c>
      <c r="F107" s="315"/>
      <c r="G107" s="315"/>
      <c r="H107" s="315"/>
      <c r="I107" s="315"/>
      <c r="J107" s="315"/>
      <c r="K107" s="315">
        <v>1</v>
      </c>
      <c r="L107" s="315"/>
      <c r="M107" s="315"/>
      <c r="N107" s="315"/>
      <c r="O107" s="315"/>
      <c r="P107" s="315"/>
      <c r="Q107" s="315"/>
      <c r="R107" s="315"/>
      <c r="S107" s="315">
        <v>1</v>
      </c>
      <c r="T107" s="315"/>
      <c r="U107" s="315"/>
      <c r="V107" s="315"/>
      <c r="W107" s="315"/>
      <c r="X107" s="315"/>
      <c r="Y107" s="315"/>
      <c r="Z107" s="315"/>
      <c r="AA107" s="315">
        <v>1</v>
      </c>
      <c r="AB107" s="315"/>
      <c r="AC107" s="315"/>
      <c r="AD107" s="315"/>
      <c r="AE107" s="315"/>
      <c r="AF107" s="315"/>
      <c r="AG107" s="315"/>
      <c r="AH107" s="315"/>
      <c r="AI107" s="315"/>
      <c r="AJ107" s="315"/>
      <c r="AK107" s="315"/>
      <c r="AL107" s="315"/>
      <c r="AM107" s="315"/>
      <c r="AN107" s="315"/>
      <c r="AO107" s="315"/>
      <c r="AP107" s="315"/>
      <c r="AQ107" s="317"/>
    </row>
    <row r="108" spans="1:43" s="378" customFormat="1" ht="44.25" customHeight="1">
      <c r="A108" s="313" t="s">
        <v>1502</v>
      </c>
      <c r="B108" s="313" t="s">
        <v>395</v>
      </c>
      <c r="C108" s="314" t="s">
        <v>479</v>
      </c>
      <c r="D108" s="314" t="s">
        <v>1440</v>
      </c>
      <c r="E108" s="314" t="s">
        <v>480</v>
      </c>
      <c r="F108" s="315"/>
      <c r="G108" s="315"/>
      <c r="H108" s="315"/>
      <c r="I108" s="315"/>
      <c r="J108" s="315">
        <v>1</v>
      </c>
      <c r="K108" s="315">
        <v>1</v>
      </c>
      <c r="L108" s="315"/>
      <c r="M108" s="315"/>
      <c r="N108" s="315"/>
      <c r="O108" s="315"/>
      <c r="P108" s="315"/>
      <c r="Q108" s="315"/>
      <c r="R108" s="315"/>
      <c r="S108" s="315">
        <v>1</v>
      </c>
      <c r="T108" s="315"/>
      <c r="U108" s="315"/>
      <c r="V108" s="315"/>
      <c r="W108" s="315"/>
      <c r="X108" s="315"/>
      <c r="Y108" s="315"/>
      <c r="Z108" s="315"/>
      <c r="AA108" s="315">
        <v>1</v>
      </c>
      <c r="AB108" s="315"/>
      <c r="AC108" s="315"/>
      <c r="AD108" s="315"/>
      <c r="AE108" s="315"/>
      <c r="AF108" s="315"/>
      <c r="AG108" s="315"/>
      <c r="AH108" s="315"/>
      <c r="AI108" s="315">
        <v>1</v>
      </c>
      <c r="AJ108" s="315"/>
      <c r="AK108" s="315"/>
      <c r="AL108" s="315"/>
      <c r="AM108" s="315"/>
      <c r="AN108" s="315"/>
      <c r="AO108" s="315">
        <v>1</v>
      </c>
      <c r="AP108" s="315"/>
      <c r="AQ108" s="317"/>
    </row>
    <row r="109" spans="1:43" s="378" customFormat="1" ht="44.25" customHeight="1">
      <c r="A109" s="313" t="s">
        <v>1502</v>
      </c>
      <c r="B109" s="313" t="s">
        <v>395</v>
      </c>
      <c r="C109" s="314" t="s">
        <v>481</v>
      </c>
      <c r="D109" s="314" t="s">
        <v>1440</v>
      </c>
      <c r="E109" s="314" t="s">
        <v>482</v>
      </c>
      <c r="F109" s="315"/>
      <c r="G109" s="315"/>
      <c r="H109" s="315"/>
      <c r="I109" s="315"/>
      <c r="J109" s="315"/>
      <c r="K109" s="315"/>
      <c r="L109" s="315"/>
      <c r="M109" s="315"/>
      <c r="N109" s="315"/>
      <c r="O109" s="315"/>
      <c r="P109" s="315"/>
      <c r="Q109" s="315"/>
      <c r="R109" s="315"/>
      <c r="S109" s="315">
        <v>1</v>
      </c>
      <c r="T109" s="315"/>
      <c r="U109" s="315"/>
      <c r="V109" s="315"/>
      <c r="W109" s="315"/>
      <c r="X109" s="315"/>
      <c r="Y109" s="315"/>
      <c r="Z109" s="315"/>
      <c r="AA109" s="315">
        <v>1</v>
      </c>
      <c r="AB109" s="315"/>
      <c r="AC109" s="315"/>
      <c r="AD109" s="315"/>
      <c r="AE109" s="315"/>
      <c r="AF109" s="315"/>
      <c r="AG109" s="315"/>
      <c r="AH109" s="315"/>
      <c r="AI109" s="315"/>
      <c r="AJ109" s="315"/>
      <c r="AK109" s="315"/>
      <c r="AL109" s="315"/>
      <c r="AM109" s="315"/>
      <c r="AN109" s="315"/>
      <c r="AO109" s="315"/>
      <c r="AP109" s="315"/>
      <c r="AQ109" s="317"/>
    </row>
    <row r="110" spans="1:43" s="378" customFormat="1" ht="44.25" customHeight="1">
      <c r="A110" s="313" t="s">
        <v>1502</v>
      </c>
      <c r="B110" s="313" t="s">
        <v>395</v>
      </c>
      <c r="C110" s="314" t="s">
        <v>483</v>
      </c>
      <c r="D110" s="314" t="s">
        <v>1444</v>
      </c>
      <c r="E110" s="314" t="s">
        <v>484</v>
      </c>
      <c r="F110" s="315"/>
      <c r="G110" s="315"/>
      <c r="H110" s="315"/>
      <c r="I110" s="315"/>
      <c r="J110" s="315"/>
      <c r="K110" s="315">
        <v>1</v>
      </c>
      <c r="L110" s="315"/>
      <c r="M110" s="315"/>
      <c r="N110" s="315"/>
      <c r="O110" s="315"/>
      <c r="P110" s="315"/>
      <c r="Q110" s="315"/>
      <c r="R110" s="315"/>
      <c r="S110" s="315">
        <v>1</v>
      </c>
      <c r="T110" s="315"/>
      <c r="U110" s="315"/>
      <c r="V110" s="315"/>
      <c r="W110" s="315"/>
      <c r="X110" s="315"/>
      <c r="Y110" s="315"/>
      <c r="Z110" s="315"/>
      <c r="AA110" s="315">
        <v>1</v>
      </c>
      <c r="AB110" s="315"/>
      <c r="AC110" s="315"/>
      <c r="AD110" s="315"/>
      <c r="AE110" s="315"/>
      <c r="AF110" s="315"/>
      <c r="AG110" s="315"/>
      <c r="AH110" s="315"/>
      <c r="AI110" s="315"/>
      <c r="AJ110" s="315">
        <v>1</v>
      </c>
      <c r="AK110" s="315">
        <v>1</v>
      </c>
      <c r="AL110" s="315"/>
      <c r="AM110" s="315"/>
      <c r="AN110" s="315"/>
      <c r="AO110" s="315"/>
      <c r="AP110" s="315"/>
      <c r="AQ110" s="317"/>
    </row>
    <row r="111" spans="1:43" s="378" customFormat="1" ht="44.25" customHeight="1">
      <c r="A111" s="313" t="s">
        <v>1502</v>
      </c>
      <c r="B111" s="313" t="s">
        <v>395</v>
      </c>
      <c r="C111" s="314" t="s">
        <v>485</v>
      </c>
      <c r="D111" s="314" t="s">
        <v>1430</v>
      </c>
      <c r="E111" s="314" t="s">
        <v>426</v>
      </c>
      <c r="F111" s="315"/>
      <c r="G111" s="315"/>
      <c r="H111" s="315"/>
      <c r="I111" s="315"/>
      <c r="J111" s="315"/>
      <c r="K111" s="315">
        <v>1</v>
      </c>
      <c r="L111" s="315"/>
      <c r="M111" s="315"/>
      <c r="N111" s="315"/>
      <c r="O111" s="315"/>
      <c r="P111" s="315"/>
      <c r="Q111" s="315"/>
      <c r="R111" s="315"/>
      <c r="S111" s="315">
        <v>1</v>
      </c>
      <c r="T111" s="315"/>
      <c r="U111" s="315"/>
      <c r="V111" s="315"/>
      <c r="W111" s="315"/>
      <c r="X111" s="315"/>
      <c r="Y111" s="315"/>
      <c r="Z111" s="315"/>
      <c r="AA111" s="315">
        <v>1</v>
      </c>
      <c r="AB111" s="315"/>
      <c r="AC111" s="315"/>
      <c r="AD111" s="315"/>
      <c r="AE111" s="315"/>
      <c r="AF111" s="315"/>
      <c r="AG111" s="315"/>
      <c r="AH111" s="315"/>
      <c r="AI111" s="315"/>
      <c r="AJ111" s="315"/>
      <c r="AK111" s="315"/>
      <c r="AL111" s="315"/>
      <c r="AM111" s="315"/>
      <c r="AN111" s="315"/>
      <c r="AO111" s="315"/>
      <c r="AP111" s="315"/>
      <c r="AQ111" s="317"/>
    </row>
    <row r="112" spans="1:43" s="378" customFormat="1" ht="44.25" customHeight="1">
      <c r="A112" s="313" t="s">
        <v>1502</v>
      </c>
      <c r="B112" s="313" t="s">
        <v>395</v>
      </c>
      <c r="C112" s="314" t="s">
        <v>486</v>
      </c>
      <c r="D112" s="314" t="s">
        <v>1444</v>
      </c>
      <c r="E112" s="314" t="s">
        <v>429</v>
      </c>
      <c r="F112" s="315"/>
      <c r="G112" s="315"/>
      <c r="H112" s="315"/>
      <c r="I112" s="315"/>
      <c r="J112" s="315"/>
      <c r="K112" s="315">
        <v>1</v>
      </c>
      <c r="L112" s="315"/>
      <c r="M112" s="315"/>
      <c r="N112" s="315"/>
      <c r="O112" s="315"/>
      <c r="P112" s="315"/>
      <c r="Q112" s="315"/>
      <c r="R112" s="315"/>
      <c r="S112" s="315"/>
      <c r="T112" s="315"/>
      <c r="U112" s="315"/>
      <c r="V112" s="315"/>
      <c r="W112" s="315"/>
      <c r="X112" s="315"/>
      <c r="Y112" s="315"/>
      <c r="Z112" s="315"/>
      <c r="AA112" s="315">
        <v>1</v>
      </c>
      <c r="AB112" s="315"/>
      <c r="AC112" s="315"/>
      <c r="AD112" s="315"/>
      <c r="AE112" s="315"/>
      <c r="AF112" s="315"/>
      <c r="AG112" s="315"/>
      <c r="AH112" s="315"/>
      <c r="AI112" s="315">
        <v>1</v>
      </c>
      <c r="AJ112" s="315"/>
      <c r="AK112" s="315"/>
      <c r="AL112" s="315"/>
      <c r="AM112" s="315"/>
      <c r="AN112" s="315">
        <v>1</v>
      </c>
      <c r="AO112" s="315"/>
      <c r="AP112" s="315"/>
      <c r="AQ112" s="317"/>
    </row>
    <row r="113" spans="1:43" s="378" customFormat="1" ht="44.25" customHeight="1">
      <c r="A113" s="313" t="s">
        <v>1502</v>
      </c>
      <c r="B113" s="313" t="s">
        <v>395</v>
      </c>
      <c r="C113" s="314" t="s">
        <v>487</v>
      </c>
      <c r="D113" s="314" t="s">
        <v>1426</v>
      </c>
      <c r="E113" s="314" t="s">
        <v>488</v>
      </c>
      <c r="F113" s="315"/>
      <c r="G113" s="315"/>
      <c r="H113" s="315"/>
      <c r="I113" s="315"/>
      <c r="J113" s="315"/>
      <c r="K113" s="315">
        <v>1</v>
      </c>
      <c r="L113" s="315"/>
      <c r="M113" s="315"/>
      <c r="N113" s="315"/>
      <c r="O113" s="315"/>
      <c r="P113" s="315">
        <v>1</v>
      </c>
      <c r="Q113" s="315">
        <v>1</v>
      </c>
      <c r="R113" s="315"/>
      <c r="S113" s="315">
        <v>1</v>
      </c>
      <c r="T113" s="315">
        <v>1</v>
      </c>
      <c r="U113" s="315"/>
      <c r="V113" s="315"/>
      <c r="W113" s="315"/>
      <c r="X113" s="315">
        <v>1</v>
      </c>
      <c r="Y113" s="315">
        <v>1</v>
      </c>
      <c r="Z113" s="315"/>
      <c r="AA113" s="315">
        <v>1</v>
      </c>
      <c r="AB113" s="315"/>
      <c r="AC113" s="315">
        <v>1</v>
      </c>
      <c r="AD113" s="315"/>
      <c r="AE113" s="315"/>
      <c r="AF113" s="315"/>
      <c r="AG113" s="315"/>
      <c r="AH113" s="315"/>
      <c r="AI113" s="315">
        <v>1</v>
      </c>
      <c r="AJ113" s="315"/>
      <c r="AK113" s="315"/>
      <c r="AL113" s="315"/>
      <c r="AM113" s="315"/>
      <c r="AN113" s="315">
        <v>1</v>
      </c>
      <c r="AO113" s="315">
        <v>1</v>
      </c>
      <c r="AP113" s="315"/>
      <c r="AQ113" s="317"/>
    </row>
    <row r="114" spans="1:43" s="378" customFormat="1" ht="44.25" customHeight="1">
      <c r="A114" s="313" t="s">
        <v>1502</v>
      </c>
      <c r="B114" s="313" t="s">
        <v>395</v>
      </c>
      <c r="C114" s="314" t="s">
        <v>489</v>
      </c>
      <c r="D114" s="314" t="s">
        <v>1444</v>
      </c>
      <c r="E114" s="314" t="s">
        <v>429</v>
      </c>
      <c r="F114" s="315"/>
      <c r="G114" s="315"/>
      <c r="H114" s="315"/>
      <c r="I114" s="315"/>
      <c r="J114" s="315"/>
      <c r="K114" s="315">
        <v>1</v>
      </c>
      <c r="L114" s="315"/>
      <c r="M114" s="315"/>
      <c r="N114" s="315"/>
      <c r="O114" s="315"/>
      <c r="P114" s="315"/>
      <c r="Q114" s="315"/>
      <c r="R114" s="315"/>
      <c r="S114" s="315">
        <v>1</v>
      </c>
      <c r="T114" s="315"/>
      <c r="U114" s="315"/>
      <c r="V114" s="315"/>
      <c r="W114" s="315"/>
      <c r="X114" s="315"/>
      <c r="Y114" s="315"/>
      <c r="Z114" s="315"/>
      <c r="AA114" s="315">
        <v>1</v>
      </c>
      <c r="AB114" s="315"/>
      <c r="AC114" s="315"/>
      <c r="AD114" s="315"/>
      <c r="AE114" s="315"/>
      <c r="AF114" s="315"/>
      <c r="AG114" s="315"/>
      <c r="AH114" s="315"/>
      <c r="AI114" s="315"/>
      <c r="AJ114" s="315"/>
      <c r="AK114" s="315"/>
      <c r="AL114" s="315"/>
      <c r="AM114" s="315"/>
      <c r="AN114" s="315"/>
      <c r="AO114" s="315"/>
      <c r="AP114" s="315"/>
      <c r="AQ114" s="317"/>
    </row>
    <row r="115" spans="1:43" s="378" customFormat="1" ht="44.25" customHeight="1">
      <c r="A115" s="313" t="s">
        <v>1502</v>
      </c>
      <c r="B115" s="313" t="s">
        <v>395</v>
      </c>
      <c r="C115" s="314" t="s">
        <v>490</v>
      </c>
      <c r="D115" s="314" t="s">
        <v>1442</v>
      </c>
      <c r="E115" s="314" t="s">
        <v>491</v>
      </c>
      <c r="F115" s="315"/>
      <c r="G115" s="315"/>
      <c r="H115" s="315"/>
      <c r="I115" s="315"/>
      <c r="J115" s="315"/>
      <c r="K115" s="315">
        <v>1</v>
      </c>
      <c r="L115" s="315"/>
      <c r="M115" s="315"/>
      <c r="N115" s="315"/>
      <c r="O115" s="315"/>
      <c r="P115" s="315"/>
      <c r="Q115" s="315"/>
      <c r="R115" s="315"/>
      <c r="S115" s="315">
        <v>1</v>
      </c>
      <c r="T115" s="315"/>
      <c r="U115" s="315"/>
      <c r="V115" s="315"/>
      <c r="W115" s="315"/>
      <c r="X115" s="315"/>
      <c r="Y115" s="315"/>
      <c r="Z115" s="315"/>
      <c r="AA115" s="315">
        <v>1</v>
      </c>
      <c r="AB115" s="315"/>
      <c r="AC115" s="315"/>
      <c r="AD115" s="315"/>
      <c r="AE115" s="315"/>
      <c r="AF115" s="315"/>
      <c r="AG115" s="315"/>
      <c r="AH115" s="315"/>
      <c r="AI115" s="315">
        <v>1</v>
      </c>
      <c r="AJ115" s="315"/>
      <c r="AK115" s="315"/>
      <c r="AL115" s="315"/>
      <c r="AM115" s="315"/>
      <c r="AN115" s="315"/>
      <c r="AO115" s="315"/>
      <c r="AP115" s="315"/>
      <c r="AQ115" s="317"/>
    </row>
    <row r="116" spans="1:43" s="378" customFormat="1" ht="44.25" customHeight="1">
      <c r="A116" s="313" t="s">
        <v>1502</v>
      </c>
      <c r="B116" s="313" t="s">
        <v>395</v>
      </c>
      <c r="C116" s="314" t="s">
        <v>492</v>
      </c>
      <c r="D116" s="314" t="s">
        <v>1442</v>
      </c>
      <c r="E116" s="314" t="s">
        <v>493</v>
      </c>
      <c r="F116" s="315"/>
      <c r="G116" s="315"/>
      <c r="H116" s="315"/>
      <c r="I116" s="315"/>
      <c r="J116" s="315"/>
      <c r="K116" s="315">
        <v>1</v>
      </c>
      <c r="L116" s="315"/>
      <c r="M116" s="315"/>
      <c r="N116" s="315"/>
      <c r="O116" s="315"/>
      <c r="P116" s="315"/>
      <c r="Q116" s="315"/>
      <c r="R116" s="315"/>
      <c r="S116" s="315">
        <v>1</v>
      </c>
      <c r="T116" s="315"/>
      <c r="U116" s="315"/>
      <c r="V116" s="315"/>
      <c r="W116" s="315"/>
      <c r="X116" s="315"/>
      <c r="Y116" s="315"/>
      <c r="Z116" s="315"/>
      <c r="AA116" s="315">
        <v>1</v>
      </c>
      <c r="AB116" s="315"/>
      <c r="AC116" s="315"/>
      <c r="AD116" s="315"/>
      <c r="AE116" s="315"/>
      <c r="AF116" s="315"/>
      <c r="AG116" s="315"/>
      <c r="AH116" s="315"/>
      <c r="AI116" s="315">
        <v>1</v>
      </c>
      <c r="AJ116" s="315"/>
      <c r="AK116" s="315"/>
      <c r="AL116" s="315"/>
      <c r="AM116" s="315"/>
      <c r="AN116" s="315"/>
      <c r="AO116" s="315"/>
      <c r="AP116" s="315"/>
      <c r="AQ116" s="317"/>
    </row>
    <row r="117" spans="1:43" s="378" customFormat="1" ht="44.25" customHeight="1">
      <c r="A117" s="313" t="s">
        <v>1502</v>
      </c>
      <c r="B117" s="313" t="s">
        <v>395</v>
      </c>
      <c r="C117" s="314" t="s">
        <v>494</v>
      </c>
      <c r="D117" s="314" t="s">
        <v>1444</v>
      </c>
      <c r="E117" s="314" t="s">
        <v>431</v>
      </c>
      <c r="F117" s="315"/>
      <c r="G117" s="315"/>
      <c r="H117" s="315"/>
      <c r="I117" s="315"/>
      <c r="J117" s="315"/>
      <c r="K117" s="315">
        <v>1</v>
      </c>
      <c r="L117" s="315"/>
      <c r="M117" s="315"/>
      <c r="N117" s="315"/>
      <c r="O117" s="315"/>
      <c r="P117" s="315"/>
      <c r="Q117" s="315"/>
      <c r="R117" s="315"/>
      <c r="S117" s="315">
        <v>1</v>
      </c>
      <c r="T117" s="315"/>
      <c r="U117" s="315"/>
      <c r="V117" s="315"/>
      <c r="W117" s="315"/>
      <c r="X117" s="315"/>
      <c r="Y117" s="315"/>
      <c r="Z117" s="315"/>
      <c r="AA117" s="315">
        <v>1</v>
      </c>
      <c r="AB117" s="315"/>
      <c r="AC117" s="315"/>
      <c r="AD117" s="315"/>
      <c r="AE117" s="315"/>
      <c r="AF117" s="315"/>
      <c r="AG117" s="315"/>
      <c r="AH117" s="315"/>
      <c r="AI117" s="315">
        <v>1</v>
      </c>
      <c r="AJ117" s="315"/>
      <c r="AK117" s="315"/>
      <c r="AL117" s="315"/>
      <c r="AM117" s="315"/>
      <c r="AN117" s="315"/>
      <c r="AO117" s="315"/>
      <c r="AP117" s="315"/>
      <c r="AQ117" s="317"/>
    </row>
    <row r="118" spans="1:43" s="378" customFormat="1" ht="44.25" customHeight="1">
      <c r="A118" s="313" t="s">
        <v>1502</v>
      </c>
      <c r="B118" s="313" t="s">
        <v>387</v>
      </c>
      <c r="C118" s="314" t="s">
        <v>495</v>
      </c>
      <c r="D118" s="314" t="s">
        <v>1438</v>
      </c>
      <c r="E118" s="314" t="s">
        <v>417</v>
      </c>
      <c r="F118" s="315"/>
      <c r="G118" s="315"/>
      <c r="H118" s="315"/>
      <c r="I118" s="315"/>
      <c r="J118" s="315"/>
      <c r="K118" s="315">
        <v>1</v>
      </c>
      <c r="L118" s="315"/>
      <c r="M118" s="315">
        <v>1</v>
      </c>
      <c r="N118" s="315"/>
      <c r="O118" s="315"/>
      <c r="P118" s="315"/>
      <c r="Q118" s="315"/>
      <c r="R118" s="315"/>
      <c r="S118" s="315">
        <v>1</v>
      </c>
      <c r="T118" s="315"/>
      <c r="U118" s="315"/>
      <c r="V118" s="315"/>
      <c r="W118" s="315"/>
      <c r="X118" s="315"/>
      <c r="Y118" s="315"/>
      <c r="Z118" s="315">
        <v>1</v>
      </c>
      <c r="AA118" s="315">
        <v>1</v>
      </c>
      <c r="AB118" s="315"/>
      <c r="AC118" s="315"/>
      <c r="AD118" s="315"/>
      <c r="AE118" s="315"/>
      <c r="AF118" s="315"/>
      <c r="AG118" s="315"/>
      <c r="AH118" s="315"/>
      <c r="AI118" s="315">
        <v>1</v>
      </c>
      <c r="AJ118" s="315"/>
      <c r="AK118" s="315"/>
      <c r="AL118" s="315">
        <v>1</v>
      </c>
      <c r="AM118" s="315"/>
      <c r="AN118" s="315"/>
      <c r="AO118" s="315"/>
      <c r="AP118" s="315"/>
      <c r="AQ118" s="317"/>
    </row>
    <row r="119" spans="1:43" s="378" customFormat="1" ht="44.25" customHeight="1">
      <c r="A119" s="313" t="s">
        <v>1502</v>
      </c>
      <c r="B119" s="313" t="s">
        <v>395</v>
      </c>
      <c r="C119" s="314" t="s">
        <v>496</v>
      </c>
      <c r="D119" s="314" t="s">
        <v>1440</v>
      </c>
      <c r="E119" s="314" t="s">
        <v>497</v>
      </c>
      <c r="F119" s="315"/>
      <c r="G119" s="315"/>
      <c r="H119" s="315"/>
      <c r="I119" s="315"/>
      <c r="J119" s="315"/>
      <c r="K119" s="315">
        <v>1</v>
      </c>
      <c r="L119" s="315"/>
      <c r="M119" s="315"/>
      <c r="N119" s="315"/>
      <c r="O119" s="315"/>
      <c r="P119" s="315"/>
      <c r="Q119" s="315"/>
      <c r="R119" s="315"/>
      <c r="S119" s="315">
        <v>1</v>
      </c>
      <c r="T119" s="315"/>
      <c r="U119" s="315"/>
      <c r="V119" s="315"/>
      <c r="W119" s="315"/>
      <c r="X119" s="315"/>
      <c r="Y119" s="315"/>
      <c r="Z119" s="315"/>
      <c r="AA119" s="315">
        <v>1</v>
      </c>
      <c r="AB119" s="315"/>
      <c r="AC119" s="315"/>
      <c r="AD119" s="315"/>
      <c r="AE119" s="315"/>
      <c r="AF119" s="315"/>
      <c r="AG119" s="315"/>
      <c r="AH119" s="315"/>
      <c r="AI119" s="315">
        <v>1</v>
      </c>
      <c r="AJ119" s="315"/>
      <c r="AK119" s="315"/>
      <c r="AL119" s="315"/>
      <c r="AM119" s="315"/>
      <c r="AN119" s="315"/>
      <c r="AO119" s="315"/>
      <c r="AP119" s="315"/>
      <c r="AQ119" s="317"/>
    </row>
    <row r="120" spans="1:43" s="378" customFormat="1" ht="44.25" customHeight="1">
      <c r="A120" s="313" t="s">
        <v>1502</v>
      </c>
      <c r="B120" s="313" t="s">
        <v>395</v>
      </c>
      <c r="C120" s="314" t="s">
        <v>498</v>
      </c>
      <c r="D120" s="314" t="s">
        <v>1444</v>
      </c>
      <c r="E120" s="314" t="s">
        <v>435</v>
      </c>
      <c r="F120" s="315"/>
      <c r="G120" s="315"/>
      <c r="H120" s="315"/>
      <c r="I120" s="315"/>
      <c r="J120" s="315"/>
      <c r="K120" s="315">
        <v>1</v>
      </c>
      <c r="L120" s="315"/>
      <c r="M120" s="315"/>
      <c r="N120" s="315"/>
      <c r="O120" s="315"/>
      <c r="P120" s="315"/>
      <c r="Q120" s="315"/>
      <c r="R120" s="315"/>
      <c r="S120" s="315">
        <v>1</v>
      </c>
      <c r="T120" s="315"/>
      <c r="U120" s="315"/>
      <c r="V120" s="315"/>
      <c r="W120" s="315"/>
      <c r="X120" s="315"/>
      <c r="Y120" s="315"/>
      <c r="Z120" s="315"/>
      <c r="AA120" s="315">
        <v>1</v>
      </c>
      <c r="AB120" s="315"/>
      <c r="AC120" s="315"/>
      <c r="AD120" s="315"/>
      <c r="AE120" s="315"/>
      <c r="AF120" s="315"/>
      <c r="AG120" s="315"/>
      <c r="AH120" s="315"/>
      <c r="AI120" s="315"/>
      <c r="AJ120" s="315"/>
      <c r="AK120" s="315"/>
      <c r="AL120" s="315"/>
      <c r="AM120" s="315"/>
      <c r="AN120" s="315"/>
      <c r="AO120" s="315"/>
      <c r="AP120" s="315"/>
      <c r="AQ120" s="317"/>
    </row>
    <row r="121" spans="1:43" s="378" customFormat="1" ht="44.25" customHeight="1">
      <c r="A121" s="313" t="s">
        <v>1502</v>
      </c>
      <c r="B121" s="313" t="s">
        <v>395</v>
      </c>
      <c r="C121" s="314" t="s">
        <v>499</v>
      </c>
      <c r="D121" s="314" t="s">
        <v>1440</v>
      </c>
      <c r="E121" s="314" t="s">
        <v>404</v>
      </c>
      <c r="F121" s="315"/>
      <c r="G121" s="315"/>
      <c r="H121" s="315"/>
      <c r="I121" s="315"/>
      <c r="J121" s="315"/>
      <c r="K121" s="315">
        <v>1</v>
      </c>
      <c r="L121" s="315"/>
      <c r="M121" s="315"/>
      <c r="N121" s="315"/>
      <c r="O121" s="315"/>
      <c r="P121" s="315"/>
      <c r="Q121" s="315"/>
      <c r="R121" s="315"/>
      <c r="S121" s="315">
        <v>1</v>
      </c>
      <c r="T121" s="315"/>
      <c r="U121" s="315"/>
      <c r="V121" s="315"/>
      <c r="W121" s="315">
        <v>1</v>
      </c>
      <c r="X121" s="315"/>
      <c r="Y121" s="315"/>
      <c r="Z121" s="315"/>
      <c r="AA121" s="315">
        <v>1</v>
      </c>
      <c r="AB121" s="315"/>
      <c r="AC121" s="315"/>
      <c r="AD121" s="315"/>
      <c r="AE121" s="315"/>
      <c r="AF121" s="315"/>
      <c r="AG121" s="315"/>
      <c r="AH121" s="315"/>
      <c r="AI121" s="315">
        <v>1</v>
      </c>
      <c r="AJ121" s="315"/>
      <c r="AK121" s="315"/>
      <c r="AL121" s="315"/>
      <c r="AM121" s="315"/>
      <c r="AN121" s="315"/>
      <c r="AO121" s="315"/>
      <c r="AP121" s="315"/>
      <c r="AQ121" s="317"/>
    </row>
    <row r="122" spans="1:43" s="378" customFormat="1" ht="44.25" customHeight="1">
      <c r="A122" s="313" t="s">
        <v>1502</v>
      </c>
      <c r="B122" s="313" t="s">
        <v>395</v>
      </c>
      <c r="C122" s="314" t="s">
        <v>500</v>
      </c>
      <c r="D122" s="314" t="s">
        <v>1424</v>
      </c>
      <c r="E122" s="314" t="s">
        <v>435</v>
      </c>
      <c r="F122" s="315"/>
      <c r="G122" s="315"/>
      <c r="H122" s="315"/>
      <c r="I122" s="315"/>
      <c r="J122" s="315"/>
      <c r="K122" s="315">
        <v>1</v>
      </c>
      <c r="L122" s="315"/>
      <c r="M122" s="315"/>
      <c r="N122" s="315"/>
      <c r="O122" s="315"/>
      <c r="P122" s="315"/>
      <c r="Q122" s="315"/>
      <c r="R122" s="315"/>
      <c r="S122" s="315">
        <v>1</v>
      </c>
      <c r="T122" s="315"/>
      <c r="U122" s="315"/>
      <c r="V122" s="315"/>
      <c r="W122" s="315"/>
      <c r="X122" s="315"/>
      <c r="Y122" s="315"/>
      <c r="Z122" s="315"/>
      <c r="AA122" s="315">
        <v>1</v>
      </c>
      <c r="AB122" s="315"/>
      <c r="AC122" s="315"/>
      <c r="AD122" s="315"/>
      <c r="AE122" s="315"/>
      <c r="AF122" s="315"/>
      <c r="AG122" s="315"/>
      <c r="AH122" s="315"/>
      <c r="AI122" s="315"/>
      <c r="AJ122" s="315"/>
      <c r="AK122" s="315"/>
      <c r="AL122" s="315"/>
      <c r="AM122" s="315"/>
      <c r="AN122" s="315">
        <v>1</v>
      </c>
      <c r="AO122" s="315"/>
      <c r="AP122" s="315"/>
      <c r="AQ122" s="317"/>
    </row>
    <row r="123" spans="1:43" s="378" customFormat="1" ht="44.25" customHeight="1">
      <c r="A123" s="313" t="s">
        <v>1502</v>
      </c>
      <c r="B123" s="313" t="s">
        <v>395</v>
      </c>
      <c r="C123" s="314" t="s">
        <v>501</v>
      </c>
      <c r="D123" s="314" t="s">
        <v>1444</v>
      </c>
      <c r="E123" s="314" t="s">
        <v>502</v>
      </c>
      <c r="F123" s="315"/>
      <c r="G123" s="315"/>
      <c r="H123" s="315"/>
      <c r="I123" s="315"/>
      <c r="J123" s="315"/>
      <c r="K123" s="315">
        <v>1</v>
      </c>
      <c r="L123" s="315">
        <v>1</v>
      </c>
      <c r="M123" s="315"/>
      <c r="N123" s="315"/>
      <c r="O123" s="315"/>
      <c r="P123" s="315"/>
      <c r="Q123" s="315"/>
      <c r="R123" s="315"/>
      <c r="S123" s="315"/>
      <c r="T123" s="315"/>
      <c r="U123" s="315"/>
      <c r="V123" s="315"/>
      <c r="W123" s="315"/>
      <c r="X123" s="315"/>
      <c r="Y123" s="315"/>
      <c r="Z123" s="315"/>
      <c r="AA123" s="315">
        <v>1</v>
      </c>
      <c r="AB123" s="315"/>
      <c r="AC123" s="315"/>
      <c r="AD123" s="315"/>
      <c r="AE123" s="315"/>
      <c r="AF123" s="315"/>
      <c r="AG123" s="315"/>
      <c r="AH123" s="315"/>
      <c r="AI123" s="315">
        <v>1</v>
      </c>
      <c r="AJ123" s="315"/>
      <c r="AK123" s="315"/>
      <c r="AL123" s="315">
        <v>1</v>
      </c>
      <c r="AM123" s="315">
        <v>1</v>
      </c>
      <c r="AN123" s="315"/>
      <c r="AO123" s="315"/>
      <c r="AP123" s="315"/>
      <c r="AQ123" s="317"/>
    </row>
    <row r="124" spans="1:43" s="378" customFormat="1" ht="44.25" customHeight="1">
      <c r="A124" s="313" t="s">
        <v>1502</v>
      </c>
      <c r="B124" s="313" t="s">
        <v>395</v>
      </c>
      <c r="C124" s="314" t="s">
        <v>503</v>
      </c>
      <c r="D124" s="314" t="s">
        <v>1444</v>
      </c>
      <c r="E124" s="314" t="s">
        <v>502</v>
      </c>
      <c r="F124" s="315"/>
      <c r="G124" s="315"/>
      <c r="H124" s="315"/>
      <c r="I124" s="315"/>
      <c r="J124" s="315"/>
      <c r="K124" s="315">
        <v>1</v>
      </c>
      <c r="L124" s="315"/>
      <c r="M124" s="315"/>
      <c r="N124" s="315"/>
      <c r="O124" s="315"/>
      <c r="P124" s="315"/>
      <c r="Q124" s="315"/>
      <c r="R124" s="315"/>
      <c r="S124" s="315">
        <v>1</v>
      </c>
      <c r="T124" s="315"/>
      <c r="U124" s="315"/>
      <c r="V124" s="315"/>
      <c r="W124" s="315"/>
      <c r="X124" s="315"/>
      <c r="Y124" s="315"/>
      <c r="Z124" s="315"/>
      <c r="AA124" s="315">
        <v>1</v>
      </c>
      <c r="AB124" s="315"/>
      <c r="AC124" s="315"/>
      <c r="AD124" s="315"/>
      <c r="AE124" s="315"/>
      <c r="AF124" s="315"/>
      <c r="AG124" s="315"/>
      <c r="AH124" s="315"/>
      <c r="AI124" s="315"/>
      <c r="AJ124" s="315"/>
      <c r="AK124" s="315"/>
      <c r="AL124" s="315"/>
      <c r="AM124" s="315"/>
      <c r="AN124" s="315"/>
      <c r="AO124" s="315"/>
      <c r="AP124" s="315"/>
      <c r="AQ124" s="317"/>
    </row>
    <row r="125" spans="1:43" s="378" customFormat="1" ht="44.25" customHeight="1">
      <c r="A125" s="313" t="s">
        <v>1502</v>
      </c>
      <c r="B125" s="313" t="s">
        <v>395</v>
      </c>
      <c r="C125" s="314" t="s">
        <v>504</v>
      </c>
      <c r="D125" s="314" t="s">
        <v>1440</v>
      </c>
      <c r="E125" s="314" t="s">
        <v>1503</v>
      </c>
      <c r="F125" s="315"/>
      <c r="G125" s="315"/>
      <c r="H125" s="315"/>
      <c r="I125" s="315"/>
      <c r="J125" s="315"/>
      <c r="K125" s="315">
        <v>1</v>
      </c>
      <c r="L125" s="315"/>
      <c r="M125" s="315"/>
      <c r="N125" s="315"/>
      <c r="O125" s="315"/>
      <c r="P125" s="315"/>
      <c r="Q125" s="315"/>
      <c r="R125" s="315"/>
      <c r="S125" s="315">
        <v>1</v>
      </c>
      <c r="T125" s="315"/>
      <c r="U125" s="315"/>
      <c r="V125" s="315"/>
      <c r="W125" s="315"/>
      <c r="X125" s="315"/>
      <c r="Y125" s="315"/>
      <c r="Z125" s="315"/>
      <c r="AA125" s="315">
        <v>1</v>
      </c>
      <c r="AB125" s="315"/>
      <c r="AC125" s="315"/>
      <c r="AD125" s="315"/>
      <c r="AE125" s="315"/>
      <c r="AF125" s="315"/>
      <c r="AG125" s="315"/>
      <c r="AH125" s="315"/>
      <c r="AI125" s="315">
        <v>1</v>
      </c>
      <c r="AJ125" s="315"/>
      <c r="AK125" s="315"/>
      <c r="AL125" s="315"/>
      <c r="AM125" s="315"/>
      <c r="AN125" s="315"/>
      <c r="AO125" s="315"/>
      <c r="AP125" s="315"/>
      <c r="AQ125" s="317"/>
    </row>
    <row r="126" spans="1:43" s="378" customFormat="1" ht="44.25" customHeight="1">
      <c r="A126" s="313" t="s">
        <v>1502</v>
      </c>
      <c r="B126" s="313" t="s">
        <v>395</v>
      </c>
      <c r="C126" s="314" t="s">
        <v>506</v>
      </c>
      <c r="D126" s="314" t="s">
        <v>1440</v>
      </c>
      <c r="E126" s="314" t="s">
        <v>507</v>
      </c>
      <c r="F126" s="315"/>
      <c r="G126" s="315"/>
      <c r="H126" s="315"/>
      <c r="I126" s="315"/>
      <c r="J126" s="315"/>
      <c r="K126" s="315">
        <v>1</v>
      </c>
      <c r="L126" s="315"/>
      <c r="M126" s="315"/>
      <c r="N126" s="315"/>
      <c r="O126" s="315"/>
      <c r="P126" s="315"/>
      <c r="Q126" s="315"/>
      <c r="R126" s="315"/>
      <c r="S126" s="315">
        <v>1</v>
      </c>
      <c r="T126" s="315"/>
      <c r="U126" s="315"/>
      <c r="V126" s="315"/>
      <c r="W126" s="315"/>
      <c r="X126" s="315"/>
      <c r="Y126" s="315"/>
      <c r="Z126" s="315"/>
      <c r="AA126" s="315">
        <v>1</v>
      </c>
      <c r="AB126" s="315">
        <v>1</v>
      </c>
      <c r="AC126" s="315">
        <v>1</v>
      </c>
      <c r="AD126" s="315"/>
      <c r="AE126" s="315"/>
      <c r="AF126" s="315"/>
      <c r="AG126" s="315"/>
      <c r="AH126" s="315"/>
      <c r="AI126" s="315"/>
      <c r="AJ126" s="315"/>
      <c r="AK126" s="315"/>
      <c r="AL126" s="315"/>
      <c r="AM126" s="315"/>
      <c r="AN126" s="315"/>
      <c r="AO126" s="315"/>
      <c r="AP126" s="315"/>
      <c r="AQ126" s="317"/>
    </row>
    <row r="127" spans="1:43" s="378" customFormat="1" ht="44.25" customHeight="1">
      <c r="A127" s="313" t="s">
        <v>1502</v>
      </c>
      <c r="B127" s="313" t="s">
        <v>395</v>
      </c>
      <c r="C127" s="314" t="s">
        <v>508</v>
      </c>
      <c r="D127" s="314" t="s">
        <v>1440</v>
      </c>
      <c r="E127" s="314" t="s">
        <v>509</v>
      </c>
      <c r="F127" s="315"/>
      <c r="G127" s="315"/>
      <c r="H127" s="315"/>
      <c r="I127" s="315"/>
      <c r="J127" s="315"/>
      <c r="K127" s="315">
        <v>1</v>
      </c>
      <c r="L127" s="315"/>
      <c r="M127" s="315"/>
      <c r="N127" s="315"/>
      <c r="O127" s="315"/>
      <c r="P127" s="315"/>
      <c r="Q127" s="315"/>
      <c r="R127" s="315"/>
      <c r="S127" s="315"/>
      <c r="T127" s="315"/>
      <c r="U127" s="315"/>
      <c r="V127" s="315"/>
      <c r="W127" s="315"/>
      <c r="X127" s="315"/>
      <c r="Y127" s="315"/>
      <c r="Z127" s="315"/>
      <c r="AA127" s="315">
        <v>1</v>
      </c>
      <c r="AB127" s="315"/>
      <c r="AC127" s="315"/>
      <c r="AD127" s="315"/>
      <c r="AE127" s="315"/>
      <c r="AF127" s="315"/>
      <c r="AG127" s="315"/>
      <c r="AH127" s="315"/>
      <c r="AI127" s="315"/>
      <c r="AJ127" s="315"/>
      <c r="AK127" s="315"/>
      <c r="AL127" s="315"/>
      <c r="AM127" s="315"/>
      <c r="AN127" s="315"/>
      <c r="AO127" s="315">
        <v>1</v>
      </c>
      <c r="AP127" s="315"/>
      <c r="AQ127" s="317"/>
    </row>
    <row r="128" spans="1:43" s="378" customFormat="1" ht="44.25" customHeight="1">
      <c r="A128" s="313" t="s">
        <v>1502</v>
      </c>
      <c r="B128" s="313" t="s">
        <v>395</v>
      </c>
      <c r="C128" s="314" t="s">
        <v>510</v>
      </c>
      <c r="D128" s="314" t="s">
        <v>1440</v>
      </c>
      <c r="E128" s="314" t="s">
        <v>511</v>
      </c>
      <c r="F128" s="315"/>
      <c r="G128" s="315"/>
      <c r="H128" s="315"/>
      <c r="I128" s="315"/>
      <c r="J128" s="315"/>
      <c r="K128" s="315">
        <v>1</v>
      </c>
      <c r="L128" s="315"/>
      <c r="M128" s="315"/>
      <c r="N128" s="315"/>
      <c r="O128" s="315"/>
      <c r="P128" s="315"/>
      <c r="Q128" s="315"/>
      <c r="R128" s="315"/>
      <c r="S128" s="315">
        <v>1</v>
      </c>
      <c r="T128" s="315"/>
      <c r="U128" s="315"/>
      <c r="V128" s="315"/>
      <c r="W128" s="315"/>
      <c r="X128" s="315"/>
      <c r="Y128" s="315"/>
      <c r="Z128" s="315"/>
      <c r="AA128" s="315">
        <v>1</v>
      </c>
      <c r="AB128" s="315"/>
      <c r="AC128" s="315"/>
      <c r="AD128" s="315"/>
      <c r="AE128" s="315"/>
      <c r="AF128" s="315"/>
      <c r="AG128" s="315"/>
      <c r="AH128" s="315"/>
      <c r="AI128" s="315"/>
      <c r="AJ128" s="315"/>
      <c r="AK128" s="315"/>
      <c r="AL128" s="315">
        <v>1</v>
      </c>
      <c r="AM128" s="315"/>
      <c r="AN128" s="315"/>
      <c r="AO128" s="315"/>
      <c r="AP128" s="315"/>
      <c r="AQ128" s="317"/>
    </row>
    <row r="129" spans="1:43" s="378" customFormat="1" ht="44.25" customHeight="1">
      <c r="A129" s="313" t="s">
        <v>1502</v>
      </c>
      <c r="B129" s="313" t="s">
        <v>395</v>
      </c>
      <c r="C129" s="314" t="s">
        <v>512</v>
      </c>
      <c r="D129" s="314" t="s">
        <v>1426</v>
      </c>
      <c r="E129" s="314" t="s">
        <v>513</v>
      </c>
      <c r="F129" s="315"/>
      <c r="G129" s="315"/>
      <c r="H129" s="315"/>
      <c r="I129" s="315"/>
      <c r="J129" s="315"/>
      <c r="K129" s="315">
        <v>1</v>
      </c>
      <c r="L129" s="315"/>
      <c r="M129" s="315">
        <v>1</v>
      </c>
      <c r="N129" s="315"/>
      <c r="O129" s="315"/>
      <c r="P129" s="315"/>
      <c r="Q129" s="315"/>
      <c r="R129" s="315"/>
      <c r="S129" s="315">
        <v>1</v>
      </c>
      <c r="T129" s="315"/>
      <c r="U129" s="315"/>
      <c r="V129" s="315"/>
      <c r="W129" s="315"/>
      <c r="X129" s="315"/>
      <c r="Y129" s="315"/>
      <c r="Z129" s="315"/>
      <c r="AA129" s="315">
        <v>1</v>
      </c>
      <c r="AB129" s="315">
        <v>1</v>
      </c>
      <c r="AC129" s="315">
        <v>1</v>
      </c>
      <c r="AD129" s="315"/>
      <c r="AE129" s="315"/>
      <c r="AF129" s="315"/>
      <c r="AG129" s="315"/>
      <c r="AH129" s="315"/>
      <c r="AI129" s="315"/>
      <c r="AJ129" s="315"/>
      <c r="AK129" s="315"/>
      <c r="AL129" s="315"/>
      <c r="AM129" s="315"/>
      <c r="AN129" s="315">
        <v>1</v>
      </c>
      <c r="AO129" s="315">
        <v>1</v>
      </c>
      <c r="AP129" s="315"/>
      <c r="AQ129" s="317"/>
    </row>
    <row r="130" spans="1:43" s="378" customFormat="1" ht="44.25" customHeight="1">
      <c r="A130" s="313" t="s">
        <v>1502</v>
      </c>
      <c r="B130" s="313" t="s">
        <v>395</v>
      </c>
      <c r="C130" s="314" t="s">
        <v>514</v>
      </c>
      <c r="D130" s="314" t="s">
        <v>1442</v>
      </c>
      <c r="E130" s="314" t="s">
        <v>441</v>
      </c>
      <c r="F130" s="315"/>
      <c r="G130" s="315"/>
      <c r="H130" s="315"/>
      <c r="I130" s="315"/>
      <c r="J130" s="315"/>
      <c r="K130" s="315">
        <v>1</v>
      </c>
      <c r="L130" s="315"/>
      <c r="M130" s="315"/>
      <c r="N130" s="315"/>
      <c r="O130" s="315"/>
      <c r="P130" s="315"/>
      <c r="Q130" s="315"/>
      <c r="R130" s="315"/>
      <c r="S130" s="315">
        <v>1</v>
      </c>
      <c r="T130" s="315"/>
      <c r="U130" s="315"/>
      <c r="V130" s="315"/>
      <c r="W130" s="315"/>
      <c r="X130" s="315"/>
      <c r="Y130" s="315"/>
      <c r="Z130" s="315"/>
      <c r="AA130" s="315">
        <v>1</v>
      </c>
      <c r="AB130" s="315"/>
      <c r="AC130" s="315"/>
      <c r="AD130" s="315"/>
      <c r="AE130" s="315"/>
      <c r="AF130" s="315"/>
      <c r="AG130" s="315"/>
      <c r="AH130" s="315"/>
      <c r="AI130" s="315">
        <v>1</v>
      </c>
      <c r="AJ130" s="315"/>
      <c r="AK130" s="315"/>
      <c r="AL130" s="315"/>
      <c r="AM130" s="315"/>
      <c r="AN130" s="315"/>
      <c r="AO130" s="315"/>
      <c r="AP130" s="315"/>
      <c r="AQ130" s="317"/>
    </row>
    <row r="131" spans="1:43" s="378" customFormat="1" ht="44.25" customHeight="1">
      <c r="A131" s="313" t="s">
        <v>1502</v>
      </c>
      <c r="B131" s="313" t="s">
        <v>395</v>
      </c>
      <c r="C131" s="314" t="s">
        <v>515</v>
      </c>
      <c r="D131" s="314" t="s">
        <v>1440</v>
      </c>
      <c r="E131" s="314" t="s">
        <v>516</v>
      </c>
      <c r="F131" s="315"/>
      <c r="G131" s="315"/>
      <c r="H131" s="315"/>
      <c r="I131" s="315"/>
      <c r="J131" s="315"/>
      <c r="K131" s="315">
        <v>1</v>
      </c>
      <c r="L131" s="315"/>
      <c r="M131" s="315"/>
      <c r="N131" s="315"/>
      <c r="O131" s="315"/>
      <c r="P131" s="315"/>
      <c r="Q131" s="315"/>
      <c r="R131" s="315"/>
      <c r="S131" s="315">
        <v>1</v>
      </c>
      <c r="T131" s="315"/>
      <c r="U131" s="315"/>
      <c r="V131" s="315"/>
      <c r="W131" s="315"/>
      <c r="X131" s="315"/>
      <c r="Y131" s="315"/>
      <c r="Z131" s="315"/>
      <c r="AA131" s="315">
        <v>1</v>
      </c>
      <c r="AB131" s="315"/>
      <c r="AC131" s="315"/>
      <c r="AD131" s="315"/>
      <c r="AE131" s="315"/>
      <c r="AF131" s="315"/>
      <c r="AG131" s="315"/>
      <c r="AH131" s="315"/>
      <c r="AI131" s="315"/>
      <c r="AJ131" s="315"/>
      <c r="AK131" s="315"/>
      <c r="AL131" s="315"/>
      <c r="AM131" s="315"/>
      <c r="AN131" s="315"/>
      <c r="AO131" s="315"/>
      <c r="AP131" s="315"/>
      <c r="AQ131" s="317"/>
    </row>
    <row r="132" spans="1:43" s="378" customFormat="1" ht="44.25" customHeight="1">
      <c r="A132" s="313" t="s">
        <v>1502</v>
      </c>
      <c r="B132" s="313" t="s">
        <v>395</v>
      </c>
      <c r="C132" s="314" t="s">
        <v>517</v>
      </c>
      <c r="D132" s="314" t="s">
        <v>1440</v>
      </c>
      <c r="E132" s="314" t="s">
        <v>518</v>
      </c>
      <c r="F132" s="315"/>
      <c r="G132" s="315"/>
      <c r="H132" s="315"/>
      <c r="I132" s="315"/>
      <c r="J132" s="315"/>
      <c r="K132" s="315">
        <v>1</v>
      </c>
      <c r="L132" s="315"/>
      <c r="M132" s="315"/>
      <c r="N132" s="315"/>
      <c r="O132" s="315"/>
      <c r="P132" s="315"/>
      <c r="Q132" s="315"/>
      <c r="R132" s="315"/>
      <c r="S132" s="315">
        <v>1</v>
      </c>
      <c r="T132" s="315"/>
      <c r="U132" s="315"/>
      <c r="V132" s="315"/>
      <c r="W132" s="315"/>
      <c r="X132" s="315"/>
      <c r="Y132" s="315"/>
      <c r="Z132" s="315"/>
      <c r="AA132" s="315">
        <v>1</v>
      </c>
      <c r="AB132" s="315"/>
      <c r="AC132" s="315"/>
      <c r="AD132" s="315"/>
      <c r="AE132" s="315"/>
      <c r="AF132" s="315"/>
      <c r="AG132" s="315"/>
      <c r="AH132" s="315"/>
      <c r="AI132" s="315"/>
      <c r="AJ132" s="315"/>
      <c r="AK132" s="315"/>
      <c r="AL132" s="315">
        <v>1</v>
      </c>
      <c r="AM132" s="315"/>
      <c r="AN132" s="315"/>
      <c r="AO132" s="315">
        <v>1</v>
      </c>
      <c r="AP132" s="315">
        <v>1</v>
      </c>
      <c r="AQ132" s="317">
        <v>1</v>
      </c>
    </row>
    <row r="133" spans="1:43" s="378" customFormat="1" ht="44.25" customHeight="1">
      <c r="A133" s="313" t="s">
        <v>1502</v>
      </c>
      <c r="B133" s="313" t="s">
        <v>395</v>
      </c>
      <c r="C133" s="314" t="s">
        <v>519</v>
      </c>
      <c r="D133" s="314" t="s">
        <v>1440</v>
      </c>
      <c r="E133" s="314" t="s">
        <v>1504</v>
      </c>
      <c r="F133" s="315"/>
      <c r="G133" s="315"/>
      <c r="H133" s="315"/>
      <c r="I133" s="315"/>
      <c r="J133" s="315"/>
      <c r="K133" s="315">
        <v>1</v>
      </c>
      <c r="L133" s="315"/>
      <c r="M133" s="315"/>
      <c r="N133" s="315"/>
      <c r="O133" s="315"/>
      <c r="P133" s="315"/>
      <c r="Q133" s="315"/>
      <c r="R133" s="315"/>
      <c r="S133" s="315">
        <v>1</v>
      </c>
      <c r="T133" s="315"/>
      <c r="U133" s="315"/>
      <c r="V133" s="315"/>
      <c r="W133" s="315"/>
      <c r="X133" s="315"/>
      <c r="Y133" s="315"/>
      <c r="Z133" s="315"/>
      <c r="AA133" s="315">
        <v>1</v>
      </c>
      <c r="AB133" s="315"/>
      <c r="AC133" s="315"/>
      <c r="AD133" s="315"/>
      <c r="AE133" s="315"/>
      <c r="AF133" s="315"/>
      <c r="AG133" s="315"/>
      <c r="AH133" s="315"/>
      <c r="AI133" s="315">
        <v>1</v>
      </c>
      <c r="AJ133" s="315"/>
      <c r="AK133" s="315"/>
      <c r="AL133" s="315"/>
      <c r="AM133" s="315"/>
      <c r="AN133" s="315"/>
      <c r="AO133" s="315"/>
      <c r="AP133" s="315"/>
      <c r="AQ133" s="317"/>
    </row>
    <row r="134" spans="1:43" s="378" customFormat="1" ht="44.25" customHeight="1">
      <c r="A134" s="313" t="s">
        <v>1502</v>
      </c>
      <c r="B134" s="313" t="s">
        <v>395</v>
      </c>
      <c r="C134" s="314" t="s">
        <v>521</v>
      </c>
      <c r="D134" s="314" t="s">
        <v>1440</v>
      </c>
      <c r="E134" s="314" t="s">
        <v>522</v>
      </c>
      <c r="F134" s="315"/>
      <c r="G134" s="315"/>
      <c r="H134" s="315"/>
      <c r="I134" s="315"/>
      <c r="J134" s="315"/>
      <c r="K134" s="315">
        <v>1</v>
      </c>
      <c r="L134" s="315"/>
      <c r="M134" s="315"/>
      <c r="N134" s="315"/>
      <c r="O134" s="315"/>
      <c r="P134" s="315"/>
      <c r="Q134" s="315"/>
      <c r="R134" s="315"/>
      <c r="S134" s="315">
        <v>1</v>
      </c>
      <c r="T134" s="315"/>
      <c r="U134" s="315"/>
      <c r="V134" s="315"/>
      <c r="W134" s="315"/>
      <c r="X134" s="315"/>
      <c r="Y134" s="315"/>
      <c r="Z134" s="315"/>
      <c r="AA134" s="315">
        <v>1</v>
      </c>
      <c r="AB134" s="315"/>
      <c r="AC134" s="315"/>
      <c r="AD134" s="315"/>
      <c r="AE134" s="315"/>
      <c r="AF134" s="315"/>
      <c r="AG134" s="315"/>
      <c r="AH134" s="315"/>
      <c r="AI134" s="315"/>
      <c r="AJ134" s="315"/>
      <c r="AK134" s="315"/>
      <c r="AL134" s="315"/>
      <c r="AM134" s="315"/>
      <c r="AN134" s="315"/>
      <c r="AO134" s="315">
        <v>1</v>
      </c>
      <c r="AP134" s="315"/>
      <c r="AQ134" s="317"/>
    </row>
    <row r="135" spans="1:43" s="378" customFormat="1" ht="44.25" customHeight="1">
      <c r="A135" s="313" t="s">
        <v>1502</v>
      </c>
      <c r="B135" s="313" t="s">
        <v>384</v>
      </c>
      <c r="C135" s="314" t="s">
        <v>523</v>
      </c>
      <c r="D135" s="314" t="s">
        <v>1426</v>
      </c>
      <c r="E135" s="314" t="s">
        <v>524</v>
      </c>
      <c r="F135" s="315"/>
      <c r="G135" s="315"/>
      <c r="H135" s="315">
        <v>1</v>
      </c>
      <c r="I135" s="315">
        <v>1</v>
      </c>
      <c r="J135" s="315">
        <v>1</v>
      </c>
      <c r="K135" s="315">
        <v>1</v>
      </c>
      <c r="L135" s="315">
        <v>1</v>
      </c>
      <c r="M135" s="315">
        <v>1</v>
      </c>
      <c r="N135" s="315">
        <v>1</v>
      </c>
      <c r="O135" s="315">
        <v>1</v>
      </c>
      <c r="P135" s="315">
        <v>1</v>
      </c>
      <c r="Q135" s="315">
        <v>1</v>
      </c>
      <c r="R135" s="315">
        <v>1</v>
      </c>
      <c r="S135" s="315">
        <v>1</v>
      </c>
      <c r="T135" s="315">
        <v>1</v>
      </c>
      <c r="U135" s="315">
        <v>1</v>
      </c>
      <c r="V135" s="315"/>
      <c r="W135" s="315">
        <v>1</v>
      </c>
      <c r="X135" s="315">
        <v>1</v>
      </c>
      <c r="Y135" s="315">
        <v>1</v>
      </c>
      <c r="Z135" s="315">
        <v>1</v>
      </c>
      <c r="AA135" s="315">
        <v>1</v>
      </c>
      <c r="AB135" s="315">
        <v>1</v>
      </c>
      <c r="AC135" s="315">
        <v>1</v>
      </c>
      <c r="AD135" s="315"/>
      <c r="AE135" s="315"/>
      <c r="AF135" s="315">
        <v>1</v>
      </c>
      <c r="AG135" s="315">
        <v>1</v>
      </c>
      <c r="AH135" s="315">
        <v>1</v>
      </c>
      <c r="AI135" s="315">
        <v>1</v>
      </c>
      <c r="AJ135" s="315"/>
      <c r="AK135" s="315"/>
      <c r="AL135" s="315"/>
      <c r="AM135" s="315"/>
      <c r="AN135" s="315">
        <v>1</v>
      </c>
      <c r="AO135" s="315">
        <v>1</v>
      </c>
      <c r="AP135" s="315"/>
      <c r="AQ135" s="317"/>
    </row>
    <row r="136" spans="1:43" s="378" customFormat="1" ht="44.25" customHeight="1">
      <c r="A136" s="313" t="s">
        <v>1502</v>
      </c>
      <c r="B136" s="313" t="s">
        <v>384</v>
      </c>
      <c r="C136" s="314" t="s">
        <v>525</v>
      </c>
      <c r="D136" s="314" t="s">
        <v>1426</v>
      </c>
      <c r="E136" s="314" t="s">
        <v>526</v>
      </c>
      <c r="F136" s="315"/>
      <c r="G136" s="315"/>
      <c r="H136" s="315"/>
      <c r="I136" s="315"/>
      <c r="J136" s="315">
        <v>1</v>
      </c>
      <c r="K136" s="315">
        <v>1</v>
      </c>
      <c r="L136" s="315"/>
      <c r="M136" s="315">
        <v>1</v>
      </c>
      <c r="N136" s="315"/>
      <c r="O136" s="315"/>
      <c r="P136" s="315">
        <v>1</v>
      </c>
      <c r="Q136" s="315">
        <v>1</v>
      </c>
      <c r="R136" s="315">
        <v>1</v>
      </c>
      <c r="S136" s="315">
        <v>1</v>
      </c>
      <c r="T136" s="315">
        <v>1</v>
      </c>
      <c r="U136" s="315">
        <v>1</v>
      </c>
      <c r="V136" s="315">
        <v>1</v>
      </c>
      <c r="W136" s="315"/>
      <c r="X136" s="315">
        <v>1</v>
      </c>
      <c r="Y136" s="315">
        <v>1</v>
      </c>
      <c r="Z136" s="315">
        <v>1</v>
      </c>
      <c r="AA136" s="315">
        <v>1</v>
      </c>
      <c r="AB136" s="315">
        <v>1</v>
      </c>
      <c r="AC136" s="315">
        <v>1</v>
      </c>
      <c r="AD136" s="315"/>
      <c r="AE136" s="315"/>
      <c r="AF136" s="315"/>
      <c r="AG136" s="315"/>
      <c r="AH136" s="315"/>
      <c r="AI136" s="315">
        <v>1</v>
      </c>
      <c r="AJ136" s="315"/>
      <c r="AK136" s="315"/>
      <c r="AL136" s="315"/>
      <c r="AM136" s="315"/>
      <c r="AN136" s="315">
        <v>1</v>
      </c>
      <c r="AO136" s="315">
        <v>1</v>
      </c>
      <c r="AP136" s="315"/>
      <c r="AQ136" s="317"/>
    </row>
    <row r="137" spans="1:43" s="378" customFormat="1" ht="44.25" customHeight="1">
      <c r="A137" s="313" t="s">
        <v>1502</v>
      </c>
      <c r="B137" s="313" t="s">
        <v>384</v>
      </c>
      <c r="C137" s="314" t="s">
        <v>527</v>
      </c>
      <c r="D137" s="314" t="s">
        <v>1426</v>
      </c>
      <c r="E137" s="314" t="s">
        <v>528</v>
      </c>
      <c r="F137" s="315"/>
      <c r="G137" s="315"/>
      <c r="H137" s="315"/>
      <c r="I137" s="315"/>
      <c r="J137" s="315"/>
      <c r="K137" s="315">
        <v>1</v>
      </c>
      <c r="L137" s="315">
        <v>1</v>
      </c>
      <c r="M137" s="315">
        <v>1</v>
      </c>
      <c r="N137" s="315"/>
      <c r="O137" s="315"/>
      <c r="P137" s="315"/>
      <c r="Q137" s="315"/>
      <c r="R137" s="315"/>
      <c r="S137" s="315">
        <v>1</v>
      </c>
      <c r="T137" s="315">
        <v>1</v>
      </c>
      <c r="U137" s="315">
        <v>1</v>
      </c>
      <c r="V137" s="315">
        <v>1</v>
      </c>
      <c r="W137" s="315"/>
      <c r="X137" s="315">
        <v>1</v>
      </c>
      <c r="Y137" s="315">
        <v>1</v>
      </c>
      <c r="Z137" s="315">
        <v>1</v>
      </c>
      <c r="AA137" s="315">
        <v>1</v>
      </c>
      <c r="AB137" s="315">
        <v>1</v>
      </c>
      <c r="AC137" s="315">
        <v>1</v>
      </c>
      <c r="AD137" s="315"/>
      <c r="AE137" s="315"/>
      <c r="AF137" s="315"/>
      <c r="AG137" s="315"/>
      <c r="AH137" s="315"/>
      <c r="AI137" s="315">
        <v>1</v>
      </c>
      <c r="AJ137" s="315"/>
      <c r="AK137" s="315"/>
      <c r="AL137" s="315"/>
      <c r="AM137" s="315"/>
      <c r="AN137" s="315">
        <v>1</v>
      </c>
      <c r="AO137" s="315">
        <v>1</v>
      </c>
      <c r="AP137" s="315"/>
      <c r="AQ137" s="317"/>
    </row>
    <row r="138" spans="1:43" s="378" customFormat="1" ht="44.25" customHeight="1">
      <c r="A138" s="313" t="s">
        <v>1502</v>
      </c>
      <c r="B138" s="313" t="s">
        <v>384</v>
      </c>
      <c r="C138" s="314" t="s">
        <v>529</v>
      </c>
      <c r="D138" s="314" t="s">
        <v>1426</v>
      </c>
      <c r="E138" s="314" t="s">
        <v>528</v>
      </c>
      <c r="F138" s="315"/>
      <c r="G138" s="315"/>
      <c r="H138" s="315"/>
      <c r="I138" s="315"/>
      <c r="J138" s="315">
        <v>1</v>
      </c>
      <c r="K138" s="315">
        <v>1</v>
      </c>
      <c r="L138" s="315">
        <v>1</v>
      </c>
      <c r="M138" s="315"/>
      <c r="N138" s="315">
        <v>1</v>
      </c>
      <c r="O138" s="315"/>
      <c r="P138" s="315">
        <v>1</v>
      </c>
      <c r="Q138" s="315">
        <v>1</v>
      </c>
      <c r="R138" s="315">
        <v>1</v>
      </c>
      <c r="S138" s="315"/>
      <c r="T138" s="315">
        <v>1</v>
      </c>
      <c r="U138" s="315">
        <v>1</v>
      </c>
      <c r="V138" s="315"/>
      <c r="W138" s="315"/>
      <c r="X138" s="315">
        <v>1</v>
      </c>
      <c r="Y138" s="315">
        <v>1</v>
      </c>
      <c r="Z138" s="315">
        <v>1</v>
      </c>
      <c r="AA138" s="315">
        <v>1</v>
      </c>
      <c r="AB138" s="315"/>
      <c r="AC138" s="315"/>
      <c r="AD138" s="315"/>
      <c r="AE138" s="315"/>
      <c r="AF138" s="315"/>
      <c r="AG138" s="315"/>
      <c r="AH138" s="315"/>
      <c r="AI138" s="315">
        <v>1</v>
      </c>
      <c r="AJ138" s="315"/>
      <c r="AK138" s="315"/>
      <c r="AL138" s="315"/>
      <c r="AM138" s="315"/>
      <c r="AN138" s="315">
        <v>1</v>
      </c>
      <c r="AO138" s="315">
        <v>1</v>
      </c>
      <c r="AP138" s="315"/>
      <c r="AQ138" s="317"/>
    </row>
    <row r="139" spans="1:43" s="378" customFormat="1" ht="44.25" customHeight="1">
      <c r="A139" s="313" t="s">
        <v>1502</v>
      </c>
      <c r="B139" s="313" t="s">
        <v>384</v>
      </c>
      <c r="C139" s="314" t="s">
        <v>530</v>
      </c>
      <c r="D139" s="314" t="s">
        <v>1430</v>
      </c>
      <c r="E139" s="314" t="s">
        <v>531</v>
      </c>
      <c r="F139" s="315"/>
      <c r="G139" s="315">
        <v>1</v>
      </c>
      <c r="H139" s="315">
        <v>1</v>
      </c>
      <c r="I139" s="315">
        <v>1</v>
      </c>
      <c r="J139" s="315">
        <v>1</v>
      </c>
      <c r="K139" s="315"/>
      <c r="L139" s="315">
        <v>1</v>
      </c>
      <c r="M139" s="315">
        <v>1</v>
      </c>
      <c r="N139" s="315"/>
      <c r="O139" s="315">
        <v>1</v>
      </c>
      <c r="P139" s="315">
        <v>1</v>
      </c>
      <c r="Q139" s="315">
        <v>1</v>
      </c>
      <c r="R139" s="315">
        <v>1</v>
      </c>
      <c r="S139" s="315">
        <v>1</v>
      </c>
      <c r="T139" s="315">
        <v>1</v>
      </c>
      <c r="U139" s="315">
        <v>1</v>
      </c>
      <c r="V139" s="315">
        <v>1</v>
      </c>
      <c r="W139" s="315">
        <v>1</v>
      </c>
      <c r="X139" s="315">
        <v>1</v>
      </c>
      <c r="Y139" s="315">
        <v>1</v>
      </c>
      <c r="Z139" s="315">
        <v>1</v>
      </c>
      <c r="AA139" s="315">
        <v>1</v>
      </c>
      <c r="AB139" s="315">
        <v>1</v>
      </c>
      <c r="AC139" s="315">
        <v>1</v>
      </c>
      <c r="AD139" s="315"/>
      <c r="AE139" s="315"/>
      <c r="AF139" s="315"/>
      <c r="AG139" s="315"/>
      <c r="AH139" s="315"/>
      <c r="AI139" s="315">
        <v>1</v>
      </c>
      <c r="AJ139" s="315"/>
      <c r="AK139" s="315"/>
      <c r="AL139" s="315"/>
      <c r="AM139" s="315"/>
      <c r="AN139" s="315">
        <v>1</v>
      </c>
      <c r="AO139" s="315">
        <v>1</v>
      </c>
      <c r="AP139" s="315"/>
      <c r="AQ139" s="317"/>
    </row>
    <row r="140" spans="1:43" s="378" customFormat="1" ht="44.25" customHeight="1">
      <c r="A140" s="313" t="s">
        <v>1502</v>
      </c>
      <c r="B140" s="313" t="s">
        <v>384</v>
      </c>
      <c r="C140" s="314" t="s">
        <v>532</v>
      </c>
      <c r="D140" s="314" t="s">
        <v>1426</v>
      </c>
      <c r="E140" s="314" t="s">
        <v>533</v>
      </c>
      <c r="F140" s="315"/>
      <c r="G140" s="315"/>
      <c r="H140" s="315">
        <v>1</v>
      </c>
      <c r="I140" s="315">
        <v>1</v>
      </c>
      <c r="J140" s="315">
        <v>1</v>
      </c>
      <c r="K140" s="315">
        <v>1</v>
      </c>
      <c r="L140" s="315">
        <v>1</v>
      </c>
      <c r="M140" s="315">
        <v>1</v>
      </c>
      <c r="N140" s="315"/>
      <c r="O140" s="315">
        <v>1</v>
      </c>
      <c r="P140" s="315">
        <v>1</v>
      </c>
      <c r="Q140" s="315">
        <v>1</v>
      </c>
      <c r="R140" s="315">
        <v>1</v>
      </c>
      <c r="S140" s="315">
        <v>1</v>
      </c>
      <c r="T140" s="315">
        <v>1</v>
      </c>
      <c r="U140" s="315">
        <v>1</v>
      </c>
      <c r="V140" s="315">
        <v>1</v>
      </c>
      <c r="W140" s="315">
        <v>1</v>
      </c>
      <c r="X140" s="315">
        <v>1</v>
      </c>
      <c r="Y140" s="315">
        <v>1</v>
      </c>
      <c r="Z140" s="315">
        <v>1</v>
      </c>
      <c r="AA140" s="315">
        <v>1</v>
      </c>
      <c r="AB140" s="315">
        <v>1</v>
      </c>
      <c r="AC140" s="315">
        <v>1</v>
      </c>
      <c r="AD140" s="315"/>
      <c r="AE140" s="315"/>
      <c r="AF140" s="315"/>
      <c r="AG140" s="315"/>
      <c r="AH140" s="315"/>
      <c r="AI140" s="315"/>
      <c r="AJ140" s="315"/>
      <c r="AK140" s="315"/>
      <c r="AL140" s="315">
        <v>1</v>
      </c>
      <c r="AM140" s="315"/>
      <c r="AN140" s="315">
        <v>1</v>
      </c>
      <c r="AO140" s="315">
        <v>1</v>
      </c>
      <c r="AP140" s="315"/>
      <c r="AQ140" s="317"/>
    </row>
    <row r="141" spans="1:43" s="378" customFormat="1" ht="44.25" customHeight="1">
      <c r="A141" s="313" t="s">
        <v>1502</v>
      </c>
      <c r="B141" s="313" t="s">
        <v>384</v>
      </c>
      <c r="C141" s="314" t="s">
        <v>534</v>
      </c>
      <c r="D141" s="314" t="s">
        <v>1426</v>
      </c>
      <c r="E141" s="314" t="s">
        <v>535</v>
      </c>
      <c r="F141" s="315"/>
      <c r="G141" s="315">
        <v>1</v>
      </c>
      <c r="H141" s="315"/>
      <c r="I141" s="315"/>
      <c r="J141" s="315"/>
      <c r="K141" s="315">
        <v>1</v>
      </c>
      <c r="L141" s="315">
        <v>1</v>
      </c>
      <c r="M141" s="315">
        <v>1</v>
      </c>
      <c r="N141" s="315"/>
      <c r="O141" s="315">
        <v>1</v>
      </c>
      <c r="P141" s="315">
        <v>1</v>
      </c>
      <c r="Q141" s="315">
        <v>1</v>
      </c>
      <c r="R141" s="315">
        <v>1</v>
      </c>
      <c r="S141" s="315">
        <v>1</v>
      </c>
      <c r="T141" s="315">
        <v>1</v>
      </c>
      <c r="U141" s="315">
        <v>1</v>
      </c>
      <c r="V141" s="315">
        <v>1</v>
      </c>
      <c r="W141" s="315"/>
      <c r="X141" s="315">
        <v>1</v>
      </c>
      <c r="Y141" s="315">
        <v>1</v>
      </c>
      <c r="Z141" s="315"/>
      <c r="AA141" s="315">
        <v>1</v>
      </c>
      <c r="AB141" s="315">
        <v>1</v>
      </c>
      <c r="AC141" s="315">
        <v>1</v>
      </c>
      <c r="AD141" s="315"/>
      <c r="AE141" s="315"/>
      <c r="AF141" s="315"/>
      <c r="AG141" s="315"/>
      <c r="AH141" s="315"/>
      <c r="AI141" s="315"/>
      <c r="AJ141" s="315"/>
      <c r="AK141" s="315"/>
      <c r="AL141" s="315"/>
      <c r="AM141" s="315"/>
      <c r="AN141" s="315">
        <v>1</v>
      </c>
      <c r="AO141" s="315">
        <v>1</v>
      </c>
      <c r="AP141" s="315"/>
      <c r="AQ141" s="317"/>
    </row>
    <row r="142" spans="1:43" s="378" customFormat="1" ht="44.25" customHeight="1">
      <c r="A142" s="313" t="s">
        <v>1502</v>
      </c>
      <c r="B142" s="313" t="s">
        <v>384</v>
      </c>
      <c r="C142" s="314" t="s">
        <v>536</v>
      </c>
      <c r="D142" s="314" t="s">
        <v>1426</v>
      </c>
      <c r="E142" s="314" t="s">
        <v>408</v>
      </c>
      <c r="F142" s="315"/>
      <c r="G142" s="315"/>
      <c r="H142" s="315">
        <v>1</v>
      </c>
      <c r="I142" s="315">
        <v>1</v>
      </c>
      <c r="J142" s="315">
        <v>1</v>
      </c>
      <c r="K142" s="315">
        <v>1</v>
      </c>
      <c r="L142" s="315">
        <v>1</v>
      </c>
      <c r="M142" s="315">
        <v>1</v>
      </c>
      <c r="N142" s="315"/>
      <c r="O142" s="315">
        <v>1</v>
      </c>
      <c r="P142" s="315">
        <v>1</v>
      </c>
      <c r="Q142" s="315">
        <v>1</v>
      </c>
      <c r="R142" s="315">
        <v>1</v>
      </c>
      <c r="S142" s="315"/>
      <c r="T142" s="315">
        <v>1</v>
      </c>
      <c r="U142" s="315">
        <v>1</v>
      </c>
      <c r="V142" s="315">
        <v>1</v>
      </c>
      <c r="W142" s="315">
        <v>1</v>
      </c>
      <c r="X142" s="315">
        <v>1</v>
      </c>
      <c r="Y142" s="315">
        <v>1</v>
      </c>
      <c r="Z142" s="315">
        <v>1</v>
      </c>
      <c r="AA142" s="315">
        <v>1</v>
      </c>
      <c r="AB142" s="315">
        <v>1</v>
      </c>
      <c r="AC142" s="315">
        <v>1</v>
      </c>
      <c r="AD142" s="315"/>
      <c r="AE142" s="315"/>
      <c r="AF142" s="315">
        <v>1</v>
      </c>
      <c r="AG142" s="315">
        <v>1</v>
      </c>
      <c r="AH142" s="315">
        <v>1</v>
      </c>
      <c r="AI142" s="315">
        <v>1</v>
      </c>
      <c r="AJ142" s="315">
        <v>1</v>
      </c>
      <c r="AK142" s="315">
        <v>1</v>
      </c>
      <c r="AL142" s="315">
        <v>1</v>
      </c>
      <c r="AM142" s="315"/>
      <c r="AN142" s="315">
        <v>1</v>
      </c>
      <c r="AO142" s="315">
        <v>1</v>
      </c>
      <c r="AP142" s="315">
        <v>1</v>
      </c>
      <c r="AQ142" s="317">
        <v>1</v>
      </c>
    </row>
    <row r="143" spans="1:43" s="378" customFormat="1" ht="44.25" customHeight="1">
      <c r="A143" s="313" t="s">
        <v>1502</v>
      </c>
      <c r="B143" s="313" t="s">
        <v>386</v>
      </c>
      <c r="C143" s="314" t="s">
        <v>537</v>
      </c>
      <c r="D143" s="314" t="s">
        <v>1432</v>
      </c>
      <c r="E143" s="314" t="s">
        <v>415</v>
      </c>
      <c r="F143" s="315"/>
      <c r="G143" s="315"/>
      <c r="H143" s="315"/>
      <c r="I143" s="315"/>
      <c r="J143" s="315">
        <v>1</v>
      </c>
      <c r="K143" s="315">
        <v>1</v>
      </c>
      <c r="L143" s="315"/>
      <c r="M143" s="315">
        <v>1</v>
      </c>
      <c r="N143" s="315"/>
      <c r="O143" s="315"/>
      <c r="P143" s="315"/>
      <c r="Q143" s="315"/>
      <c r="R143" s="315"/>
      <c r="S143" s="315">
        <v>1</v>
      </c>
      <c r="T143" s="315"/>
      <c r="U143" s="315">
        <v>1</v>
      </c>
      <c r="V143" s="315">
        <v>1</v>
      </c>
      <c r="W143" s="315"/>
      <c r="X143" s="315">
        <v>1</v>
      </c>
      <c r="Y143" s="315">
        <v>1</v>
      </c>
      <c r="Z143" s="315">
        <v>1</v>
      </c>
      <c r="AA143" s="315">
        <v>1</v>
      </c>
      <c r="AB143" s="315"/>
      <c r="AC143" s="315">
        <v>1</v>
      </c>
      <c r="AD143" s="315"/>
      <c r="AE143" s="315"/>
      <c r="AF143" s="315"/>
      <c r="AG143" s="315"/>
      <c r="AH143" s="315"/>
      <c r="AI143" s="315">
        <v>1</v>
      </c>
      <c r="AJ143" s="315"/>
      <c r="AK143" s="315"/>
      <c r="AL143" s="315">
        <v>1</v>
      </c>
      <c r="AM143" s="315">
        <v>1</v>
      </c>
      <c r="AN143" s="315">
        <v>1</v>
      </c>
      <c r="AO143" s="315">
        <v>1</v>
      </c>
      <c r="AP143" s="315">
        <v>1</v>
      </c>
      <c r="AQ143" s="317">
        <v>1</v>
      </c>
    </row>
    <row r="144" spans="1:43" s="378" customFormat="1" ht="44.25" customHeight="1">
      <c r="A144" s="313" t="s">
        <v>1502</v>
      </c>
      <c r="B144" s="313" t="s">
        <v>386</v>
      </c>
      <c r="C144" s="314" t="s">
        <v>538</v>
      </c>
      <c r="D144" s="314" t="s">
        <v>1434</v>
      </c>
      <c r="E144" s="314" t="s">
        <v>539</v>
      </c>
      <c r="F144" s="315"/>
      <c r="G144" s="315">
        <v>1</v>
      </c>
      <c r="H144" s="315">
        <v>1</v>
      </c>
      <c r="I144" s="315">
        <v>1</v>
      </c>
      <c r="J144" s="315">
        <v>1</v>
      </c>
      <c r="K144" s="315">
        <v>1</v>
      </c>
      <c r="L144" s="315">
        <v>1</v>
      </c>
      <c r="M144" s="315">
        <v>1</v>
      </c>
      <c r="N144" s="315"/>
      <c r="O144" s="315"/>
      <c r="P144" s="315">
        <v>1</v>
      </c>
      <c r="Q144" s="315">
        <v>1</v>
      </c>
      <c r="R144" s="315">
        <v>1</v>
      </c>
      <c r="S144" s="315"/>
      <c r="T144" s="315"/>
      <c r="U144" s="315">
        <v>1</v>
      </c>
      <c r="V144" s="315">
        <v>1</v>
      </c>
      <c r="W144" s="315"/>
      <c r="X144" s="315">
        <v>1</v>
      </c>
      <c r="Y144" s="315">
        <v>1</v>
      </c>
      <c r="Z144" s="315">
        <v>1</v>
      </c>
      <c r="AA144" s="315">
        <v>1</v>
      </c>
      <c r="AB144" s="315">
        <v>1</v>
      </c>
      <c r="AC144" s="315">
        <v>1</v>
      </c>
      <c r="AD144" s="315"/>
      <c r="AE144" s="315"/>
      <c r="AF144" s="315"/>
      <c r="AG144" s="315"/>
      <c r="AH144" s="315"/>
      <c r="AI144" s="315">
        <v>1</v>
      </c>
      <c r="AJ144" s="315"/>
      <c r="AK144" s="315"/>
      <c r="AL144" s="315"/>
      <c r="AM144" s="315"/>
      <c r="AN144" s="315">
        <v>1</v>
      </c>
      <c r="AO144" s="315">
        <v>1</v>
      </c>
      <c r="AP144" s="315"/>
      <c r="AQ144" s="317"/>
    </row>
    <row r="145" spans="1:43" s="378" customFormat="1" ht="44.25" customHeight="1">
      <c r="A145" s="313" t="s">
        <v>1502</v>
      </c>
      <c r="B145" s="313" t="s">
        <v>386</v>
      </c>
      <c r="C145" s="314" t="s">
        <v>540</v>
      </c>
      <c r="D145" s="314" t="s">
        <v>1430</v>
      </c>
      <c r="E145" s="314" t="s">
        <v>541</v>
      </c>
      <c r="F145" s="315">
        <v>1</v>
      </c>
      <c r="G145" s="315">
        <v>1</v>
      </c>
      <c r="H145" s="315">
        <v>1</v>
      </c>
      <c r="I145" s="315">
        <v>1</v>
      </c>
      <c r="J145" s="315">
        <v>1</v>
      </c>
      <c r="K145" s="315">
        <v>1</v>
      </c>
      <c r="L145" s="315">
        <v>1</v>
      </c>
      <c r="M145" s="315">
        <v>1</v>
      </c>
      <c r="N145" s="315"/>
      <c r="O145" s="315">
        <v>1</v>
      </c>
      <c r="P145" s="315">
        <v>1</v>
      </c>
      <c r="Q145" s="315">
        <v>1</v>
      </c>
      <c r="R145" s="315">
        <v>1</v>
      </c>
      <c r="S145" s="315"/>
      <c r="T145" s="315">
        <v>1</v>
      </c>
      <c r="U145" s="315">
        <v>1</v>
      </c>
      <c r="V145" s="315"/>
      <c r="W145" s="315">
        <v>1</v>
      </c>
      <c r="X145" s="315">
        <v>1</v>
      </c>
      <c r="Y145" s="315">
        <v>1</v>
      </c>
      <c r="Z145" s="315">
        <v>1</v>
      </c>
      <c r="AA145" s="315">
        <v>1</v>
      </c>
      <c r="AB145" s="315">
        <v>1</v>
      </c>
      <c r="AC145" s="315">
        <v>1</v>
      </c>
      <c r="AD145" s="315"/>
      <c r="AE145" s="315"/>
      <c r="AF145" s="315">
        <v>1</v>
      </c>
      <c r="AG145" s="315">
        <v>1</v>
      </c>
      <c r="AH145" s="315">
        <v>1</v>
      </c>
      <c r="AI145" s="315"/>
      <c r="AJ145" s="315"/>
      <c r="AK145" s="315"/>
      <c r="AL145" s="315"/>
      <c r="AM145" s="315"/>
      <c r="AN145" s="315">
        <v>1</v>
      </c>
      <c r="AO145" s="315">
        <v>1</v>
      </c>
      <c r="AP145" s="315"/>
      <c r="AQ145" s="317"/>
    </row>
    <row r="146" spans="1:43" s="378" customFormat="1" ht="44.25" customHeight="1">
      <c r="A146" s="313" t="s">
        <v>1502</v>
      </c>
      <c r="B146" s="313" t="s">
        <v>386</v>
      </c>
      <c r="C146" s="314" t="s">
        <v>542</v>
      </c>
      <c r="D146" s="314" t="s">
        <v>1444</v>
      </c>
      <c r="E146" s="314" t="s">
        <v>415</v>
      </c>
      <c r="F146" s="315"/>
      <c r="G146" s="315"/>
      <c r="H146" s="315">
        <v>1</v>
      </c>
      <c r="I146" s="315">
        <v>1</v>
      </c>
      <c r="J146" s="315">
        <v>1</v>
      </c>
      <c r="K146" s="315"/>
      <c r="L146" s="315">
        <v>1</v>
      </c>
      <c r="M146" s="315">
        <v>1</v>
      </c>
      <c r="N146" s="315"/>
      <c r="O146" s="315">
        <v>1</v>
      </c>
      <c r="P146" s="315">
        <v>1</v>
      </c>
      <c r="Q146" s="315">
        <v>1</v>
      </c>
      <c r="R146" s="315">
        <v>1</v>
      </c>
      <c r="S146" s="315">
        <v>1</v>
      </c>
      <c r="T146" s="315">
        <v>1</v>
      </c>
      <c r="U146" s="315"/>
      <c r="V146" s="315">
        <v>1</v>
      </c>
      <c r="W146" s="315">
        <v>1</v>
      </c>
      <c r="X146" s="315">
        <v>1</v>
      </c>
      <c r="Y146" s="315">
        <v>1</v>
      </c>
      <c r="Z146" s="315">
        <v>1</v>
      </c>
      <c r="AA146" s="315">
        <v>1</v>
      </c>
      <c r="AB146" s="315">
        <v>1</v>
      </c>
      <c r="AC146" s="315">
        <v>1</v>
      </c>
      <c r="AD146" s="315"/>
      <c r="AE146" s="315"/>
      <c r="AF146" s="315">
        <v>1</v>
      </c>
      <c r="AG146" s="315">
        <v>1</v>
      </c>
      <c r="AH146" s="315">
        <v>1</v>
      </c>
      <c r="AI146" s="315"/>
      <c r="AJ146" s="315">
        <v>1</v>
      </c>
      <c r="AK146" s="315">
        <v>1</v>
      </c>
      <c r="AL146" s="315">
        <v>1</v>
      </c>
      <c r="AM146" s="315"/>
      <c r="AN146" s="315">
        <v>1</v>
      </c>
      <c r="AO146" s="315">
        <v>1</v>
      </c>
      <c r="AP146" s="315">
        <v>1</v>
      </c>
      <c r="AQ146" s="317">
        <v>1</v>
      </c>
    </row>
    <row r="147" spans="1:43" s="378" customFormat="1" ht="44.25" customHeight="1">
      <c r="A147" s="313" t="s">
        <v>1502</v>
      </c>
      <c r="B147" s="313" t="s">
        <v>387</v>
      </c>
      <c r="C147" s="314" t="s">
        <v>543</v>
      </c>
      <c r="D147" s="314" t="s">
        <v>1438</v>
      </c>
      <c r="E147" s="314" t="s">
        <v>415</v>
      </c>
      <c r="F147" s="315"/>
      <c r="G147" s="315"/>
      <c r="H147" s="315"/>
      <c r="I147" s="315"/>
      <c r="J147" s="315"/>
      <c r="K147" s="315">
        <v>1</v>
      </c>
      <c r="L147" s="315"/>
      <c r="M147" s="315">
        <v>1</v>
      </c>
      <c r="N147" s="315"/>
      <c r="O147" s="315"/>
      <c r="P147" s="315"/>
      <c r="Q147" s="315"/>
      <c r="R147" s="315"/>
      <c r="S147" s="315"/>
      <c r="T147" s="315"/>
      <c r="U147" s="315"/>
      <c r="V147" s="315">
        <v>1</v>
      </c>
      <c r="W147" s="315"/>
      <c r="X147" s="315"/>
      <c r="Y147" s="315"/>
      <c r="Z147" s="315">
        <v>1</v>
      </c>
      <c r="AA147" s="315">
        <v>1</v>
      </c>
      <c r="AB147" s="315">
        <v>1</v>
      </c>
      <c r="AC147" s="315">
        <v>1</v>
      </c>
      <c r="AD147" s="315"/>
      <c r="AE147" s="315"/>
      <c r="AF147" s="315"/>
      <c r="AG147" s="315"/>
      <c r="AH147" s="315"/>
      <c r="AI147" s="315">
        <v>1</v>
      </c>
      <c r="AJ147" s="315"/>
      <c r="AK147" s="315"/>
      <c r="AL147" s="315"/>
      <c r="AM147" s="315">
        <v>1</v>
      </c>
      <c r="AN147" s="315"/>
      <c r="AO147" s="315">
        <v>1</v>
      </c>
      <c r="AP147" s="315"/>
      <c r="AQ147" s="317"/>
    </row>
    <row r="148" spans="1:43" s="378" customFormat="1" ht="44.25" customHeight="1">
      <c r="A148" s="313" t="s">
        <v>1502</v>
      </c>
      <c r="B148" s="313" t="s">
        <v>386</v>
      </c>
      <c r="C148" s="314" t="s">
        <v>544</v>
      </c>
      <c r="D148" s="314" t="s">
        <v>1432</v>
      </c>
      <c r="E148" s="314" t="s">
        <v>545</v>
      </c>
      <c r="F148" s="315"/>
      <c r="G148" s="315"/>
      <c r="H148" s="315"/>
      <c r="I148" s="315"/>
      <c r="J148" s="315">
        <v>1</v>
      </c>
      <c r="K148" s="315">
        <v>1</v>
      </c>
      <c r="L148" s="315">
        <v>1</v>
      </c>
      <c r="M148" s="315">
        <v>1</v>
      </c>
      <c r="N148" s="315"/>
      <c r="O148" s="315"/>
      <c r="P148" s="315">
        <v>1</v>
      </c>
      <c r="Q148" s="315">
        <v>1</v>
      </c>
      <c r="R148" s="315">
        <v>1</v>
      </c>
      <c r="S148" s="315"/>
      <c r="T148" s="315">
        <v>1</v>
      </c>
      <c r="U148" s="315">
        <v>1</v>
      </c>
      <c r="V148" s="315">
        <v>1</v>
      </c>
      <c r="W148" s="315"/>
      <c r="X148" s="315">
        <v>1</v>
      </c>
      <c r="Y148" s="315">
        <v>1</v>
      </c>
      <c r="Z148" s="315">
        <v>1</v>
      </c>
      <c r="AA148" s="315">
        <v>1</v>
      </c>
      <c r="AB148" s="315">
        <v>1</v>
      </c>
      <c r="AC148" s="315">
        <v>1</v>
      </c>
      <c r="AD148" s="315"/>
      <c r="AE148" s="315">
        <v>1</v>
      </c>
      <c r="AF148" s="315"/>
      <c r="AG148" s="315">
        <v>1</v>
      </c>
      <c r="AH148" s="315">
        <v>1</v>
      </c>
      <c r="AI148" s="315">
        <v>1</v>
      </c>
      <c r="AJ148" s="315"/>
      <c r="AK148" s="315"/>
      <c r="AL148" s="315">
        <v>1</v>
      </c>
      <c r="AM148" s="315">
        <v>1</v>
      </c>
      <c r="AN148" s="315">
        <v>1</v>
      </c>
      <c r="AO148" s="315">
        <v>1</v>
      </c>
      <c r="AP148" s="315"/>
      <c r="AQ148" s="317"/>
    </row>
    <row r="149" spans="1:43" s="378" customFormat="1" ht="44.25" customHeight="1">
      <c r="A149" s="313" t="s">
        <v>1502</v>
      </c>
      <c r="B149" s="313" t="s">
        <v>395</v>
      </c>
      <c r="C149" s="314" t="s">
        <v>546</v>
      </c>
      <c r="D149" s="314" t="s">
        <v>1440</v>
      </c>
      <c r="E149" s="314" t="s">
        <v>547</v>
      </c>
      <c r="F149" s="315"/>
      <c r="G149" s="315"/>
      <c r="H149" s="315"/>
      <c r="I149" s="315"/>
      <c r="J149" s="315">
        <v>1</v>
      </c>
      <c r="K149" s="315">
        <v>1</v>
      </c>
      <c r="L149" s="315"/>
      <c r="M149" s="315"/>
      <c r="N149" s="315"/>
      <c r="O149" s="315"/>
      <c r="P149" s="315">
        <v>1</v>
      </c>
      <c r="Q149" s="315">
        <v>1</v>
      </c>
      <c r="R149" s="315"/>
      <c r="S149" s="315">
        <v>1</v>
      </c>
      <c r="T149" s="315"/>
      <c r="U149" s="315"/>
      <c r="V149" s="315">
        <v>1</v>
      </c>
      <c r="W149" s="315"/>
      <c r="X149" s="315"/>
      <c r="Y149" s="315"/>
      <c r="Z149" s="315"/>
      <c r="AA149" s="315"/>
      <c r="AB149" s="315"/>
      <c r="AC149" s="315"/>
      <c r="AD149" s="315"/>
      <c r="AE149" s="315"/>
      <c r="AF149" s="315"/>
      <c r="AG149" s="315"/>
      <c r="AH149" s="315"/>
      <c r="AI149" s="315"/>
      <c r="AJ149" s="315">
        <v>1</v>
      </c>
      <c r="AK149" s="315">
        <v>1</v>
      </c>
      <c r="AL149" s="315"/>
      <c r="AM149" s="315">
        <v>1</v>
      </c>
      <c r="AN149" s="315">
        <v>1</v>
      </c>
      <c r="AO149" s="315">
        <v>1</v>
      </c>
      <c r="AP149" s="315"/>
      <c r="AQ149" s="317"/>
    </row>
    <row r="150" spans="1:43" s="378" customFormat="1" ht="44.25" customHeight="1">
      <c r="A150" s="313" t="s">
        <v>1502</v>
      </c>
      <c r="B150" s="313" t="s">
        <v>395</v>
      </c>
      <c r="C150" s="314" t="s">
        <v>548</v>
      </c>
      <c r="D150" s="314" t="s">
        <v>1440</v>
      </c>
      <c r="E150" s="314" t="s">
        <v>549</v>
      </c>
      <c r="F150" s="315"/>
      <c r="G150" s="315"/>
      <c r="H150" s="315">
        <v>1</v>
      </c>
      <c r="I150" s="315">
        <v>1</v>
      </c>
      <c r="J150" s="315"/>
      <c r="K150" s="315">
        <v>1</v>
      </c>
      <c r="L150" s="315">
        <v>1</v>
      </c>
      <c r="M150" s="315">
        <v>1</v>
      </c>
      <c r="N150" s="315"/>
      <c r="O150" s="315"/>
      <c r="P150" s="315"/>
      <c r="Q150" s="315"/>
      <c r="R150" s="315">
        <v>1</v>
      </c>
      <c r="S150" s="315"/>
      <c r="T150" s="315">
        <v>1</v>
      </c>
      <c r="U150" s="315"/>
      <c r="V150" s="315">
        <v>1</v>
      </c>
      <c r="W150" s="315"/>
      <c r="X150" s="315"/>
      <c r="Y150" s="315">
        <v>1</v>
      </c>
      <c r="Z150" s="315">
        <v>1</v>
      </c>
      <c r="AA150" s="315">
        <v>1</v>
      </c>
      <c r="AB150" s="315">
        <v>1</v>
      </c>
      <c r="AC150" s="315">
        <v>1</v>
      </c>
      <c r="AD150" s="315"/>
      <c r="AE150" s="315"/>
      <c r="AF150" s="315"/>
      <c r="AG150" s="315"/>
      <c r="AH150" s="315"/>
      <c r="AI150" s="315">
        <v>1</v>
      </c>
      <c r="AJ150" s="315"/>
      <c r="AK150" s="315"/>
      <c r="AL150" s="315">
        <v>1</v>
      </c>
      <c r="AM150" s="315">
        <v>1</v>
      </c>
      <c r="AN150" s="315">
        <v>1</v>
      </c>
      <c r="AO150" s="315">
        <v>1</v>
      </c>
      <c r="AP150" s="315"/>
      <c r="AQ150" s="317"/>
    </row>
    <row r="151" spans="1:43" s="378" customFormat="1" ht="44.25" customHeight="1">
      <c r="A151" s="313" t="s">
        <v>1502</v>
      </c>
      <c r="B151" s="313" t="s">
        <v>395</v>
      </c>
      <c r="C151" s="314" t="s">
        <v>550</v>
      </c>
      <c r="D151" s="314" t="s">
        <v>1426</v>
      </c>
      <c r="E151" s="314" t="s">
        <v>513</v>
      </c>
      <c r="F151" s="315"/>
      <c r="G151" s="315"/>
      <c r="H151" s="315"/>
      <c r="I151" s="315"/>
      <c r="J151" s="315"/>
      <c r="K151" s="315"/>
      <c r="L151" s="315"/>
      <c r="M151" s="315"/>
      <c r="N151" s="315">
        <v>1</v>
      </c>
      <c r="O151" s="315"/>
      <c r="P151" s="315">
        <v>1</v>
      </c>
      <c r="Q151" s="315">
        <v>1</v>
      </c>
      <c r="R151" s="315"/>
      <c r="S151" s="315"/>
      <c r="T151" s="315"/>
      <c r="U151" s="315"/>
      <c r="V151" s="315"/>
      <c r="W151" s="315"/>
      <c r="X151" s="315"/>
      <c r="Y151" s="315"/>
      <c r="Z151" s="315"/>
      <c r="AA151" s="315"/>
      <c r="AB151" s="315"/>
      <c r="AC151" s="315"/>
      <c r="AD151" s="315"/>
      <c r="AE151" s="315"/>
      <c r="AF151" s="315"/>
      <c r="AG151" s="315"/>
      <c r="AH151" s="315"/>
      <c r="AI151" s="315"/>
      <c r="AJ151" s="315"/>
      <c r="AK151" s="315"/>
      <c r="AL151" s="315"/>
      <c r="AM151" s="315"/>
      <c r="AN151" s="315">
        <v>1</v>
      </c>
      <c r="AO151" s="315"/>
      <c r="AP151" s="315"/>
      <c r="AQ151" s="317"/>
    </row>
    <row r="152" spans="1:43" s="378" customFormat="1" ht="44.25" customHeight="1">
      <c r="A152" s="313" t="s">
        <v>1502</v>
      </c>
      <c r="B152" s="313" t="s">
        <v>395</v>
      </c>
      <c r="C152" s="314" t="s">
        <v>551</v>
      </c>
      <c r="D152" s="314" t="s">
        <v>1440</v>
      </c>
      <c r="E152" s="314" t="s">
        <v>552</v>
      </c>
      <c r="F152" s="315"/>
      <c r="G152" s="315"/>
      <c r="H152" s="315">
        <v>1</v>
      </c>
      <c r="I152" s="315">
        <v>1</v>
      </c>
      <c r="J152" s="315">
        <v>1</v>
      </c>
      <c r="K152" s="315"/>
      <c r="L152" s="315">
        <v>1</v>
      </c>
      <c r="M152" s="315">
        <v>1</v>
      </c>
      <c r="N152" s="315"/>
      <c r="O152" s="315"/>
      <c r="P152" s="315"/>
      <c r="Q152" s="315"/>
      <c r="R152" s="315"/>
      <c r="S152" s="315"/>
      <c r="T152" s="315"/>
      <c r="U152" s="315"/>
      <c r="V152" s="315">
        <v>1</v>
      </c>
      <c r="W152" s="315"/>
      <c r="X152" s="315"/>
      <c r="Y152" s="315">
        <v>1</v>
      </c>
      <c r="Z152" s="315">
        <v>1</v>
      </c>
      <c r="AA152" s="315"/>
      <c r="AB152" s="315">
        <v>1</v>
      </c>
      <c r="AC152" s="315">
        <v>1</v>
      </c>
      <c r="AD152" s="315"/>
      <c r="AE152" s="315"/>
      <c r="AF152" s="315"/>
      <c r="AG152" s="315"/>
      <c r="AH152" s="315"/>
      <c r="AI152" s="315"/>
      <c r="AJ152" s="315"/>
      <c r="AK152" s="315"/>
      <c r="AL152" s="315"/>
      <c r="AM152" s="315"/>
      <c r="AN152" s="315">
        <v>1</v>
      </c>
      <c r="AO152" s="315">
        <v>1</v>
      </c>
      <c r="AP152" s="315"/>
      <c r="AQ152" s="317"/>
    </row>
    <row r="153" spans="1:43" s="378" customFormat="1" ht="44.25" customHeight="1">
      <c r="A153" s="313" t="s">
        <v>1502</v>
      </c>
      <c r="B153" s="313" t="s">
        <v>395</v>
      </c>
      <c r="C153" s="314" t="s">
        <v>553</v>
      </c>
      <c r="D153" s="314" t="s">
        <v>1440</v>
      </c>
      <c r="E153" s="314" t="s">
        <v>554</v>
      </c>
      <c r="F153" s="315"/>
      <c r="G153" s="315"/>
      <c r="H153" s="315"/>
      <c r="I153" s="315"/>
      <c r="J153" s="315"/>
      <c r="K153" s="315"/>
      <c r="L153" s="315"/>
      <c r="M153" s="315"/>
      <c r="N153" s="315"/>
      <c r="O153" s="315"/>
      <c r="P153" s="315"/>
      <c r="Q153" s="315"/>
      <c r="R153" s="315"/>
      <c r="S153" s="315"/>
      <c r="T153" s="315"/>
      <c r="U153" s="315"/>
      <c r="V153" s="315">
        <v>1</v>
      </c>
      <c r="W153" s="315"/>
      <c r="X153" s="315"/>
      <c r="Y153" s="315">
        <v>1</v>
      </c>
      <c r="Z153" s="315"/>
      <c r="AA153" s="315"/>
      <c r="AB153" s="315"/>
      <c r="AC153" s="315"/>
      <c r="AD153" s="315"/>
      <c r="AE153" s="315"/>
      <c r="AF153" s="315"/>
      <c r="AG153" s="315"/>
      <c r="AH153" s="315"/>
      <c r="AI153" s="315"/>
      <c r="AJ153" s="315"/>
      <c r="AK153" s="315"/>
      <c r="AL153" s="315"/>
      <c r="AM153" s="315"/>
      <c r="AN153" s="315"/>
      <c r="AO153" s="315"/>
      <c r="AP153" s="315"/>
      <c r="AQ153" s="317"/>
    </row>
    <row r="154" spans="1:43" s="378" customFormat="1" ht="44.25" customHeight="1">
      <c r="A154" s="313" t="s">
        <v>1502</v>
      </c>
      <c r="B154" s="313" t="s">
        <v>395</v>
      </c>
      <c r="C154" s="314" t="s">
        <v>555</v>
      </c>
      <c r="D154" s="314" t="s">
        <v>1440</v>
      </c>
      <c r="E154" s="314" t="s">
        <v>507</v>
      </c>
      <c r="F154" s="315"/>
      <c r="G154" s="315"/>
      <c r="H154" s="315"/>
      <c r="I154" s="315"/>
      <c r="J154" s="315"/>
      <c r="K154" s="315"/>
      <c r="L154" s="315"/>
      <c r="M154" s="315"/>
      <c r="N154" s="315"/>
      <c r="O154" s="315"/>
      <c r="P154" s="315"/>
      <c r="Q154" s="315"/>
      <c r="R154" s="315"/>
      <c r="S154" s="315"/>
      <c r="T154" s="315"/>
      <c r="U154" s="315"/>
      <c r="V154" s="315"/>
      <c r="W154" s="315"/>
      <c r="X154" s="315"/>
      <c r="Y154" s="315"/>
      <c r="Z154" s="315"/>
      <c r="AA154" s="315"/>
      <c r="AB154" s="315"/>
      <c r="AC154" s="315"/>
      <c r="AD154" s="315">
        <v>1</v>
      </c>
      <c r="AE154" s="315"/>
      <c r="AF154" s="315"/>
      <c r="AG154" s="315"/>
      <c r="AH154" s="315"/>
      <c r="AI154" s="315"/>
      <c r="AJ154" s="315"/>
      <c r="AK154" s="315"/>
      <c r="AL154" s="315">
        <v>1</v>
      </c>
      <c r="AM154" s="315"/>
      <c r="AN154" s="315"/>
      <c r="AO154" s="315"/>
      <c r="AP154" s="315"/>
      <c r="AQ154" s="317"/>
    </row>
    <row r="155" spans="1:43" s="378" customFormat="1" ht="44.25" customHeight="1">
      <c r="A155" s="313" t="s">
        <v>1502</v>
      </c>
      <c r="B155" s="313" t="s">
        <v>395</v>
      </c>
      <c r="C155" s="314" t="s">
        <v>556</v>
      </c>
      <c r="D155" s="314" t="s">
        <v>1428</v>
      </c>
      <c r="E155" s="314" t="s">
        <v>557</v>
      </c>
      <c r="F155" s="315"/>
      <c r="G155" s="315"/>
      <c r="H155" s="315"/>
      <c r="I155" s="315"/>
      <c r="J155" s="315">
        <v>1</v>
      </c>
      <c r="K155" s="315"/>
      <c r="L155" s="315"/>
      <c r="M155" s="315">
        <v>1</v>
      </c>
      <c r="N155" s="315"/>
      <c r="O155" s="315"/>
      <c r="P155" s="315"/>
      <c r="Q155" s="315"/>
      <c r="R155" s="315"/>
      <c r="S155" s="315"/>
      <c r="T155" s="315"/>
      <c r="U155" s="315"/>
      <c r="V155" s="315"/>
      <c r="W155" s="315"/>
      <c r="X155" s="315"/>
      <c r="Y155" s="315"/>
      <c r="Z155" s="315">
        <v>1</v>
      </c>
      <c r="AA155" s="315">
        <v>1</v>
      </c>
      <c r="AB155" s="315"/>
      <c r="AC155" s="315">
        <v>1</v>
      </c>
      <c r="AD155" s="315">
        <v>1</v>
      </c>
      <c r="AE155" s="315"/>
      <c r="AF155" s="315"/>
      <c r="AG155" s="315"/>
      <c r="AH155" s="315"/>
      <c r="AI155" s="315"/>
      <c r="AJ155" s="315"/>
      <c r="AK155" s="315"/>
      <c r="AL155" s="315">
        <v>1</v>
      </c>
      <c r="AM155" s="315">
        <v>1</v>
      </c>
      <c r="AN155" s="315"/>
      <c r="AO155" s="315"/>
      <c r="AP155" s="315"/>
      <c r="AQ155" s="317"/>
    </row>
    <row r="156" spans="1:43" s="378" customFormat="1" ht="44.25" customHeight="1">
      <c r="A156" s="313" t="s">
        <v>1502</v>
      </c>
      <c r="B156" s="313" t="s">
        <v>395</v>
      </c>
      <c r="C156" s="314" t="s">
        <v>558</v>
      </c>
      <c r="D156" s="314" t="s">
        <v>1430</v>
      </c>
      <c r="E156" s="314" t="s">
        <v>426</v>
      </c>
      <c r="F156" s="315"/>
      <c r="G156" s="315"/>
      <c r="H156" s="315"/>
      <c r="I156" s="315"/>
      <c r="J156" s="315">
        <v>1</v>
      </c>
      <c r="K156" s="315"/>
      <c r="L156" s="315"/>
      <c r="M156" s="315"/>
      <c r="N156" s="315"/>
      <c r="O156" s="315"/>
      <c r="P156" s="315"/>
      <c r="Q156" s="315"/>
      <c r="R156" s="315">
        <v>1</v>
      </c>
      <c r="S156" s="315">
        <v>1</v>
      </c>
      <c r="T156" s="315"/>
      <c r="U156" s="315"/>
      <c r="V156" s="315">
        <v>1</v>
      </c>
      <c r="W156" s="315"/>
      <c r="X156" s="315"/>
      <c r="Y156" s="315"/>
      <c r="Z156" s="315"/>
      <c r="AA156" s="315"/>
      <c r="AB156" s="315"/>
      <c r="AC156" s="315"/>
      <c r="AD156" s="315"/>
      <c r="AE156" s="315"/>
      <c r="AF156" s="315">
        <v>1</v>
      </c>
      <c r="AG156" s="315">
        <v>1</v>
      </c>
      <c r="AH156" s="315"/>
      <c r="AI156" s="315"/>
      <c r="AJ156" s="315">
        <v>1</v>
      </c>
      <c r="AK156" s="315">
        <v>1</v>
      </c>
      <c r="AL156" s="315">
        <v>1</v>
      </c>
      <c r="AM156" s="315">
        <v>1</v>
      </c>
      <c r="AN156" s="315">
        <v>1</v>
      </c>
      <c r="AO156" s="315">
        <v>1</v>
      </c>
      <c r="AP156" s="315"/>
      <c r="AQ156" s="317"/>
    </row>
    <row r="157" spans="1:43" s="378" customFormat="1" ht="44.25" customHeight="1">
      <c r="A157" s="313" t="s">
        <v>1502</v>
      </c>
      <c r="B157" s="313" t="s">
        <v>395</v>
      </c>
      <c r="C157" s="314" t="s">
        <v>559</v>
      </c>
      <c r="D157" s="314" t="s">
        <v>1438</v>
      </c>
      <c r="E157" s="314" t="s">
        <v>417</v>
      </c>
      <c r="F157" s="315"/>
      <c r="G157" s="315"/>
      <c r="H157" s="315"/>
      <c r="I157" s="315"/>
      <c r="J157" s="315"/>
      <c r="K157" s="315">
        <v>1</v>
      </c>
      <c r="L157" s="315"/>
      <c r="M157" s="315"/>
      <c r="N157" s="315"/>
      <c r="O157" s="315"/>
      <c r="P157" s="315"/>
      <c r="Q157" s="315"/>
      <c r="R157" s="315"/>
      <c r="S157" s="315">
        <v>1</v>
      </c>
      <c r="T157" s="315"/>
      <c r="U157" s="315"/>
      <c r="V157" s="315">
        <v>1</v>
      </c>
      <c r="W157" s="315"/>
      <c r="X157" s="315"/>
      <c r="Y157" s="315"/>
      <c r="Z157" s="315">
        <v>1</v>
      </c>
      <c r="AA157" s="315">
        <v>1</v>
      </c>
      <c r="AB157" s="315"/>
      <c r="AC157" s="315"/>
      <c r="AD157" s="315"/>
      <c r="AE157" s="315"/>
      <c r="AF157" s="315"/>
      <c r="AG157" s="315"/>
      <c r="AH157" s="315"/>
      <c r="AI157" s="315"/>
      <c r="AJ157" s="315"/>
      <c r="AK157" s="315"/>
      <c r="AL157" s="315">
        <v>1</v>
      </c>
      <c r="AM157" s="315"/>
      <c r="AN157" s="315"/>
      <c r="AO157" s="315"/>
      <c r="AP157" s="315"/>
      <c r="AQ157" s="317"/>
    </row>
    <row r="158" spans="1:43" s="378" customFormat="1" ht="44.25" customHeight="1">
      <c r="A158" s="313" t="s">
        <v>1502</v>
      </c>
      <c r="B158" s="313" t="s">
        <v>395</v>
      </c>
      <c r="C158" s="314" t="s">
        <v>560</v>
      </c>
      <c r="D158" s="314" t="s">
        <v>1440</v>
      </c>
      <c r="E158" s="314" t="s">
        <v>561</v>
      </c>
      <c r="F158" s="315"/>
      <c r="G158" s="315"/>
      <c r="H158" s="315"/>
      <c r="I158" s="315"/>
      <c r="J158" s="315"/>
      <c r="K158" s="315">
        <v>1</v>
      </c>
      <c r="L158" s="315"/>
      <c r="M158" s="315">
        <v>1</v>
      </c>
      <c r="N158" s="315"/>
      <c r="O158" s="315">
        <v>1</v>
      </c>
      <c r="P158" s="315">
        <v>1</v>
      </c>
      <c r="Q158" s="315">
        <v>1</v>
      </c>
      <c r="R158" s="315">
        <v>1</v>
      </c>
      <c r="S158" s="315">
        <v>1</v>
      </c>
      <c r="T158" s="315">
        <v>1</v>
      </c>
      <c r="U158" s="315">
        <v>1</v>
      </c>
      <c r="V158" s="315">
        <v>1</v>
      </c>
      <c r="W158" s="315">
        <v>1</v>
      </c>
      <c r="X158" s="315"/>
      <c r="Y158" s="315"/>
      <c r="Z158" s="315">
        <v>1</v>
      </c>
      <c r="AA158" s="315">
        <v>1</v>
      </c>
      <c r="AB158" s="315">
        <v>1</v>
      </c>
      <c r="AC158" s="315">
        <v>1</v>
      </c>
      <c r="AD158" s="315"/>
      <c r="AE158" s="315"/>
      <c r="AF158" s="315"/>
      <c r="AG158" s="315"/>
      <c r="AH158" s="315"/>
      <c r="AI158" s="315">
        <v>1</v>
      </c>
      <c r="AJ158" s="315"/>
      <c r="AK158" s="315"/>
      <c r="AL158" s="315"/>
      <c r="AM158" s="315"/>
      <c r="AN158" s="315">
        <v>1</v>
      </c>
      <c r="AO158" s="315">
        <v>1</v>
      </c>
      <c r="AP158" s="315">
        <v>1</v>
      </c>
      <c r="AQ158" s="317">
        <v>1</v>
      </c>
    </row>
    <row r="159" spans="1:43" s="378" customFormat="1" ht="44.25" customHeight="1">
      <c r="A159" s="313" t="s">
        <v>1502</v>
      </c>
      <c r="B159" s="313" t="s">
        <v>395</v>
      </c>
      <c r="C159" s="314" t="s">
        <v>562</v>
      </c>
      <c r="D159" s="314" t="s">
        <v>1426</v>
      </c>
      <c r="E159" s="314" t="s">
        <v>563</v>
      </c>
      <c r="F159" s="315"/>
      <c r="G159" s="315"/>
      <c r="H159" s="315"/>
      <c r="I159" s="315"/>
      <c r="J159" s="315">
        <v>1</v>
      </c>
      <c r="K159" s="315">
        <v>1</v>
      </c>
      <c r="L159" s="315">
        <v>1</v>
      </c>
      <c r="M159" s="315">
        <v>1</v>
      </c>
      <c r="N159" s="315">
        <v>1</v>
      </c>
      <c r="O159" s="315">
        <v>1</v>
      </c>
      <c r="P159" s="315"/>
      <c r="Q159" s="315">
        <v>1</v>
      </c>
      <c r="R159" s="315"/>
      <c r="S159" s="315">
        <v>1</v>
      </c>
      <c r="T159" s="315"/>
      <c r="U159" s="315">
        <v>1</v>
      </c>
      <c r="V159" s="315"/>
      <c r="W159" s="315">
        <v>1</v>
      </c>
      <c r="X159" s="315">
        <v>1</v>
      </c>
      <c r="Y159" s="315">
        <v>1</v>
      </c>
      <c r="Z159" s="315"/>
      <c r="AA159" s="315">
        <v>1</v>
      </c>
      <c r="AB159" s="315">
        <v>1</v>
      </c>
      <c r="AC159" s="315">
        <v>1</v>
      </c>
      <c r="AD159" s="315"/>
      <c r="AE159" s="315"/>
      <c r="AF159" s="315"/>
      <c r="AG159" s="315"/>
      <c r="AH159" s="315"/>
      <c r="AI159" s="315"/>
      <c r="AJ159" s="315"/>
      <c r="AK159" s="315"/>
      <c r="AL159" s="315">
        <v>1</v>
      </c>
      <c r="AM159" s="315"/>
      <c r="AN159" s="315">
        <v>1</v>
      </c>
      <c r="AO159" s="315">
        <v>1</v>
      </c>
      <c r="AP159" s="315">
        <v>1</v>
      </c>
      <c r="AQ159" s="317">
        <v>1</v>
      </c>
    </row>
    <row r="160" spans="1:43" s="378" customFormat="1" ht="44.25" customHeight="1">
      <c r="A160" s="313" t="s">
        <v>1502</v>
      </c>
      <c r="B160" s="313" t="s">
        <v>384</v>
      </c>
      <c r="C160" s="314" t="s">
        <v>564</v>
      </c>
      <c r="D160" s="314" t="s">
        <v>1426</v>
      </c>
      <c r="E160" s="314" t="s">
        <v>565</v>
      </c>
      <c r="F160" s="315">
        <v>1</v>
      </c>
      <c r="G160" s="315">
        <v>1</v>
      </c>
      <c r="H160" s="315"/>
      <c r="I160" s="315">
        <v>1</v>
      </c>
      <c r="J160" s="315">
        <v>1</v>
      </c>
      <c r="K160" s="315">
        <v>1</v>
      </c>
      <c r="L160" s="315">
        <v>1</v>
      </c>
      <c r="M160" s="315"/>
      <c r="N160" s="315"/>
      <c r="O160" s="315"/>
      <c r="P160" s="315"/>
      <c r="Q160" s="315"/>
      <c r="R160" s="315">
        <v>1</v>
      </c>
      <c r="S160" s="315"/>
      <c r="T160" s="315"/>
      <c r="U160" s="315">
        <v>1</v>
      </c>
      <c r="V160" s="315">
        <v>1</v>
      </c>
      <c r="W160" s="315">
        <v>1</v>
      </c>
      <c r="X160" s="315"/>
      <c r="Y160" s="315">
        <v>1</v>
      </c>
      <c r="Z160" s="315">
        <v>1</v>
      </c>
      <c r="AA160" s="315">
        <v>1</v>
      </c>
      <c r="AB160" s="315">
        <v>1</v>
      </c>
      <c r="AC160" s="315">
        <v>1</v>
      </c>
      <c r="AD160" s="315"/>
      <c r="AE160" s="315"/>
      <c r="AF160" s="315"/>
      <c r="AG160" s="315"/>
      <c r="AH160" s="315"/>
      <c r="AI160" s="315"/>
      <c r="AJ160" s="315"/>
      <c r="AK160" s="315"/>
      <c r="AL160" s="315"/>
      <c r="AM160" s="315"/>
      <c r="AN160" s="315">
        <v>1</v>
      </c>
      <c r="AO160" s="315">
        <v>1</v>
      </c>
      <c r="AP160" s="315"/>
      <c r="AQ160" s="317"/>
    </row>
    <row r="161" spans="1:43" s="378" customFormat="1" ht="44.25" customHeight="1">
      <c r="A161" s="313" t="s">
        <v>1502</v>
      </c>
      <c r="B161" s="313" t="s">
        <v>384</v>
      </c>
      <c r="C161" s="314" t="s">
        <v>566</v>
      </c>
      <c r="D161" s="314" t="s">
        <v>1426</v>
      </c>
      <c r="E161" s="314" t="s">
        <v>408</v>
      </c>
      <c r="F161" s="315"/>
      <c r="G161" s="315">
        <v>1</v>
      </c>
      <c r="H161" s="315">
        <v>1</v>
      </c>
      <c r="I161" s="315">
        <v>1</v>
      </c>
      <c r="J161" s="315">
        <v>1</v>
      </c>
      <c r="K161" s="315"/>
      <c r="L161" s="315">
        <v>1</v>
      </c>
      <c r="M161" s="315">
        <v>1</v>
      </c>
      <c r="N161" s="315">
        <v>1</v>
      </c>
      <c r="O161" s="315">
        <v>1</v>
      </c>
      <c r="P161" s="315">
        <v>1</v>
      </c>
      <c r="Q161" s="315">
        <v>1</v>
      </c>
      <c r="R161" s="315">
        <v>1</v>
      </c>
      <c r="S161" s="315"/>
      <c r="T161" s="315">
        <v>1</v>
      </c>
      <c r="U161" s="315">
        <v>1</v>
      </c>
      <c r="V161" s="315">
        <v>1</v>
      </c>
      <c r="W161" s="315">
        <v>1</v>
      </c>
      <c r="X161" s="315">
        <v>1</v>
      </c>
      <c r="Y161" s="315">
        <v>1</v>
      </c>
      <c r="Z161" s="315">
        <v>1</v>
      </c>
      <c r="AA161" s="315"/>
      <c r="AB161" s="315">
        <v>1</v>
      </c>
      <c r="AC161" s="315">
        <v>1</v>
      </c>
      <c r="AD161" s="315"/>
      <c r="AE161" s="315"/>
      <c r="AF161" s="315">
        <v>1</v>
      </c>
      <c r="AG161" s="315">
        <v>1</v>
      </c>
      <c r="AH161" s="315">
        <v>1</v>
      </c>
      <c r="AI161" s="315">
        <v>1</v>
      </c>
      <c r="AJ161" s="315"/>
      <c r="AK161" s="315"/>
      <c r="AL161" s="315"/>
      <c r="AM161" s="315"/>
      <c r="AN161" s="315">
        <v>1</v>
      </c>
      <c r="AO161" s="315">
        <v>1</v>
      </c>
      <c r="AP161" s="315"/>
      <c r="AQ161" s="317"/>
    </row>
    <row r="162" spans="1:43" s="378" customFormat="1" ht="44.25" customHeight="1">
      <c r="A162" s="313" t="s">
        <v>1502</v>
      </c>
      <c r="B162" s="313" t="s">
        <v>384</v>
      </c>
      <c r="C162" s="314" t="s">
        <v>567</v>
      </c>
      <c r="D162" s="314" t="s">
        <v>1426</v>
      </c>
      <c r="E162" s="314" t="s">
        <v>568</v>
      </c>
      <c r="F162" s="315"/>
      <c r="G162" s="315"/>
      <c r="H162" s="315"/>
      <c r="I162" s="315"/>
      <c r="J162" s="315">
        <v>1</v>
      </c>
      <c r="K162" s="315"/>
      <c r="L162" s="315">
        <v>1</v>
      </c>
      <c r="M162" s="315">
        <v>1</v>
      </c>
      <c r="N162" s="315">
        <v>1</v>
      </c>
      <c r="O162" s="315"/>
      <c r="P162" s="315">
        <v>1</v>
      </c>
      <c r="Q162" s="315">
        <v>1</v>
      </c>
      <c r="R162" s="315">
        <v>1</v>
      </c>
      <c r="S162" s="315"/>
      <c r="T162" s="315">
        <v>1</v>
      </c>
      <c r="U162" s="315">
        <v>1</v>
      </c>
      <c r="V162" s="315">
        <v>1</v>
      </c>
      <c r="W162" s="315">
        <v>1</v>
      </c>
      <c r="X162" s="315">
        <v>1</v>
      </c>
      <c r="Y162" s="315">
        <v>1</v>
      </c>
      <c r="Z162" s="315">
        <v>1</v>
      </c>
      <c r="AA162" s="315"/>
      <c r="AB162" s="315">
        <v>1</v>
      </c>
      <c r="AC162" s="315">
        <v>1</v>
      </c>
      <c r="AD162" s="315"/>
      <c r="AE162" s="315"/>
      <c r="AF162" s="315"/>
      <c r="AG162" s="315"/>
      <c r="AH162" s="315">
        <v>1</v>
      </c>
      <c r="AI162" s="315">
        <v>1</v>
      </c>
      <c r="AJ162" s="315">
        <v>1</v>
      </c>
      <c r="AK162" s="315">
        <v>1</v>
      </c>
      <c r="AL162" s="315"/>
      <c r="AM162" s="315"/>
      <c r="AN162" s="315">
        <v>1</v>
      </c>
      <c r="AO162" s="315">
        <v>1</v>
      </c>
      <c r="AP162" s="315">
        <v>1</v>
      </c>
      <c r="AQ162" s="317">
        <v>1</v>
      </c>
    </row>
    <row r="163" spans="1:43" s="378" customFormat="1" ht="44.25" customHeight="1">
      <c r="A163" s="313" t="s">
        <v>1502</v>
      </c>
      <c r="B163" s="313" t="s">
        <v>384</v>
      </c>
      <c r="C163" s="314" t="s">
        <v>569</v>
      </c>
      <c r="D163" s="314" t="s">
        <v>1426</v>
      </c>
      <c r="E163" s="314" t="s">
        <v>408</v>
      </c>
      <c r="F163" s="315">
        <v>1</v>
      </c>
      <c r="G163" s="315">
        <v>1</v>
      </c>
      <c r="H163" s="315">
        <v>1</v>
      </c>
      <c r="I163" s="315">
        <v>1</v>
      </c>
      <c r="J163" s="315">
        <v>1</v>
      </c>
      <c r="K163" s="315"/>
      <c r="L163" s="315">
        <v>1</v>
      </c>
      <c r="M163" s="315">
        <v>1</v>
      </c>
      <c r="N163" s="315"/>
      <c r="O163" s="315">
        <v>1</v>
      </c>
      <c r="P163" s="315">
        <v>1</v>
      </c>
      <c r="Q163" s="315">
        <v>1</v>
      </c>
      <c r="R163" s="315">
        <v>1</v>
      </c>
      <c r="S163" s="315">
        <v>1</v>
      </c>
      <c r="T163" s="315">
        <v>1</v>
      </c>
      <c r="U163" s="315">
        <v>1</v>
      </c>
      <c r="V163" s="315">
        <v>1</v>
      </c>
      <c r="W163" s="315"/>
      <c r="X163" s="315">
        <v>1</v>
      </c>
      <c r="Y163" s="315">
        <v>1</v>
      </c>
      <c r="Z163" s="315">
        <v>1</v>
      </c>
      <c r="AA163" s="315"/>
      <c r="AB163" s="315">
        <v>1</v>
      </c>
      <c r="AC163" s="315">
        <v>1</v>
      </c>
      <c r="AD163" s="315"/>
      <c r="AE163" s="315"/>
      <c r="AF163" s="315">
        <v>1</v>
      </c>
      <c r="AG163" s="315">
        <v>1</v>
      </c>
      <c r="AH163" s="315">
        <v>1</v>
      </c>
      <c r="AI163" s="315">
        <v>1</v>
      </c>
      <c r="AJ163" s="315"/>
      <c r="AK163" s="315"/>
      <c r="AL163" s="315">
        <v>1</v>
      </c>
      <c r="AM163" s="315">
        <v>1</v>
      </c>
      <c r="AN163" s="315">
        <v>1</v>
      </c>
      <c r="AO163" s="315">
        <v>1</v>
      </c>
      <c r="AP163" s="315"/>
      <c r="AQ163" s="317"/>
    </row>
    <row r="164" spans="1:43" s="378" customFormat="1" ht="44.25" customHeight="1">
      <c r="A164" s="313" t="s">
        <v>1502</v>
      </c>
      <c r="B164" s="313" t="s">
        <v>384</v>
      </c>
      <c r="C164" s="314" t="s">
        <v>570</v>
      </c>
      <c r="D164" s="314" t="s">
        <v>1426</v>
      </c>
      <c r="E164" s="314" t="s">
        <v>571</v>
      </c>
      <c r="F164" s="315"/>
      <c r="G164" s="315">
        <v>1</v>
      </c>
      <c r="H164" s="315">
        <v>1</v>
      </c>
      <c r="I164" s="315">
        <v>1</v>
      </c>
      <c r="J164" s="315">
        <v>1</v>
      </c>
      <c r="K164" s="315">
        <v>1</v>
      </c>
      <c r="L164" s="315">
        <v>1</v>
      </c>
      <c r="M164" s="315">
        <v>1</v>
      </c>
      <c r="N164" s="315">
        <v>1</v>
      </c>
      <c r="O164" s="315">
        <v>1</v>
      </c>
      <c r="P164" s="315">
        <v>1</v>
      </c>
      <c r="Q164" s="315">
        <v>1</v>
      </c>
      <c r="R164" s="315">
        <v>1</v>
      </c>
      <c r="S164" s="315"/>
      <c r="T164" s="315">
        <v>1</v>
      </c>
      <c r="U164" s="315">
        <v>1</v>
      </c>
      <c r="V164" s="315">
        <v>1</v>
      </c>
      <c r="W164" s="315">
        <v>1</v>
      </c>
      <c r="X164" s="315">
        <v>1</v>
      </c>
      <c r="Y164" s="315">
        <v>1</v>
      </c>
      <c r="Z164" s="315">
        <v>1</v>
      </c>
      <c r="AA164" s="315">
        <v>1</v>
      </c>
      <c r="AB164" s="315">
        <v>1</v>
      </c>
      <c r="AC164" s="315">
        <v>1</v>
      </c>
      <c r="AD164" s="315"/>
      <c r="AE164" s="315"/>
      <c r="AF164" s="315">
        <v>1</v>
      </c>
      <c r="AG164" s="315">
        <v>1</v>
      </c>
      <c r="AH164" s="315">
        <v>1</v>
      </c>
      <c r="AI164" s="315">
        <v>1</v>
      </c>
      <c r="AJ164" s="315"/>
      <c r="AK164" s="315"/>
      <c r="AL164" s="315">
        <v>1</v>
      </c>
      <c r="AM164" s="315"/>
      <c r="AN164" s="315">
        <v>1</v>
      </c>
      <c r="AO164" s="315">
        <v>1</v>
      </c>
      <c r="AP164" s="315"/>
      <c r="AQ164" s="317"/>
    </row>
    <row r="165" spans="1:43" s="378" customFormat="1" ht="44.25" customHeight="1">
      <c r="A165" s="313" t="s">
        <v>1502</v>
      </c>
      <c r="B165" s="313" t="s">
        <v>386</v>
      </c>
      <c r="C165" s="314" t="s">
        <v>572</v>
      </c>
      <c r="D165" s="314" t="s">
        <v>1434</v>
      </c>
      <c r="E165" s="314" t="s">
        <v>573</v>
      </c>
      <c r="F165" s="315">
        <v>1</v>
      </c>
      <c r="G165" s="315">
        <v>1</v>
      </c>
      <c r="H165" s="315">
        <v>1</v>
      </c>
      <c r="I165" s="315">
        <v>1</v>
      </c>
      <c r="J165" s="315">
        <v>1</v>
      </c>
      <c r="K165" s="315"/>
      <c r="L165" s="315">
        <v>1</v>
      </c>
      <c r="M165" s="315">
        <v>1</v>
      </c>
      <c r="N165" s="315"/>
      <c r="O165" s="315">
        <v>1</v>
      </c>
      <c r="P165" s="315">
        <v>1</v>
      </c>
      <c r="Q165" s="315">
        <v>1</v>
      </c>
      <c r="R165" s="315">
        <v>1</v>
      </c>
      <c r="S165" s="315">
        <v>1</v>
      </c>
      <c r="T165" s="315">
        <v>1</v>
      </c>
      <c r="U165" s="315">
        <v>1</v>
      </c>
      <c r="V165" s="315">
        <v>1</v>
      </c>
      <c r="W165" s="315">
        <v>1</v>
      </c>
      <c r="X165" s="315">
        <v>1</v>
      </c>
      <c r="Y165" s="315">
        <v>1</v>
      </c>
      <c r="Z165" s="315">
        <v>1</v>
      </c>
      <c r="AA165" s="315"/>
      <c r="AB165" s="315">
        <v>1</v>
      </c>
      <c r="AC165" s="315">
        <v>1</v>
      </c>
      <c r="AD165" s="315"/>
      <c r="AE165" s="315"/>
      <c r="AF165" s="315">
        <v>1</v>
      </c>
      <c r="AG165" s="315">
        <v>1</v>
      </c>
      <c r="AH165" s="315">
        <v>1</v>
      </c>
      <c r="AI165" s="315">
        <v>1</v>
      </c>
      <c r="AJ165" s="315"/>
      <c r="AK165" s="315"/>
      <c r="AL165" s="315">
        <v>1</v>
      </c>
      <c r="AM165" s="315">
        <v>1</v>
      </c>
      <c r="AN165" s="315">
        <v>1</v>
      </c>
      <c r="AO165" s="315">
        <v>1</v>
      </c>
      <c r="AP165" s="315">
        <v>1</v>
      </c>
      <c r="AQ165" s="317">
        <v>1</v>
      </c>
    </row>
    <row r="166" spans="1:43" s="378" customFormat="1" ht="44.25" customHeight="1">
      <c r="A166" s="313" t="s">
        <v>1502</v>
      </c>
      <c r="B166" s="313" t="s">
        <v>384</v>
      </c>
      <c r="C166" s="314" t="s">
        <v>574</v>
      </c>
      <c r="D166" s="314" t="s">
        <v>1426</v>
      </c>
      <c r="E166" s="314" t="s">
        <v>575</v>
      </c>
      <c r="F166" s="315"/>
      <c r="G166" s="315"/>
      <c r="H166" s="315"/>
      <c r="I166" s="315"/>
      <c r="J166" s="315"/>
      <c r="K166" s="315">
        <v>1</v>
      </c>
      <c r="L166" s="315">
        <v>1</v>
      </c>
      <c r="M166" s="315">
        <v>1</v>
      </c>
      <c r="N166" s="315">
        <v>1</v>
      </c>
      <c r="O166" s="315">
        <v>1</v>
      </c>
      <c r="P166" s="315">
        <v>1</v>
      </c>
      <c r="Q166" s="315">
        <v>1</v>
      </c>
      <c r="R166" s="315">
        <v>1</v>
      </c>
      <c r="S166" s="315">
        <v>1</v>
      </c>
      <c r="T166" s="315">
        <v>1</v>
      </c>
      <c r="U166" s="315">
        <v>1</v>
      </c>
      <c r="V166" s="315">
        <v>1</v>
      </c>
      <c r="W166" s="315">
        <v>1</v>
      </c>
      <c r="X166" s="315">
        <v>1</v>
      </c>
      <c r="Y166" s="315">
        <v>1</v>
      </c>
      <c r="Z166" s="315">
        <v>1</v>
      </c>
      <c r="AA166" s="315">
        <v>1</v>
      </c>
      <c r="AB166" s="315">
        <v>1</v>
      </c>
      <c r="AC166" s="315">
        <v>1</v>
      </c>
      <c r="AD166" s="315"/>
      <c r="AE166" s="315"/>
      <c r="AF166" s="315">
        <v>1</v>
      </c>
      <c r="AG166" s="315">
        <v>1</v>
      </c>
      <c r="AH166" s="315">
        <v>1</v>
      </c>
      <c r="AI166" s="315">
        <v>1</v>
      </c>
      <c r="AJ166" s="315"/>
      <c r="AK166" s="315"/>
      <c r="AL166" s="315">
        <v>1</v>
      </c>
      <c r="AM166" s="315"/>
      <c r="AN166" s="315">
        <v>1</v>
      </c>
      <c r="AO166" s="315">
        <v>1</v>
      </c>
      <c r="AP166" s="315"/>
      <c r="AQ166" s="316"/>
    </row>
    <row r="167" spans="1:43" s="378" customFormat="1" ht="44.25" customHeight="1">
      <c r="A167" s="313" t="s">
        <v>1502</v>
      </c>
      <c r="B167" s="313" t="s">
        <v>384</v>
      </c>
      <c r="C167" s="314" t="s">
        <v>576</v>
      </c>
      <c r="D167" s="314" t="s">
        <v>1426</v>
      </c>
      <c r="E167" s="314" t="s">
        <v>577</v>
      </c>
      <c r="F167" s="315">
        <v>1</v>
      </c>
      <c r="G167" s="315"/>
      <c r="H167" s="315">
        <v>1</v>
      </c>
      <c r="I167" s="315">
        <v>1</v>
      </c>
      <c r="J167" s="315">
        <v>1</v>
      </c>
      <c r="K167" s="315">
        <v>1</v>
      </c>
      <c r="L167" s="315">
        <v>1</v>
      </c>
      <c r="M167" s="315">
        <v>1</v>
      </c>
      <c r="N167" s="315"/>
      <c r="O167" s="315">
        <v>1</v>
      </c>
      <c r="P167" s="315">
        <v>1</v>
      </c>
      <c r="Q167" s="315">
        <v>1</v>
      </c>
      <c r="R167" s="315">
        <v>1</v>
      </c>
      <c r="S167" s="315"/>
      <c r="T167" s="315">
        <v>1</v>
      </c>
      <c r="U167" s="315">
        <v>1</v>
      </c>
      <c r="V167" s="315">
        <v>1</v>
      </c>
      <c r="W167" s="315">
        <v>1</v>
      </c>
      <c r="X167" s="315">
        <v>1</v>
      </c>
      <c r="Y167" s="315">
        <v>1</v>
      </c>
      <c r="Z167" s="315">
        <v>1</v>
      </c>
      <c r="AA167" s="315">
        <v>1</v>
      </c>
      <c r="AB167" s="315">
        <v>1</v>
      </c>
      <c r="AC167" s="315">
        <v>1</v>
      </c>
      <c r="AD167" s="315"/>
      <c r="AE167" s="315"/>
      <c r="AF167" s="315">
        <v>1</v>
      </c>
      <c r="AG167" s="315">
        <v>1</v>
      </c>
      <c r="AH167" s="315">
        <v>1</v>
      </c>
      <c r="AI167" s="315">
        <v>1</v>
      </c>
      <c r="AJ167" s="315">
        <v>1</v>
      </c>
      <c r="AK167" s="315"/>
      <c r="AL167" s="315"/>
      <c r="AM167" s="315">
        <v>1</v>
      </c>
      <c r="AN167" s="315"/>
      <c r="AO167" s="315">
        <v>1</v>
      </c>
      <c r="AP167" s="315"/>
      <c r="AQ167" s="316"/>
    </row>
    <row r="168" spans="1:43" s="378" customFormat="1" ht="44.25" customHeight="1">
      <c r="A168" s="313" t="s">
        <v>1502</v>
      </c>
      <c r="B168" s="313" t="s">
        <v>386</v>
      </c>
      <c r="C168" s="314" t="s">
        <v>578</v>
      </c>
      <c r="D168" s="314" t="s">
        <v>1432</v>
      </c>
      <c r="E168" s="314" t="s">
        <v>545</v>
      </c>
      <c r="F168" s="315"/>
      <c r="G168" s="315"/>
      <c r="H168" s="315"/>
      <c r="I168" s="315"/>
      <c r="J168" s="315">
        <v>1</v>
      </c>
      <c r="K168" s="315">
        <v>1</v>
      </c>
      <c r="L168" s="315">
        <v>1</v>
      </c>
      <c r="M168" s="315">
        <v>1</v>
      </c>
      <c r="N168" s="315">
        <v>1</v>
      </c>
      <c r="O168" s="315">
        <v>1</v>
      </c>
      <c r="P168" s="315">
        <v>1</v>
      </c>
      <c r="Q168" s="315">
        <v>1</v>
      </c>
      <c r="R168" s="315">
        <v>1</v>
      </c>
      <c r="S168" s="315">
        <v>1</v>
      </c>
      <c r="T168" s="315">
        <v>1</v>
      </c>
      <c r="U168" s="315">
        <v>1</v>
      </c>
      <c r="V168" s="315">
        <v>1</v>
      </c>
      <c r="W168" s="315">
        <v>1</v>
      </c>
      <c r="X168" s="315">
        <v>1</v>
      </c>
      <c r="Y168" s="315">
        <v>1</v>
      </c>
      <c r="Z168" s="315">
        <v>1</v>
      </c>
      <c r="AA168" s="315">
        <v>1</v>
      </c>
      <c r="AB168" s="315">
        <v>1</v>
      </c>
      <c r="AC168" s="315">
        <v>1</v>
      </c>
      <c r="AD168" s="315"/>
      <c r="AE168" s="315">
        <v>1</v>
      </c>
      <c r="AF168" s="315">
        <v>1</v>
      </c>
      <c r="AG168" s="315">
        <v>1</v>
      </c>
      <c r="AH168" s="315">
        <v>1</v>
      </c>
      <c r="AI168" s="315">
        <v>1</v>
      </c>
      <c r="AJ168" s="315"/>
      <c r="AK168" s="315"/>
      <c r="AL168" s="315">
        <v>1</v>
      </c>
      <c r="AM168" s="315">
        <v>1</v>
      </c>
      <c r="AN168" s="315">
        <v>1</v>
      </c>
      <c r="AO168" s="315">
        <v>1</v>
      </c>
      <c r="AP168" s="315">
        <v>1</v>
      </c>
      <c r="AQ168" s="316">
        <v>1</v>
      </c>
    </row>
    <row r="169" spans="1:43" s="378" customFormat="1" ht="44.25" customHeight="1">
      <c r="A169" s="313" t="s">
        <v>1502</v>
      </c>
      <c r="B169" s="313" t="s">
        <v>386</v>
      </c>
      <c r="C169" s="314" t="s">
        <v>579</v>
      </c>
      <c r="D169" s="314" t="s">
        <v>1432</v>
      </c>
      <c r="E169" s="314" t="s">
        <v>545</v>
      </c>
      <c r="F169" s="315"/>
      <c r="G169" s="315">
        <v>1</v>
      </c>
      <c r="H169" s="315">
        <v>1</v>
      </c>
      <c r="I169" s="315">
        <v>1</v>
      </c>
      <c r="J169" s="315">
        <v>1</v>
      </c>
      <c r="K169" s="315"/>
      <c r="L169" s="315">
        <v>1</v>
      </c>
      <c r="M169" s="315">
        <v>1</v>
      </c>
      <c r="N169" s="315"/>
      <c r="O169" s="315"/>
      <c r="P169" s="315">
        <v>1</v>
      </c>
      <c r="Q169" s="315">
        <v>1</v>
      </c>
      <c r="R169" s="315">
        <v>1</v>
      </c>
      <c r="S169" s="315">
        <v>1</v>
      </c>
      <c r="T169" s="315">
        <v>1</v>
      </c>
      <c r="U169" s="315">
        <v>1</v>
      </c>
      <c r="V169" s="315">
        <v>1</v>
      </c>
      <c r="W169" s="315">
        <v>1</v>
      </c>
      <c r="X169" s="315">
        <v>1</v>
      </c>
      <c r="Y169" s="315">
        <v>1</v>
      </c>
      <c r="Z169" s="315">
        <v>1</v>
      </c>
      <c r="AA169" s="315">
        <v>1</v>
      </c>
      <c r="AB169" s="315">
        <v>1</v>
      </c>
      <c r="AC169" s="315">
        <v>1</v>
      </c>
      <c r="AD169" s="315">
        <v>1</v>
      </c>
      <c r="AE169" s="315">
        <v>1</v>
      </c>
      <c r="AF169" s="315"/>
      <c r="AG169" s="315">
        <v>1</v>
      </c>
      <c r="AH169" s="315">
        <v>1</v>
      </c>
      <c r="AI169" s="315">
        <v>1</v>
      </c>
      <c r="AJ169" s="315"/>
      <c r="AK169" s="315"/>
      <c r="AL169" s="315">
        <v>1</v>
      </c>
      <c r="AM169" s="315">
        <v>1</v>
      </c>
      <c r="AN169" s="315">
        <v>1</v>
      </c>
      <c r="AO169" s="315">
        <v>1</v>
      </c>
      <c r="AP169" s="315">
        <v>1</v>
      </c>
      <c r="AQ169" s="316">
        <v>1</v>
      </c>
    </row>
    <row r="170" spans="1:43" s="378" customFormat="1" ht="44.25" customHeight="1">
      <c r="A170" s="313" t="s">
        <v>1502</v>
      </c>
      <c r="B170" s="313" t="s">
        <v>386</v>
      </c>
      <c r="C170" s="314" t="s">
        <v>580</v>
      </c>
      <c r="D170" s="314" t="s">
        <v>1424</v>
      </c>
      <c r="E170" s="314" t="s">
        <v>545</v>
      </c>
      <c r="F170" s="315"/>
      <c r="G170" s="315">
        <v>1</v>
      </c>
      <c r="H170" s="315">
        <v>1</v>
      </c>
      <c r="I170" s="315">
        <v>1</v>
      </c>
      <c r="J170" s="315">
        <v>1</v>
      </c>
      <c r="K170" s="315"/>
      <c r="L170" s="315">
        <v>1</v>
      </c>
      <c r="M170" s="315">
        <v>1</v>
      </c>
      <c r="N170" s="315"/>
      <c r="O170" s="315"/>
      <c r="P170" s="315">
        <v>1</v>
      </c>
      <c r="Q170" s="315">
        <v>1</v>
      </c>
      <c r="R170" s="315"/>
      <c r="S170" s="315">
        <v>1</v>
      </c>
      <c r="T170" s="315">
        <v>1</v>
      </c>
      <c r="U170" s="315">
        <v>1</v>
      </c>
      <c r="V170" s="315">
        <v>1</v>
      </c>
      <c r="W170" s="315">
        <v>1</v>
      </c>
      <c r="X170" s="315">
        <v>1</v>
      </c>
      <c r="Y170" s="315">
        <v>1</v>
      </c>
      <c r="Z170" s="315">
        <v>1</v>
      </c>
      <c r="AA170" s="315">
        <v>1</v>
      </c>
      <c r="AB170" s="315">
        <v>1</v>
      </c>
      <c r="AC170" s="315">
        <v>1</v>
      </c>
      <c r="AD170" s="315">
        <v>1</v>
      </c>
      <c r="AE170" s="315">
        <v>1</v>
      </c>
      <c r="AF170" s="315"/>
      <c r="AG170" s="315">
        <v>1</v>
      </c>
      <c r="AH170" s="315">
        <v>1</v>
      </c>
      <c r="AI170" s="315">
        <v>1</v>
      </c>
      <c r="AJ170" s="315">
        <v>1</v>
      </c>
      <c r="AK170" s="315">
        <v>1</v>
      </c>
      <c r="AL170" s="315">
        <v>1</v>
      </c>
      <c r="AM170" s="315">
        <v>1</v>
      </c>
      <c r="AN170" s="315">
        <v>1</v>
      </c>
      <c r="AO170" s="315">
        <v>1</v>
      </c>
      <c r="AP170" s="315"/>
      <c r="AQ170" s="316"/>
    </row>
    <row r="171" spans="1:43" s="378" customFormat="1" ht="44.25" customHeight="1">
      <c r="A171" s="313" t="s">
        <v>1502</v>
      </c>
      <c r="B171" s="313" t="s">
        <v>386</v>
      </c>
      <c r="C171" s="314" t="s">
        <v>581</v>
      </c>
      <c r="D171" s="314" t="s">
        <v>1424</v>
      </c>
      <c r="E171" s="314" t="s">
        <v>545</v>
      </c>
      <c r="F171" s="315"/>
      <c r="G171" s="315"/>
      <c r="H171" s="315"/>
      <c r="I171" s="315"/>
      <c r="J171" s="315">
        <v>1</v>
      </c>
      <c r="K171" s="315">
        <v>1</v>
      </c>
      <c r="L171" s="315">
        <v>1</v>
      </c>
      <c r="M171" s="315">
        <v>1</v>
      </c>
      <c r="N171" s="315"/>
      <c r="O171" s="315"/>
      <c r="P171" s="315">
        <v>1</v>
      </c>
      <c r="Q171" s="315">
        <v>1</v>
      </c>
      <c r="R171" s="315">
        <v>1</v>
      </c>
      <c r="S171" s="315"/>
      <c r="T171" s="315">
        <v>1</v>
      </c>
      <c r="U171" s="315">
        <v>1</v>
      </c>
      <c r="V171" s="315">
        <v>1</v>
      </c>
      <c r="W171" s="315">
        <v>1</v>
      </c>
      <c r="X171" s="315">
        <v>1</v>
      </c>
      <c r="Y171" s="315">
        <v>1</v>
      </c>
      <c r="Z171" s="315">
        <v>1</v>
      </c>
      <c r="AA171" s="315"/>
      <c r="AB171" s="315">
        <v>1</v>
      </c>
      <c r="AC171" s="315">
        <v>1</v>
      </c>
      <c r="AD171" s="315">
        <v>1</v>
      </c>
      <c r="AE171" s="315">
        <v>1</v>
      </c>
      <c r="AF171" s="315"/>
      <c r="AG171" s="315">
        <v>1</v>
      </c>
      <c r="AH171" s="315">
        <v>1</v>
      </c>
      <c r="AI171" s="315">
        <v>1</v>
      </c>
      <c r="AJ171" s="315">
        <v>1</v>
      </c>
      <c r="AK171" s="315">
        <v>1</v>
      </c>
      <c r="AL171" s="315">
        <v>1</v>
      </c>
      <c r="AM171" s="315">
        <v>1</v>
      </c>
      <c r="AN171" s="315">
        <v>1</v>
      </c>
      <c r="AO171" s="315">
        <v>1</v>
      </c>
      <c r="AP171" s="315">
        <v>1</v>
      </c>
      <c r="AQ171" s="316">
        <v>1</v>
      </c>
    </row>
    <row r="172" spans="1:43" s="378" customFormat="1" ht="44.25" customHeight="1">
      <c r="A172" s="313" t="s">
        <v>1502</v>
      </c>
      <c r="B172" s="313" t="s">
        <v>386</v>
      </c>
      <c r="C172" s="314" t="s">
        <v>582</v>
      </c>
      <c r="D172" s="314" t="s">
        <v>1424</v>
      </c>
      <c r="E172" s="314" t="s">
        <v>415</v>
      </c>
      <c r="F172" s="315"/>
      <c r="G172" s="315"/>
      <c r="H172" s="315"/>
      <c r="I172" s="315"/>
      <c r="J172" s="315">
        <v>1</v>
      </c>
      <c r="K172" s="315">
        <v>1</v>
      </c>
      <c r="L172" s="315">
        <v>1</v>
      </c>
      <c r="M172" s="315">
        <v>1</v>
      </c>
      <c r="N172" s="315">
        <v>1</v>
      </c>
      <c r="O172" s="315"/>
      <c r="P172" s="315">
        <v>1</v>
      </c>
      <c r="Q172" s="315">
        <v>1</v>
      </c>
      <c r="R172" s="315">
        <v>1</v>
      </c>
      <c r="S172" s="315"/>
      <c r="T172" s="315">
        <v>1</v>
      </c>
      <c r="U172" s="315">
        <v>1</v>
      </c>
      <c r="V172" s="315">
        <v>1</v>
      </c>
      <c r="W172" s="315">
        <v>1</v>
      </c>
      <c r="X172" s="315">
        <v>1</v>
      </c>
      <c r="Y172" s="315">
        <v>1</v>
      </c>
      <c r="Z172" s="315">
        <v>1</v>
      </c>
      <c r="AA172" s="315">
        <v>1</v>
      </c>
      <c r="AB172" s="315">
        <v>1</v>
      </c>
      <c r="AC172" s="315">
        <v>1</v>
      </c>
      <c r="AD172" s="315"/>
      <c r="AE172" s="315">
        <v>1</v>
      </c>
      <c r="AF172" s="315"/>
      <c r="AG172" s="315">
        <v>1</v>
      </c>
      <c r="AH172" s="315">
        <v>1</v>
      </c>
      <c r="AI172" s="315">
        <v>1</v>
      </c>
      <c r="AJ172" s="315"/>
      <c r="AK172" s="315"/>
      <c r="AL172" s="315">
        <v>1</v>
      </c>
      <c r="AM172" s="315">
        <v>1</v>
      </c>
      <c r="AN172" s="315">
        <v>1</v>
      </c>
      <c r="AO172" s="315">
        <v>1</v>
      </c>
      <c r="AP172" s="315">
        <v>1</v>
      </c>
      <c r="AQ172" s="316">
        <v>1</v>
      </c>
    </row>
    <row r="173" spans="1:43" s="378" customFormat="1" ht="44.25" customHeight="1">
      <c r="A173" s="313" t="s">
        <v>1502</v>
      </c>
      <c r="B173" s="313" t="s">
        <v>386</v>
      </c>
      <c r="C173" s="314" t="s">
        <v>583</v>
      </c>
      <c r="D173" s="314" t="s">
        <v>1424</v>
      </c>
      <c r="E173" s="314" t="s">
        <v>545</v>
      </c>
      <c r="F173" s="315"/>
      <c r="G173" s="315"/>
      <c r="H173" s="315"/>
      <c r="I173" s="315"/>
      <c r="J173" s="315">
        <v>1</v>
      </c>
      <c r="K173" s="315">
        <v>1</v>
      </c>
      <c r="L173" s="315">
        <v>1</v>
      </c>
      <c r="M173" s="315">
        <v>1</v>
      </c>
      <c r="N173" s="315">
        <v>1</v>
      </c>
      <c r="O173" s="315"/>
      <c r="P173" s="315">
        <v>1</v>
      </c>
      <c r="Q173" s="315">
        <v>1</v>
      </c>
      <c r="R173" s="315">
        <v>1</v>
      </c>
      <c r="S173" s="315"/>
      <c r="T173" s="315">
        <v>1</v>
      </c>
      <c r="U173" s="315">
        <v>1</v>
      </c>
      <c r="V173" s="315">
        <v>1</v>
      </c>
      <c r="W173" s="315">
        <v>1</v>
      </c>
      <c r="X173" s="315">
        <v>1</v>
      </c>
      <c r="Y173" s="315">
        <v>1</v>
      </c>
      <c r="Z173" s="315">
        <v>1</v>
      </c>
      <c r="AA173" s="315"/>
      <c r="AB173" s="315">
        <v>1</v>
      </c>
      <c r="AC173" s="315">
        <v>1</v>
      </c>
      <c r="AD173" s="315"/>
      <c r="AE173" s="315">
        <v>1</v>
      </c>
      <c r="AF173" s="315">
        <v>1</v>
      </c>
      <c r="AG173" s="315">
        <v>1</v>
      </c>
      <c r="AH173" s="315">
        <v>1</v>
      </c>
      <c r="AI173" s="315">
        <v>1</v>
      </c>
      <c r="AJ173" s="315">
        <v>1</v>
      </c>
      <c r="AK173" s="315">
        <v>1</v>
      </c>
      <c r="AL173" s="315">
        <v>1</v>
      </c>
      <c r="AM173" s="315"/>
      <c r="AN173" s="315">
        <v>1</v>
      </c>
      <c r="AO173" s="315">
        <v>1</v>
      </c>
      <c r="AP173" s="315"/>
      <c r="AQ173" s="316"/>
    </row>
    <row r="174" spans="1:43" s="378" customFormat="1" ht="44.25" customHeight="1">
      <c r="A174" s="313" t="s">
        <v>1502</v>
      </c>
      <c r="B174" s="313" t="s">
        <v>386</v>
      </c>
      <c r="C174" s="314" t="s">
        <v>584</v>
      </c>
      <c r="D174" s="314" t="s">
        <v>1424</v>
      </c>
      <c r="E174" s="314" t="s">
        <v>585</v>
      </c>
      <c r="F174" s="315">
        <v>1</v>
      </c>
      <c r="G174" s="315"/>
      <c r="H174" s="315">
        <v>1</v>
      </c>
      <c r="I174" s="315">
        <v>1</v>
      </c>
      <c r="J174" s="315">
        <v>1</v>
      </c>
      <c r="K174" s="315"/>
      <c r="L174" s="315">
        <v>1</v>
      </c>
      <c r="M174" s="315">
        <v>1</v>
      </c>
      <c r="N174" s="315"/>
      <c r="O174" s="315"/>
      <c r="P174" s="315">
        <v>1</v>
      </c>
      <c r="Q174" s="315">
        <v>1</v>
      </c>
      <c r="R174" s="315">
        <v>1</v>
      </c>
      <c r="S174" s="315"/>
      <c r="T174" s="315">
        <v>1</v>
      </c>
      <c r="U174" s="315">
        <v>1</v>
      </c>
      <c r="V174" s="315">
        <v>1</v>
      </c>
      <c r="W174" s="315"/>
      <c r="X174" s="315">
        <v>1</v>
      </c>
      <c r="Y174" s="315">
        <v>1</v>
      </c>
      <c r="Z174" s="315">
        <v>1</v>
      </c>
      <c r="AA174" s="315"/>
      <c r="AB174" s="315">
        <v>1</v>
      </c>
      <c r="AC174" s="315">
        <v>1</v>
      </c>
      <c r="AD174" s="315"/>
      <c r="AE174" s="315">
        <v>1</v>
      </c>
      <c r="AF174" s="315"/>
      <c r="AG174" s="315">
        <v>1</v>
      </c>
      <c r="AH174" s="315">
        <v>1</v>
      </c>
      <c r="AI174" s="315">
        <v>1</v>
      </c>
      <c r="AJ174" s="315"/>
      <c r="AK174" s="315"/>
      <c r="AL174" s="315">
        <v>1</v>
      </c>
      <c r="AM174" s="315">
        <v>1</v>
      </c>
      <c r="AN174" s="315">
        <v>1</v>
      </c>
      <c r="AO174" s="315">
        <v>1</v>
      </c>
      <c r="AP174" s="315">
        <v>1</v>
      </c>
      <c r="AQ174" s="316">
        <v>1</v>
      </c>
    </row>
    <row r="175" spans="1:43" s="378" customFormat="1" ht="44.25" customHeight="1">
      <c r="A175" s="313" t="s">
        <v>1502</v>
      </c>
      <c r="B175" s="313" t="s">
        <v>386</v>
      </c>
      <c r="C175" s="314" t="s">
        <v>586</v>
      </c>
      <c r="D175" s="314" t="s">
        <v>1434</v>
      </c>
      <c r="E175" s="314" t="s">
        <v>587</v>
      </c>
      <c r="F175" s="315">
        <v>1</v>
      </c>
      <c r="G175" s="315">
        <v>1</v>
      </c>
      <c r="H175" s="315">
        <v>1</v>
      </c>
      <c r="I175" s="315">
        <v>1</v>
      </c>
      <c r="J175" s="315">
        <v>1</v>
      </c>
      <c r="K175" s="315"/>
      <c r="L175" s="315">
        <v>1</v>
      </c>
      <c r="M175" s="315">
        <v>1</v>
      </c>
      <c r="N175" s="315"/>
      <c r="O175" s="315">
        <v>1</v>
      </c>
      <c r="P175" s="315">
        <v>1</v>
      </c>
      <c r="Q175" s="315">
        <v>1</v>
      </c>
      <c r="R175" s="315">
        <v>1</v>
      </c>
      <c r="S175" s="315"/>
      <c r="T175" s="315">
        <v>1</v>
      </c>
      <c r="U175" s="315">
        <v>1</v>
      </c>
      <c r="V175" s="315">
        <v>1</v>
      </c>
      <c r="W175" s="315">
        <v>1</v>
      </c>
      <c r="X175" s="315">
        <v>1</v>
      </c>
      <c r="Y175" s="315">
        <v>1</v>
      </c>
      <c r="Z175" s="315">
        <v>1</v>
      </c>
      <c r="AA175" s="315"/>
      <c r="AB175" s="315">
        <v>1</v>
      </c>
      <c r="AC175" s="315">
        <v>1</v>
      </c>
      <c r="AD175" s="315"/>
      <c r="AE175" s="315">
        <v>1</v>
      </c>
      <c r="AF175" s="315">
        <v>1</v>
      </c>
      <c r="AG175" s="315">
        <v>1</v>
      </c>
      <c r="AH175" s="315">
        <v>1</v>
      </c>
      <c r="AI175" s="315">
        <v>1</v>
      </c>
      <c r="AJ175" s="315"/>
      <c r="AK175" s="315"/>
      <c r="AL175" s="315">
        <v>1</v>
      </c>
      <c r="AM175" s="315">
        <v>1</v>
      </c>
      <c r="AN175" s="315">
        <v>1</v>
      </c>
      <c r="AO175" s="315">
        <v>1</v>
      </c>
      <c r="AP175" s="315">
        <v>1</v>
      </c>
      <c r="AQ175" s="316">
        <v>1</v>
      </c>
    </row>
    <row r="176" spans="1:43" s="378" customFormat="1" ht="44.25" customHeight="1">
      <c r="A176" s="313" t="s">
        <v>1502</v>
      </c>
      <c r="B176" s="313" t="s">
        <v>386</v>
      </c>
      <c r="C176" s="314" t="s">
        <v>588</v>
      </c>
      <c r="D176" s="314" t="s">
        <v>1434</v>
      </c>
      <c r="E176" s="314" t="s">
        <v>589</v>
      </c>
      <c r="F176" s="315">
        <v>1</v>
      </c>
      <c r="G176" s="315">
        <v>1</v>
      </c>
      <c r="H176" s="315">
        <v>1</v>
      </c>
      <c r="I176" s="315">
        <v>1</v>
      </c>
      <c r="J176" s="315">
        <v>1</v>
      </c>
      <c r="K176" s="315"/>
      <c r="L176" s="315">
        <v>1</v>
      </c>
      <c r="M176" s="315">
        <v>1</v>
      </c>
      <c r="N176" s="315"/>
      <c r="O176" s="315"/>
      <c r="P176" s="315">
        <v>1</v>
      </c>
      <c r="Q176" s="315">
        <v>1</v>
      </c>
      <c r="R176" s="315"/>
      <c r="S176" s="315"/>
      <c r="T176" s="315">
        <v>1</v>
      </c>
      <c r="U176" s="315">
        <v>1</v>
      </c>
      <c r="V176" s="315">
        <v>1</v>
      </c>
      <c r="W176" s="315">
        <v>1</v>
      </c>
      <c r="X176" s="315">
        <v>1</v>
      </c>
      <c r="Y176" s="315">
        <v>1</v>
      </c>
      <c r="Z176" s="315">
        <v>1</v>
      </c>
      <c r="AA176" s="315"/>
      <c r="AB176" s="315">
        <v>1</v>
      </c>
      <c r="AC176" s="315">
        <v>1</v>
      </c>
      <c r="AD176" s="315"/>
      <c r="AE176" s="315"/>
      <c r="AF176" s="315"/>
      <c r="AG176" s="315"/>
      <c r="AH176" s="315"/>
      <c r="AI176" s="315">
        <v>1</v>
      </c>
      <c r="AJ176" s="315">
        <v>1</v>
      </c>
      <c r="AK176" s="315">
        <v>1</v>
      </c>
      <c r="AL176" s="315">
        <v>1</v>
      </c>
      <c r="AM176" s="315">
        <v>1</v>
      </c>
      <c r="AN176" s="315">
        <v>1</v>
      </c>
      <c r="AO176" s="315">
        <v>1</v>
      </c>
      <c r="AP176" s="315">
        <v>1</v>
      </c>
      <c r="AQ176" s="316">
        <v>1</v>
      </c>
    </row>
    <row r="177" spans="1:43" s="378" customFormat="1" ht="44.25" customHeight="1">
      <c r="A177" s="313" t="s">
        <v>1502</v>
      </c>
      <c r="B177" s="313" t="s">
        <v>386</v>
      </c>
      <c r="C177" s="314" t="s">
        <v>590</v>
      </c>
      <c r="D177" s="314" t="s">
        <v>1432</v>
      </c>
      <c r="E177" s="314" t="s">
        <v>591</v>
      </c>
      <c r="F177" s="315"/>
      <c r="G177" s="315"/>
      <c r="H177" s="315">
        <v>1</v>
      </c>
      <c r="I177" s="315">
        <v>1</v>
      </c>
      <c r="J177" s="315">
        <v>1</v>
      </c>
      <c r="K177" s="315">
        <v>1</v>
      </c>
      <c r="L177" s="315">
        <v>1</v>
      </c>
      <c r="M177" s="315">
        <v>1</v>
      </c>
      <c r="N177" s="315">
        <v>1</v>
      </c>
      <c r="O177" s="315"/>
      <c r="P177" s="315">
        <v>1</v>
      </c>
      <c r="Q177" s="315">
        <v>1</v>
      </c>
      <c r="R177" s="315">
        <v>1</v>
      </c>
      <c r="S177" s="315"/>
      <c r="T177" s="315">
        <v>1</v>
      </c>
      <c r="U177" s="315">
        <v>1</v>
      </c>
      <c r="V177" s="315"/>
      <c r="W177" s="315"/>
      <c r="X177" s="315">
        <v>1</v>
      </c>
      <c r="Y177" s="315">
        <v>1</v>
      </c>
      <c r="Z177" s="315">
        <v>1</v>
      </c>
      <c r="AA177" s="315">
        <v>1</v>
      </c>
      <c r="AB177" s="315">
        <v>1</v>
      </c>
      <c r="AC177" s="315">
        <v>1</v>
      </c>
      <c r="AD177" s="315">
        <v>1</v>
      </c>
      <c r="AE177" s="315">
        <v>1</v>
      </c>
      <c r="AF177" s="315"/>
      <c r="AG177" s="315">
        <v>1</v>
      </c>
      <c r="AH177" s="315">
        <v>1</v>
      </c>
      <c r="AI177" s="315">
        <v>1</v>
      </c>
      <c r="AJ177" s="315"/>
      <c r="AK177" s="315"/>
      <c r="AL177" s="315">
        <v>1</v>
      </c>
      <c r="AM177" s="315">
        <v>1</v>
      </c>
      <c r="AN177" s="315">
        <v>1</v>
      </c>
      <c r="AO177" s="315">
        <v>1</v>
      </c>
      <c r="AP177" s="315">
        <v>1</v>
      </c>
      <c r="AQ177" s="316">
        <v>1</v>
      </c>
    </row>
    <row r="178" spans="1:43" s="378" customFormat="1" ht="44.25" customHeight="1">
      <c r="A178" s="313" t="s">
        <v>1502</v>
      </c>
      <c r="B178" s="313" t="s">
        <v>386</v>
      </c>
      <c r="C178" s="314" t="s">
        <v>592</v>
      </c>
      <c r="D178" s="314" t="s">
        <v>1434</v>
      </c>
      <c r="E178" s="314" t="s">
        <v>587</v>
      </c>
      <c r="F178" s="315"/>
      <c r="G178" s="315"/>
      <c r="H178" s="315"/>
      <c r="I178" s="315"/>
      <c r="J178" s="315">
        <v>1</v>
      </c>
      <c r="K178" s="315">
        <v>1</v>
      </c>
      <c r="L178" s="315">
        <v>1</v>
      </c>
      <c r="M178" s="315">
        <v>1</v>
      </c>
      <c r="N178" s="315"/>
      <c r="O178" s="315">
        <v>1</v>
      </c>
      <c r="P178" s="315">
        <v>1</v>
      </c>
      <c r="Q178" s="315">
        <v>1</v>
      </c>
      <c r="R178" s="315">
        <v>1</v>
      </c>
      <c r="S178" s="315">
        <v>1</v>
      </c>
      <c r="T178" s="315"/>
      <c r="U178" s="315">
        <v>1</v>
      </c>
      <c r="V178" s="315">
        <v>1</v>
      </c>
      <c r="W178" s="315">
        <v>1</v>
      </c>
      <c r="X178" s="315">
        <v>1</v>
      </c>
      <c r="Y178" s="315">
        <v>1</v>
      </c>
      <c r="Z178" s="315">
        <v>1</v>
      </c>
      <c r="AA178" s="315">
        <v>1</v>
      </c>
      <c r="AB178" s="315">
        <v>1</v>
      </c>
      <c r="AC178" s="315">
        <v>1</v>
      </c>
      <c r="AD178" s="315">
        <v>1</v>
      </c>
      <c r="AE178" s="315"/>
      <c r="AF178" s="315"/>
      <c r="AG178" s="315"/>
      <c r="AH178" s="315"/>
      <c r="AI178" s="315"/>
      <c r="AJ178" s="315"/>
      <c r="AK178" s="315"/>
      <c r="AL178" s="315"/>
      <c r="AM178" s="315">
        <v>1</v>
      </c>
      <c r="AN178" s="315">
        <v>1</v>
      </c>
      <c r="AO178" s="315">
        <v>1</v>
      </c>
      <c r="AP178" s="315">
        <v>1</v>
      </c>
      <c r="AQ178" s="316">
        <v>1</v>
      </c>
    </row>
    <row r="179" spans="1:43" s="378" customFormat="1" ht="44.25" customHeight="1">
      <c r="A179" s="313" t="s">
        <v>1502</v>
      </c>
      <c r="B179" s="313" t="s">
        <v>386</v>
      </c>
      <c r="C179" s="314" t="s">
        <v>593</v>
      </c>
      <c r="D179" s="314" t="s">
        <v>1424</v>
      </c>
      <c r="E179" s="314" t="s">
        <v>587</v>
      </c>
      <c r="F179" s="315"/>
      <c r="G179" s="315"/>
      <c r="H179" s="315"/>
      <c r="I179" s="315"/>
      <c r="J179" s="315">
        <v>1</v>
      </c>
      <c r="K179" s="315">
        <v>1</v>
      </c>
      <c r="L179" s="315">
        <v>1</v>
      </c>
      <c r="M179" s="315">
        <v>1</v>
      </c>
      <c r="N179" s="315"/>
      <c r="O179" s="315">
        <v>1</v>
      </c>
      <c r="P179" s="315"/>
      <c r="Q179" s="315">
        <v>1</v>
      </c>
      <c r="R179" s="315"/>
      <c r="S179" s="315">
        <v>1</v>
      </c>
      <c r="T179" s="315">
        <v>1</v>
      </c>
      <c r="U179" s="315">
        <v>1</v>
      </c>
      <c r="V179" s="315">
        <v>1</v>
      </c>
      <c r="W179" s="315">
        <v>1</v>
      </c>
      <c r="X179" s="315">
        <v>1</v>
      </c>
      <c r="Y179" s="315">
        <v>1</v>
      </c>
      <c r="Z179" s="315">
        <v>1</v>
      </c>
      <c r="AA179" s="315">
        <v>1</v>
      </c>
      <c r="AB179" s="315">
        <v>1</v>
      </c>
      <c r="AC179" s="315">
        <v>1</v>
      </c>
      <c r="AD179" s="315">
        <v>1</v>
      </c>
      <c r="AE179" s="315">
        <v>1</v>
      </c>
      <c r="AF179" s="315"/>
      <c r="AG179" s="315">
        <v>1</v>
      </c>
      <c r="AH179" s="315">
        <v>1</v>
      </c>
      <c r="AI179" s="315">
        <v>1</v>
      </c>
      <c r="AJ179" s="315"/>
      <c r="AK179" s="315"/>
      <c r="AL179" s="315">
        <v>1</v>
      </c>
      <c r="AM179" s="315">
        <v>1</v>
      </c>
      <c r="AN179" s="315">
        <v>1</v>
      </c>
      <c r="AO179" s="315">
        <v>1</v>
      </c>
      <c r="AP179" s="315"/>
      <c r="AQ179" s="316"/>
    </row>
    <row r="180" spans="1:43" s="378" customFormat="1" ht="44.25" customHeight="1">
      <c r="A180" s="313" t="s">
        <v>1502</v>
      </c>
      <c r="B180" s="313" t="s">
        <v>386</v>
      </c>
      <c r="C180" s="314" t="s">
        <v>594</v>
      </c>
      <c r="D180" s="314" t="s">
        <v>1424</v>
      </c>
      <c r="E180" s="314" t="s">
        <v>595</v>
      </c>
      <c r="F180" s="315">
        <v>1</v>
      </c>
      <c r="G180" s="315"/>
      <c r="H180" s="315">
        <v>1</v>
      </c>
      <c r="I180" s="315">
        <v>1</v>
      </c>
      <c r="J180" s="315">
        <v>1</v>
      </c>
      <c r="K180" s="315">
        <v>1</v>
      </c>
      <c r="L180" s="315">
        <v>1</v>
      </c>
      <c r="M180" s="315">
        <v>1</v>
      </c>
      <c r="N180" s="315"/>
      <c r="O180" s="315"/>
      <c r="P180" s="315">
        <v>1</v>
      </c>
      <c r="Q180" s="315">
        <v>1</v>
      </c>
      <c r="R180" s="315">
        <v>1</v>
      </c>
      <c r="S180" s="315"/>
      <c r="T180" s="315">
        <v>1</v>
      </c>
      <c r="U180" s="315">
        <v>1</v>
      </c>
      <c r="V180" s="315">
        <v>1</v>
      </c>
      <c r="W180" s="315"/>
      <c r="X180" s="315">
        <v>1</v>
      </c>
      <c r="Y180" s="315">
        <v>1</v>
      </c>
      <c r="Z180" s="315">
        <v>1</v>
      </c>
      <c r="AA180" s="315">
        <v>1</v>
      </c>
      <c r="AB180" s="315">
        <v>1</v>
      </c>
      <c r="AC180" s="315">
        <v>1</v>
      </c>
      <c r="AD180" s="315"/>
      <c r="AE180" s="315">
        <v>1</v>
      </c>
      <c r="AF180" s="315"/>
      <c r="AG180" s="315">
        <v>1</v>
      </c>
      <c r="AH180" s="315">
        <v>1</v>
      </c>
      <c r="AI180" s="315">
        <v>1</v>
      </c>
      <c r="AJ180" s="315"/>
      <c r="AK180" s="315"/>
      <c r="AL180" s="315">
        <v>1</v>
      </c>
      <c r="AM180" s="315">
        <v>1</v>
      </c>
      <c r="AN180" s="315">
        <v>1</v>
      </c>
      <c r="AO180" s="315">
        <v>1</v>
      </c>
      <c r="AP180" s="315">
        <v>1</v>
      </c>
      <c r="AQ180" s="316">
        <v>1</v>
      </c>
    </row>
    <row r="181" spans="1:43" s="378" customFormat="1" ht="44.25" customHeight="1">
      <c r="A181" s="313" t="s">
        <v>1502</v>
      </c>
      <c r="B181" s="313" t="s">
        <v>387</v>
      </c>
      <c r="C181" s="314" t="s">
        <v>596</v>
      </c>
      <c r="D181" s="314" t="s">
        <v>1438</v>
      </c>
      <c r="E181" s="314" t="s">
        <v>545</v>
      </c>
      <c r="F181" s="315">
        <v>1</v>
      </c>
      <c r="G181" s="315"/>
      <c r="H181" s="315">
        <v>1</v>
      </c>
      <c r="I181" s="315">
        <v>1</v>
      </c>
      <c r="J181" s="315">
        <v>1</v>
      </c>
      <c r="K181" s="315">
        <v>1</v>
      </c>
      <c r="L181" s="315">
        <v>1</v>
      </c>
      <c r="M181" s="315">
        <v>1</v>
      </c>
      <c r="N181" s="315"/>
      <c r="O181" s="315"/>
      <c r="P181" s="315">
        <v>1</v>
      </c>
      <c r="Q181" s="315">
        <v>1</v>
      </c>
      <c r="R181" s="315">
        <v>1</v>
      </c>
      <c r="S181" s="315">
        <v>1</v>
      </c>
      <c r="T181" s="315"/>
      <c r="U181" s="315">
        <v>1</v>
      </c>
      <c r="V181" s="315"/>
      <c r="W181" s="315"/>
      <c r="X181" s="315">
        <v>1</v>
      </c>
      <c r="Y181" s="315">
        <v>1</v>
      </c>
      <c r="Z181" s="315">
        <v>1</v>
      </c>
      <c r="AA181" s="315">
        <v>1</v>
      </c>
      <c r="AB181" s="315">
        <v>1</v>
      </c>
      <c r="AC181" s="315">
        <v>1</v>
      </c>
      <c r="AD181" s="315">
        <v>1</v>
      </c>
      <c r="AE181" s="315"/>
      <c r="AF181" s="315"/>
      <c r="AG181" s="315"/>
      <c r="AH181" s="315"/>
      <c r="AI181" s="315"/>
      <c r="AJ181" s="315"/>
      <c r="AK181" s="315"/>
      <c r="AL181" s="315">
        <v>1</v>
      </c>
      <c r="AM181" s="315">
        <v>1</v>
      </c>
      <c r="AN181" s="315">
        <v>1</v>
      </c>
      <c r="AO181" s="315">
        <v>1</v>
      </c>
      <c r="AP181" s="315"/>
      <c r="AQ181" s="316"/>
    </row>
    <row r="182" spans="1:43" s="378" customFormat="1" ht="44.25" customHeight="1">
      <c r="A182" s="313" t="s">
        <v>1502</v>
      </c>
      <c r="B182" s="313" t="s">
        <v>386</v>
      </c>
      <c r="C182" s="314" t="s">
        <v>597</v>
      </c>
      <c r="D182" s="314" t="s">
        <v>1434</v>
      </c>
      <c r="E182" s="314" t="s">
        <v>545</v>
      </c>
      <c r="F182" s="315">
        <v>1</v>
      </c>
      <c r="G182" s="315">
        <v>1</v>
      </c>
      <c r="H182" s="315">
        <v>1</v>
      </c>
      <c r="I182" s="315">
        <v>1</v>
      </c>
      <c r="J182" s="315">
        <v>1</v>
      </c>
      <c r="K182" s="315"/>
      <c r="L182" s="315">
        <v>1</v>
      </c>
      <c r="M182" s="315">
        <v>1</v>
      </c>
      <c r="N182" s="315"/>
      <c r="O182" s="315"/>
      <c r="P182" s="315">
        <v>1</v>
      </c>
      <c r="Q182" s="315">
        <v>1</v>
      </c>
      <c r="R182" s="315">
        <v>1</v>
      </c>
      <c r="S182" s="315">
        <v>1</v>
      </c>
      <c r="T182" s="315">
        <v>1</v>
      </c>
      <c r="U182" s="315">
        <v>1</v>
      </c>
      <c r="V182" s="315">
        <v>1</v>
      </c>
      <c r="W182" s="315">
        <v>1</v>
      </c>
      <c r="X182" s="315">
        <v>1</v>
      </c>
      <c r="Y182" s="315">
        <v>1</v>
      </c>
      <c r="Z182" s="315">
        <v>1</v>
      </c>
      <c r="AA182" s="315">
        <v>1</v>
      </c>
      <c r="AB182" s="315">
        <v>1</v>
      </c>
      <c r="AC182" s="315">
        <v>1</v>
      </c>
      <c r="AD182" s="315"/>
      <c r="AE182" s="315">
        <v>1</v>
      </c>
      <c r="AF182" s="315"/>
      <c r="AG182" s="315">
        <v>1</v>
      </c>
      <c r="AH182" s="315">
        <v>1</v>
      </c>
      <c r="AI182" s="315">
        <v>1</v>
      </c>
      <c r="AJ182" s="315"/>
      <c r="AK182" s="315"/>
      <c r="AL182" s="315">
        <v>1</v>
      </c>
      <c r="AM182" s="315">
        <v>1</v>
      </c>
      <c r="AN182" s="315">
        <v>1</v>
      </c>
      <c r="AO182" s="315">
        <v>1</v>
      </c>
      <c r="AP182" s="315">
        <v>1</v>
      </c>
      <c r="AQ182" s="316">
        <v>1</v>
      </c>
    </row>
    <row r="183" spans="1:43" s="378" customFormat="1" ht="44.25" customHeight="1">
      <c r="A183" s="313" t="s">
        <v>1502</v>
      </c>
      <c r="B183" s="313" t="s">
        <v>386</v>
      </c>
      <c r="C183" s="314" t="s">
        <v>598</v>
      </c>
      <c r="D183" s="314" t="s">
        <v>1424</v>
      </c>
      <c r="E183" s="314" t="s">
        <v>545</v>
      </c>
      <c r="F183" s="315"/>
      <c r="G183" s="315"/>
      <c r="H183" s="315">
        <v>1</v>
      </c>
      <c r="I183" s="315">
        <v>1</v>
      </c>
      <c r="J183" s="315">
        <v>1</v>
      </c>
      <c r="K183" s="315">
        <v>1</v>
      </c>
      <c r="L183" s="315">
        <v>1</v>
      </c>
      <c r="M183" s="315">
        <v>1</v>
      </c>
      <c r="N183" s="315"/>
      <c r="O183" s="315"/>
      <c r="P183" s="315"/>
      <c r="Q183" s="315"/>
      <c r="R183" s="315">
        <v>1</v>
      </c>
      <c r="S183" s="315">
        <v>1</v>
      </c>
      <c r="T183" s="315">
        <v>1</v>
      </c>
      <c r="U183" s="315">
        <v>1</v>
      </c>
      <c r="V183" s="315">
        <v>1</v>
      </c>
      <c r="W183" s="315">
        <v>1</v>
      </c>
      <c r="X183" s="315">
        <v>1</v>
      </c>
      <c r="Y183" s="315">
        <v>1</v>
      </c>
      <c r="Z183" s="315">
        <v>1</v>
      </c>
      <c r="AA183" s="315">
        <v>1</v>
      </c>
      <c r="AB183" s="315">
        <v>1</v>
      </c>
      <c r="AC183" s="315">
        <v>1</v>
      </c>
      <c r="AD183" s="315">
        <v>1</v>
      </c>
      <c r="AE183" s="315">
        <v>1</v>
      </c>
      <c r="AF183" s="315"/>
      <c r="AG183" s="315">
        <v>1</v>
      </c>
      <c r="AH183" s="315">
        <v>1</v>
      </c>
      <c r="AI183" s="315"/>
      <c r="AJ183" s="315"/>
      <c r="AK183" s="315"/>
      <c r="AL183" s="315">
        <v>1</v>
      </c>
      <c r="AM183" s="315">
        <v>1</v>
      </c>
      <c r="AN183" s="315">
        <v>1</v>
      </c>
      <c r="AO183" s="315">
        <v>1</v>
      </c>
      <c r="AP183" s="315">
        <v>1</v>
      </c>
      <c r="AQ183" s="316">
        <v>1</v>
      </c>
    </row>
    <row r="184" spans="1:43" s="378" customFormat="1" ht="44.25" customHeight="1">
      <c r="A184" s="313" t="s">
        <v>1502</v>
      </c>
      <c r="B184" s="313" t="s">
        <v>386</v>
      </c>
      <c r="C184" s="314" t="s">
        <v>599</v>
      </c>
      <c r="D184" s="314" t="s">
        <v>1432</v>
      </c>
      <c r="E184" s="314" t="s">
        <v>411</v>
      </c>
      <c r="F184" s="315">
        <v>1</v>
      </c>
      <c r="G184" s="315"/>
      <c r="H184" s="315"/>
      <c r="I184" s="315">
        <v>1</v>
      </c>
      <c r="J184" s="315">
        <v>1</v>
      </c>
      <c r="K184" s="315">
        <v>1</v>
      </c>
      <c r="L184" s="315">
        <v>1</v>
      </c>
      <c r="M184" s="315">
        <v>1</v>
      </c>
      <c r="N184" s="315"/>
      <c r="O184" s="315"/>
      <c r="P184" s="315">
        <v>1</v>
      </c>
      <c r="Q184" s="315">
        <v>1</v>
      </c>
      <c r="R184" s="315">
        <v>1</v>
      </c>
      <c r="S184" s="315"/>
      <c r="T184" s="315">
        <v>1</v>
      </c>
      <c r="U184" s="315">
        <v>1</v>
      </c>
      <c r="V184" s="315">
        <v>1</v>
      </c>
      <c r="W184" s="315"/>
      <c r="X184" s="315">
        <v>1</v>
      </c>
      <c r="Y184" s="315">
        <v>1</v>
      </c>
      <c r="Z184" s="315">
        <v>1</v>
      </c>
      <c r="AA184" s="315"/>
      <c r="AB184" s="315">
        <v>1</v>
      </c>
      <c r="AC184" s="315">
        <v>1</v>
      </c>
      <c r="AD184" s="315"/>
      <c r="AE184" s="315"/>
      <c r="AF184" s="315"/>
      <c r="AG184" s="315"/>
      <c r="AH184" s="315"/>
      <c r="AI184" s="315"/>
      <c r="AJ184" s="315"/>
      <c r="AK184" s="315"/>
      <c r="AL184" s="315">
        <v>1</v>
      </c>
      <c r="AM184" s="315">
        <v>1</v>
      </c>
      <c r="AN184" s="315">
        <v>1</v>
      </c>
      <c r="AO184" s="315">
        <v>1</v>
      </c>
      <c r="AP184" s="315">
        <v>1</v>
      </c>
      <c r="AQ184" s="316">
        <v>1</v>
      </c>
    </row>
    <row r="185" spans="1:43" s="378" customFormat="1" ht="44.25" customHeight="1">
      <c r="A185" s="313" t="s">
        <v>1502</v>
      </c>
      <c r="B185" s="313" t="s">
        <v>395</v>
      </c>
      <c r="C185" s="314" t="s">
        <v>600</v>
      </c>
      <c r="D185" s="314" t="s">
        <v>1430</v>
      </c>
      <c r="E185" s="314" t="s">
        <v>426</v>
      </c>
      <c r="F185" s="315"/>
      <c r="G185" s="315"/>
      <c r="H185" s="315">
        <v>1</v>
      </c>
      <c r="I185" s="315">
        <v>1</v>
      </c>
      <c r="J185" s="315"/>
      <c r="K185" s="315"/>
      <c r="L185" s="315"/>
      <c r="M185" s="315">
        <v>1</v>
      </c>
      <c r="N185" s="315"/>
      <c r="O185" s="315"/>
      <c r="P185" s="315"/>
      <c r="Q185" s="315"/>
      <c r="R185" s="315"/>
      <c r="S185" s="315">
        <v>1</v>
      </c>
      <c r="T185" s="315"/>
      <c r="U185" s="315"/>
      <c r="V185" s="315">
        <v>1</v>
      </c>
      <c r="W185" s="315"/>
      <c r="X185" s="315">
        <v>1</v>
      </c>
      <c r="Y185" s="315">
        <v>1</v>
      </c>
      <c r="Z185" s="315">
        <v>1</v>
      </c>
      <c r="AA185" s="315">
        <v>1</v>
      </c>
      <c r="AB185" s="315">
        <v>1</v>
      </c>
      <c r="AC185" s="315">
        <v>1</v>
      </c>
      <c r="AD185" s="315">
        <v>1</v>
      </c>
      <c r="AE185" s="315"/>
      <c r="AF185" s="315">
        <v>1</v>
      </c>
      <c r="AG185" s="315">
        <v>1</v>
      </c>
      <c r="AH185" s="315"/>
      <c r="AI185" s="315">
        <v>1</v>
      </c>
      <c r="AJ185" s="315"/>
      <c r="AK185" s="315"/>
      <c r="AL185" s="315">
        <v>1</v>
      </c>
      <c r="AM185" s="315"/>
      <c r="AN185" s="315">
        <v>1</v>
      </c>
      <c r="AO185" s="315">
        <v>1</v>
      </c>
      <c r="AP185" s="315"/>
      <c r="AQ185" s="316"/>
    </row>
    <row r="186" spans="1:43" s="378" customFormat="1" ht="44.25" customHeight="1">
      <c r="A186" s="313" t="s">
        <v>1502</v>
      </c>
      <c r="B186" s="313" t="s">
        <v>395</v>
      </c>
      <c r="C186" s="314" t="s">
        <v>601</v>
      </c>
      <c r="D186" s="314" t="s">
        <v>1426</v>
      </c>
      <c r="E186" s="314" t="s">
        <v>404</v>
      </c>
      <c r="F186" s="315">
        <v>1</v>
      </c>
      <c r="G186" s="315"/>
      <c r="H186" s="315">
        <v>1</v>
      </c>
      <c r="I186" s="315">
        <v>1</v>
      </c>
      <c r="J186" s="315">
        <v>1</v>
      </c>
      <c r="K186" s="315">
        <v>1</v>
      </c>
      <c r="L186" s="315">
        <v>1</v>
      </c>
      <c r="M186" s="315">
        <v>1</v>
      </c>
      <c r="N186" s="315"/>
      <c r="O186" s="315"/>
      <c r="P186" s="315">
        <v>1</v>
      </c>
      <c r="Q186" s="315">
        <v>1</v>
      </c>
      <c r="R186" s="315">
        <v>1</v>
      </c>
      <c r="S186" s="315"/>
      <c r="T186" s="315">
        <v>1</v>
      </c>
      <c r="U186" s="315">
        <v>1</v>
      </c>
      <c r="V186" s="315">
        <v>1</v>
      </c>
      <c r="W186" s="315">
        <v>1</v>
      </c>
      <c r="X186" s="315">
        <v>1</v>
      </c>
      <c r="Y186" s="315">
        <v>1</v>
      </c>
      <c r="Z186" s="315">
        <v>1</v>
      </c>
      <c r="AA186" s="315">
        <v>1</v>
      </c>
      <c r="AB186" s="315">
        <v>1</v>
      </c>
      <c r="AC186" s="315">
        <v>1</v>
      </c>
      <c r="AD186" s="315"/>
      <c r="AE186" s="315"/>
      <c r="AF186" s="315"/>
      <c r="AG186" s="315"/>
      <c r="AH186" s="315"/>
      <c r="AI186" s="315"/>
      <c r="AJ186" s="315"/>
      <c r="AK186" s="315"/>
      <c r="AL186" s="315"/>
      <c r="AM186" s="315"/>
      <c r="AN186" s="315">
        <v>1</v>
      </c>
      <c r="AO186" s="315">
        <v>1</v>
      </c>
      <c r="AP186" s="315">
        <v>1</v>
      </c>
      <c r="AQ186" s="317">
        <v>1</v>
      </c>
    </row>
    <row r="187" spans="1:43" s="378" customFormat="1" ht="44.25" customHeight="1">
      <c r="A187" s="313" t="s">
        <v>1502</v>
      </c>
      <c r="B187" s="313" t="s">
        <v>384</v>
      </c>
      <c r="C187" s="314" t="s">
        <v>602</v>
      </c>
      <c r="D187" s="314" t="s">
        <v>1430</v>
      </c>
      <c r="E187" s="314" t="s">
        <v>603</v>
      </c>
      <c r="F187" s="315">
        <v>1</v>
      </c>
      <c r="G187" s="315">
        <v>1</v>
      </c>
      <c r="H187" s="315">
        <v>1</v>
      </c>
      <c r="I187" s="315">
        <v>1</v>
      </c>
      <c r="J187" s="315">
        <v>1</v>
      </c>
      <c r="K187" s="315">
        <v>1</v>
      </c>
      <c r="L187" s="315"/>
      <c r="M187" s="315"/>
      <c r="N187" s="315">
        <v>1</v>
      </c>
      <c r="O187" s="315">
        <v>1</v>
      </c>
      <c r="P187" s="315"/>
      <c r="Q187" s="315">
        <v>1</v>
      </c>
      <c r="R187" s="315">
        <v>1</v>
      </c>
      <c r="S187" s="315"/>
      <c r="T187" s="315">
        <v>1</v>
      </c>
      <c r="U187" s="315">
        <v>1</v>
      </c>
      <c r="V187" s="315">
        <v>1</v>
      </c>
      <c r="W187" s="315">
        <v>1</v>
      </c>
      <c r="X187" s="315">
        <v>1</v>
      </c>
      <c r="Y187" s="315">
        <v>1</v>
      </c>
      <c r="Z187" s="315">
        <v>1</v>
      </c>
      <c r="AA187" s="315">
        <v>1</v>
      </c>
      <c r="AB187" s="315"/>
      <c r="AC187" s="315">
        <v>1</v>
      </c>
      <c r="AD187" s="315"/>
      <c r="AE187" s="315"/>
      <c r="AF187" s="315">
        <v>1</v>
      </c>
      <c r="AG187" s="315">
        <v>1</v>
      </c>
      <c r="AH187" s="315">
        <v>1</v>
      </c>
      <c r="AI187" s="315"/>
      <c r="AJ187" s="315"/>
      <c r="AK187" s="315"/>
      <c r="AL187" s="315"/>
      <c r="AM187" s="315"/>
      <c r="AN187" s="315"/>
      <c r="AO187" s="315"/>
      <c r="AP187" s="315"/>
      <c r="AQ187" s="317"/>
    </row>
    <row r="188" spans="1:43" s="378" customFormat="1" ht="44.25" customHeight="1">
      <c r="A188" s="313" t="s">
        <v>1502</v>
      </c>
      <c r="B188" s="313" t="s">
        <v>384</v>
      </c>
      <c r="C188" s="314" t="s">
        <v>604</v>
      </c>
      <c r="D188" s="314" t="s">
        <v>1426</v>
      </c>
      <c r="E188" s="314" t="s">
        <v>568</v>
      </c>
      <c r="F188" s="315">
        <v>1</v>
      </c>
      <c r="G188" s="315">
        <v>1</v>
      </c>
      <c r="H188" s="315">
        <v>1</v>
      </c>
      <c r="I188" s="315">
        <v>1</v>
      </c>
      <c r="J188" s="315">
        <v>1</v>
      </c>
      <c r="K188" s="315">
        <v>1</v>
      </c>
      <c r="L188" s="315">
        <v>1</v>
      </c>
      <c r="M188" s="315">
        <v>1</v>
      </c>
      <c r="N188" s="315">
        <v>1</v>
      </c>
      <c r="O188" s="315">
        <v>1</v>
      </c>
      <c r="P188" s="315">
        <v>1</v>
      </c>
      <c r="Q188" s="315">
        <v>1</v>
      </c>
      <c r="R188" s="315">
        <v>1</v>
      </c>
      <c r="S188" s="315">
        <v>1</v>
      </c>
      <c r="T188" s="315">
        <v>1</v>
      </c>
      <c r="U188" s="315">
        <v>1</v>
      </c>
      <c r="V188" s="315">
        <v>1</v>
      </c>
      <c r="W188" s="315">
        <v>1</v>
      </c>
      <c r="X188" s="315">
        <v>1</v>
      </c>
      <c r="Y188" s="315">
        <v>1</v>
      </c>
      <c r="Z188" s="315">
        <v>1</v>
      </c>
      <c r="AA188" s="315">
        <v>1</v>
      </c>
      <c r="AB188" s="315">
        <v>1</v>
      </c>
      <c r="AC188" s="315">
        <v>1</v>
      </c>
      <c r="AD188" s="315"/>
      <c r="AE188" s="315"/>
      <c r="AF188" s="315"/>
      <c r="AG188" s="315"/>
      <c r="AH188" s="315"/>
      <c r="AI188" s="315">
        <v>1</v>
      </c>
      <c r="AJ188" s="315"/>
      <c r="AK188" s="315"/>
      <c r="AL188" s="315"/>
      <c r="AM188" s="315"/>
      <c r="AN188" s="315">
        <v>1</v>
      </c>
      <c r="AO188" s="315">
        <v>1</v>
      </c>
      <c r="AP188" s="315"/>
      <c r="AQ188" s="317"/>
    </row>
    <row r="189" spans="1:43" s="378" customFormat="1" ht="44.25" customHeight="1">
      <c r="A189" s="313" t="s">
        <v>1502</v>
      </c>
      <c r="B189" s="313" t="s">
        <v>384</v>
      </c>
      <c r="C189" s="314" t="s">
        <v>605</v>
      </c>
      <c r="D189" s="314" t="s">
        <v>1430</v>
      </c>
      <c r="E189" s="314" t="s">
        <v>575</v>
      </c>
      <c r="F189" s="315">
        <v>1</v>
      </c>
      <c r="G189" s="315">
        <v>1</v>
      </c>
      <c r="H189" s="315">
        <v>1</v>
      </c>
      <c r="I189" s="315">
        <v>1</v>
      </c>
      <c r="J189" s="315">
        <v>1</v>
      </c>
      <c r="K189" s="315">
        <v>1</v>
      </c>
      <c r="L189" s="315">
        <v>1</v>
      </c>
      <c r="M189" s="315">
        <v>1</v>
      </c>
      <c r="N189" s="315"/>
      <c r="O189" s="315">
        <v>1</v>
      </c>
      <c r="P189" s="315">
        <v>1</v>
      </c>
      <c r="Q189" s="315">
        <v>1</v>
      </c>
      <c r="R189" s="315">
        <v>1</v>
      </c>
      <c r="S189" s="315">
        <v>1</v>
      </c>
      <c r="T189" s="315">
        <v>1</v>
      </c>
      <c r="U189" s="315">
        <v>1</v>
      </c>
      <c r="V189" s="315">
        <v>1</v>
      </c>
      <c r="W189" s="315">
        <v>1</v>
      </c>
      <c r="X189" s="315">
        <v>1</v>
      </c>
      <c r="Y189" s="315">
        <v>1</v>
      </c>
      <c r="Z189" s="315">
        <v>1</v>
      </c>
      <c r="AA189" s="315">
        <v>1</v>
      </c>
      <c r="AB189" s="315">
        <v>1</v>
      </c>
      <c r="AC189" s="315">
        <v>1</v>
      </c>
      <c r="AD189" s="315">
        <v>1</v>
      </c>
      <c r="AE189" s="315">
        <v>1</v>
      </c>
      <c r="AF189" s="315">
        <v>1</v>
      </c>
      <c r="AG189" s="315">
        <v>1</v>
      </c>
      <c r="AH189" s="315">
        <v>1</v>
      </c>
      <c r="AI189" s="315">
        <v>1</v>
      </c>
      <c r="AJ189" s="315">
        <v>1</v>
      </c>
      <c r="AK189" s="315">
        <v>1</v>
      </c>
      <c r="AL189" s="315">
        <v>1</v>
      </c>
      <c r="AM189" s="315">
        <v>1</v>
      </c>
      <c r="AN189" s="315">
        <v>1</v>
      </c>
      <c r="AO189" s="315">
        <v>1</v>
      </c>
      <c r="AP189" s="315">
        <v>1</v>
      </c>
      <c r="AQ189" s="317">
        <v>1</v>
      </c>
    </row>
    <row r="190" spans="1:43" s="378" customFormat="1" ht="44.25" customHeight="1">
      <c r="A190" s="313" t="s">
        <v>1502</v>
      </c>
      <c r="B190" s="313" t="s">
        <v>384</v>
      </c>
      <c r="C190" s="314" t="s">
        <v>606</v>
      </c>
      <c r="D190" s="314" t="s">
        <v>1426</v>
      </c>
      <c r="E190" s="314" t="s">
        <v>607</v>
      </c>
      <c r="F190" s="315">
        <v>1</v>
      </c>
      <c r="G190" s="315">
        <v>1</v>
      </c>
      <c r="H190" s="315">
        <v>1</v>
      </c>
      <c r="I190" s="315">
        <v>1</v>
      </c>
      <c r="J190" s="315">
        <v>1</v>
      </c>
      <c r="K190" s="315">
        <v>1</v>
      </c>
      <c r="L190" s="315">
        <v>1</v>
      </c>
      <c r="M190" s="315">
        <v>1</v>
      </c>
      <c r="N190" s="315">
        <v>1</v>
      </c>
      <c r="O190" s="315">
        <v>1</v>
      </c>
      <c r="P190" s="315">
        <v>1</v>
      </c>
      <c r="Q190" s="315">
        <v>1</v>
      </c>
      <c r="R190" s="315">
        <v>1</v>
      </c>
      <c r="S190" s="315"/>
      <c r="T190" s="315">
        <v>1</v>
      </c>
      <c r="U190" s="315">
        <v>1</v>
      </c>
      <c r="V190" s="315">
        <v>1</v>
      </c>
      <c r="W190" s="315">
        <v>1</v>
      </c>
      <c r="X190" s="315">
        <v>1</v>
      </c>
      <c r="Y190" s="315">
        <v>1</v>
      </c>
      <c r="Z190" s="315">
        <v>1</v>
      </c>
      <c r="AA190" s="315">
        <v>1</v>
      </c>
      <c r="AB190" s="315">
        <v>1</v>
      </c>
      <c r="AC190" s="315">
        <v>1</v>
      </c>
      <c r="AD190" s="315"/>
      <c r="AE190" s="315"/>
      <c r="AF190" s="315">
        <v>1</v>
      </c>
      <c r="AG190" s="315">
        <v>1</v>
      </c>
      <c r="AH190" s="315">
        <v>1</v>
      </c>
      <c r="AI190" s="315">
        <v>1</v>
      </c>
      <c r="AJ190" s="315">
        <v>1</v>
      </c>
      <c r="AK190" s="315">
        <v>1</v>
      </c>
      <c r="AL190" s="315">
        <v>1</v>
      </c>
      <c r="AM190" s="315"/>
      <c r="AN190" s="315">
        <v>1</v>
      </c>
      <c r="AO190" s="315">
        <v>1</v>
      </c>
      <c r="AP190" s="315">
        <v>1</v>
      </c>
      <c r="AQ190" s="317">
        <v>1</v>
      </c>
    </row>
    <row r="191" spans="1:43" s="378" customFormat="1" ht="44.25" customHeight="1">
      <c r="A191" s="313" t="s">
        <v>1502</v>
      </c>
      <c r="B191" s="313" t="s">
        <v>384</v>
      </c>
      <c r="C191" s="314" t="s">
        <v>608</v>
      </c>
      <c r="D191" s="314" t="s">
        <v>1426</v>
      </c>
      <c r="E191" s="314" t="s">
        <v>609</v>
      </c>
      <c r="F191" s="315">
        <v>1</v>
      </c>
      <c r="G191" s="315">
        <v>1</v>
      </c>
      <c r="H191" s="315">
        <v>1</v>
      </c>
      <c r="I191" s="315">
        <v>1</v>
      </c>
      <c r="J191" s="315">
        <v>1</v>
      </c>
      <c r="K191" s="315">
        <v>1</v>
      </c>
      <c r="L191" s="315">
        <v>1</v>
      </c>
      <c r="M191" s="315">
        <v>1</v>
      </c>
      <c r="N191" s="315">
        <v>1</v>
      </c>
      <c r="O191" s="315">
        <v>1</v>
      </c>
      <c r="P191" s="315">
        <v>1</v>
      </c>
      <c r="Q191" s="315">
        <v>1</v>
      </c>
      <c r="R191" s="315">
        <v>1</v>
      </c>
      <c r="S191" s="315">
        <v>1</v>
      </c>
      <c r="T191" s="315">
        <v>1</v>
      </c>
      <c r="U191" s="315">
        <v>1</v>
      </c>
      <c r="V191" s="315">
        <v>1</v>
      </c>
      <c r="W191" s="315">
        <v>1</v>
      </c>
      <c r="X191" s="315">
        <v>1</v>
      </c>
      <c r="Y191" s="315">
        <v>1</v>
      </c>
      <c r="Z191" s="315">
        <v>1</v>
      </c>
      <c r="AA191" s="315">
        <v>1</v>
      </c>
      <c r="AB191" s="315">
        <v>1</v>
      </c>
      <c r="AC191" s="315">
        <v>1</v>
      </c>
      <c r="AD191" s="315"/>
      <c r="AE191" s="315"/>
      <c r="AF191" s="315"/>
      <c r="AG191" s="315"/>
      <c r="AH191" s="315"/>
      <c r="AI191" s="315"/>
      <c r="AJ191" s="315">
        <v>1</v>
      </c>
      <c r="AK191" s="315">
        <v>1</v>
      </c>
      <c r="AL191" s="315"/>
      <c r="AM191" s="315"/>
      <c r="AN191" s="315">
        <v>1</v>
      </c>
      <c r="AO191" s="315">
        <v>1</v>
      </c>
      <c r="AP191" s="315"/>
      <c r="AQ191" s="317"/>
    </row>
    <row r="192" spans="1:43" s="378" customFormat="1" ht="44.25" customHeight="1">
      <c r="A192" s="313" t="s">
        <v>1502</v>
      </c>
      <c r="B192" s="313" t="s">
        <v>386</v>
      </c>
      <c r="C192" s="314" t="s">
        <v>610</v>
      </c>
      <c r="D192" s="314" t="s">
        <v>1432</v>
      </c>
      <c r="E192" s="314" t="s">
        <v>545</v>
      </c>
      <c r="F192" s="315">
        <v>1</v>
      </c>
      <c r="G192" s="315"/>
      <c r="H192" s="315">
        <v>1</v>
      </c>
      <c r="I192" s="315">
        <v>1</v>
      </c>
      <c r="J192" s="315">
        <v>1</v>
      </c>
      <c r="K192" s="315">
        <v>1</v>
      </c>
      <c r="L192" s="315">
        <v>1</v>
      </c>
      <c r="M192" s="315">
        <v>1</v>
      </c>
      <c r="N192" s="315"/>
      <c r="O192" s="315"/>
      <c r="P192" s="315">
        <v>1</v>
      </c>
      <c r="Q192" s="315">
        <v>1</v>
      </c>
      <c r="R192" s="315">
        <v>1</v>
      </c>
      <c r="S192" s="315">
        <v>1</v>
      </c>
      <c r="T192" s="315"/>
      <c r="U192" s="315">
        <v>1</v>
      </c>
      <c r="V192" s="315">
        <v>1</v>
      </c>
      <c r="W192" s="315">
        <v>1</v>
      </c>
      <c r="X192" s="315">
        <v>1</v>
      </c>
      <c r="Y192" s="315">
        <v>1</v>
      </c>
      <c r="Z192" s="315">
        <v>1</v>
      </c>
      <c r="AA192" s="315">
        <v>1</v>
      </c>
      <c r="AB192" s="315">
        <v>1</v>
      </c>
      <c r="AC192" s="315">
        <v>1</v>
      </c>
      <c r="AD192" s="315">
        <v>1</v>
      </c>
      <c r="AE192" s="315">
        <v>1</v>
      </c>
      <c r="AF192" s="315"/>
      <c r="AG192" s="315">
        <v>1</v>
      </c>
      <c r="AH192" s="315">
        <v>1</v>
      </c>
      <c r="AI192" s="315">
        <v>1</v>
      </c>
      <c r="AJ192" s="315"/>
      <c r="AK192" s="315"/>
      <c r="AL192" s="315">
        <v>1</v>
      </c>
      <c r="AM192" s="315">
        <v>1</v>
      </c>
      <c r="AN192" s="315">
        <v>1</v>
      </c>
      <c r="AO192" s="315">
        <v>1</v>
      </c>
      <c r="AP192" s="315"/>
      <c r="AQ192" s="317"/>
    </row>
    <row r="193" spans="1:43" s="378" customFormat="1" ht="44.25" customHeight="1">
      <c r="A193" s="313" t="s">
        <v>1502</v>
      </c>
      <c r="B193" s="313" t="s">
        <v>386</v>
      </c>
      <c r="C193" s="314" t="s">
        <v>611</v>
      </c>
      <c r="D193" s="314" t="s">
        <v>1434</v>
      </c>
      <c r="E193" s="314" t="s">
        <v>612</v>
      </c>
      <c r="F193" s="315"/>
      <c r="G193" s="315">
        <v>1</v>
      </c>
      <c r="H193" s="315">
        <v>1</v>
      </c>
      <c r="I193" s="315">
        <v>1</v>
      </c>
      <c r="J193" s="315">
        <v>1</v>
      </c>
      <c r="K193" s="315">
        <v>1</v>
      </c>
      <c r="L193" s="315">
        <v>1</v>
      </c>
      <c r="M193" s="315">
        <v>1</v>
      </c>
      <c r="N193" s="315">
        <v>1</v>
      </c>
      <c r="O193" s="315">
        <v>1</v>
      </c>
      <c r="P193" s="315">
        <v>1</v>
      </c>
      <c r="Q193" s="315">
        <v>1</v>
      </c>
      <c r="R193" s="315">
        <v>1</v>
      </c>
      <c r="S193" s="315">
        <v>1</v>
      </c>
      <c r="T193" s="315">
        <v>1</v>
      </c>
      <c r="U193" s="315">
        <v>1</v>
      </c>
      <c r="V193" s="315">
        <v>1</v>
      </c>
      <c r="W193" s="315">
        <v>1</v>
      </c>
      <c r="X193" s="315">
        <v>1</v>
      </c>
      <c r="Y193" s="315">
        <v>1</v>
      </c>
      <c r="Z193" s="315">
        <v>1</v>
      </c>
      <c r="AA193" s="315">
        <v>1</v>
      </c>
      <c r="AB193" s="315">
        <v>1</v>
      </c>
      <c r="AC193" s="315">
        <v>1</v>
      </c>
      <c r="AD193" s="315">
        <v>1</v>
      </c>
      <c r="AE193" s="315"/>
      <c r="AF193" s="315">
        <v>1</v>
      </c>
      <c r="AG193" s="315">
        <v>1</v>
      </c>
      <c r="AH193" s="315">
        <v>1</v>
      </c>
      <c r="AI193" s="315">
        <v>1</v>
      </c>
      <c r="AJ193" s="315"/>
      <c r="AK193" s="315"/>
      <c r="AL193" s="315">
        <v>1</v>
      </c>
      <c r="AM193" s="315">
        <v>1</v>
      </c>
      <c r="AN193" s="315">
        <v>1</v>
      </c>
      <c r="AO193" s="315">
        <v>1</v>
      </c>
      <c r="AP193" s="315">
        <v>1</v>
      </c>
      <c r="AQ193" s="317">
        <v>1</v>
      </c>
    </row>
    <row r="194" spans="1:43" s="378" customFormat="1" ht="44.25" customHeight="1">
      <c r="A194" s="313" t="s">
        <v>1502</v>
      </c>
      <c r="B194" s="313" t="s">
        <v>386</v>
      </c>
      <c r="C194" s="314" t="s">
        <v>613</v>
      </c>
      <c r="D194" s="314" t="s">
        <v>1424</v>
      </c>
      <c r="E194" s="314" t="s">
        <v>614</v>
      </c>
      <c r="F194" s="315"/>
      <c r="G194" s="315">
        <v>1</v>
      </c>
      <c r="H194" s="315">
        <v>1</v>
      </c>
      <c r="I194" s="315">
        <v>1</v>
      </c>
      <c r="J194" s="315">
        <v>1</v>
      </c>
      <c r="K194" s="315">
        <v>1</v>
      </c>
      <c r="L194" s="315">
        <v>1</v>
      </c>
      <c r="M194" s="315">
        <v>1</v>
      </c>
      <c r="N194" s="315">
        <v>1</v>
      </c>
      <c r="O194" s="315">
        <v>1</v>
      </c>
      <c r="P194" s="315">
        <v>1</v>
      </c>
      <c r="Q194" s="315">
        <v>1</v>
      </c>
      <c r="R194" s="315">
        <v>1</v>
      </c>
      <c r="S194" s="315">
        <v>1</v>
      </c>
      <c r="T194" s="315">
        <v>1</v>
      </c>
      <c r="U194" s="315">
        <v>1</v>
      </c>
      <c r="V194" s="315">
        <v>1</v>
      </c>
      <c r="W194" s="315">
        <v>1</v>
      </c>
      <c r="X194" s="315">
        <v>1</v>
      </c>
      <c r="Y194" s="315">
        <v>1</v>
      </c>
      <c r="Z194" s="315">
        <v>1</v>
      </c>
      <c r="AA194" s="315">
        <v>1</v>
      </c>
      <c r="AB194" s="315">
        <v>1</v>
      </c>
      <c r="AC194" s="315">
        <v>1</v>
      </c>
      <c r="AD194" s="315">
        <v>1</v>
      </c>
      <c r="AE194" s="315">
        <v>1</v>
      </c>
      <c r="AF194" s="315"/>
      <c r="AG194" s="315">
        <v>1</v>
      </c>
      <c r="AH194" s="315">
        <v>1</v>
      </c>
      <c r="AI194" s="315"/>
      <c r="AJ194" s="315"/>
      <c r="AK194" s="315"/>
      <c r="AL194" s="315">
        <v>1</v>
      </c>
      <c r="AM194" s="315">
        <v>1</v>
      </c>
      <c r="AN194" s="315">
        <v>1</v>
      </c>
      <c r="AO194" s="315">
        <v>1</v>
      </c>
      <c r="AP194" s="315">
        <v>1</v>
      </c>
      <c r="AQ194" s="316">
        <v>1</v>
      </c>
    </row>
    <row r="195" spans="1:43" s="378" customFormat="1" ht="44.25" customHeight="1">
      <c r="A195" s="313" t="s">
        <v>1502</v>
      </c>
      <c r="B195" s="313" t="s">
        <v>386</v>
      </c>
      <c r="C195" s="314" t="s">
        <v>615</v>
      </c>
      <c r="D195" s="314" t="s">
        <v>1424</v>
      </c>
      <c r="E195" s="314" t="s">
        <v>415</v>
      </c>
      <c r="F195" s="315">
        <v>1</v>
      </c>
      <c r="G195" s="315">
        <v>1</v>
      </c>
      <c r="H195" s="315">
        <v>1</v>
      </c>
      <c r="I195" s="315">
        <v>1</v>
      </c>
      <c r="J195" s="315">
        <v>1</v>
      </c>
      <c r="K195" s="315">
        <v>1</v>
      </c>
      <c r="L195" s="315">
        <v>1</v>
      </c>
      <c r="M195" s="315">
        <v>1</v>
      </c>
      <c r="N195" s="315">
        <v>1</v>
      </c>
      <c r="O195" s="315">
        <v>1</v>
      </c>
      <c r="P195" s="315">
        <v>1</v>
      </c>
      <c r="Q195" s="315">
        <v>1</v>
      </c>
      <c r="R195" s="315">
        <v>1</v>
      </c>
      <c r="S195" s="315">
        <v>1</v>
      </c>
      <c r="T195" s="315">
        <v>1</v>
      </c>
      <c r="U195" s="315">
        <v>1</v>
      </c>
      <c r="V195" s="315">
        <v>1</v>
      </c>
      <c r="W195" s="315"/>
      <c r="X195" s="315">
        <v>1</v>
      </c>
      <c r="Y195" s="315">
        <v>1</v>
      </c>
      <c r="Z195" s="315">
        <v>1</v>
      </c>
      <c r="AA195" s="315">
        <v>1</v>
      </c>
      <c r="AB195" s="315">
        <v>1</v>
      </c>
      <c r="AC195" s="315">
        <v>1</v>
      </c>
      <c r="AD195" s="315"/>
      <c r="AE195" s="315">
        <v>1</v>
      </c>
      <c r="AF195" s="315"/>
      <c r="AG195" s="315">
        <v>1</v>
      </c>
      <c r="AH195" s="315">
        <v>1</v>
      </c>
      <c r="AI195" s="315"/>
      <c r="AJ195" s="315"/>
      <c r="AK195" s="315"/>
      <c r="AL195" s="315">
        <v>1</v>
      </c>
      <c r="AM195" s="315">
        <v>1</v>
      </c>
      <c r="AN195" s="315">
        <v>1</v>
      </c>
      <c r="AO195" s="315">
        <v>1</v>
      </c>
      <c r="AP195" s="315">
        <v>1</v>
      </c>
      <c r="AQ195" s="316">
        <v>1</v>
      </c>
    </row>
    <row r="196" spans="1:43" s="378" customFormat="1" ht="44.25" customHeight="1">
      <c r="A196" s="313" t="s">
        <v>1502</v>
      </c>
      <c r="B196" s="313" t="s">
        <v>386</v>
      </c>
      <c r="C196" s="314" t="s">
        <v>616</v>
      </c>
      <c r="D196" s="314" t="s">
        <v>1432</v>
      </c>
      <c r="E196" s="314" t="s">
        <v>415</v>
      </c>
      <c r="F196" s="315">
        <v>1</v>
      </c>
      <c r="G196" s="315"/>
      <c r="H196" s="315"/>
      <c r="I196" s="315">
        <v>1</v>
      </c>
      <c r="J196" s="315">
        <v>1</v>
      </c>
      <c r="K196" s="315">
        <v>1</v>
      </c>
      <c r="L196" s="315">
        <v>1</v>
      </c>
      <c r="M196" s="315">
        <v>1</v>
      </c>
      <c r="N196" s="315"/>
      <c r="O196" s="315"/>
      <c r="P196" s="315"/>
      <c r="Q196" s="315">
        <v>1</v>
      </c>
      <c r="R196" s="315"/>
      <c r="S196" s="315">
        <v>1</v>
      </c>
      <c r="T196" s="315">
        <v>1</v>
      </c>
      <c r="U196" s="315"/>
      <c r="V196" s="315">
        <v>1</v>
      </c>
      <c r="W196" s="315">
        <v>1</v>
      </c>
      <c r="X196" s="315">
        <v>1</v>
      </c>
      <c r="Y196" s="315">
        <v>1</v>
      </c>
      <c r="Z196" s="315">
        <v>1</v>
      </c>
      <c r="AA196" s="315">
        <v>1</v>
      </c>
      <c r="AB196" s="315">
        <v>1</v>
      </c>
      <c r="AC196" s="315">
        <v>1</v>
      </c>
      <c r="AD196" s="315">
        <v>1</v>
      </c>
      <c r="AE196" s="315"/>
      <c r="AF196" s="315">
        <v>1</v>
      </c>
      <c r="AG196" s="315">
        <v>1</v>
      </c>
      <c r="AH196" s="315">
        <v>1</v>
      </c>
      <c r="AI196" s="315">
        <v>1</v>
      </c>
      <c r="AJ196" s="315"/>
      <c r="AK196" s="315"/>
      <c r="AL196" s="315">
        <v>1</v>
      </c>
      <c r="AM196" s="315">
        <v>1</v>
      </c>
      <c r="AN196" s="315">
        <v>1</v>
      </c>
      <c r="AO196" s="315">
        <v>1</v>
      </c>
      <c r="AP196" s="315">
        <v>1</v>
      </c>
      <c r="AQ196" s="316">
        <v>1</v>
      </c>
    </row>
    <row r="197" spans="1:43" s="378" customFormat="1" ht="44.25" customHeight="1">
      <c r="A197" s="313" t="s">
        <v>1502</v>
      </c>
      <c r="B197" s="313" t="s">
        <v>386</v>
      </c>
      <c r="C197" s="314" t="s">
        <v>617</v>
      </c>
      <c r="D197" s="314" t="s">
        <v>1432</v>
      </c>
      <c r="E197" s="314" t="s">
        <v>587</v>
      </c>
      <c r="F197" s="315">
        <v>1</v>
      </c>
      <c r="G197" s="315"/>
      <c r="H197" s="315">
        <v>1</v>
      </c>
      <c r="I197" s="315">
        <v>1</v>
      </c>
      <c r="J197" s="315">
        <v>1</v>
      </c>
      <c r="K197" s="315">
        <v>1</v>
      </c>
      <c r="L197" s="315">
        <v>1</v>
      </c>
      <c r="M197" s="315">
        <v>1</v>
      </c>
      <c r="N197" s="315"/>
      <c r="O197" s="315"/>
      <c r="P197" s="315"/>
      <c r="Q197" s="315">
        <v>1</v>
      </c>
      <c r="R197" s="315"/>
      <c r="S197" s="315">
        <v>1</v>
      </c>
      <c r="T197" s="315">
        <v>1</v>
      </c>
      <c r="U197" s="315">
        <v>1</v>
      </c>
      <c r="V197" s="315">
        <v>1</v>
      </c>
      <c r="W197" s="315"/>
      <c r="X197" s="315">
        <v>1</v>
      </c>
      <c r="Y197" s="315">
        <v>1</v>
      </c>
      <c r="Z197" s="315">
        <v>1</v>
      </c>
      <c r="AA197" s="315">
        <v>1</v>
      </c>
      <c r="AB197" s="315">
        <v>1</v>
      </c>
      <c r="AC197" s="315">
        <v>1</v>
      </c>
      <c r="AD197" s="315">
        <v>1</v>
      </c>
      <c r="AE197" s="315">
        <v>1</v>
      </c>
      <c r="AF197" s="315"/>
      <c r="AG197" s="315">
        <v>1</v>
      </c>
      <c r="AH197" s="315">
        <v>1</v>
      </c>
      <c r="AI197" s="315">
        <v>1</v>
      </c>
      <c r="AJ197" s="315"/>
      <c r="AK197" s="315"/>
      <c r="AL197" s="315"/>
      <c r="AM197" s="315">
        <v>1</v>
      </c>
      <c r="AN197" s="315">
        <v>1</v>
      </c>
      <c r="AO197" s="315">
        <v>1</v>
      </c>
      <c r="AP197" s="315">
        <v>1</v>
      </c>
      <c r="AQ197" s="316">
        <v>1</v>
      </c>
    </row>
    <row r="198" spans="1:43" s="378" customFormat="1" ht="44.25" customHeight="1">
      <c r="A198" s="313" t="s">
        <v>1502</v>
      </c>
      <c r="B198" s="313" t="s">
        <v>386</v>
      </c>
      <c r="C198" s="314" t="s">
        <v>618</v>
      </c>
      <c r="D198" s="314" t="s">
        <v>1432</v>
      </c>
      <c r="E198" s="314" t="s">
        <v>587</v>
      </c>
      <c r="F198" s="315">
        <v>1</v>
      </c>
      <c r="G198" s="315">
        <v>1</v>
      </c>
      <c r="H198" s="315">
        <v>1</v>
      </c>
      <c r="I198" s="315">
        <v>1</v>
      </c>
      <c r="J198" s="315">
        <v>1</v>
      </c>
      <c r="K198" s="315">
        <v>1</v>
      </c>
      <c r="L198" s="315">
        <v>1</v>
      </c>
      <c r="M198" s="315">
        <v>1</v>
      </c>
      <c r="N198" s="315"/>
      <c r="O198" s="315"/>
      <c r="P198" s="315"/>
      <c r="Q198" s="315">
        <v>1</v>
      </c>
      <c r="R198" s="315">
        <v>1</v>
      </c>
      <c r="S198" s="315">
        <v>1</v>
      </c>
      <c r="T198" s="315">
        <v>1</v>
      </c>
      <c r="U198" s="315">
        <v>1</v>
      </c>
      <c r="V198" s="315">
        <v>1</v>
      </c>
      <c r="W198" s="315">
        <v>1</v>
      </c>
      <c r="X198" s="315">
        <v>1</v>
      </c>
      <c r="Y198" s="315">
        <v>1</v>
      </c>
      <c r="Z198" s="315">
        <v>1</v>
      </c>
      <c r="AA198" s="315">
        <v>1</v>
      </c>
      <c r="AB198" s="315">
        <v>1</v>
      </c>
      <c r="AC198" s="315">
        <v>1</v>
      </c>
      <c r="AD198" s="315">
        <v>1</v>
      </c>
      <c r="AE198" s="315">
        <v>1</v>
      </c>
      <c r="AF198" s="315">
        <v>1</v>
      </c>
      <c r="AG198" s="315">
        <v>1</v>
      </c>
      <c r="AH198" s="315">
        <v>1</v>
      </c>
      <c r="AI198" s="315">
        <v>1</v>
      </c>
      <c r="AJ198" s="315"/>
      <c r="AK198" s="315"/>
      <c r="AL198" s="315">
        <v>1</v>
      </c>
      <c r="AM198" s="315">
        <v>1</v>
      </c>
      <c r="AN198" s="315">
        <v>1</v>
      </c>
      <c r="AO198" s="315">
        <v>1</v>
      </c>
      <c r="AP198" s="315">
        <v>1</v>
      </c>
      <c r="AQ198" s="316">
        <v>1</v>
      </c>
    </row>
    <row r="199" spans="1:43" s="378" customFormat="1" ht="44.25" customHeight="1">
      <c r="A199" s="313" t="s">
        <v>1502</v>
      </c>
      <c r="B199" s="313" t="s">
        <v>386</v>
      </c>
      <c r="C199" s="314" t="s">
        <v>619</v>
      </c>
      <c r="D199" s="314" t="s">
        <v>1440</v>
      </c>
      <c r="E199" s="314" t="s">
        <v>620</v>
      </c>
      <c r="F199" s="315">
        <v>1</v>
      </c>
      <c r="G199" s="315">
        <v>1</v>
      </c>
      <c r="H199" s="315">
        <v>1</v>
      </c>
      <c r="I199" s="315">
        <v>1</v>
      </c>
      <c r="J199" s="315">
        <v>1</v>
      </c>
      <c r="K199" s="315">
        <v>1</v>
      </c>
      <c r="L199" s="315">
        <v>1</v>
      </c>
      <c r="M199" s="315">
        <v>1</v>
      </c>
      <c r="N199" s="315">
        <v>1</v>
      </c>
      <c r="O199" s="315"/>
      <c r="P199" s="315"/>
      <c r="Q199" s="315"/>
      <c r="R199" s="315">
        <v>1</v>
      </c>
      <c r="S199" s="315">
        <v>1</v>
      </c>
      <c r="T199" s="315">
        <v>1</v>
      </c>
      <c r="U199" s="315">
        <v>1</v>
      </c>
      <c r="V199" s="315">
        <v>1</v>
      </c>
      <c r="W199" s="315">
        <v>1</v>
      </c>
      <c r="X199" s="315">
        <v>1</v>
      </c>
      <c r="Y199" s="315">
        <v>1</v>
      </c>
      <c r="Z199" s="315">
        <v>1</v>
      </c>
      <c r="AA199" s="315">
        <v>1</v>
      </c>
      <c r="AB199" s="315">
        <v>1</v>
      </c>
      <c r="AC199" s="315">
        <v>1</v>
      </c>
      <c r="AD199" s="315"/>
      <c r="AE199" s="315">
        <v>1</v>
      </c>
      <c r="AF199" s="315"/>
      <c r="AG199" s="315"/>
      <c r="AH199" s="315"/>
      <c r="AI199" s="315"/>
      <c r="AJ199" s="315"/>
      <c r="AK199" s="315"/>
      <c r="AL199" s="315">
        <v>1</v>
      </c>
      <c r="AM199" s="315">
        <v>1</v>
      </c>
      <c r="AN199" s="315">
        <v>1</v>
      </c>
      <c r="AO199" s="315">
        <v>1</v>
      </c>
      <c r="AP199" s="315">
        <v>1</v>
      </c>
      <c r="AQ199" s="316">
        <v>1</v>
      </c>
    </row>
    <row r="200" spans="1:43" s="378" customFormat="1" ht="44.25" customHeight="1">
      <c r="A200" s="313" t="s">
        <v>1502</v>
      </c>
      <c r="B200" s="313" t="s">
        <v>386</v>
      </c>
      <c r="C200" s="314" t="s">
        <v>621</v>
      </c>
      <c r="D200" s="314" t="s">
        <v>1426</v>
      </c>
      <c r="E200" s="314" t="s">
        <v>545</v>
      </c>
      <c r="F200" s="315">
        <v>1</v>
      </c>
      <c r="G200" s="315">
        <v>1</v>
      </c>
      <c r="H200" s="315">
        <v>1</v>
      </c>
      <c r="I200" s="315">
        <v>1</v>
      </c>
      <c r="J200" s="315">
        <v>1</v>
      </c>
      <c r="K200" s="315">
        <v>1</v>
      </c>
      <c r="L200" s="315">
        <v>1</v>
      </c>
      <c r="M200" s="315">
        <v>1</v>
      </c>
      <c r="N200" s="315">
        <v>1</v>
      </c>
      <c r="O200" s="315">
        <v>1</v>
      </c>
      <c r="P200" s="315">
        <v>1</v>
      </c>
      <c r="Q200" s="315">
        <v>1</v>
      </c>
      <c r="R200" s="315">
        <v>1</v>
      </c>
      <c r="S200" s="315">
        <v>1</v>
      </c>
      <c r="T200" s="315">
        <v>1</v>
      </c>
      <c r="U200" s="315">
        <v>1</v>
      </c>
      <c r="V200" s="315">
        <v>1</v>
      </c>
      <c r="W200" s="315">
        <v>1</v>
      </c>
      <c r="X200" s="315">
        <v>1</v>
      </c>
      <c r="Y200" s="315">
        <v>1</v>
      </c>
      <c r="Z200" s="315">
        <v>1</v>
      </c>
      <c r="AA200" s="315">
        <v>1</v>
      </c>
      <c r="AB200" s="315">
        <v>1</v>
      </c>
      <c r="AC200" s="315">
        <v>1</v>
      </c>
      <c r="AD200" s="315">
        <v>1</v>
      </c>
      <c r="AE200" s="315">
        <v>1</v>
      </c>
      <c r="AF200" s="315">
        <v>1</v>
      </c>
      <c r="AG200" s="315">
        <v>1</v>
      </c>
      <c r="AH200" s="315">
        <v>1</v>
      </c>
      <c r="AI200" s="315">
        <v>1</v>
      </c>
      <c r="AJ200" s="315">
        <v>1</v>
      </c>
      <c r="AK200" s="315">
        <v>1</v>
      </c>
      <c r="AL200" s="315">
        <v>1</v>
      </c>
      <c r="AM200" s="315">
        <v>1</v>
      </c>
      <c r="AN200" s="315">
        <v>1</v>
      </c>
      <c r="AO200" s="315">
        <v>1</v>
      </c>
      <c r="AP200" s="315">
        <v>1</v>
      </c>
      <c r="AQ200" s="316">
        <v>1</v>
      </c>
    </row>
    <row r="201" spans="1:43" s="378" customFormat="1" ht="44.25" customHeight="1">
      <c r="A201" s="313" t="s">
        <v>1502</v>
      </c>
      <c r="B201" s="313" t="s">
        <v>386</v>
      </c>
      <c r="C201" s="314" t="s">
        <v>622</v>
      </c>
      <c r="D201" s="314" t="s">
        <v>1434</v>
      </c>
      <c r="E201" s="314" t="s">
        <v>623</v>
      </c>
      <c r="F201" s="315">
        <v>1</v>
      </c>
      <c r="G201" s="315">
        <v>1</v>
      </c>
      <c r="H201" s="315">
        <v>1</v>
      </c>
      <c r="I201" s="315">
        <v>1</v>
      </c>
      <c r="J201" s="315">
        <v>1</v>
      </c>
      <c r="K201" s="315">
        <v>1</v>
      </c>
      <c r="L201" s="315">
        <v>1</v>
      </c>
      <c r="M201" s="315">
        <v>1</v>
      </c>
      <c r="N201" s="315">
        <v>1</v>
      </c>
      <c r="O201" s="315">
        <v>1</v>
      </c>
      <c r="P201" s="315">
        <v>1</v>
      </c>
      <c r="Q201" s="315">
        <v>1</v>
      </c>
      <c r="R201" s="315"/>
      <c r="S201" s="315">
        <v>1</v>
      </c>
      <c r="T201" s="315">
        <v>1</v>
      </c>
      <c r="U201" s="315">
        <v>1</v>
      </c>
      <c r="V201" s="315">
        <v>1</v>
      </c>
      <c r="W201" s="315"/>
      <c r="X201" s="315">
        <v>1</v>
      </c>
      <c r="Y201" s="315">
        <v>1</v>
      </c>
      <c r="Z201" s="315">
        <v>1</v>
      </c>
      <c r="AA201" s="315">
        <v>1</v>
      </c>
      <c r="AB201" s="315">
        <v>1</v>
      </c>
      <c r="AC201" s="315">
        <v>1</v>
      </c>
      <c r="AD201" s="315"/>
      <c r="AE201" s="315"/>
      <c r="AF201" s="315">
        <v>1</v>
      </c>
      <c r="AG201" s="315">
        <v>1</v>
      </c>
      <c r="AH201" s="315">
        <v>1</v>
      </c>
      <c r="AI201" s="315"/>
      <c r="AJ201" s="315"/>
      <c r="AK201" s="315"/>
      <c r="AL201" s="315">
        <v>1</v>
      </c>
      <c r="AM201" s="315">
        <v>1</v>
      </c>
      <c r="AN201" s="315"/>
      <c r="AO201" s="315">
        <v>1</v>
      </c>
      <c r="AP201" s="315"/>
      <c r="AQ201" s="316"/>
    </row>
    <row r="202" spans="1:43" s="378" customFormat="1" ht="44.25" customHeight="1">
      <c r="A202" s="313" t="s">
        <v>1502</v>
      </c>
      <c r="B202" s="313" t="s">
        <v>387</v>
      </c>
      <c r="C202" s="314" t="s">
        <v>624</v>
      </c>
      <c r="D202" s="314" t="s">
        <v>1438</v>
      </c>
      <c r="E202" s="314" t="s">
        <v>415</v>
      </c>
      <c r="F202" s="315"/>
      <c r="G202" s="315"/>
      <c r="H202" s="315">
        <v>1</v>
      </c>
      <c r="I202" s="315">
        <v>1</v>
      </c>
      <c r="J202" s="315">
        <v>1</v>
      </c>
      <c r="K202" s="315">
        <v>1</v>
      </c>
      <c r="L202" s="315">
        <v>1</v>
      </c>
      <c r="M202" s="315">
        <v>1</v>
      </c>
      <c r="N202" s="315">
        <v>1</v>
      </c>
      <c r="O202" s="315"/>
      <c r="P202" s="315">
        <v>1</v>
      </c>
      <c r="Q202" s="315">
        <v>1</v>
      </c>
      <c r="R202" s="315">
        <v>1</v>
      </c>
      <c r="S202" s="315">
        <v>1</v>
      </c>
      <c r="T202" s="315">
        <v>1</v>
      </c>
      <c r="U202" s="315">
        <v>1</v>
      </c>
      <c r="V202" s="315">
        <v>1</v>
      </c>
      <c r="W202" s="315"/>
      <c r="X202" s="315">
        <v>1</v>
      </c>
      <c r="Y202" s="315">
        <v>1</v>
      </c>
      <c r="Z202" s="315">
        <v>1</v>
      </c>
      <c r="AA202" s="315">
        <v>1</v>
      </c>
      <c r="AB202" s="315">
        <v>1</v>
      </c>
      <c r="AC202" s="315">
        <v>1</v>
      </c>
      <c r="AD202" s="315">
        <v>1</v>
      </c>
      <c r="AE202" s="315">
        <v>1</v>
      </c>
      <c r="AF202" s="315"/>
      <c r="AG202" s="315">
        <v>1</v>
      </c>
      <c r="AH202" s="315">
        <v>1</v>
      </c>
      <c r="AI202" s="315"/>
      <c r="AJ202" s="315"/>
      <c r="AK202" s="315"/>
      <c r="AL202" s="315"/>
      <c r="AM202" s="315">
        <v>1</v>
      </c>
      <c r="AN202" s="315">
        <v>1</v>
      </c>
      <c r="AO202" s="315">
        <v>1</v>
      </c>
      <c r="AP202" s="315"/>
      <c r="AQ202" s="316"/>
    </row>
    <row r="203" spans="1:43" s="378" customFormat="1" ht="44.25" customHeight="1">
      <c r="A203" s="313" t="s">
        <v>1502</v>
      </c>
      <c r="B203" s="313" t="s">
        <v>384</v>
      </c>
      <c r="C203" s="314" t="s">
        <v>625</v>
      </c>
      <c r="D203" s="314" t="s">
        <v>1424</v>
      </c>
      <c r="E203" s="314" t="s">
        <v>575</v>
      </c>
      <c r="F203" s="315">
        <v>1</v>
      </c>
      <c r="G203" s="315">
        <v>1</v>
      </c>
      <c r="H203" s="315">
        <v>1</v>
      </c>
      <c r="I203" s="315">
        <v>1</v>
      </c>
      <c r="J203" s="315">
        <v>1</v>
      </c>
      <c r="K203" s="315">
        <v>1</v>
      </c>
      <c r="L203" s="315">
        <v>1</v>
      </c>
      <c r="M203" s="315">
        <v>1</v>
      </c>
      <c r="N203" s="315">
        <v>1</v>
      </c>
      <c r="O203" s="315">
        <v>1</v>
      </c>
      <c r="P203" s="315"/>
      <c r="Q203" s="315">
        <v>1</v>
      </c>
      <c r="R203" s="315">
        <v>1</v>
      </c>
      <c r="S203" s="315">
        <v>1</v>
      </c>
      <c r="T203" s="315">
        <v>1</v>
      </c>
      <c r="U203" s="315">
        <v>1</v>
      </c>
      <c r="V203" s="315">
        <v>1</v>
      </c>
      <c r="W203" s="315">
        <v>1</v>
      </c>
      <c r="X203" s="315">
        <v>1</v>
      </c>
      <c r="Y203" s="315">
        <v>1</v>
      </c>
      <c r="Z203" s="315">
        <v>1</v>
      </c>
      <c r="AA203" s="315">
        <v>1</v>
      </c>
      <c r="AB203" s="315">
        <v>1</v>
      </c>
      <c r="AC203" s="315">
        <v>1</v>
      </c>
      <c r="AD203" s="315"/>
      <c r="AE203" s="315">
        <v>1</v>
      </c>
      <c r="AF203" s="315">
        <v>1</v>
      </c>
      <c r="AG203" s="315">
        <v>1</v>
      </c>
      <c r="AH203" s="315"/>
      <c r="AI203" s="315">
        <v>1</v>
      </c>
      <c r="AJ203" s="315">
        <v>1</v>
      </c>
      <c r="AK203" s="315">
        <v>1</v>
      </c>
      <c r="AL203" s="315">
        <v>1</v>
      </c>
      <c r="AM203" s="315">
        <v>1</v>
      </c>
      <c r="AN203" s="315">
        <v>1</v>
      </c>
      <c r="AO203" s="315">
        <v>1</v>
      </c>
      <c r="AP203" s="315">
        <v>1</v>
      </c>
      <c r="AQ203" s="316">
        <v>1</v>
      </c>
    </row>
    <row r="204" spans="1:43" s="378" customFormat="1" ht="44.25" customHeight="1">
      <c r="A204" s="313" t="s">
        <v>1502</v>
      </c>
      <c r="B204" s="313" t="s">
        <v>388</v>
      </c>
      <c r="C204" s="314" t="s">
        <v>626</v>
      </c>
      <c r="D204" s="314" t="s">
        <v>1446</v>
      </c>
      <c r="E204" s="314" t="s">
        <v>415</v>
      </c>
      <c r="F204" s="315"/>
      <c r="G204" s="315"/>
      <c r="H204" s="315"/>
      <c r="I204" s="315"/>
      <c r="J204" s="315"/>
      <c r="K204" s="315">
        <v>1</v>
      </c>
      <c r="L204" s="315">
        <v>1</v>
      </c>
      <c r="M204" s="315">
        <v>1</v>
      </c>
      <c r="N204" s="315">
        <v>1</v>
      </c>
      <c r="O204" s="315"/>
      <c r="P204" s="315"/>
      <c r="Q204" s="315">
        <v>1</v>
      </c>
      <c r="R204" s="315">
        <v>1</v>
      </c>
      <c r="S204" s="315">
        <v>1</v>
      </c>
      <c r="T204" s="315">
        <v>1</v>
      </c>
      <c r="U204" s="315">
        <v>1</v>
      </c>
      <c r="V204" s="315">
        <v>1</v>
      </c>
      <c r="W204" s="315">
        <v>1</v>
      </c>
      <c r="X204" s="315">
        <v>1</v>
      </c>
      <c r="Y204" s="315">
        <v>1</v>
      </c>
      <c r="Z204" s="315">
        <v>1</v>
      </c>
      <c r="AA204" s="315">
        <v>1</v>
      </c>
      <c r="AB204" s="315">
        <v>1</v>
      </c>
      <c r="AC204" s="315">
        <v>1</v>
      </c>
      <c r="AD204" s="315">
        <v>1</v>
      </c>
      <c r="AE204" s="315">
        <v>1</v>
      </c>
      <c r="AF204" s="315"/>
      <c r="AG204" s="315">
        <v>1</v>
      </c>
      <c r="AH204" s="315"/>
      <c r="AI204" s="315"/>
      <c r="AJ204" s="315"/>
      <c r="AK204" s="315"/>
      <c r="AL204" s="315">
        <v>1</v>
      </c>
      <c r="AM204" s="315">
        <v>1</v>
      </c>
      <c r="AN204" s="315"/>
      <c r="AO204" s="315">
        <v>1</v>
      </c>
      <c r="AP204" s="315">
        <v>1</v>
      </c>
      <c r="AQ204" s="316">
        <v>1</v>
      </c>
    </row>
    <row r="205" spans="1:43" s="378" customFormat="1" ht="44.25" customHeight="1">
      <c r="A205" s="313" t="s">
        <v>1502</v>
      </c>
      <c r="B205" s="313" t="s">
        <v>384</v>
      </c>
      <c r="C205" s="314" t="s">
        <v>627</v>
      </c>
      <c r="D205" s="314" t="s">
        <v>1426</v>
      </c>
      <c r="E205" s="314" t="s">
        <v>408</v>
      </c>
      <c r="F205" s="315">
        <v>1</v>
      </c>
      <c r="G205" s="315">
        <v>1</v>
      </c>
      <c r="H205" s="315">
        <v>1</v>
      </c>
      <c r="I205" s="315">
        <v>1</v>
      </c>
      <c r="J205" s="315">
        <v>1</v>
      </c>
      <c r="K205" s="315">
        <v>1</v>
      </c>
      <c r="L205" s="315">
        <v>1</v>
      </c>
      <c r="M205" s="315">
        <v>1</v>
      </c>
      <c r="N205" s="315">
        <v>1</v>
      </c>
      <c r="O205" s="315">
        <v>1</v>
      </c>
      <c r="P205" s="315">
        <v>1</v>
      </c>
      <c r="Q205" s="315">
        <v>1</v>
      </c>
      <c r="R205" s="315">
        <v>1</v>
      </c>
      <c r="S205" s="315">
        <v>1</v>
      </c>
      <c r="T205" s="315">
        <v>1</v>
      </c>
      <c r="U205" s="315">
        <v>1</v>
      </c>
      <c r="V205" s="315">
        <v>1</v>
      </c>
      <c r="W205" s="315">
        <v>1</v>
      </c>
      <c r="X205" s="315">
        <v>1</v>
      </c>
      <c r="Y205" s="315">
        <v>1</v>
      </c>
      <c r="Z205" s="315">
        <v>1</v>
      </c>
      <c r="AA205" s="315">
        <v>1</v>
      </c>
      <c r="AB205" s="315">
        <v>1</v>
      </c>
      <c r="AC205" s="315">
        <v>1</v>
      </c>
      <c r="AD205" s="315">
        <v>1</v>
      </c>
      <c r="AE205" s="315">
        <v>1</v>
      </c>
      <c r="AF205" s="315">
        <v>1</v>
      </c>
      <c r="AG205" s="315">
        <v>1</v>
      </c>
      <c r="AH205" s="315">
        <v>1</v>
      </c>
      <c r="AI205" s="315">
        <v>1</v>
      </c>
      <c r="AJ205" s="315">
        <v>1</v>
      </c>
      <c r="AK205" s="315">
        <v>1</v>
      </c>
      <c r="AL205" s="315">
        <v>1</v>
      </c>
      <c r="AM205" s="315">
        <v>1</v>
      </c>
      <c r="AN205" s="315">
        <v>1</v>
      </c>
      <c r="AO205" s="315">
        <v>1</v>
      </c>
      <c r="AP205" s="315">
        <v>1</v>
      </c>
      <c r="AQ205" s="316">
        <v>1</v>
      </c>
    </row>
    <row r="206" spans="1:43" s="378" customFormat="1" ht="44.25" customHeight="1">
      <c r="A206" s="313" t="s">
        <v>1502</v>
      </c>
      <c r="B206" s="313" t="s">
        <v>384</v>
      </c>
      <c r="C206" s="314" t="s">
        <v>628</v>
      </c>
      <c r="D206" s="314" t="s">
        <v>1426</v>
      </c>
      <c r="E206" s="314" t="s">
        <v>568</v>
      </c>
      <c r="F206" s="315">
        <v>1</v>
      </c>
      <c r="G206" s="315">
        <v>1</v>
      </c>
      <c r="H206" s="315">
        <v>1</v>
      </c>
      <c r="I206" s="315">
        <v>1</v>
      </c>
      <c r="J206" s="315">
        <v>1</v>
      </c>
      <c r="K206" s="315">
        <v>1</v>
      </c>
      <c r="L206" s="315">
        <v>1</v>
      </c>
      <c r="M206" s="315">
        <v>1</v>
      </c>
      <c r="N206" s="315">
        <v>1</v>
      </c>
      <c r="O206" s="315">
        <v>1</v>
      </c>
      <c r="P206" s="315">
        <v>1</v>
      </c>
      <c r="Q206" s="315">
        <v>1</v>
      </c>
      <c r="R206" s="315">
        <v>1</v>
      </c>
      <c r="S206" s="315">
        <v>1</v>
      </c>
      <c r="T206" s="315">
        <v>1</v>
      </c>
      <c r="U206" s="315">
        <v>1</v>
      </c>
      <c r="V206" s="315">
        <v>1</v>
      </c>
      <c r="W206" s="315">
        <v>1</v>
      </c>
      <c r="X206" s="315">
        <v>1</v>
      </c>
      <c r="Y206" s="315">
        <v>1</v>
      </c>
      <c r="Z206" s="315">
        <v>1</v>
      </c>
      <c r="AA206" s="315">
        <v>1</v>
      </c>
      <c r="AB206" s="315">
        <v>1</v>
      </c>
      <c r="AC206" s="315">
        <v>1</v>
      </c>
      <c r="AD206" s="315">
        <v>1</v>
      </c>
      <c r="AE206" s="315">
        <v>1</v>
      </c>
      <c r="AF206" s="315"/>
      <c r="AG206" s="315">
        <v>1</v>
      </c>
      <c r="AH206" s="315">
        <v>1</v>
      </c>
      <c r="AI206" s="315">
        <v>1</v>
      </c>
      <c r="AJ206" s="315">
        <v>1</v>
      </c>
      <c r="AK206" s="315">
        <v>1</v>
      </c>
      <c r="AL206" s="315">
        <v>1</v>
      </c>
      <c r="AM206" s="315">
        <v>1</v>
      </c>
      <c r="AN206" s="315">
        <v>1</v>
      </c>
      <c r="AO206" s="315">
        <v>1</v>
      </c>
      <c r="AP206" s="315">
        <v>1</v>
      </c>
      <c r="AQ206" s="317">
        <v>1</v>
      </c>
    </row>
    <row r="207" spans="1:43" s="378" customFormat="1" ht="44.25" customHeight="1">
      <c r="A207" s="313" t="s">
        <v>1502</v>
      </c>
      <c r="B207" s="313" t="s">
        <v>384</v>
      </c>
      <c r="C207" s="314" t="s">
        <v>629</v>
      </c>
      <c r="D207" s="314" t="s">
        <v>1426</v>
      </c>
      <c r="E207" s="314" t="s">
        <v>568</v>
      </c>
      <c r="F207" s="315">
        <v>1</v>
      </c>
      <c r="G207" s="315"/>
      <c r="H207" s="315">
        <v>1</v>
      </c>
      <c r="I207" s="315">
        <v>1</v>
      </c>
      <c r="J207" s="315">
        <v>1</v>
      </c>
      <c r="K207" s="315">
        <v>1</v>
      </c>
      <c r="L207" s="315">
        <v>1</v>
      </c>
      <c r="M207" s="315">
        <v>1</v>
      </c>
      <c r="N207" s="315">
        <v>1</v>
      </c>
      <c r="O207" s="315">
        <v>1</v>
      </c>
      <c r="P207" s="315">
        <v>1</v>
      </c>
      <c r="Q207" s="315">
        <v>1</v>
      </c>
      <c r="R207" s="315">
        <v>1</v>
      </c>
      <c r="S207" s="315">
        <v>1</v>
      </c>
      <c r="T207" s="315">
        <v>1</v>
      </c>
      <c r="U207" s="315">
        <v>1</v>
      </c>
      <c r="V207" s="315">
        <v>1</v>
      </c>
      <c r="W207" s="315">
        <v>1</v>
      </c>
      <c r="X207" s="315">
        <v>1</v>
      </c>
      <c r="Y207" s="315">
        <v>1</v>
      </c>
      <c r="Z207" s="315">
        <v>1</v>
      </c>
      <c r="AA207" s="315">
        <v>1</v>
      </c>
      <c r="AB207" s="315">
        <v>1</v>
      </c>
      <c r="AC207" s="315">
        <v>1</v>
      </c>
      <c r="AD207" s="315">
        <v>1</v>
      </c>
      <c r="AE207" s="315">
        <v>1</v>
      </c>
      <c r="AF207" s="315">
        <v>1</v>
      </c>
      <c r="AG207" s="315">
        <v>1</v>
      </c>
      <c r="AH207" s="315">
        <v>1</v>
      </c>
      <c r="AI207" s="315">
        <v>1</v>
      </c>
      <c r="AJ207" s="315">
        <v>1</v>
      </c>
      <c r="AK207" s="315">
        <v>1</v>
      </c>
      <c r="AL207" s="315">
        <v>1</v>
      </c>
      <c r="AM207" s="315">
        <v>1</v>
      </c>
      <c r="AN207" s="315">
        <v>1</v>
      </c>
      <c r="AO207" s="315">
        <v>1</v>
      </c>
      <c r="AP207" s="315">
        <v>1</v>
      </c>
      <c r="AQ207" s="317">
        <v>1</v>
      </c>
    </row>
    <row r="208" spans="1:43" s="378" customFormat="1" ht="44.25" customHeight="1">
      <c r="A208" s="313" t="s">
        <v>1502</v>
      </c>
      <c r="B208" s="313" t="s">
        <v>384</v>
      </c>
      <c r="C208" s="314" t="s">
        <v>630</v>
      </c>
      <c r="D208" s="314" t="s">
        <v>1426</v>
      </c>
      <c r="E208" s="314" t="s">
        <v>631</v>
      </c>
      <c r="F208" s="315">
        <v>1</v>
      </c>
      <c r="G208" s="315">
        <v>1</v>
      </c>
      <c r="H208" s="315">
        <v>1</v>
      </c>
      <c r="I208" s="315">
        <v>1</v>
      </c>
      <c r="J208" s="315">
        <v>1</v>
      </c>
      <c r="K208" s="315">
        <v>1</v>
      </c>
      <c r="L208" s="315">
        <v>1</v>
      </c>
      <c r="M208" s="315">
        <v>1</v>
      </c>
      <c r="N208" s="315">
        <v>1</v>
      </c>
      <c r="O208" s="315">
        <v>1</v>
      </c>
      <c r="P208" s="315">
        <v>1</v>
      </c>
      <c r="Q208" s="315">
        <v>1</v>
      </c>
      <c r="R208" s="315">
        <v>1</v>
      </c>
      <c r="S208" s="315">
        <v>1</v>
      </c>
      <c r="T208" s="315">
        <v>1</v>
      </c>
      <c r="U208" s="315">
        <v>1</v>
      </c>
      <c r="V208" s="315">
        <v>1</v>
      </c>
      <c r="W208" s="315">
        <v>1</v>
      </c>
      <c r="X208" s="315">
        <v>1</v>
      </c>
      <c r="Y208" s="315">
        <v>1</v>
      </c>
      <c r="Z208" s="315">
        <v>1</v>
      </c>
      <c r="AA208" s="315">
        <v>1</v>
      </c>
      <c r="AB208" s="315">
        <v>1</v>
      </c>
      <c r="AC208" s="315">
        <v>1</v>
      </c>
      <c r="AD208" s="315">
        <v>1</v>
      </c>
      <c r="AE208" s="315">
        <v>1</v>
      </c>
      <c r="AF208" s="315">
        <v>1</v>
      </c>
      <c r="AG208" s="315">
        <v>1</v>
      </c>
      <c r="AH208" s="315">
        <v>1</v>
      </c>
      <c r="AI208" s="315">
        <v>1</v>
      </c>
      <c r="AJ208" s="315">
        <v>1</v>
      </c>
      <c r="AK208" s="315">
        <v>1</v>
      </c>
      <c r="AL208" s="315">
        <v>1</v>
      </c>
      <c r="AM208" s="315"/>
      <c r="AN208" s="315">
        <v>1</v>
      </c>
      <c r="AO208" s="315">
        <v>1</v>
      </c>
      <c r="AP208" s="315">
        <v>1</v>
      </c>
      <c r="AQ208" s="317">
        <v>1</v>
      </c>
    </row>
    <row r="209" spans="1:43" s="378" customFormat="1" ht="44.25" customHeight="1">
      <c r="A209" s="313" t="s">
        <v>1502</v>
      </c>
      <c r="B209" s="313" t="s">
        <v>384</v>
      </c>
      <c r="C209" s="314" t="s">
        <v>632</v>
      </c>
      <c r="D209" s="314" t="s">
        <v>1426</v>
      </c>
      <c r="E209" s="314" t="s">
        <v>545</v>
      </c>
      <c r="F209" s="315">
        <v>1</v>
      </c>
      <c r="G209" s="315">
        <v>1</v>
      </c>
      <c r="H209" s="315">
        <v>1</v>
      </c>
      <c r="I209" s="315">
        <v>1</v>
      </c>
      <c r="J209" s="315">
        <v>1</v>
      </c>
      <c r="K209" s="315">
        <v>1</v>
      </c>
      <c r="L209" s="315">
        <v>1</v>
      </c>
      <c r="M209" s="315">
        <v>1</v>
      </c>
      <c r="N209" s="315">
        <v>1</v>
      </c>
      <c r="O209" s="315"/>
      <c r="P209" s="315">
        <v>1</v>
      </c>
      <c r="Q209" s="315">
        <v>1</v>
      </c>
      <c r="R209" s="315">
        <v>1</v>
      </c>
      <c r="S209" s="315">
        <v>1</v>
      </c>
      <c r="T209" s="315">
        <v>1</v>
      </c>
      <c r="U209" s="315">
        <v>1</v>
      </c>
      <c r="V209" s="315">
        <v>1</v>
      </c>
      <c r="W209" s="315">
        <v>1</v>
      </c>
      <c r="X209" s="315">
        <v>1</v>
      </c>
      <c r="Y209" s="315">
        <v>1</v>
      </c>
      <c r="Z209" s="315">
        <v>1</v>
      </c>
      <c r="AA209" s="315">
        <v>1</v>
      </c>
      <c r="AB209" s="315">
        <v>1</v>
      </c>
      <c r="AC209" s="315">
        <v>1</v>
      </c>
      <c r="AD209" s="315">
        <v>1</v>
      </c>
      <c r="AE209" s="315">
        <v>1</v>
      </c>
      <c r="AF209" s="315"/>
      <c r="AG209" s="315">
        <v>1</v>
      </c>
      <c r="AH209" s="315">
        <v>1</v>
      </c>
      <c r="AI209" s="315">
        <v>1</v>
      </c>
      <c r="AJ209" s="315">
        <v>1</v>
      </c>
      <c r="AK209" s="315">
        <v>1</v>
      </c>
      <c r="AL209" s="315">
        <v>1</v>
      </c>
      <c r="AM209" s="315">
        <v>1</v>
      </c>
      <c r="AN209" s="315">
        <v>1</v>
      </c>
      <c r="AO209" s="315">
        <v>1</v>
      </c>
      <c r="AP209" s="315">
        <v>1</v>
      </c>
      <c r="AQ209" s="317">
        <v>1</v>
      </c>
    </row>
    <row r="210" spans="1:43" s="378" customFormat="1" ht="44.25" customHeight="1">
      <c r="A210" s="313" t="s">
        <v>1502</v>
      </c>
      <c r="B210" s="313" t="s">
        <v>395</v>
      </c>
      <c r="C210" s="314" t="s">
        <v>633</v>
      </c>
      <c r="D210" s="314" t="s">
        <v>1444</v>
      </c>
      <c r="E210" s="314" t="s">
        <v>545</v>
      </c>
      <c r="F210" s="315">
        <v>1</v>
      </c>
      <c r="G210" s="315">
        <v>1</v>
      </c>
      <c r="H210" s="315">
        <v>1</v>
      </c>
      <c r="I210" s="315">
        <v>1</v>
      </c>
      <c r="J210" s="315">
        <v>1</v>
      </c>
      <c r="K210" s="315">
        <v>1</v>
      </c>
      <c r="L210" s="315">
        <v>1</v>
      </c>
      <c r="M210" s="315">
        <v>1</v>
      </c>
      <c r="N210" s="315">
        <v>1</v>
      </c>
      <c r="O210" s="315">
        <v>1</v>
      </c>
      <c r="P210" s="315"/>
      <c r="Q210" s="315">
        <v>1</v>
      </c>
      <c r="R210" s="315">
        <v>1</v>
      </c>
      <c r="S210" s="315"/>
      <c r="T210" s="315">
        <v>1</v>
      </c>
      <c r="U210" s="315"/>
      <c r="V210" s="315">
        <v>1</v>
      </c>
      <c r="W210" s="315">
        <v>1</v>
      </c>
      <c r="X210" s="315">
        <v>1</v>
      </c>
      <c r="Y210" s="315">
        <v>1</v>
      </c>
      <c r="Z210" s="315">
        <v>1</v>
      </c>
      <c r="AA210" s="315">
        <v>1</v>
      </c>
      <c r="AB210" s="315"/>
      <c r="AC210" s="315">
        <v>1</v>
      </c>
      <c r="AD210" s="315">
        <v>1</v>
      </c>
      <c r="AE210" s="315">
        <v>1</v>
      </c>
      <c r="AF210" s="315"/>
      <c r="AG210" s="315">
        <v>1</v>
      </c>
      <c r="AH210" s="315">
        <v>1</v>
      </c>
      <c r="AI210" s="315">
        <v>1</v>
      </c>
      <c r="AJ210" s="315"/>
      <c r="AK210" s="315"/>
      <c r="AL210" s="315">
        <v>1</v>
      </c>
      <c r="AM210" s="315">
        <v>1</v>
      </c>
      <c r="AN210" s="315">
        <v>1</v>
      </c>
      <c r="AO210" s="315">
        <v>1</v>
      </c>
      <c r="AP210" s="315"/>
      <c r="AQ210" s="316"/>
    </row>
    <row r="211" spans="1:43" s="378" customFormat="1" ht="44.25" customHeight="1">
      <c r="A211" s="313" t="s">
        <v>1502</v>
      </c>
      <c r="B211" s="313" t="s">
        <v>386</v>
      </c>
      <c r="C211" s="314" t="s">
        <v>634</v>
      </c>
      <c r="D211" s="314" t="s">
        <v>1434</v>
      </c>
      <c r="E211" s="314" t="s">
        <v>623</v>
      </c>
      <c r="F211" s="315">
        <v>1</v>
      </c>
      <c r="G211" s="315"/>
      <c r="H211" s="315"/>
      <c r="I211" s="315">
        <v>1</v>
      </c>
      <c r="J211" s="315">
        <v>1</v>
      </c>
      <c r="K211" s="315">
        <v>1</v>
      </c>
      <c r="L211" s="315">
        <v>1</v>
      </c>
      <c r="M211" s="315">
        <v>1</v>
      </c>
      <c r="N211" s="315">
        <v>1</v>
      </c>
      <c r="O211" s="315"/>
      <c r="P211" s="315">
        <v>1</v>
      </c>
      <c r="Q211" s="315">
        <v>1</v>
      </c>
      <c r="R211" s="315"/>
      <c r="S211" s="315">
        <v>1</v>
      </c>
      <c r="T211" s="315">
        <v>1</v>
      </c>
      <c r="U211" s="315">
        <v>1</v>
      </c>
      <c r="V211" s="315">
        <v>1</v>
      </c>
      <c r="W211" s="315"/>
      <c r="X211" s="315">
        <v>1</v>
      </c>
      <c r="Y211" s="315">
        <v>1</v>
      </c>
      <c r="Z211" s="315">
        <v>1</v>
      </c>
      <c r="AA211" s="315">
        <v>1</v>
      </c>
      <c r="AB211" s="315">
        <v>1</v>
      </c>
      <c r="AC211" s="315">
        <v>1</v>
      </c>
      <c r="AD211" s="315">
        <v>1</v>
      </c>
      <c r="AE211" s="315"/>
      <c r="AF211" s="315"/>
      <c r="AG211" s="315"/>
      <c r="AH211" s="315"/>
      <c r="AI211" s="315"/>
      <c r="AJ211" s="315"/>
      <c r="AK211" s="315"/>
      <c r="AL211" s="315">
        <v>1</v>
      </c>
      <c r="AM211" s="315">
        <v>1</v>
      </c>
      <c r="AN211" s="315">
        <v>1</v>
      </c>
      <c r="AO211" s="315">
        <v>1</v>
      </c>
      <c r="AP211" s="315">
        <v>1</v>
      </c>
      <c r="AQ211" s="316">
        <v>1</v>
      </c>
    </row>
    <row r="212" spans="1:43" s="378" customFormat="1" ht="44.25" customHeight="1">
      <c r="A212" s="313" t="s">
        <v>1502</v>
      </c>
      <c r="B212" s="313" t="s">
        <v>386</v>
      </c>
      <c r="C212" s="314" t="s">
        <v>635</v>
      </c>
      <c r="D212" s="314" t="s">
        <v>1424</v>
      </c>
      <c r="E212" s="314" t="s">
        <v>545</v>
      </c>
      <c r="F212" s="315">
        <v>1</v>
      </c>
      <c r="G212" s="315">
        <v>1</v>
      </c>
      <c r="H212" s="315">
        <v>1</v>
      </c>
      <c r="I212" s="315">
        <v>1</v>
      </c>
      <c r="J212" s="315">
        <v>1</v>
      </c>
      <c r="K212" s="315">
        <v>1</v>
      </c>
      <c r="L212" s="315">
        <v>1</v>
      </c>
      <c r="M212" s="315">
        <v>1</v>
      </c>
      <c r="N212" s="315">
        <v>1</v>
      </c>
      <c r="O212" s="315"/>
      <c r="P212" s="315">
        <v>1</v>
      </c>
      <c r="Q212" s="315">
        <v>1</v>
      </c>
      <c r="R212" s="315">
        <v>1</v>
      </c>
      <c r="S212" s="315">
        <v>1</v>
      </c>
      <c r="T212" s="315">
        <v>1</v>
      </c>
      <c r="U212" s="315">
        <v>1</v>
      </c>
      <c r="V212" s="315">
        <v>1</v>
      </c>
      <c r="W212" s="315">
        <v>1</v>
      </c>
      <c r="X212" s="315">
        <v>1</v>
      </c>
      <c r="Y212" s="315">
        <v>1</v>
      </c>
      <c r="Z212" s="315">
        <v>1</v>
      </c>
      <c r="AA212" s="315">
        <v>1</v>
      </c>
      <c r="AB212" s="315">
        <v>1</v>
      </c>
      <c r="AC212" s="315">
        <v>1</v>
      </c>
      <c r="AD212" s="315">
        <v>1</v>
      </c>
      <c r="AE212" s="315">
        <v>1</v>
      </c>
      <c r="AF212" s="315"/>
      <c r="AG212" s="315">
        <v>1</v>
      </c>
      <c r="AH212" s="315">
        <v>1</v>
      </c>
      <c r="AI212" s="315">
        <v>1</v>
      </c>
      <c r="AJ212" s="315"/>
      <c r="AK212" s="315"/>
      <c r="AL212" s="315">
        <v>1</v>
      </c>
      <c r="AM212" s="315">
        <v>1</v>
      </c>
      <c r="AN212" s="315">
        <v>1</v>
      </c>
      <c r="AO212" s="315">
        <v>1</v>
      </c>
      <c r="AP212" s="315">
        <v>1</v>
      </c>
      <c r="AQ212" s="316">
        <v>1</v>
      </c>
    </row>
    <row r="213" spans="1:43" s="378" customFormat="1" ht="44.25" customHeight="1">
      <c r="A213" s="313" t="s">
        <v>1502</v>
      </c>
      <c r="B213" s="313" t="s">
        <v>395</v>
      </c>
      <c r="C213" s="314" t="s">
        <v>636</v>
      </c>
      <c r="D213" s="314" t="s">
        <v>1424</v>
      </c>
      <c r="E213" s="314" t="s">
        <v>575</v>
      </c>
      <c r="F213" s="315">
        <v>1</v>
      </c>
      <c r="G213" s="315">
        <v>1</v>
      </c>
      <c r="H213" s="315">
        <v>1</v>
      </c>
      <c r="I213" s="315">
        <v>1</v>
      </c>
      <c r="J213" s="315">
        <v>1</v>
      </c>
      <c r="K213" s="315">
        <v>1</v>
      </c>
      <c r="L213" s="315">
        <v>1</v>
      </c>
      <c r="M213" s="315">
        <v>1</v>
      </c>
      <c r="N213" s="315">
        <v>1</v>
      </c>
      <c r="O213" s="315">
        <v>1</v>
      </c>
      <c r="P213" s="315"/>
      <c r="Q213" s="315">
        <v>1</v>
      </c>
      <c r="R213" s="315">
        <v>1</v>
      </c>
      <c r="S213" s="315">
        <v>1</v>
      </c>
      <c r="T213" s="315">
        <v>1</v>
      </c>
      <c r="U213" s="315">
        <v>1</v>
      </c>
      <c r="V213" s="315">
        <v>1</v>
      </c>
      <c r="W213" s="315">
        <v>1</v>
      </c>
      <c r="X213" s="315">
        <v>1</v>
      </c>
      <c r="Y213" s="315">
        <v>1</v>
      </c>
      <c r="Z213" s="315">
        <v>1</v>
      </c>
      <c r="AA213" s="315">
        <v>1</v>
      </c>
      <c r="AB213" s="315">
        <v>1</v>
      </c>
      <c r="AC213" s="315">
        <v>1</v>
      </c>
      <c r="AD213" s="315">
        <v>1</v>
      </c>
      <c r="AE213" s="315">
        <v>1</v>
      </c>
      <c r="AF213" s="315">
        <v>1</v>
      </c>
      <c r="AG213" s="315">
        <v>1</v>
      </c>
      <c r="AH213" s="315">
        <v>1</v>
      </c>
      <c r="AI213" s="315">
        <v>1</v>
      </c>
      <c r="AJ213" s="315">
        <v>1</v>
      </c>
      <c r="AK213" s="315">
        <v>1</v>
      </c>
      <c r="AL213" s="315">
        <v>1</v>
      </c>
      <c r="AM213" s="315"/>
      <c r="AN213" s="315">
        <v>1</v>
      </c>
      <c r="AO213" s="315">
        <v>1</v>
      </c>
      <c r="AP213" s="315">
        <v>1</v>
      </c>
      <c r="AQ213" s="316">
        <v>1</v>
      </c>
    </row>
    <row r="214" spans="1:43" s="378" customFormat="1" ht="44.25" customHeight="1">
      <c r="A214" s="313" t="s">
        <v>1505</v>
      </c>
      <c r="B214" s="313" t="s">
        <v>395</v>
      </c>
      <c r="C214" s="314" t="s">
        <v>637</v>
      </c>
      <c r="D214" s="314" t="s">
        <v>1428</v>
      </c>
      <c r="E214" s="314" t="s">
        <v>1506</v>
      </c>
      <c r="F214" s="315"/>
      <c r="G214" s="315"/>
      <c r="H214" s="315">
        <v>1</v>
      </c>
      <c r="I214" s="315">
        <v>1</v>
      </c>
      <c r="J214" s="315">
        <v>1</v>
      </c>
      <c r="K214" s="315">
        <v>1</v>
      </c>
      <c r="L214" s="315">
        <v>1</v>
      </c>
      <c r="M214" s="315">
        <v>1</v>
      </c>
      <c r="N214" s="315"/>
      <c r="O214" s="315"/>
      <c r="P214" s="315"/>
      <c r="Q214" s="315"/>
      <c r="R214" s="315"/>
      <c r="S214" s="315">
        <v>1</v>
      </c>
      <c r="T214" s="315">
        <v>1</v>
      </c>
      <c r="U214" s="315">
        <v>1</v>
      </c>
      <c r="V214" s="315"/>
      <c r="W214" s="315"/>
      <c r="X214" s="315"/>
      <c r="Y214" s="315"/>
      <c r="Z214" s="315">
        <v>1</v>
      </c>
      <c r="AA214" s="315">
        <v>1</v>
      </c>
      <c r="AB214" s="315">
        <v>1</v>
      </c>
      <c r="AC214" s="315">
        <v>1</v>
      </c>
      <c r="AD214" s="315"/>
      <c r="AE214" s="315"/>
      <c r="AF214" s="315">
        <v>1</v>
      </c>
      <c r="AG214" s="315">
        <v>1</v>
      </c>
      <c r="AH214" s="315"/>
      <c r="AI214" s="315"/>
      <c r="AJ214" s="315">
        <v>1</v>
      </c>
      <c r="AK214" s="315">
        <v>1</v>
      </c>
      <c r="AL214" s="315"/>
      <c r="AM214" s="315">
        <v>1</v>
      </c>
      <c r="AN214" s="315"/>
      <c r="AO214" s="315"/>
      <c r="AP214" s="315"/>
      <c r="AQ214" s="317"/>
    </row>
    <row r="215" spans="1:43" s="378" customFormat="1" ht="44.25" customHeight="1">
      <c r="A215" s="313" t="s">
        <v>1505</v>
      </c>
      <c r="B215" s="313" t="s">
        <v>386</v>
      </c>
      <c r="C215" s="314" t="s">
        <v>639</v>
      </c>
      <c r="D215" s="314" t="s">
        <v>1432</v>
      </c>
      <c r="E215" s="314" t="s">
        <v>415</v>
      </c>
      <c r="F215" s="315"/>
      <c r="G215" s="315"/>
      <c r="H215" s="315"/>
      <c r="I215" s="315"/>
      <c r="J215" s="315">
        <v>1</v>
      </c>
      <c r="K215" s="315">
        <v>1</v>
      </c>
      <c r="L215" s="315">
        <v>1</v>
      </c>
      <c r="M215" s="315">
        <v>1</v>
      </c>
      <c r="N215" s="315"/>
      <c r="O215" s="315"/>
      <c r="P215" s="315">
        <v>1</v>
      </c>
      <c r="Q215" s="315">
        <v>1</v>
      </c>
      <c r="R215" s="315">
        <v>1</v>
      </c>
      <c r="S215" s="315">
        <v>1</v>
      </c>
      <c r="T215" s="315">
        <v>1</v>
      </c>
      <c r="U215" s="315">
        <v>1</v>
      </c>
      <c r="V215" s="315"/>
      <c r="W215" s="315"/>
      <c r="X215" s="315">
        <v>1</v>
      </c>
      <c r="Y215" s="315">
        <v>1</v>
      </c>
      <c r="Z215" s="315"/>
      <c r="AA215" s="315">
        <v>1</v>
      </c>
      <c r="AB215" s="315"/>
      <c r="AC215" s="315">
        <v>1</v>
      </c>
      <c r="AD215" s="315"/>
      <c r="AE215" s="315"/>
      <c r="AF215" s="315"/>
      <c r="AG215" s="315"/>
      <c r="AH215" s="315"/>
      <c r="AI215" s="315"/>
      <c r="AJ215" s="315"/>
      <c r="AK215" s="315"/>
      <c r="AL215" s="315">
        <v>1</v>
      </c>
      <c r="AM215" s="315">
        <v>1</v>
      </c>
      <c r="AN215" s="315"/>
      <c r="AO215" s="315">
        <v>1</v>
      </c>
      <c r="AP215" s="315"/>
      <c r="AQ215" s="317"/>
    </row>
    <row r="216" spans="1:43" s="378" customFormat="1" ht="44.25" customHeight="1">
      <c r="A216" s="313" t="s">
        <v>1505</v>
      </c>
      <c r="B216" s="313" t="s">
        <v>395</v>
      </c>
      <c r="C216" s="314" t="s">
        <v>640</v>
      </c>
      <c r="D216" s="314" t="s">
        <v>1430</v>
      </c>
      <c r="E216" s="314" t="s">
        <v>1507</v>
      </c>
      <c r="F216" s="315"/>
      <c r="G216" s="315"/>
      <c r="H216" s="315">
        <v>1</v>
      </c>
      <c r="I216" s="315">
        <v>1</v>
      </c>
      <c r="J216" s="315">
        <v>1</v>
      </c>
      <c r="K216" s="315">
        <v>1</v>
      </c>
      <c r="L216" s="315">
        <v>1</v>
      </c>
      <c r="M216" s="315">
        <v>1</v>
      </c>
      <c r="N216" s="315"/>
      <c r="O216" s="315"/>
      <c r="P216" s="315"/>
      <c r="Q216" s="315"/>
      <c r="R216" s="315"/>
      <c r="S216" s="315"/>
      <c r="T216" s="315"/>
      <c r="U216" s="315">
        <v>1</v>
      </c>
      <c r="V216" s="315"/>
      <c r="W216" s="315"/>
      <c r="X216" s="315"/>
      <c r="Y216" s="315"/>
      <c r="Z216" s="315">
        <v>1</v>
      </c>
      <c r="AA216" s="315">
        <v>1</v>
      </c>
      <c r="AB216" s="315">
        <v>1</v>
      </c>
      <c r="AC216" s="315">
        <v>1</v>
      </c>
      <c r="AD216" s="315"/>
      <c r="AE216" s="315"/>
      <c r="AF216" s="315">
        <v>1</v>
      </c>
      <c r="AG216" s="315">
        <v>1</v>
      </c>
      <c r="AH216" s="315"/>
      <c r="AI216" s="315">
        <v>1</v>
      </c>
      <c r="AJ216" s="315"/>
      <c r="AK216" s="315"/>
      <c r="AL216" s="315">
        <v>1</v>
      </c>
      <c r="AM216" s="315">
        <v>1</v>
      </c>
      <c r="AN216" s="315"/>
      <c r="AO216" s="315"/>
      <c r="AP216" s="315"/>
      <c r="AQ216" s="317"/>
    </row>
    <row r="217" spans="1:43" s="378" customFormat="1" ht="44.25" customHeight="1">
      <c r="A217" s="313" t="s">
        <v>1505</v>
      </c>
      <c r="B217" s="313" t="s">
        <v>384</v>
      </c>
      <c r="C217" s="314" t="s">
        <v>642</v>
      </c>
      <c r="D217" s="314" t="s">
        <v>1430</v>
      </c>
      <c r="E217" s="314" t="s">
        <v>643</v>
      </c>
      <c r="F217" s="315"/>
      <c r="G217" s="315"/>
      <c r="H217" s="315"/>
      <c r="I217" s="315"/>
      <c r="J217" s="315">
        <v>1</v>
      </c>
      <c r="K217" s="315">
        <v>1</v>
      </c>
      <c r="L217" s="315">
        <v>1</v>
      </c>
      <c r="M217" s="315">
        <v>1</v>
      </c>
      <c r="N217" s="315"/>
      <c r="O217" s="315"/>
      <c r="P217" s="315"/>
      <c r="Q217" s="315"/>
      <c r="R217" s="315"/>
      <c r="S217" s="315">
        <v>1</v>
      </c>
      <c r="T217" s="315"/>
      <c r="U217" s="315"/>
      <c r="V217" s="315"/>
      <c r="W217" s="315"/>
      <c r="X217" s="315"/>
      <c r="Y217" s="315"/>
      <c r="Z217" s="315">
        <v>1</v>
      </c>
      <c r="AA217" s="315">
        <v>1</v>
      </c>
      <c r="AB217" s="315">
        <v>1</v>
      </c>
      <c r="AC217" s="315">
        <v>1</v>
      </c>
      <c r="AD217" s="315"/>
      <c r="AE217" s="315"/>
      <c r="AF217" s="315">
        <v>1</v>
      </c>
      <c r="AG217" s="315">
        <v>1</v>
      </c>
      <c r="AH217" s="315">
        <v>1</v>
      </c>
      <c r="AI217" s="315">
        <v>1</v>
      </c>
      <c r="AJ217" s="315">
        <v>1</v>
      </c>
      <c r="AK217" s="315">
        <v>1</v>
      </c>
      <c r="AL217" s="315"/>
      <c r="AM217" s="315">
        <v>1</v>
      </c>
      <c r="AN217" s="315"/>
      <c r="AO217" s="315">
        <v>1</v>
      </c>
      <c r="AP217" s="315">
        <v>1</v>
      </c>
      <c r="AQ217" s="317">
        <v>1</v>
      </c>
    </row>
    <row r="218" spans="1:43" s="378" customFormat="1" ht="44.25" customHeight="1">
      <c r="A218" s="313" t="s">
        <v>1505</v>
      </c>
      <c r="B218" s="313" t="s">
        <v>395</v>
      </c>
      <c r="C218" s="314" t="s">
        <v>644</v>
      </c>
      <c r="D218" s="314" t="s">
        <v>1428</v>
      </c>
      <c r="E218" s="314" t="s">
        <v>528</v>
      </c>
      <c r="F218" s="315"/>
      <c r="G218" s="315"/>
      <c r="H218" s="315"/>
      <c r="I218" s="315"/>
      <c r="J218" s="315"/>
      <c r="K218" s="315">
        <v>1</v>
      </c>
      <c r="L218" s="315">
        <v>1</v>
      </c>
      <c r="M218" s="315">
        <v>1</v>
      </c>
      <c r="N218" s="315"/>
      <c r="O218" s="315"/>
      <c r="P218" s="315"/>
      <c r="Q218" s="315"/>
      <c r="R218" s="315">
        <v>1</v>
      </c>
      <c r="S218" s="315">
        <v>1</v>
      </c>
      <c r="T218" s="315">
        <v>1</v>
      </c>
      <c r="U218" s="315">
        <v>1</v>
      </c>
      <c r="V218" s="315"/>
      <c r="W218" s="315"/>
      <c r="X218" s="315"/>
      <c r="Y218" s="315"/>
      <c r="Z218" s="315">
        <v>1</v>
      </c>
      <c r="AA218" s="315">
        <v>1</v>
      </c>
      <c r="AB218" s="315">
        <v>1</v>
      </c>
      <c r="AC218" s="315">
        <v>1</v>
      </c>
      <c r="AD218" s="315"/>
      <c r="AE218" s="315"/>
      <c r="AF218" s="315"/>
      <c r="AG218" s="315"/>
      <c r="AH218" s="315">
        <v>1</v>
      </c>
      <c r="AI218" s="315">
        <v>1</v>
      </c>
      <c r="AJ218" s="315">
        <v>1</v>
      </c>
      <c r="AK218" s="315">
        <v>1</v>
      </c>
      <c r="AL218" s="315">
        <v>1</v>
      </c>
      <c r="AM218" s="315"/>
      <c r="AN218" s="315">
        <v>1</v>
      </c>
      <c r="AO218" s="315">
        <v>1</v>
      </c>
      <c r="AP218" s="315"/>
      <c r="AQ218" s="317"/>
    </row>
    <row r="219" spans="1:43" s="378" customFormat="1" ht="44.25" customHeight="1">
      <c r="A219" s="313" t="s">
        <v>1505</v>
      </c>
      <c r="B219" s="313" t="s">
        <v>395</v>
      </c>
      <c r="C219" s="314" t="s">
        <v>645</v>
      </c>
      <c r="D219" s="314" t="s">
        <v>1428</v>
      </c>
      <c r="E219" s="314" t="s">
        <v>528</v>
      </c>
      <c r="F219" s="315"/>
      <c r="G219" s="315"/>
      <c r="H219" s="315"/>
      <c r="I219" s="315"/>
      <c r="J219" s="315">
        <v>1</v>
      </c>
      <c r="K219" s="315">
        <v>1</v>
      </c>
      <c r="L219" s="315">
        <v>1</v>
      </c>
      <c r="M219" s="315">
        <v>1</v>
      </c>
      <c r="N219" s="315"/>
      <c r="O219" s="315"/>
      <c r="P219" s="315"/>
      <c r="Q219" s="315"/>
      <c r="R219" s="315">
        <v>1</v>
      </c>
      <c r="S219" s="315">
        <v>1</v>
      </c>
      <c r="T219" s="315">
        <v>1</v>
      </c>
      <c r="U219" s="315">
        <v>1</v>
      </c>
      <c r="V219" s="315"/>
      <c r="W219" s="315"/>
      <c r="X219" s="315"/>
      <c r="Y219" s="315"/>
      <c r="Z219" s="315">
        <v>1</v>
      </c>
      <c r="AA219" s="315">
        <v>1</v>
      </c>
      <c r="AB219" s="315">
        <v>1</v>
      </c>
      <c r="AC219" s="315">
        <v>1</v>
      </c>
      <c r="AD219" s="315"/>
      <c r="AE219" s="315"/>
      <c r="AF219" s="315"/>
      <c r="AG219" s="315"/>
      <c r="AH219" s="315"/>
      <c r="AI219" s="315">
        <v>1</v>
      </c>
      <c r="AJ219" s="315"/>
      <c r="AK219" s="315"/>
      <c r="AL219" s="315"/>
      <c r="AM219" s="315"/>
      <c r="AN219" s="315">
        <v>1</v>
      </c>
      <c r="AO219" s="315">
        <v>1</v>
      </c>
      <c r="AP219" s="315"/>
      <c r="AQ219" s="317"/>
    </row>
    <row r="220" spans="1:43" s="378" customFormat="1" ht="44.25" customHeight="1">
      <c r="A220" s="313" t="s">
        <v>1505</v>
      </c>
      <c r="B220" s="313" t="s">
        <v>395</v>
      </c>
      <c r="C220" s="314" t="s">
        <v>646</v>
      </c>
      <c r="D220" s="314" t="s">
        <v>1428</v>
      </c>
      <c r="E220" s="314" t="s">
        <v>528</v>
      </c>
      <c r="F220" s="315"/>
      <c r="G220" s="315"/>
      <c r="H220" s="315"/>
      <c r="I220" s="315"/>
      <c r="J220" s="315">
        <v>1</v>
      </c>
      <c r="K220" s="315">
        <v>1</v>
      </c>
      <c r="L220" s="315">
        <v>1</v>
      </c>
      <c r="M220" s="315">
        <v>1</v>
      </c>
      <c r="N220" s="315"/>
      <c r="O220" s="315"/>
      <c r="P220" s="315"/>
      <c r="Q220" s="315"/>
      <c r="R220" s="315">
        <v>1</v>
      </c>
      <c r="S220" s="315">
        <v>1</v>
      </c>
      <c r="T220" s="315">
        <v>1</v>
      </c>
      <c r="U220" s="315">
        <v>1</v>
      </c>
      <c r="V220" s="315"/>
      <c r="W220" s="315"/>
      <c r="X220" s="315"/>
      <c r="Y220" s="315"/>
      <c r="Z220" s="315">
        <v>1</v>
      </c>
      <c r="AA220" s="315">
        <v>1</v>
      </c>
      <c r="AB220" s="315">
        <v>1</v>
      </c>
      <c r="AC220" s="315">
        <v>1</v>
      </c>
      <c r="AD220" s="315"/>
      <c r="AE220" s="315"/>
      <c r="AF220" s="315"/>
      <c r="AG220" s="315"/>
      <c r="AH220" s="315">
        <v>1</v>
      </c>
      <c r="AI220" s="315">
        <v>1</v>
      </c>
      <c r="AJ220" s="315">
        <v>1</v>
      </c>
      <c r="AK220" s="315">
        <v>1</v>
      </c>
      <c r="AL220" s="315">
        <v>1</v>
      </c>
      <c r="AM220" s="315">
        <v>1</v>
      </c>
      <c r="AN220" s="315">
        <v>1</v>
      </c>
      <c r="AO220" s="315">
        <v>1</v>
      </c>
      <c r="AP220" s="315"/>
      <c r="AQ220" s="317"/>
    </row>
    <row r="221" spans="1:43" s="378" customFormat="1" ht="44.25" customHeight="1">
      <c r="A221" s="313" t="s">
        <v>1505</v>
      </c>
      <c r="B221" s="313" t="s">
        <v>395</v>
      </c>
      <c r="C221" s="314" t="s">
        <v>647</v>
      </c>
      <c r="D221" s="314" t="s">
        <v>1428</v>
      </c>
      <c r="E221" s="314" t="s">
        <v>1508</v>
      </c>
      <c r="F221" s="315"/>
      <c r="G221" s="315"/>
      <c r="H221" s="315"/>
      <c r="I221" s="315"/>
      <c r="J221" s="315">
        <v>1</v>
      </c>
      <c r="K221" s="315">
        <v>1</v>
      </c>
      <c r="L221" s="315">
        <v>1</v>
      </c>
      <c r="M221" s="315">
        <v>1</v>
      </c>
      <c r="N221" s="315"/>
      <c r="O221" s="315"/>
      <c r="P221" s="315"/>
      <c r="Q221" s="315"/>
      <c r="R221" s="315"/>
      <c r="S221" s="315">
        <v>1</v>
      </c>
      <c r="T221" s="315"/>
      <c r="U221" s="315"/>
      <c r="V221" s="315"/>
      <c r="W221" s="315"/>
      <c r="X221" s="315"/>
      <c r="Y221" s="315"/>
      <c r="Z221" s="315">
        <v>1</v>
      </c>
      <c r="AA221" s="315">
        <v>1</v>
      </c>
      <c r="AB221" s="315">
        <v>1</v>
      </c>
      <c r="AC221" s="315">
        <v>1</v>
      </c>
      <c r="AD221" s="315"/>
      <c r="AE221" s="315"/>
      <c r="AF221" s="315">
        <v>1</v>
      </c>
      <c r="AG221" s="315">
        <v>1</v>
      </c>
      <c r="AH221" s="315">
        <v>1</v>
      </c>
      <c r="AI221" s="315">
        <v>1</v>
      </c>
      <c r="AJ221" s="315">
        <v>1</v>
      </c>
      <c r="AK221" s="315">
        <v>1</v>
      </c>
      <c r="AL221" s="315">
        <v>1</v>
      </c>
      <c r="AM221" s="315">
        <v>1</v>
      </c>
      <c r="AN221" s="315">
        <v>1</v>
      </c>
      <c r="AO221" s="315">
        <v>1</v>
      </c>
      <c r="AP221" s="315">
        <v>1</v>
      </c>
      <c r="AQ221" s="317">
        <v>1</v>
      </c>
    </row>
    <row r="222" spans="1:43" s="378" customFormat="1" ht="44.25" customHeight="1">
      <c r="A222" s="313" t="s">
        <v>1505</v>
      </c>
      <c r="B222" s="313" t="s">
        <v>395</v>
      </c>
      <c r="C222" s="314" t="s">
        <v>649</v>
      </c>
      <c r="D222" s="314" t="s">
        <v>1428</v>
      </c>
      <c r="E222" s="314" t="s">
        <v>1509</v>
      </c>
      <c r="F222" s="315"/>
      <c r="G222" s="315"/>
      <c r="H222" s="315"/>
      <c r="I222" s="315"/>
      <c r="J222" s="315">
        <v>1</v>
      </c>
      <c r="K222" s="315">
        <v>1</v>
      </c>
      <c r="L222" s="315">
        <v>1</v>
      </c>
      <c r="M222" s="315">
        <v>1</v>
      </c>
      <c r="N222" s="315"/>
      <c r="O222" s="315"/>
      <c r="P222" s="315"/>
      <c r="Q222" s="315"/>
      <c r="R222" s="315">
        <v>1</v>
      </c>
      <c r="S222" s="315"/>
      <c r="T222" s="315">
        <v>1</v>
      </c>
      <c r="U222" s="315">
        <v>1</v>
      </c>
      <c r="V222" s="315"/>
      <c r="W222" s="315"/>
      <c r="X222" s="315"/>
      <c r="Y222" s="315"/>
      <c r="Z222" s="315">
        <v>1</v>
      </c>
      <c r="AA222" s="315">
        <v>1</v>
      </c>
      <c r="AB222" s="315">
        <v>1</v>
      </c>
      <c r="AC222" s="315">
        <v>1</v>
      </c>
      <c r="AD222" s="315"/>
      <c r="AE222" s="315"/>
      <c r="AF222" s="315"/>
      <c r="AG222" s="315"/>
      <c r="AH222" s="315"/>
      <c r="AI222" s="315">
        <v>1</v>
      </c>
      <c r="AJ222" s="315"/>
      <c r="AK222" s="315"/>
      <c r="AL222" s="315"/>
      <c r="AM222" s="315"/>
      <c r="AN222" s="315">
        <v>1</v>
      </c>
      <c r="AO222" s="315">
        <v>1</v>
      </c>
      <c r="AP222" s="315"/>
      <c r="AQ222" s="317"/>
    </row>
    <row r="223" spans="1:43" s="378" customFormat="1" ht="44.25" customHeight="1">
      <c r="A223" s="313" t="s">
        <v>1505</v>
      </c>
      <c r="B223" s="313" t="s">
        <v>395</v>
      </c>
      <c r="C223" s="314" t="s">
        <v>651</v>
      </c>
      <c r="D223" s="314" t="s">
        <v>1428</v>
      </c>
      <c r="E223" s="314" t="s">
        <v>1510</v>
      </c>
      <c r="F223" s="315"/>
      <c r="G223" s="315"/>
      <c r="H223" s="315"/>
      <c r="I223" s="315"/>
      <c r="J223" s="315"/>
      <c r="K223" s="315">
        <v>1</v>
      </c>
      <c r="L223" s="315"/>
      <c r="M223" s="315"/>
      <c r="N223" s="315"/>
      <c r="O223" s="315"/>
      <c r="P223" s="315"/>
      <c r="Q223" s="315"/>
      <c r="R223" s="315"/>
      <c r="S223" s="315">
        <v>1</v>
      </c>
      <c r="T223" s="315"/>
      <c r="U223" s="315"/>
      <c r="V223" s="315"/>
      <c r="W223" s="315"/>
      <c r="X223" s="315"/>
      <c r="Y223" s="315"/>
      <c r="Z223" s="315"/>
      <c r="AA223" s="315">
        <v>1</v>
      </c>
      <c r="AB223" s="315"/>
      <c r="AC223" s="315"/>
      <c r="AD223" s="315"/>
      <c r="AE223" s="315"/>
      <c r="AF223" s="315"/>
      <c r="AG223" s="315"/>
      <c r="AH223" s="315">
        <v>1</v>
      </c>
      <c r="AI223" s="315">
        <v>1</v>
      </c>
      <c r="AJ223" s="315">
        <v>1</v>
      </c>
      <c r="AK223" s="315">
        <v>1</v>
      </c>
      <c r="AL223" s="315"/>
      <c r="AM223" s="315"/>
      <c r="AN223" s="315"/>
      <c r="AO223" s="315">
        <v>1</v>
      </c>
      <c r="AP223" s="315"/>
      <c r="AQ223" s="317"/>
    </row>
    <row r="224" spans="1:43" s="378" customFormat="1" ht="44.25" customHeight="1">
      <c r="A224" s="313" t="s">
        <v>1505</v>
      </c>
      <c r="B224" s="313" t="s">
        <v>395</v>
      </c>
      <c r="C224" s="314" t="s">
        <v>653</v>
      </c>
      <c r="D224" s="314" t="s">
        <v>1428</v>
      </c>
      <c r="E224" s="314" t="s">
        <v>1511</v>
      </c>
      <c r="F224" s="315"/>
      <c r="G224" s="315"/>
      <c r="H224" s="315">
        <v>1</v>
      </c>
      <c r="I224" s="315">
        <v>1</v>
      </c>
      <c r="J224" s="315">
        <v>1</v>
      </c>
      <c r="K224" s="315">
        <v>1</v>
      </c>
      <c r="L224" s="315">
        <v>1</v>
      </c>
      <c r="M224" s="315">
        <v>1</v>
      </c>
      <c r="N224" s="315"/>
      <c r="O224" s="315"/>
      <c r="P224" s="315"/>
      <c r="Q224" s="315"/>
      <c r="R224" s="315">
        <v>1</v>
      </c>
      <c r="S224" s="315">
        <v>1</v>
      </c>
      <c r="T224" s="315">
        <v>1</v>
      </c>
      <c r="U224" s="315">
        <v>1</v>
      </c>
      <c r="V224" s="315"/>
      <c r="W224" s="315"/>
      <c r="X224" s="315"/>
      <c r="Y224" s="315"/>
      <c r="Z224" s="315">
        <v>1</v>
      </c>
      <c r="AA224" s="315">
        <v>1</v>
      </c>
      <c r="AB224" s="315">
        <v>1</v>
      </c>
      <c r="AC224" s="315">
        <v>1</v>
      </c>
      <c r="AD224" s="315"/>
      <c r="AE224" s="315"/>
      <c r="AF224" s="315"/>
      <c r="AG224" s="315"/>
      <c r="AH224" s="315"/>
      <c r="AI224" s="315">
        <v>1</v>
      </c>
      <c r="AJ224" s="315">
        <v>1</v>
      </c>
      <c r="AK224" s="315">
        <v>1</v>
      </c>
      <c r="AL224" s="315">
        <v>1</v>
      </c>
      <c r="AM224" s="315">
        <v>1</v>
      </c>
      <c r="AN224" s="315">
        <v>1</v>
      </c>
      <c r="AO224" s="315"/>
      <c r="AP224" s="315">
        <v>1</v>
      </c>
      <c r="AQ224" s="317">
        <v>1</v>
      </c>
    </row>
    <row r="225" spans="1:43" s="378" customFormat="1" ht="44.25" customHeight="1">
      <c r="A225" s="313" t="s">
        <v>1505</v>
      </c>
      <c r="B225" s="313" t="s">
        <v>395</v>
      </c>
      <c r="C225" s="314" t="s">
        <v>655</v>
      </c>
      <c r="D225" s="314" t="s">
        <v>1444</v>
      </c>
      <c r="E225" s="314" t="s">
        <v>1512</v>
      </c>
      <c r="F225" s="315"/>
      <c r="G225" s="315"/>
      <c r="H225" s="315"/>
      <c r="I225" s="315"/>
      <c r="J225" s="315">
        <v>1</v>
      </c>
      <c r="K225" s="315">
        <v>1</v>
      </c>
      <c r="L225" s="315">
        <v>1</v>
      </c>
      <c r="M225" s="315">
        <v>1</v>
      </c>
      <c r="N225" s="315"/>
      <c r="O225" s="315"/>
      <c r="P225" s="315"/>
      <c r="Q225" s="315"/>
      <c r="R225" s="315"/>
      <c r="S225" s="315">
        <v>1</v>
      </c>
      <c r="T225" s="315"/>
      <c r="U225" s="315">
        <v>1</v>
      </c>
      <c r="V225" s="315"/>
      <c r="W225" s="315"/>
      <c r="X225" s="315"/>
      <c r="Y225" s="315"/>
      <c r="Z225" s="315">
        <v>1</v>
      </c>
      <c r="AA225" s="315">
        <v>1</v>
      </c>
      <c r="AB225" s="315">
        <v>1</v>
      </c>
      <c r="AC225" s="315">
        <v>1</v>
      </c>
      <c r="AD225" s="315"/>
      <c r="AE225" s="315"/>
      <c r="AF225" s="315"/>
      <c r="AG225" s="315"/>
      <c r="AH225" s="315">
        <v>1</v>
      </c>
      <c r="AI225" s="315"/>
      <c r="AJ225" s="315">
        <v>1</v>
      </c>
      <c r="AK225" s="315">
        <v>1</v>
      </c>
      <c r="AL225" s="315"/>
      <c r="AM225" s="315">
        <v>1</v>
      </c>
      <c r="AN225" s="315"/>
      <c r="AO225" s="315">
        <v>1</v>
      </c>
      <c r="AP225" s="315">
        <v>1</v>
      </c>
      <c r="AQ225" s="317">
        <v>1</v>
      </c>
    </row>
    <row r="226" spans="1:43" s="378" customFormat="1" ht="44.25" customHeight="1">
      <c r="A226" s="313" t="s">
        <v>1505</v>
      </c>
      <c r="B226" s="313" t="s">
        <v>395</v>
      </c>
      <c r="C226" s="314" t="s">
        <v>657</v>
      </c>
      <c r="D226" s="314" t="s">
        <v>1428</v>
      </c>
      <c r="E226" s="314" t="s">
        <v>658</v>
      </c>
      <c r="F226" s="315"/>
      <c r="G226" s="315"/>
      <c r="H226" s="315"/>
      <c r="I226" s="315"/>
      <c r="J226" s="315"/>
      <c r="K226" s="315">
        <v>1</v>
      </c>
      <c r="L226" s="315"/>
      <c r="M226" s="315"/>
      <c r="N226" s="315"/>
      <c r="O226" s="315"/>
      <c r="P226" s="315"/>
      <c r="Q226" s="315"/>
      <c r="R226" s="315"/>
      <c r="S226" s="315">
        <v>1</v>
      </c>
      <c r="T226" s="315"/>
      <c r="U226" s="315">
        <v>1</v>
      </c>
      <c r="V226" s="315"/>
      <c r="W226" s="315"/>
      <c r="X226" s="315"/>
      <c r="Y226" s="315"/>
      <c r="Z226" s="315">
        <v>1</v>
      </c>
      <c r="AA226" s="315">
        <v>1</v>
      </c>
      <c r="AB226" s="315"/>
      <c r="AC226" s="315">
        <v>1</v>
      </c>
      <c r="AD226" s="315"/>
      <c r="AE226" s="315"/>
      <c r="AF226" s="315"/>
      <c r="AG226" s="315"/>
      <c r="AH226" s="315"/>
      <c r="AI226" s="315">
        <v>1</v>
      </c>
      <c r="AJ226" s="315">
        <v>1</v>
      </c>
      <c r="AK226" s="315">
        <v>1</v>
      </c>
      <c r="AL226" s="315"/>
      <c r="AM226" s="315"/>
      <c r="AN226" s="315"/>
      <c r="AO226" s="315"/>
      <c r="AP226" s="315"/>
      <c r="AQ226" s="316"/>
    </row>
    <row r="227" spans="1:43" s="378" customFormat="1" ht="44.25" customHeight="1">
      <c r="A227" s="313" t="s">
        <v>1505</v>
      </c>
      <c r="B227" s="313" t="s">
        <v>394</v>
      </c>
      <c r="C227" s="314" t="s">
        <v>659</v>
      </c>
      <c r="D227" s="314" t="s">
        <v>1448</v>
      </c>
      <c r="E227" s="314" t="s">
        <v>445</v>
      </c>
      <c r="F227" s="315"/>
      <c r="G227" s="315"/>
      <c r="H227" s="315"/>
      <c r="I227" s="315"/>
      <c r="J227" s="315"/>
      <c r="K227" s="315">
        <v>1</v>
      </c>
      <c r="L227" s="315"/>
      <c r="M227" s="315">
        <v>1</v>
      </c>
      <c r="N227" s="315"/>
      <c r="O227" s="315"/>
      <c r="P227" s="315"/>
      <c r="Q227" s="315"/>
      <c r="R227" s="315"/>
      <c r="S227" s="315">
        <v>1</v>
      </c>
      <c r="T227" s="315"/>
      <c r="U227" s="315"/>
      <c r="V227" s="315"/>
      <c r="W227" s="315"/>
      <c r="X227" s="315"/>
      <c r="Y227" s="315"/>
      <c r="Z227" s="315"/>
      <c r="AA227" s="315">
        <v>1</v>
      </c>
      <c r="AB227" s="315">
        <v>1</v>
      </c>
      <c r="AC227" s="315">
        <v>1</v>
      </c>
      <c r="AD227" s="315"/>
      <c r="AE227" s="315"/>
      <c r="AF227" s="315"/>
      <c r="AG227" s="315"/>
      <c r="AH227" s="315"/>
      <c r="AI227" s="315"/>
      <c r="AJ227" s="315"/>
      <c r="AK227" s="315"/>
      <c r="AL227" s="315"/>
      <c r="AM227" s="315">
        <v>1</v>
      </c>
      <c r="AN227" s="315">
        <v>1</v>
      </c>
      <c r="AO227" s="315">
        <v>1</v>
      </c>
      <c r="AP227" s="315"/>
      <c r="AQ227" s="317"/>
    </row>
    <row r="228" spans="1:43" s="378" customFormat="1" ht="44.25" customHeight="1">
      <c r="A228" s="313" t="s">
        <v>1505</v>
      </c>
      <c r="B228" s="313" t="s">
        <v>384</v>
      </c>
      <c r="C228" s="314" t="s">
        <v>660</v>
      </c>
      <c r="D228" s="314" t="s">
        <v>1426</v>
      </c>
      <c r="E228" s="314" t="s">
        <v>1513</v>
      </c>
      <c r="F228" s="315"/>
      <c r="G228" s="315"/>
      <c r="H228" s="315">
        <v>1</v>
      </c>
      <c r="I228" s="315">
        <v>1</v>
      </c>
      <c r="J228" s="315">
        <v>1</v>
      </c>
      <c r="K228" s="315">
        <v>1</v>
      </c>
      <c r="L228" s="315">
        <v>1</v>
      </c>
      <c r="M228" s="315">
        <v>1</v>
      </c>
      <c r="N228" s="315"/>
      <c r="O228" s="315"/>
      <c r="P228" s="315">
        <v>1</v>
      </c>
      <c r="Q228" s="315">
        <v>1</v>
      </c>
      <c r="R228" s="315">
        <v>1</v>
      </c>
      <c r="S228" s="315"/>
      <c r="T228" s="315">
        <v>1</v>
      </c>
      <c r="U228" s="315">
        <v>1</v>
      </c>
      <c r="V228" s="315"/>
      <c r="W228" s="315"/>
      <c r="X228" s="315">
        <v>1</v>
      </c>
      <c r="Y228" s="315">
        <v>1</v>
      </c>
      <c r="Z228" s="315">
        <v>1</v>
      </c>
      <c r="AA228" s="315">
        <v>1</v>
      </c>
      <c r="AB228" s="315">
        <v>1</v>
      </c>
      <c r="AC228" s="315">
        <v>1</v>
      </c>
      <c r="AD228" s="315"/>
      <c r="AE228" s="315"/>
      <c r="AF228" s="315"/>
      <c r="AG228" s="315"/>
      <c r="AH228" s="315">
        <v>1</v>
      </c>
      <c r="AI228" s="315">
        <v>1</v>
      </c>
      <c r="AJ228" s="315">
        <v>1</v>
      </c>
      <c r="AK228" s="315">
        <v>1</v>
      </c>
      <c r="AL228" s="315"/>
      <c r="AM228" s="315"/>
      <c r="AN228" s="315">
        <v>1</v>
      </c>
      <c r="AO228" s="315">
        <v>1</v>
      </c>
      <c r="AP228" s="315"/>
      <c r="AQ228" s="317"/>
    </row>
    <row r="229" spans="1:43" s="378" customFormat="1" ht="44.25" customHeight="1">
      <c r="A229" s="313" t="s">
        <v>1505</v>
      </c>
      <c r="B229" s="313" t="s">
        <v>384</v>
      </c>
      <c r="C229" s="314" t="s">
        <v>662</v>
      </c>
      <c r="D229" s="314" t="s">
        <v>1430</v>
      </c>
      <c r="E229" s="314" t="s">
        <v>663</v>
      </c>
      <c r="F229" s="315"/>
      <c r="G229" s="315"/>
      <c r="H229" s="315"/>
      <c r="I229" s="315"/>
      <c r="J229" s="315">
        <v>1</v>
      </c>
      <c r="K229" s="315"/>
      <c r="L229" s="315">
        <v>1</v>
      </c>
      <c r="M229" s="315">
        <v>1</v>
      </c>
      <c r="N229" s="315"/>
      <c r="O229" s="315"/>
      <c r="P229" s="315"/>
      <c r="Q229" s="315"/>
      <c r="R229" s="315">
        <v>1</v>
      </c>
      <c r="S229" s="315"/>
      <c r="T229" s="315">
        <v>1</v>
      </c>
      <c r="U229" s="315">
        <v>1</v>
      </c>
      <c r="V229" s="315"/>
      <c r="W229" s="315"/>
      <c r="X229" s="315"/>
      <c r="Y229" s="315"/>
      <c r="Z229" s="315">
        <v>1</v>
      </c>
      <c r="AA229" s="315"/>
      <c r="AB229" s="315">
        <v>1</v>
      </c>
      <c r="AC229" s="315">
        <v>1</v>
      </c>
      <c r="AD229" s="315"/>
      <c r="AE229" s="315"/>
      <c r="AF229" s="315"/>
      <c r="AG229" s="315"/>
      <c r="AH229" s="315"/>
      <c r="AI229" s="315">
        <v>1</v>
      </c>
      <c r="AJ229" s="315">
        <v>1</v>
      </c>
      <c r="AK229" s="315">
        <v>1</v>
      </c>
      <c r="AL229" s="315"/>
      <c r="AM229" s="315"/>
      <c r="AN229" s="315">
        <v>1</v>
      </c>
      <c r="AO229" s="315">
        <v>1</v>
      </c>
      <c r="AP229" s="315"/>
      <c r="AQ229" s="317"/>
    </row>
    <row r="230" spans="1:43" s="378" customFormat="1" ht="44.25" customHeight="1">
      <c r="A230" s="313" t="s">
        <v>1505</v>
      </c>
      <c r="B230" s="313" t="s">
        <v>384</v>
      </c>
      <c r="C230" s="314" t="s">
        <v>664</v>
      </c>
      <c r="D230" s="314" t="s">
        <v>1426</v>
      </c>
      <c r="E230" s="314" t="s">
        <v>571</v>
      </c>
      <c r="F230" s="315"/>
      <c r="G230" s="315"/>
      <c r="H230" s="315">
        <v>1</v>
      </c>
      <c r="I230" s="315">
        <v>1</v>
      </c>
      <c r="J230" s="315">
        <v>1</v>
      </c>
      <c r="K230" s="315"/>
      <c r="L230" s="315">
        <v>1</v>
      </c>
      <c r="M230" s="315">
        <v>1</v>
      </c>
      <c r="N230" s="315"/>
      <c r="O230" s="315"/>
      <c r="P230" s="315">
        <v>1</v>
      </c>
      <c r="Q230" s="315">
        <v>1</v>
      </c>
      <c r="R230" s="315">
        <v>1</v>
      </c>
      <c r="S230" s="315"/>
      <c r="T230" s="315">
        <v>1</v>
      </c>
      <c r="U230" s="315">
        <v>1</v>
      </c>
      <c r="V230" s="315"/>
      <c r="W230" s="315"/>
      <c r="X230" s="315">
        <v>1</v>
      </c>
      <c r="Y230" s="315">
        <v>1</v>
      </c>
      <c r="Z230" s="315">
        <v>1</v>
      </c>
      <c r="AA230" s="315"/>
      <c r="AB230" s="315">
        <v>1</v>
      </c>
      <c r="AC230" s="315">
        <v>1</v>
      </c>
      <c r="AD230" s="315"/>
      <c r="AE230" s="315"/>
      <c r="AF230" s="315">
        <v>1</v>
      </c>
      <c r="AG230" s="315">
        <v>1</v>
      </c>
      <c r="AH230" s="315">
        <v>1</v>
      </c>
      <c r="AI230" s="315">
        <v>1</v>
      </c>
      <c r="AJ230" s="315">
        <v>1</v>
      </c>
      <c r="AK230" s="315">
        <v>1</v>
      </c>
      <c r="AL230" s="315"/>
      <c r="AM230" s="315"/>
      <c r="AN230" s="315">
        <v>1</v>
      </c>
      <c r="AO230" s="315">
        <v>1</v>
      </c>
      <c r="AP230" s="315">
        <v>1</v>
      </c>
      <c r="AQ230" s="317">
        <v>1</v>
      </c>
    </row>
    <row r="231" spans="1:43" s="378" customFormat="1" ht="44.25" customHeight="1">
      <c r="A231" s="313" t="s">
        <v>1505</v>
      </c>
      <c r="B231" s="313" t="s">
        <v>386</v>
      </c>
      <c r="C231" s="314" t="s">
        <v>665</v>
      </c>
      <c r="D231" s="314" t="s">
        <v>1424</v>
      </c>
      <c r="E231" s="314" t="s">
        <v>620</v>
      </c>
      <c r="F231" s="315"/>
      <c r="G231" s="315"/>
      <c r="H231" s="315"/>
      <c r="I231" s="315"/>
      <c r="J231" s="315">
        <v>1</v>
      </c>
      <c r="K231" s="315"/>
      <c r="L231" s="315">
        <v>1</v>
      </c>
      <c r="M231" s="315">
        <v>1</v>
      </c>
      <c r="N231" s="315"/>
      <c r="O231" s="315"/>
      <c r="P231" s="315"/>
      <c r="Q231" s="315"/>
      <c r="R231" s="315">
        <v>1</v>
      </c>
      <c r="S231" s="315"/>
      <c r="T231" s="315">
        <v>1</v>
      </c>
      <c r="U231" s="315">
        <v>1</v>
      </c>
      <c r="V231" s="315"/>
      <c r="W231" s="315"/>
      <c r="X231" s="315">
        <v>1</v>
      </c>
      <c r="Y231" s="315">
        <v>1</v>
      </c>
      <c r="Z231" s="315">
        <v>1</v>
      </c>
      <c r="AA231" s="315"/>
      <c r="AB231" s="315">
        <v>1</v>
      </c>
      <c r="AC231" s="315">
        <v>1</v>
      </c>
      <c r="AD231" s="315"/>
      <c r="AE231" s="315"/>
      <c r="AF231" s="315">
        <v>1</v>
      </c>
      <c r="AG231" s="315">
        <v>1</v>
      </c>
      <c r="AH231" s="315">
        <v>1</v>
      </c>
      <c r="AI231" s="315">
        <v>1</v>
      </c>
      <c r="AJ231" s="315">
        <v>1</v>
      </c>
      <c r="AK231" s="315">
        <v>1</v>
      </c>
      <c r="AL231" s="315">
        <v>1</v>
      </c>
      <c r="AM231" s="315">
        <v>1</v>
      </c>
      <c r="AN231" s="315">
        <v>1</v>
      </c>
      <c r="AO231" s="315">
        <v>1</v>
      </c>
      <c r="AP231" s="315">
        <v>1</v>
      </c>
      <c r="AQ231" s="317">
        <v>1</v>
      </c>
    </row>
    <row r="232" spans="1:43" s="378" customFormat="1" ht="44.25" customHeight="1">
      <c r="A232" s="313" t="s">
        <v>1505</v>
      </c>
      <c r="B232" s="313" t="s">
        <v>386</v>
      </c>
      <c r="C232" s="314" t="s">
        <v>666</v>
      </c>
      <c r="D232" s="314" t="s">
        <v>1434</v>
      </c>
      <c r="E232" s="314" t="s">
        <v>1514</v>
      </c>
      <c r="F232" s="315"/>
      <c r="G232" s="315"/>
      <c r="H232" s="315"/>
      <c r="I232" s="315"/>
      <c r="J232" s="315">
        <v>1</v>
      </c>
      <c r="K232" s="315"/>
      <c r="L232" s="315">
        <v>1</v>
      </c>
      <c r="M232" s="315">
        <v>1</v>
      </c>
      <c r="N232" s="315"/>
      <c r="O232" s="315"/>
      <c r="P232" s="315">
        <v>1</v>
      </c>
      <c r="Q232" s="315">
        <v>1</v>
      </c>
      <c r="R232" s="315">
        <v>1</v>
      </c>
      <c r="S232" s="315"/>
      <c r="T232" s="315">
        <v>1</v>
      </c>
      <c r="U232" s="315">
        <v>1</v>
      </c>
      <c r="V232" s="315"/>
      <c r="W232" s="315"/>
      <c r="X232" s="315">
        <v>1</v>
      </c>
      <c r="Y232" s="315">
        <v>1</v>
      </c>
      <c r="Z232" s="315">
        <v>1</v>
      </c>
      <c r="AA232" s="315"/>
      <c r="AB232" s="315">
        <v>1</v>
      </c>
      <c r="AC232" s="315">
        <v>1</v>
      </c>
      <c r="AD232" s="315"/>
      <c r="AE232" s="315"/>
      <c r="AF232" s="315">
        <v>1</v>
      </c>
      <c r="AG232" s="315">
        <v>1</v>
      </c>
      <c r="AH232" s="315">
        <v>1</v>
      </c>
      <c r="AI232" s="315">
        <v>1</v>
      </c>
      <c r="AJ232" s="315">
        <v>1</v>
      </c>
      <c r="AK232" s="315">
        <v>1</v>
      </c>
      <c r="AL232" s="315"/>
      <c r="AM232" s="315">
        <v>1</v>
      </c>
      <c r="AN232" s="315">
        <v>1</v>
      </c>
      <c r="AO232" s="315">
        <v>1</v>
      </c>
      <c r="AP232" s="315">
        <v>1</v>
      </c>
      <c r="AQ232" s="317">
        <v>1</v>
      </c>
    </row>
    <row r="233" spans="1:43" s="378" customFormat="1" ht="44.25" customHeight="1">
      <c r="A233" s="313" t="s">
        <v>1505</v>
      </c>
      <c r="B233" s="313" t="s">
        <v>387</v>
      </c>
      <c r="C233" s="314" t="s">
        <v>668</v>
      </c>
      <c r="D233" s="314" t="s">
        <v>1438</v>
      </c>
      <c r="E233" s="314" t="s">
        <v>415</v>
      </c>
      <c r="F233" s="315"/>
      <c r="G233" s="315"/>
      <c r="H233" s="315"/>
      <c r="I233" s="315"/>
      <c r="J233" s="315"/>
      <c r="K233" s="315"/>
      <c r="L233" s="315">
        <v>1</v>
      </c>
      <c r="M233" s="315">
        <v>1</v>
      </c>
      <c r="N233" s="315"/>
      <c r="O233" s="315"/>
      <c r="P233" s="315"/>
      <c r="Q233" s="315"/>
      <c r="R233" s="315"/>
      <c r="S233" s="315"/>
      <c r="T233" s="315"/>
      <c r="U233" s="315"/>
      <c r="V233" s="315"/>
      <c r="W233" s="315"/>
      <c r="X233" s="315">
        <v>1</v>
      </c>
      <c r="Y233" s="315">
        <v>1</v>
      </c>
      <c r="Z233" s="315"/>
      <c r="AA233" s="315"/>
      <c r="AB233" s="315"/>
      <c r="AC233" s="315"/>
      <c r="AD233" s="315"/>
      <c r="AE233" s="315"/>
      <c r="AF233" s="315"/>
      <c r="AG233" s="315"/>
      <c r="AH233" s="315"/>
      <c r="AI233" s="315"/>
      <c r="AJ233" s="315"/>
      <c r="AK233" s="315"/>
      <c r="AL233" s="315"/>
      <c r="AM233" s="315"/>
      <c r="AN233" s="315"/>
      <c r="AO233" s="315"/>
      <c r="AP233" s="315"/>
      <c r="AQ233" s="317"/>
    </row>
    <row r="234" spans="1:43" s="378" customFormat="1" ht="44.25" customHeight="1">
      <c r="A234" s="313" t="s">
        <v>1505</v>
      </c>
      <c r="B234" s="313" t="s">
        <v>395</v>
      </c>
      <c r="C234" s="314" t="s">
        <v>669</v>
      </c>
      <c r="D234" s="314" t="s">
        <v>1430</v>
      </c>
      <c r="E234" s="314" t="s">
        <v>426</v>
      </c>
      <c r="F234" s="315"/>
      <c r="G234" s="315"/>
      <c r="H234" s="315">
        <v>1</v>
      </c>
      <c r="I234" s="315">
        <v>1</v>
      </c>
      <c r="J234" s="315">
        <v>1</v>
      </c>
      <c r="K234" s="315"/>
      <c r="L234" s="315">
        <v>1</v>
      </c>
      <c r="M234" s="315"/>
      <c r="N234" s="315"/>
      <c r="O234" s="315"/>
      <c r="P234" s="315"/>
      <c r="Q234" s="315"/>
      <c r="R234" s="315"/>
      <c r="S234" s="315"/>
      <c r="T234" s="315">
        <v>1</v>
      </c>
      <c r="U234" s="315"/>
      <c r="V234" s="315"/>
      <c r="W234" s="315"/>
      <c r="X234" s="315"/>
      <c r="Y234" s="315"/>
      <c r="Z234" s="315">
        <v>1</v>
      </c>
      <c r="AA234" s="315"/>
      <c r="AB234" s="315"/>
      <c r="AC234" s="315">
        <v>1</v>
      </c>
      <c r="AD234" s="315"/>
      <c r="AE234" s="315"/>
      <c r="AF234" s="315">
        <v>1</v>
      </c>
      <c r="AG234" s="315">
        <v>1</v>
      </c>
      <c r="AH234" s="315">
        <v>1</v>
      </c>
      <c r="AI234" s="315">
        <v>1</v>
      </c>
      <c r="AJ234" s="315">
        <v>1</v>
      </c>
      <c r="AK234" s="315">
        <v>1</v>
      </c>
      <c r="AL234" s="315">
        <v>1</v>
      </c>
      <c r="AM234" s="315">
        <v>1</v>
      </c>
      <c r="AN234" s="315"/>
      <c r="AO234" s="315"/>
      <c r="AP234" s="315"/>
      <c r="AQ234" s="316"/>
    </row>
    <row r="235" spans="1:43" s="378" customFormat="1" ht="44.25" customHeight="1">
      <c r="A235" s="313" t="s">
        <v>1505</v>
      </c>
      <c r="B235" s="313" t="s">
        <v>384</v>
      </c>
      <c r="C235" s="314" t="s">
        <v>670</v>
      </c>
      <c r="D235" s="314" t="s">
        <v>1426</v>
      </c>
      <c r="E235" s="314" t="s">
        <v>1515</v>
      </c>
      <c r="F235" s="315"/>
      <c r="G235" s="315"/>
      <c r="H235" s="315"/>
      <c r="I235" s="315"/>
      <c r="J235" s="315">
        <v>1</v>
      </c>
      <c r="K235" s="315"/>
      <c r="L235" s="315"/>
      <c r="M235" s="315"/>
      <c r="N235" s="315"/>
      <c r="O235" s="315"/>
      <c r="P235" s="315"/>
      <c r="Q235" s="315"/>
      <c r="R235" s="315"/>
      <c r="S235" s="315"/>
      <c r="T235" s="315"/>
      <c r="U235" s="315"/>
      <c r="V235" s="315"/>
      <c r="W235" s="315"/>
      <c r="X235" s="315">
        <v>1</v>
      </c>
      <c r="Y235" s="315">
        <v>1</v>
      </c>
      <c r="Z235" s="315"/>
      <c r="AA235" s="315"/>
      <c r="AB235" s="315"/>
      <c r="AC235" s="315"/>
      <c r="AD235" s="315"/>
      <c r="AE235" s="315"/>
      <c r="AF235" s="315"/>
      <c r="AG235" s="315"/>
      <c r="AH235" s="315"/>
      <c r="AI235" s="315"/>
      <c r="AJ235" s="315">
        <v>1</v>
      </c>
      <c r="AK235" s="315">
        <v>1</v>
      </c>
      <c r="AL235" s="315"/>
      <c r="AM235" s="315"/>
      <c r="AN235" s="315">
        <v>1</v>
      </c>
      <c r="AO235" s="315">
        <v>1</v>
      </c>
      <c r="AP235" s="315"/>
      <c r="AQ235" s="316"/>
    </row>
    <row r="236" spans="1:43" s="378" customFormat="1" ht="44.25" customHeight="1">
      <c r="A236" s="313" t="s">
        <v>1505</v>
      </c>
      <c r="B236" s="313" t="s">
        <v>384</v>
      </c>
      <c r="C236" s="314" t="s">
        <v>672</v>
      </c>
      <c r="D236" s="314" t="s">
        <v>1426</v>
      </c>
      <c r="E236" s="314" t="s">
        <v>568</v>
      </c>
      <c r="F236" s="315"/>
      <c r="G236" s="315"/>
      <c r="H236" s="315">
        <v>1</v>
      </c>
      <c r="I236" s="315">
        <v>1</v>
      </c>
      <c r="J236" s="315">
        <v>1</v>
      </c>
      <c r="K236" s="315"/>
      <c r="L236" s="315">
        <v>1</v>
      </c>
      <c r="M236" s="315">
        <v>1</v>
      </c>
      <c r="N236" s="315"/>
      <c r="O236" s="315"/>
      <c r="P236" s="315">
        <v>1</v>
      </c>
      <c r="Q236" s="315">
        <v>1</v>
      </c>
      <c r="R236" s="315">
        <v>1</v>
      </c>
      <c r="S236" s="315"/>
      <c r="T236" s="315">
        <v>1</v>
      </c>
      <c r="U236" s="315">
        <v>1</v>
      </c>
      <c r="V236" s="315"/>
      <c r="W236" s="315"/>
      <c r="X236" s="315">
        <v>1</v>
      </c>
      <c r="Y236" s="315">
        <v>1</v>
      </c>
      <c r="Z236" s="315">
        <v>1</v>
      </c>
      <c r="AA236" s="315"/>
      <c r="AB236" s="315">
        <v>1</v>
      </c>
      <c r="AC236" s="315">
        <v>1</v>
      </c>
      <c r="AD236" s="315"/>
      <c r="AE236" s="315"/>
      <c r="AF236" s="315"/>
      <c r="AG236" s="315"/>
      <c r="AH236" s="315"/>
      <c r="AI236" s="315">
        <v>1</v>
      </c>
      <c r="AJ236" s="315"/>
      <c r="AK236" s="315"/>
      <c r="AL236" s="315"/>
      <c r="AM236" s="315"/>
      <c r="AN236" s="315">
        <v>1</v>
      </c>
      <c r="AO236" s="315">
        <v>1</v>
      </c>
      <c r="AP236" s="315"/>
      <c r="AQ236" s="317"/>
    </row>
    <row r="237" spans="1:43" s="378" customFormat="1" ht="44.25" customHeight="1">
      <c r="A237" s="313" t="s">
        <v>1505</v>
      </c>
      <c r="B237" s="313" t="s">
        <v>386</v>
      </c>
      <c r="C237" s="314" t="s">
        <v>673</v>
      </c>
      <c r="D237" s="314" t="s">
        <v>1454</v>
      </c>
      <c r="E237" s="314" t="s">
        <v>587</v>
      </c>
      <c r="F237" s="315"/>
      <c r="G237" s="315"/>
      <c r="H237" s="315"/>
      <c r="I237" s="315"/>
      <c r="J237" s="315"/>
      <c r="K237" s="315"/>
      <c r="L237" s="315"/>
      <c r="M237" s="315">
        <v>1</v>
      </c>
      <c r="N237" s="315"/>
      <c r="O237" s="315"/>
      <c r="P237" s="315"/>
      <c r="Q237" s="315"/>
      <c r="R237" s="315"/>
      <c r="S237" s="315"/>
      <c r="T237" s="315"/>
      <c r="U237" s="315"/>
      <c r="V237" s="315"/>
      <c r="W237" s="315"/>
      <c r="X237" s="315"/>
      <c r="Y237" s="315"/>
      <c r="Z237" s="315"/>
      <c r="AA237" s="315"/>
      <c r="AB237" s="315">
        <v>1</v>
      </c>
      <c r="AC237" s="315">
        <v>1</v>
      </c>
      <c r="AD237" s="315"/>
      <c r="AE237" s="315"/>
      <c r="AF237" s="315"/>
      <c r="AG237" s="315"/>
      <c r="AH237" s="315"/>
      <c r="AI237" s="315"/>
      <c r="AJ237" s="315">
        <v>1</v>
      </c>
      <c r="AK237" s="315">
        <v>1</v>
      </c>
      <c r="AL237" s="315"/>
      <c r="AM237" s="315"/>
      <c r="AN237" s="315"/>
      <c r="AO237" s="315"/>
      <c r="AP237" s="315"/>
      <c r="AQ237" s="317"/>
    </row>
    <row r="238" spans="1:43" s="378" customFormat="1" ht="44.25" customHeight="1">
      <c r="A238" s="313" t="s">
        <v>1505</v>
      </c>
      <c r="B238" s="313" t="s">
        <v>386</v>
      </c>
      <c r="C238" s="314" t="s">
        <v>674</v>
      </c>
      <c r="D238" s="314" t="s">
        <v>1432</v>
      </c>
      <c r="E238" s="314" t="s">
        <v>587</v>
      </c>
      <c r="F238" s="315"/>
      <c r="G238" s="315"/>
      <c r="H238" s="315"/>
      <c r="I238" s="315"/>
      <c r="J238" s="315">
        <v>1</v>
      </c>
      <c r="K238" s="315"/>
      <c r="L238" s="315"/>
      <c r="M238" s="315">
        <v>1</v>
      </c>
      <c r="N238" s="315"/>
      <c r="O238" s="315"/>
      <c r="P238" s="315"/>
      <c r="Q238" s="315"/>
      <c r="R238" s="315">
        <v>1</v>
      </c>
      <c r="S238" s="315"/>
      <c r="T238" s="315">
        <v>1</v>
      </c>
      <c r="U238" s="315"/>
      <c r="V238" s="315"/>
      <c r="W238" s="315"/>
      <c r="X238" s="315"/>
      <c r="Y238" s="315"/>
      <c r="Z238" s="315"/>
      <c r="AA238" s="315"/>
      <c r="AB238" s="315">
        <v>1</v>
      </c>
      <c r="AC238" s="315">
        <v>1</v>
      </c>
      <c r="AD238" s="315"/>
      <c r="AE238" s="315"/>
      <c r="AF238" s="315"/>
      <c r="AG238" s="315"/>
      <c r="AH238" s="315"/>
      <c r="AI238" s="315"/>
      <c r="AJ238" s="315">
        <v>1</v>
      </c>
      <c r="AK238" s="315">
        <v>1</v>
      </c>
      <c r="AL238" s="315"/>
      <c r="AM238" s="315">
        <v>1</v>
      </c>
      <c r="AN238" s="315">
        <v>1</v>
      </c>
      <c r="AO238" s="315"/>
      <c r="AP238" s="315">
        <v>1</v>
      </c>
      <c r="AQ238" s="317">
        <v>1</v>
      </c>
    </row>
    <row r="239" spans="1:43" s="378" customFormat="1" ht="44.25" customHeight="1">
      <c r="A239" s="313" t="s">
        <v>1505</v>
      </c>
      <c r="B239" s="313" t="s">
        <v>395</v>
      </c>
      <c r="C239" s="314" t="s">
        <v>675</v>
      </c>
      <c r="D239" s="314" t="s">
        <v>1448</v>
      </c>
      <c r="E239" s="314" t="s">
        <v>676</v>
      </c>
      <c r="F239" s="315"/>
      <c r="G239" s="315"/>
      <c r="H239" s="315"/>
      <c r="I239" s="315"/>
      <c r="J239" s="315"/>
      <c r="K239" s="315"/>
      <c r="L239" s="315"/>
      <c r="M239" s="315"/>
      <c r="N239" s="315"/>
      <c r="O239" s="315"/>
      <c r="P239" s="315"/>
      <c r="Q239" s="315"/>
      <c r="R239" s="315"/>
      <c r="S239" s="315"/>
      <c r="T239" s="315"/>
      <c r="U239" s="315">
        <v>1</v>
      </c>
      <c r="V239" s="315"/>
      <c r="W239" s="315"/>
      <c r="X239" s="315"/>
      <c r="Y239" s="315"/>
      <c r="Z239" s="315"/>
      <c r="AA239" s="315"/>
      <c r="AB239" s="315"/>
      <c r="AC239" s="315"/>
      <c r="AD239" s="315"/>
      <c r="AE239" s="315"/>
      <c r="AF239" s="315"/>
      <c r="AG239" s="315"/>
      <c r="AH239" s="315"/>
      <c r="AI239" s="315"/>
      <c r="AJ239" s="315">
        <v>1</v>
      </c>
      <c r="AK239" s="315">
        <v>1</v>
      </c>
      <c r="AL239" s="315">
        <v>1</v>
      </c>
      <c r="AM239" s="315">
        <v>1</v>
      </c>
      <c r="AN239" s="315">
        <v>1</v>
      </c>
      <c r="AO239" s="315">
        <v>1</v>
      </c>
      <c r="AP239" s="315"/>
      <c r="AQ239" s="317"/>
    </row>
    <row r="240" spans="1:43" s="378" customFormat="1" ht="44.25" customHeight="1">
      <c r="A240" s="313" t="s">
        <v>1505</v>
      </c>
      <c r="B240" s="313" t="s">
        <v>384</v>
      </c>
      <c r="C240" s="314" t="s">
        <v>677</v>
      </c>
      <c r="D240" s="314" t="s">
        <v>1426</v>
      </c>
      <c r="E240" s="314" t="s">
        <v>1516</v>
      </c>
      <c r="F240" s="315"/>
      <c r="G240" s="315"/>
      <c r="H240" s="315">
        <v>1</v>
      </c>
      <c r="I240" s="315">
        <v>1</v>
      </c>
      <c r="J240" s="315">
        <v>1</v>
      </c>
      <c r="K240" s="315"/>
      <c r="L240" s="315">
        <v>1</v>
      </c>
      <c r="M240" s="315">
        <v>1</v>
      </c>
      <c r="N240" s="315"/>
      <c r="O240" s="315"/>
      <c r="P240" s="315">
        <v>1</v>
      </c>
      <c r="Q240" s="315">
        <v>1</v>
      </c>
      <c r="R240" s="315">
        <v>1</v>
      </c>
      <c r="S240" s="315"/>
      <c r="T240" s="315">
        <v>1</v>
      </c>
      <c r="U240" s="315">
        <v>1</v>
      </c>
      <c r="V240" s="315"/>
      <c r="W240" s="315"/>
      <c r="X240" s="315"/>
      <c r="Y240" s="315"/>
      <c r="Z240" s="315">
        <v>1</v>
      </c>
      <c r="AA240" s="315"/>
      <c r="AB240" s="315">
        <v>1</v>
      </c>
      <c r="AC240" s="315">
        <v>1</v>
      </c>
      <c r="AD240" s="315"/>
      <c r="AE240" s="315"/>
      <c r="AF240" s="315">
        <v>1</v>
      </c>
      <c r="AG240" s="315">
        <v>1</v>
      </c>
      <c r="AH240" s="315">
        <v>1</v>
      </c>
      <c r="AI240" s="315">
        <v>1</v>
      </c>
      <c r="AJ240" s="315">
        <v>1</v>
      </c>
      <c r="AK240" s="315">
        <v>1</v>
      </c>
      <c r="AL240" s="315"/>
      <c r="AM240" s="315"/>
      <c r="AN240" s="315">
        <v>1</v>
      </c>
      <c r="AO240" s="315">
        <v>1</v>
      </c>
      <c r="AP240" s="315">
        <v>1</v>
      </c>
      <c r="AQ240" s="317">
        <v>1</v>
      </c>
    </row>
    <row r="241" spans="1:43" s="378" customFormat="1" ht="44.25" customHeight="1">
      <c r="A241" s="313" t="s">
        <v>1505</v>
      </c>
      <c r="B241" s="313" t="s">
        <v>384</v>
      </c>
      <c r="C241" s="314" t="s">
        <v>679</v>
      </c>
      <c r="D241" s="314" t="s">
        <v>1430</v>
      </c>
      <c r="E241" s="314" t="s">
        <v>1517</v>
      </c>
      <c r="F241" s="315"/>
      <c r="G241" s="315"/>
      <c r="H241" s="315"/>
      <c r="I241" s="315"/>
      <c r="J241" s="315">
        <v>1</v>
      </c>
      <c r="K241" s="315"/>
      <c r="L241" s="315">
        <v>1</v>
      </c>
      <c r="M241" s="315">
        <v>1</v>
      </c>
      <c r="N241" s="315"/>
      <c r="O241" s="315"/>
      <c r="P241" s="315"/>
      <c r="Q241" s="315"/>
      <c r="R241" s="315">
        <v>1</v>
      </c>
      <c r="S241" s="315"/>
      <c r="T241" s="315">
        <v>1</v>
      </c>
      <c r="U241" s="315">
        <v>1</v>
      </c>
      <c r="V241" s="315"/>
      <c r="W241" s="315"/>
      <c r="X241" s="315">
        <v>1</v>
      </c>
      <c r="Y241" s="315">
        <v>1</v>
      </c>
      <c r="Z241" s="315">
        <v>1</v>
      </c>
      <c r="AA241" s="315"/>
      <c r="AB241" s="315">
        <v>1</v>
      </c>
      <c r="AC241" s="315">
        <v>1</v>
      </c>
      <c r="AD241" s="315"/>
      <c r="AE241" s="315"/>
      <c r="AF241" s="315">
        <v>1</v>
      </c>
      <c r="AG241" s="315">
        <v>1</v>
      </c>
      <c r="AH241" s="315">
        <v>1</v>
      </c>
      <c r="AI241" s="315">
        <v>1</v>
      </c>
      <c r="AJ241" s="315"/>
      <c r="AK241" s="315"/>
      <c r="AL241" s="315"/>
      <c r="AM241" s="315"/>
      <c r="AN241" s="315">
        <v>1</v>
      </c>
      <c r="AO241" s="315">
        <v>1</v>
      </c>
      <c r="AP241" s="315"/>
      <c r="AQ241" s="316"/>
    </row>
    <row r="242" spans="1:43" s="378" customFormat="1" ht="44.25" customHeight="1">
      <c r="A242" s="313" t="s">
        <v>1505</v>
      </c>
      <c r="B242" s="313" t="s">
        <v>384</v>
      </c>
      <c r="C242" s="314" t="s">
        <v>681</v>
      </c>
      <c r="D242" s="314" t="s">
        <v>1426</v>
      </c>
      <c r="E242" s="314" t="s">
        <v>1518</v>
      </c>
      <c r="F242" s="315"/>
      <c r="G242" s="315"/>
      <c r="H242" s="315">
        <v>1</v>
      </c>
      <c r="I242" s="315">
        <v>1</v>
      </c>
      <c r="J242" s="315">
        <v>1</v>
      </c>
      <c r="K242" s="315"/>
      <c r="L242" s="315">
        <v>1</v>
      </c>
      <c r="M242" s="315">
        <v>1</v>
      </c>
      <c r="N242" s="315"/>
      <c r="O242" s="315"/>
      <c r="P242" s="315">
        <v>1</v>
      </c>
      <c r="Q242" s="315">
        <v>1</v>
      </c>
      <c r="R242" s="315">
        <v>1</v>
      </c>
      <c r="S242" s="315"/>
      <c r="T242" s="315">
        <v>1</v>
      </c>
      <c r="U242" s="315">
        <v>1</v>
      </c>
      <c r="V242" s="315"/>
      <c r="W242" s="315"/>
      <c r="X242" s="315">
        <v>1</v>
      </c>
      <c r="Y242" s="315">
        <v>1</v>
      </c>
      <c r="Z242" s="315">
        <v>1</v>
      </c>
      <c r="AA242" s="315"/>
      <c r="AB242" s="315">
        <v>1</v>
      </c>
      <c r="AC242" s="315">
        <v>1</v>
      </c>
      <c r="AD242" s="315"/>
      <c r="AE242" s="315"/>
      <c r="AF242" s="315">
        <v>1</v>
      </c>
      <c r="AG242" s="315">
        <v>1</v>
      </c>
      <c r="AH242" s="315">
        <v>1</v>
      </c>
      <c r="AI242" s="315">
        <v>1</v>
      </c>
      <c r="AJ242" s="315"/>
      <c r="AK242" s="315"/>
      <c r="AL242" s="315"/>
      <c r="AM242" s="315"/>
      <c r="AN242" s="315">
        <v>1</v>
      </c>
      <c r="AO242" s="315">
        <v>1</v>
      </c>
      <c r="AP242" s="315">
        <v>1</v>
      </c>
      <c r="AQ242" s="317">
        <v>1</v>
      </c>
    </row>
    <row r="243" spans="1:43" s="378" customFormat="1" ht="44.25" customHeight="1">
      <c r="A243" s="313" t="s">
        <v>1505</v>
      </c>
      <c r="B243" s="313" t="s">
        <v>389</v>
      </c>
      <c r="C243" s="314" t="s">
        <v>683</v>
      </c>
      <c r="D243" s="314" t="s">
        <v>1432</v>
      </c>
      <c r="E243" s="314" t="s">
        <v>1519</v>
      </c>
      <c r="F243" s="315"/>
      <c r="G243" s="315"/>
      <c r="H243" s="315"/>
      <c r="I243" s="315"/>
      <c r="J243" s="315">
        <v>1</v>
      </c>
      <c r="K243" s="315">
        <v>1</v>
      </c>
      <c r="L243" s="315">
        <v>1</v>
      </c>
      <c r="M243" s="315">
        <v>1</v>
      </c>
      <c r="N243" s="315"/>
      <c r="O243" s="315"/>
      <c r="P243" s="315"/>
      <c r="Q243" s="315"/>
      <c r="R243" s="315"/>
      <c r="S243" s="315"/>
      <c r="T243" s="315">
        <v>1</v>
      </c>
      <c r="U243" s="315">
        <v>1</v>
      </c>
      <c r="V243" s="315"/>
      <c r="W243" s="315"/>
      <c r="X243" s="315">
        <v>1</v>
      </c>
      <c r="Y243" s="315">
        <v>1</v>
      </c>
      <c r="Z243" s="315">
        <v>1</v>
      </c>
      <c r="AA243" s="315">
        <v>1</v>
      </c>
      <c r="AB243" s="315">
        <v>1</v>
      </c>
      <c r="AC243" s="315">
        <v>1</v>
      </c>
      <c r="AD243" s="315"/>
      <c r="AE243" s="315"/>
      <c r="AF243" s="315"/>
      <c r="AG243" s="315"/>
      <c r="AH243" s="315"/>
      <c r="AI243" s="315"/>
      <c r="AJ243" s="315">
        <v>1</v>
      </c>
      <c r="AK243" s="315"/>
      <c r="AL243" s="315"/>
      <c r="AM243" s="315"/>
      <c r="AN243" s="315">
        <v>1</v>
      </c>
      <c r="AO243" s="315">
        <v>1</v>
      </c>
      <c r="AP243" s="315">
        <v>1</v>
      </c>
      <c r="AQ243" s="317">
        <v>1</v>
      </c>
    </row>
    <row r="244" spans="1:43" s="378" customFormat="1" ht="44.25" customHeight="1">
      <c r="A244" s="313" t="s">
        <v>1505</v>
      </c>
      <c r="B244" s="313" t="s">
        <v>387</v>
      </c>
      <c r="C244" s="314" t="s">
        <v>685</v>
      </c>
      <c r="D244" s="314" t="s">
        <v>1438</v>
      </c>
      <c r="E244" s="314" t="s">
        <v>415</v>
      </c>
      <c r="F244" s="315"/>
      <c r="G244" s="315"/>
      <c r="H244" s="315"/>
      <c r="I244" s="315"/>
      <c r="J244" s="315">
        <v>1</v>
      </c>
      <c r="K244" s="315"/>
      <c r="L244" s="315">
        <v>1</v>
      </c>
      <c r="M244" s="315">
        <v>1</v>
      </c>
      <c r="N244" s="315"/>
      <c r="O244" s="315"/>
      <c r="P244" s="315"/>
      <c r="Q244" s="315"/>
      <c r="R244" s="315"/>
      <c r="S244" s="315"/>
      <c r="T244" s="315">
        <v>1</v>
      </c>
      <c r="U244" s="315"/>
      <c r="V244" s="315"/>
      <c r="W244" s="315"/>
      <c r="X244" s="315"/>
      <c r="Y244" s="315"/>
      <c r="Z244" s="315">
        <v>1</v>
      </c>
      <c r="AA244" s="315"/>
      <c r="AB244" s="315">
        <v>1</v>
      </c>
      <c r="AC244" s="315">
        <v>1</v>
      </c>
      <c r="AD244" s="315"/>
      <c r="AE244" s="315"/>
      <c r="AF244" s="315"/>
      <c r="AG244" s="315"/>
      <c r="AH244" s="315"/>
      <c r="AI244" s="315"/>
      <c r="AJ244" s="315"/>
      <c r="AK244" s="315"/>
      <c r="AL244" s="315">
        <v>1</v>
      </c>
      <c r="AM244" s="315"/>
      <c r="AN244" s="315">
        <v>1</v>
      </c>
      <c r="AO244" s="315"/>
      <c r="AP244" s="315"/>
      <c r="AQ244" s="317"/>
    </row>
    <row r="245" spans="1:43" s="378" customFormat="1" ht="44.25" customHeight="1">
      <c r="A245" s="313" t="s">
        <v>1505</v>
      </c>
      <c r="B245" s="313" t="s">
        <v>395</v>
      </c>
      <c r="C245" s="314" t="s">
        <v>686</v>
      </c>
      <c r="D245" s="314" t="s">
        <v>1428</v>
      </c>
      <c r="E245" s="314" t="s">
        <v>511</v>
      </c>
      <c r="F245" s="315"/>
      <c r="G245" s="315"/>
      <c r="H245" s="315"/>
      <c r="I245" s="315"/>
      <c r="J245" s="315"/>
      <c r="K245" s="315"/>
      <c r="L245" s="315"/>
      <c r="M245" s="315"/>
      <c r="N245" s="315"/>
      <c r="O245" s="315"/>
      <c r="P245" s="315"/>
      <c r="Q245" s="315"/>
      <c r="R245" s="315"/>
      <c r="S245" s="315"/>
      <c r="T245" s="315"/>
      <c r="U245" s="315"/>
      <c r="V245" s="315"/>
      <c r="W245" s="315"/>
      <c r="X245" s="315"/>
      <c r="Y245" s="315"/>
      <c r="Z245" s="315"/>
      <c r="AA245" s="315"/>
      <c r="AB245" s="315"/>
      <c r="AC245" s="315"/>
      <c r="AD245" s="315"/>
      <c r="AE245" s="315"/>
      <c r="AF245" s="315"/>
      <c r="AG245" s="315"/>
      <c r="AH245" s="315"/>
      <c r="AI245" s="315"/>
      <c r="AJ245" s="315"/>
      <c r="AK245" s="315"/>
      <c r="AL245" s="315"/>
      <c r="AM245" s="315"/>
      <c r="AN245" s="315"/>
      <c r="AO245" s="315"/>
      <c r="AP245" s="315"/>
      <c r="AQ245" s="317"/>
    </row>
    <row r="246" spans="1:43" s="378" customFormat="1" ht="44.25" customHeight="1">
      <c r="A246" s="313" t="s">
        <v>1505</v>
      </c>
      <c r="B246" s="313" t="s">
        <v>395</v>
      </c>
      <c r="C246" s="314" t="s">
        <v>687</v>
      </c>
      <c r="D246" s="314" t="s">
        <v>1428</v>
      </c>
      <c r="E246" s="314" t="s">
        <v>426</v>
      </c>
      <c r="F246" s="315"/>
      <c r="G246" s="315"/>
      <c r="H246" s="315"/>
      <c r="I246" s="315"/>
      <c r="J246" s="315"/>
      <c r="K246" s="315"/>
      <c r="L246" s="315"/>
      <c r="M246" s="315">
        <v>1</v>
      </c>
      <c r="N246" s="315"/>
      <c r="O246" s="315"/>
      <c r="P246" s="315"/>
      <c r="Q246" s="315"/>
      <c r="R246" s="315">
        <v>1</v>
      </c>
      <c r="S246" s="315"/>
      <c r="T246" s="315">
        <v>1</v>
      </c>
      <c r="U246" s="315"/>
      <c r="V246" s="315"/>
      <c r="W246" s="315"/>
      <c r="X246" s="315"/>
      <c r="Y246" s="315"/>
      <c r="Z246" s="315"/>
      <c r="AA246" s="315"/>
      <c r="AB246" s="315"/>
      <c r="AC246" s="315">
        <v>1</v>
      </c>
      <c r="AD246" s="315"/>
      <c r="AE246" s="315"/>
      <c r="AF246" s="315"/>
      <c r="AG246" s="315"/>
      <c r="AH246" s="315"/>
      <c r="AI246" s="315">
        <v>1</v>
      </c>
      <c r="AJ246" s="315">
        <v>1</v>
      </c>
      <c r="AK246" s="315">
        <v>1</v>
      </c>
      <c r="AL246" s="315">
        <v>1</v>
      </c>
      <c r="AM246" s="315">
        <v>1</v>
      </c>
      <c r="AN246" s="315"/>
      <c r="AO246" s="315"/>
      <c r="AP246" s="315">
        <v>1</v>
      </c>
      <c r="AQ246" s="317">
        <v>1</v>
      </c>
    </row>
    <row r="247" spans="1:43" s="378" customFormat="1" ht="44.25" customHeight="1">
      <c r="A247" s="313" t="s">
        <v>1505</v>
      </c>
      <c r="B247" s="313" t="s">
        <v>387</v>
      </c>
      <c r="C247" s="314" t="s">
        <v>688</v>
      </c>
      <c r="D247" s="314" t="s">
        <v>1438</v>
      </c>
      <c r="E247" s="314" t="s">
        <v>415</v>
      </c>
      <c r="F247" s="315"/>
      <c r="G247" s="315"/>
      <c r="H247" s="315"/>
      <c r="I247" s="315"/>
      <c r="J247" s="315"/>
      <c r="K247" s="315"/>
      <c r="L247" s="315"/>
      <c r="M247" s="315"/>
      <c r="N247" s="315"/>
      <c r="O247" s="315"/>
      <c r="P247" s="315"/>
      <c r="Q247" s="315"/>
      <c r="R247" s="315"/>
      <c r="S247" s="315"/>
      <c r="T247" s="315"/>
      <c r="U247" s="315">
        <v>1</v>
      </c>
      <c r="V247" s="315"/>
      <c r="W247" s="315"/>
      <c r="X247" s="315"/>
      <c r="Y247" s="315"/>
      <c r="Z247" s="315"/>
      <c r="AA247" s="315"/>
      <c r="AB247" s="315"/>
      <c r="AC247" s="315"/>
      <c r="AD247" s="315"/>
      <c r="AE247" s="315"/>
      <c r="AF247" s="315"/>
      <c r="AG247" s="315"/>
      <c r="AH247" s="315"/>
      <c r="AI247" s="315"/>
      <c r="AJ247" s="315"/>
      <c r="AK247" s="315"/>
      <c r="AL247" s="315"/>
      <c r="AM247" s="315"/>
      <c r="AN247" s="315"/>
      <c r="AO247" s="315"/>
      <c r="AP247" s="315"/>
      <c r="AQ247" s="317"/>
    </row>
    <row r="248" spans="1:43" s="378" customFormat="1" ht="44.25" customHeight="1">
      <c r="A248" s="313" t="s">
        <v>1505</v>
      </c>
      <c r="B248" s="313" t="s">
        <v>395</v>
      </c>
      <c r="C248" s="314" t="s">
        <v>689</v>
      </c>
      <c r="D248" s="314" t="s">
        <v>1428</v>
      </c>
      <c r="E248" s="314" t="s">
        <v>690</v>
      </c>
      <c r="F248" s="315"/>
      <c r="G248" s="315"/>
      <c r="H248" s="315"/>
      <c r="I248" s="315"/>
      <c r="J248" s="315">
        <v>1</v>
      </c>
      <c r="K248" s="315"/>
      <c r="L248" s="315">
        <v>1</v>
      </c>
      <c r="M248" s="315">
        <v>1</v>
      </c>
      <c r="N248" s="315"/>
      <c r="O248" s="315">
        <v>1</v>
      </c>
      <c r="P248" s="315">
        <v>1</v>
      </c>
      <c r="Q248" s="315">
        <v>1</v>
      </c>
      <c r="R248" s="315">
        <v>1</v>
      </c>
      <c r="S248" s="315">
        <v>1</v>
      </c>
      <c r="T248" s="315">
        <v>1</v>
      </c>
      <c r="U248" s="315">
        <v>1</v>
      </c>
      <c r="V248" s="315"/>
      <c r="W248" s="315"/>
      <c r="X248" s="315"/>
      <c r="Y248" s="315"/>
      <c r="Z248" s="315"/>
      <c r="AA248" s="315"/>
      <c r="AB248" s="315">
        <v>1</v>
      </c>
      <c r="AC248" s="315">
        <v>1</v>
      </c>
      <c r="AD248" s="315"/>
      <c r="AE248" s="315"/>
      <c r="AF248" s="315"/>
      <c r="AG248" s="315"/>
      <c r="AH248" s="315"/>
      <c r="AI248" s="315"/>
      <c r="AJ248" s="315"/>
      <c r="AK248" s="315"/>
      <c r="AL248" s="315">
        <v>1</v>
      </c>
      <c r="AM248" s="315"/>
      <c r="AN248" s="315">
        <v>1</v>
      </c>
      <c r="AO248" s="315">
        <v>1</v>
      </c>
      <c r="AP248" s="315"/>
      <c r="AQ248" s="317"/>
    </row>
    <row r="249" spans="1:43" s="378" customFormat="1" ht="44.25" customHeight="1">
      <c r="A249" s="313" t="s">
        <v>1505</v>
      </c>
      <c r="B249" s="313" t="s">
        <v>395</v>
      </c>
      <c r="C249" s="314" t="s">
        <v>691</v>
      </c>
      <c r="D249" s="314" t="s">
        <v>1426</v>
      </c>
      <c r="E249" s="314" t="s">
        <v>408</v>
      </c>
      <c r="F249" s="315"/>
      <c r="G249" s="315"/>
      <c r="H249" s="315">
        <v>1</v>
      </c>
      <c r="I249" s="315">
        <v>1</v>
      </c>
      <c r="J249" s="315">
        <v>1</v>
      </c>
      <c r="K249" s="315"/>
      <c r="L249" s="315">
        <v>1</v>
      </c>
      <c r="M249" s="315">
        <v>1</v>
      </c>
      <c r="N249" s="315"/>
      <c r="O249" s="315"/>
      <c r="P249" s="315"/>
      <c r="Q249" s="315"/>
      <c r="R249" s="315">
        <v>1</v>
      </c>
      <c r="S249" s="315">
        <v>1</v>
      </c>
      <c r="T249" s="315">
        <v>1</v>
      </c>
      <c r="U249" s="315">
        <v>1</v>
      </c>
      <c r="V249" s="315"/>
      <c r="W249" s="315">
        <v>1</v>
      </c>
      <c r="X249" s="315">
        <v>1</v>
      </c>
      <c r="Y249" s="315">
        <v>1</v>
      </c>
      <c r="Z249" s="315">
        <v>1</v>
      </c>
      <c r="AA249" s="315"/>
      <c r="AB249" s="315">
        <v>1</v>
      </c>
      <c r="AC249" s="315">
        <v>1</v>
      </c>
      <c r="AD249" s="315"/>
      <c r="AE249" s="315"/>
      <c r="AF249" s="315">
        <v>1</v>
      </c>
      <c r="AG249" s="315">
        <v>1</v>
      </c>
      <c r="AH249" s="315">
        <v>1</v>
      </c>
      <c r="AI249" s="315">
        <v>1</v>
      </c>
      <c r="AJ249" s="315"/>
      <c r="AK249" s="315"/>
      <c r="AL249" s="315">
        <v>1</v>
      </c>
      <c r="AM249" s="315">
        <v>1</v>
      </c>
      <c r="AN249" s="315">
        <v>1</v>
      </c>
      <c r="AO249" s="315">
        <v>1</v>
      </c>
      <c r="AP249" s="315">
        <v>1</v>
      </c>
      <c r="AQ249" s="317">
        <v>1</v>
      </c>
    </row>
    <row r="250" spans="1:43" s="378" customFormat="1" ht="44.25" customHeight="1">
      <c r="A250" s="313" t="s">
        <v>1505</v>
      </c>
      <c r="B250" s="313" t="s">
        <v>395</v>
      </c>
      <c r="C250" s="314" t="s">
        <v>692</v>
      </c>
      <c r="D250" s="314" t="s">
        <v>1428</v>
      </c>
      <c r="E250" s="314" t="s">
        <v>528</v>
      </c>
      <c r="F250" s="315"/>
      <c r="G250" s="315"/>
      <c r="H250" s="315"/>
      <c r="I250" s="315"/>
      <c r="J250" s="315">
        <v>1</v>
      </c>
      <c r="K250" s="315"/>
      <c r="L250" s="315">
        <v>1</v>
      </c>
      <c r="M250" s="315">
        <v>1</v>
      </c>
      <c r="N250" s="315"/>
      <c r="O250" s="315">
        <v>1</v>
      </c>
      <c r="P250" s="315">
        <v>1</v>
      </c>
      <c r="Q250" s="315">
        <v>1</v>
      </c>
      <c r="R250" s="315">
        <v>1</v>
      </c>
      <c r="S250" s="315">
        <v>1</v>
      </c>
      <c r="T250" s="315">
        <v>1</v>
      </c>
      <c r="U250" s="315">
        <v>1</v>
      </c>
      <c r="V250" s="315"/>
      <c r="W250" s="315"/>
      <c r="X250" s="315">
        <v>1</v>
      </c>
      <c r="Y250" s="315">
        <v>1</v>
      </c>
      <c r="Z250" s="315"/>
      <c r="AA250" s="315"/>
      <c r="AB250" s="315">
        <v>1</v>
      </c>
      <c r="AC250" s="315">
        <v>1</v>
      </c>
      <c r="AD250" s="315"/>
      <c r="AE250" s="315"/>
      <c r="AF250" s="315"/>
      <c r="AG250" s="315"/>
      <c r="AH250" s="315">
        <v>1</v>
      </c>
      <c r="AI250" s="315">
        <v>1</v>
      </c>
      <c r="AJ250" s="315">
        <v>1</v>
      </c>
      <c r="AK250" s="315">
        <v>1</v>
      </c>
      <c r="AL250" s="315"/>
      <c r="AM250" s="315"/>
      <c r="AN250" s="315">
        <v>1</v>
      </c>
      <c r="AO250" s="315">
        <v>1</v>
      </c>
      <c r="AP250" s="315">
        <v>1</v>
      </c>
      <c r="AQ250" s="317">
        <v>1</v>
      </c>
    </row>
    <row r="251" spans="1:43" s="378" customFormat="1" ht="44.25" customHeight="1">
      <c r="A251" s="313" t="s">
        <v>1505</v>
      </c>
      <c r="B251" s="313" t="s">
        <v>395</v>
      </c>
      <c r="C251" s="314" t="s">
        <v>693</v>
      </c>
      <c r="D251" s="314" t="s">
        <v>1428</v>
      </c>
      <c r="E251" s="314" t="s">
        <v>694</v>
      </c>
      <c r="F251" s="315"/>
      <c r="G251" s="315">
        <v>1</v>
      </c>
      <c r="H251" s="315">
        <v>1</v>
      </c>
      <c r="I251" s="315">
        <v>1</v>
      </c>
      <c r="J251" s="315">
        <v>1</v>
      </c>
      <c r="K251" s="315">
        <v>1</v>
      </c>
      <c r="L251" s="315">
        <v>1</v>
      </c>
      <c r="M251" s="315">
        <v>1</v>
      </c>
      <c r="N251" s="315"/>
      <c r="O251" s="315"/>
      <c r="P251" s="315"/>
      <c r="Q251" s="315"/>
      <c r="R251" s="315">
        <v>1</v>
      </c>
      <c r="S251" s="315">
        <v>1</v>
      </c>
      <c r="T251" s="315">
        <v>1</v>
      </c>
      <c r="U251" s="315">
        <v>1</v>
      </c>
      <c r="V251" s="315"/>
      <c r="W251" s="315"/>
      <c r="X251" s="315">
        <v>1</v>
      </c>
      <c r="Y251" s="315">
        <v>1</v>
      </c>
      <c r="Z251" s="315">
        <v>1</v>
      </c>
      <c r="AA251" s="315">
        <v>1</v>
      </c>
      <c r="AB251" s="315">
        <v>1</v>
      </c>
      <c r="AC251" s="315">
        <v>1</v>
      </c>
      <c r="AD251" s="315"/>
      <c r="AE251" s="315"/>
      <c r="AF251" s="315">
        <v>1</v>
      </c>
      <c r="AG251" s="315">
        <v>1</v>
      </c>
      <c r="AH251" s="315">
        <v>1</v>
      </c>
      <c r="AI251" s="315">
        <v>1</v>
      </c>
      <c r="AJ251" s="315">
        <v>1</v>
      </c>
      <c r="AK251" s="315">
        <v>1</v>
      </c>
      <c r="AL251" s="315">
        <v>1</v>
      </c>
      <c r="AM251" s="315">
        <v>1</v>
      </c>
      <c r="AN251" s="315">
        <v>1</v>
      </c>
      <c r="AO251" s="315">
        <v>1</v>
      </c>
      <c r="AP251" s="315">
        <v>1</v>
      </c>
      <c r="AQ251" s="317">
        <v>1</v>
      </c>
    </row>
    <row r="252" spans="1:43" s="378" customFormat="1" ht="44.25" customHeight="1">
      <c r="A252" s="313" t="s">
        <v>1505</v>
      </c>
      <c r="B252" s="313" t="s">
        <v>395</v>
      </c>
      <c r="C252" s="314" t="s">
        <v>695</v>
      </c>
      <c r="D252" s="314" t="s">
        <v>1428</v>
      </c>
      <c r="E252" s="314" t="s">
        <v>571</v>
      </c>
      <c r="F252" s="315"/>
      <c r="G252" s="315"/>
      <c r="H252" s="315">
        <v>1</v>
      </c>
      <c r="I252" s="315">
        <v>1</v>
      </c>
      <c r="J252" s="315">
        <v>1</v>
      </c>
      <c r="K252" s="315">
        <v>1</v>
      </c>
      <c r="L252" s="315">
        <v>1</v>
      </c>
      <c r="M252" s="315">
        <v>1</v>
      </c>
      <c r="N252" s="315"/>
      <c r="O252" s="315"/>
      <c r="P252" s="315"/>
      <c r="Q252" s="315"/>
      <c r="R252" s="315">
        <v>1</v>
      </c>
      <c r="S252" s="315">
        <v>1</v>
      </c>
      <c r="T252" s="315"/>
      <c r="U252" s="315"/>
      <c r="V252" s="315"/>
      <c r="W252" s="315">
        <v>1</v>
      </c>
      <c r="X252" s="315">
        <v>1</v>
      </c>
      <c r="Y252" s="315">
        <v>1</v>
      </c>
      <c r="Z252" s="315">
        <v>1</v>
      </c>
      <c r="AA252" s="315">
        <v>1</v>
      </c>
      <c r="AB252" s="315">
        <v>1</v>
      </c>
      <c r="AC252" s="315">
        <v>1</v>
      </c>
      <c r="AD252" s="315"/>
      <c r="AE252" s="315"/>
      <c r="AF252" s="315">
        <v>1</v>
      </c>
      <c r="AG252" s="315">
        <v>1</v>
      </c>
      <c r="AH252" s="315">
        <v>1</v>
      </c>
      <c r="AI252" s="315">
        <v>1</v>
      </c>
      <c r="AJ252" s="315">
        <v>1</v>
      </c>
      <c r="AK252" s="315">
        <v>1</v>
      </c>
      <c r="AL252" s="315">
        <v>1</v>
      </c>
      <c r="AM252" s="315"/>
      <c r="AN252" s="315">
        <v>1</v>
      </c>
      <c r="AO252" s="315">
        <v>1</v>
      </c>
      <c r="AP252" s="315"/>
      <c r="AQ252" s="317"/>
    </row>
    <row r="253" spans="1:43" s="378" customFormat="1" ht="44.25" customHeight="1">
      <c r="A253" s="313" t="s">
        <v>1505</v>
      </c>
      <c r="B253" s="313" t="s">
        <v>395</v>
      </c>
      <c r="C253" s="314" t="s">
        <v>696</v>
      </c>
      <c r="D253" s="314" t="s">
        <v>1428</v>
      </c>
      <c r="E253" s="314" t="s">
        <v>565</v>
      </c>
      <c r="F253" s="315"/>
      <c r="G253" s="315"/>
      <c r="H253" s="315">
        <v>1</v>
      </c>
      <c r="I253" s="315">
        <v>1</v>
      </c>
      <c r="J253" s="315">
        <v>1</v>
      </c>
      <c r="K253" s="315">
        <v>1</v>
      </c>
      <c r="L253" s="315">
        <v>1</v>
      </c>
      <c r="M253" s="315">
        <v>1</v>
      </c>
      <c r="N253" s="315"/>
      <c r="O253" s="315">
        <v>1</v>
      </c>
      <c r="P253" s="315">
        <v>1</v>
      </c>
      <c r="Q253" s="315">
        <v>1</v>
      </c>
      <c r="R253" s="315">
        <v>1</v>
      </c>
      <c r="S253" s="315">
        <v>1</v>
      </c>
      <c r="T253" s="315">
        <v>1</v>
      </c>
      <c r="U253" s="315">
        <v>1</v>
      </c>
      <c r="V253" s="315"/>
      <c r="W253" s="315"/>
      <c r="X253" s="315"/>
      <c r="Y253" s="315"/>
      <c r="Z253" s="315">
        <v>1</v>
      </c>
      <c r="AA253" s="315">
        <v>1</v>
      </c>
      <c r="AB253" s="315">
        <v>1</v>
      </c>
      <c r="AC253" s="315">
        <v>1</v>
      </c>
      <c r="AD253" s="315"/>
      <c r="AE253" s="315"/>
      <c r="AF253" s="315"/>
      <c r="AG253" s="315"/>
      <c r="AH253" s="315">
        <v>1</v>
      </c>
      <c r="AI253" s="315">
        <v>1</v>
      </c>
      <c r="AJ253" s="315">
        <v>1</v>
      </c>
      <c r="AK253" s="315">
        <v>1</v>
      </c>
      <c r="AL253" s="315">
        <v>1</v>
      </c>
      <c r="AM253" s="315">
        <v>1</v>
      </c>
      <c r="AN253" s="315"/>
      <c r="AO253" s="315">
        <v>1</v>
      </c>
      <c r="AP253" s="315">
        <v>1</v>
      </c>
      <c r="AQ253" s="317">
        <v>1</v>
      </c>
    </row>
    <row r="254" spans="1:43" s="378" customFormat="1" ht="44.25" customHeight="1">
      <c r="A254" s="313" t="s">
        <v>1505</v>
      </c>
      <c r="B254" s="313" t="s">
        <v>395</v>
      </c>
      <c r="C254" s="314" t="s">
        <v>697</v>
      </c>
      <c r="D254" s="314" t="s">
        <v>1428</v>
      </c>
      <c r="E254" s="314" t="s">
        <v>539</v>
      </c>
      <c r="F254" s="315"/>
      <c r="G254" s="315">
        <v>1</v>
      </c>
      <c r="H254" s="315">
        <v>1</v>
      </c>
      <c r="I254" s="315">
        <v>1</v>
      </c>
      <c r="J254" s="315">
        <v>1</v>
      </c>
      <c r="K254" s="315">
        <v>1</v>
      </c>
      <c r="L254" s="315">
        <v>1</v>
      </c>
      <c r="M254" s="315">
        <v>1</v>
      </c>
      <c r="N254" s="315"/>
      <c r="O254" s="315"/>
      <c r="P254" s="315">
        <v>1</v>
      </c>
      <c r="Q254" s="315">
        <v>1</v>
      </c>
      <c r="R254" s="315">
        <v>1</v>
      </c>
      <c r="S254" s="315"/>
      <c r="T254" s="315">
        <v>1</v>
      </c>
      <c r="U254" s="315">
        <v>1</v>
      </c>
      <c r="V254" s="315"/>
      <c r="W254" s="315"/>
      <c r="X254" s="315"/>
      <c r="Y254" s="315"/>
      <c r="Z254" s="315">
        <v>1</v>
      </c>
      <c r="AA254" s="315">
        <v>1</v>
      </c>
      <c r="AB254" s="315"/>
      <c r="AC254" s="315">
        <v>1</v>
      </c>
      <c r="AD254" s="315"/>
      <c r="AE254" s="315"/>
      <c r="AF254" s="315">
        <v>1</v>
      </c>
      <c r="AG254" s="315">
        <v>1</v>
      </c>
      <c r="AH254" s="315">
        <v>1</v>
      </c>
      <c r="AI254" s="315">
        <v>1</v>
      </c>
      <c r="AJ254" s="315">
        <v>1</v>
      </c>
      <c r="AK254" s="315">
        <v>1</v>
      </c>
      <c r="AL254" s="315">
        <v>1</v>
      </c>
      <c r="AM254" s="315">
        <v>1</v>
      </c>
      <c r="AN254" s="315">
        <v>1</v>
      </c>
      <c r="AO254" s="315">
        <v>1</v>
      </c>
      <c r="AP254" s="315">
        <v>1</v>
      </c>
      <c r="AQ254" s="317">
        <v>1</v>
      </c>
    </row>
    <row r="255" spans="1:43" s="378" customFormat="1" ht="44.25" customHeight="1">
      <c r="A255" s="313" t="s">
        <v>1505</v>
      </c>
      <c r="B255" s="313" t="s">
        <v>395</v>
      </c>
      <c r="C255" s="314" t="s">
        <v>698</v>
      </c>
      <c r="D255" s="314" t="s">
        <v>1428</v>
      </c>
      <c r="E255" s="314" t="s">
        <v>690</v>
      </c>
      <c r="F255" s="315"/>
      <c r="G255" s="315"/>
      <c r="H255" s="315"/>
      <c r="I255" s="315"/>
      <c r="J255" s="315">
        <v>1</v>
      </c>
      <c r="K255" s="315">
        <v>1</v>
      </c>
      <c r="L255" s="315">
        <v>1</v>
      </c>
      <c r="M255" s="315">
        <v>1</v>
      </c>
      <c r="N255" s="315"/>
      <c r="O255" s="315">
        <v>1</v>
      </c>
      <c r="P255" s="315">
        <v>1</v>
      </c>
      <c r="Q255" s="315">
        <v>1</v>
      </c>
      <c r="R255" s="315">
        <v>1</v>
      </c>
      <c r="S255" s="315"/>
      <c r="T255" s="315"/>
      <c r="U255" s="315">
        <v>1</v>
      </c>
      <c r="V255" s="315"/>
      <c r="W255" s="315"/>
      <c r="X255" s="315"/>
      <c r="Y255" s="315"/>
      <c r="Z255" s="315">
        <v>1</v>
      </c>
      <c r="AA255" s="315">
        <v>1</v>
      </c>
      <c r="AB255" s="315">
        <v>1</v>
      </c>
      <c r="AC255" s="315">
        <v>1</v>
      </c>
      <c r="AD255" s="315"/>
      <c r="AE255" s="315"/>
      <c r="AF255" s="315"/>
      <c r="AG255" s="315"/>
      <c r="AH255" s="315"/>
      <c r="AI255" s="315">
        <v>1</v>
      </c>
      <c r="AJ255" s="315"/>
      <c r="AK255" s="315"/>
      <c r="AL255" s="315"/>
      <c r="AM255" s="315"/>
      <c r="AN255" s="315">
        <v>1</v>
      </c>
      <c r="AO255" s="315">
        <v>1</v>
      </c>
      <c r="AP255" s="315"/>
      <c r="AQ255" s="317"/>
    </row>
    <row r="256" spans="1:43" s="378" customFormat="1" ht="44.25" customHeight="1">
      <c r="A256" s="313" t="s">
        <v>1505</v>
      </c>
      <c r="B256" s="313" t="s">
        <v>384</v>
      </c>
      <c r="C256" s="314" t="s">
        <v>699</v>
      </c>
      <c r="D256" s="314" t="s">
        <v>1426</v>
      </c>
      <c r="E256" s="314" t="s">
        <v>1520</v>
      </c>
      <c r="F256" s="315"/>
      <c r="G256" s="315"/>
      <c r="H256" s="315"/>
      <c r="I256" s="315"/>
      <c r="J256" s="315"/>
      <c r="K256" s="315">
        <v>1</v>
      </c>
      <c r="L256" s="315">
        <v>1</v>
      </c>
      <c r="M256" s="315">
        <v>1</v>
      </c>
      <c r="N256" s="315"/>
      <c r="O256" s="315"/>
      <c r="P256" s="315">
        <v>1</v>
      </c>
      <c r="Q256" s="315">
        <v>1</v>
      </c>
      <c r="R256" s="315">
        <v>1</v>
      </c>
      <c r="S256" s="315">
        <v>1</v>
      </c>
      <c r="T256" s="315">
        <v>1</v>
      </c>
      <c r="U256" s="315">
        <v>1</v>
      </c>
      <c r="V256" s="315"/>
      <c r="W256" s="315">
        <v>1</v>
      </c>
      <c r="X256" s="315">
        <v>1</v>
      </c>
      <c r="Y256" s="315">
        <v>1</v>
      </c>
      <c r="Z256" s="315">
        <v>1</v>
      </c>
      <c r="AA256" s="315">
        <v>1</v>
      </c>
      <c r="AB256" s="315">
        <v>1</v>
      </c>
      <c r="AC256" s="315">
        <v>1</v>
      </c>
      <c r="AD256" s="315"/>
      <c r="AE256" s="315"/>
      <c r="AF256" s="315"/>
      <c r="AG256" s="315"/>
      <c r="AH256" s="315"/>
      <c r="AI256" s="315"/>
      <c r="AJ256" s="315"/>
      <c r="AK256" s="315"/>
      <c r="AL256" s="315"/>
      <c r="AM256" s="315"/>
      <c r="AN256" s="315"/>
      <c r="AO256" s="315">
        <v>1</v>
      </c>
      <c r="AP256" s="315"/>
      <c r="AQ256" s="317"/>
    </row>
    <row r="257" spans="1:43" s="378" customFormat="1" ht="44.25" customHeight="1">
      <c r="A257" s="313" t="s">
        <v>1505</v>
      </c>
      <c r="B257" s="313" t="s">
        <v>384</v>
      </c>
      <c r="C257" s="314" t="s">
        <v>701</v>
      </c>
      <c r="D257" s="314" t="s">
        <v>1430</v>
      </c>
      <c r="E257" s="314" t="s">
        <v>1521</v>
      </c>
      <c r="F257" s="315"/>
      <c r="G257" s="315"/>
      <c r="H257" s="315"/>
      <c r="I257" s="315"/>
      <c r="J257" s="315"/>
      <c r="K257" s="315"/>
      <c r="L257" s="315"/>
      <c r="M257" s="315"/>
      <c r="N257" s="315"/>
      <c r="O257" s="315">
        <v>1</v>
      </c>
      <c r="P257" s="315">
        <v>1</v>
      </c>
      <c r="Q257" s="315">
        <v>1</v>
      </c>
      <c r="R257" s="315">
        <v>1</v>
      </c>
      <c r="S257" s="315"/>
      <c r="T257" s="315"/>
      <c r="U257" s="315"/>
      <c r="V257" s="315"/>
      <c r="W257" s="315"/>
      <c r="X257" s="315"/>
      <c r="Y257" s="315"/>
      <c r="Z257" s="315"/>
      <c r="AA257" s="315"/>
      <c r="AB257" s="315"/>
      <c r="AC257" s="315"/>
      <c r="AD257" s="315"/>
      <c r="AE257" s="315"/>
      <c r="AF257" s="315"/>
      <c r="AG257" s="315"/>
      <c r="AH257" s="315"/>
      <c r="AI257" s="315"/>
      <c r="AJ257" s="315"/>
      <c r="AK257" s="315"/>
      <c r="AL257" s="315"/>
      <c r="AM257" s="315"/>
      <c r="AN257" s="315">
        <v>1</v>
      </c>
      <c r="AO257" s="315">
        <v>1</v>
      </c>
      <c r="AP257" s="315"/>
      <c r="AQ257" s="317"/>
    </row>
    <row r="258" spans="1:43" s="378" customFormat="1" ht="44.25" customHeight="1">
      <c r="A258" s="313" t="s">
        <v>1505</v>
      </c>
      <c r="B258" s="313" t="s">
        <v>386</v>
      </c>
      <c r="C258" s="314" t="s">
        <v>703</v>
      </c>
      <c r="D258" s="314" t="s">
        <v>1424</v>
      </c>
      <c r="E258" s="314" t="s">
        <v>1522</v>
      </c>
      <c r="F258" s="315"/>
      <c r="G258" s="315"/>
      <c r="H258" s="315">
        <v>1</v>
      </c>
      <c r="I258" s="315">
        <v>1</v>
      </c>
      <c r="J258" s="315">
        <v>1</v>
      </c>
      <c r="K258" s="315">
        <v>1</v>
      </c>
      <c r="L258" s="315">
        <v>1</v>
      </c>
      <c r="M258" s="315">
        <v>1</v>
      </c>
      <c r="N258" s="315"/>
      <c r="O258" s="315"/>
      <c r="P258" s="315"/>
      <c r="Q258" s="315"/>
      <c r="R258" s="315">
        <v>1</v>
      </c>
      <c r="S258" s="315">
        <v>1</v>
      </c>
      <c r="T258" s="315">
        <v>1</v>
      </c>
      <c r="U258" s="315">
        <v>1</v>
      </c>
      <c r="V258" s="315"/>
      <c r="W258" s="315">
        <v>1</v>
      </c>
      <c r="X258" s="315">
        <v>1</v>
      </c>
      <c r="Y258" s="315">
        <v>1</v>
      </c>
      <c r="Z258" s="315">
        <v>1</v>
      </c>
      <c r="AA258" s="315">
        <v>1</v>
      </c>
      <c r="AB258" s="315">
        <v>1</v>
      </c>
      <c r="AC258" s="315">
        <v>1</v>
      </c>
      <c r="AD258" s="315"/>
      <c r="AE258" s="315"/>
      <c r="AF258" s="315"/>
      <c r="AG258" s="315"/>
      <c r="AH258" s="315"/>
      <c r="AI258" s="315">
        <v>1</v>
      </c>
      <c r="AJ258" s="315">
        <v>1</v>
      </c>
      <c r="AK258" s="315">
        <v>1</v>
      </c>
      <c r="AL258" s="315">
        <v>1</v>
      </c>
      <c r="AM258" s="315">
        <v>1</v>
      </c>
      <c r="AN258" s="315">
        <v>1</v>
      </c>
      <c r="AO258" s="315">
        <v>1</v>
      </c>
      <c r="AP258" s="315">
        <v>1</v>
      </c>
      <c r="AQ258" s="317">
        <v>1</v>
      </c>
    </row>
    <row r="259" spans="1:43" s="378" customFormat="1" ht="44.25" customHeight="1">
      <c r="A259" s="313" t="s">
        <v>1505</v>
      </c>
      <c r="B259" s="313" t="s">
        <v>389</v>
      </c>
      <c r="C259" s="314" t="s">
        <v>705</v>
      </c>
      <c r="D259" s="314" t="s">
        <v>1436</v>
      </c>
      <c r="E259" s="314" t="s">
        <v>587</v>
      </c>
      <c r="F259" s="315"/>
      <c r="G259" s="315"/>
      <c r="H259" s="315">
        <v>1</v>
      </c>
      <c r="I259" s="315">
        <v>1</v>
      </c>
      <c r="J259" s="315">
        <v>1</v>
      </c>
      <c r="K259" s="315">
        <v>1</v>
      </c>
      <c r="L259" s="315">
        <v>1</v>
      </c>
      <c r="M259" s="315">
        <v>1</v>
      </c>
      <c r="N259" s="315"/>
      <c r="O259" s="315"/>
      <c r="P259" s="315">
        <v>1</v>
      </c>
      <c r="Q259" s="315">
        <v>1</v>
      </c>
      <c r="R259" s="315">
        <v>1</v>
      </c>
      <c r="S259" s="315"/>
      <c r="T259" s="315">
        <v>1</v>
      </c>
      <c r="U259" s="315">
        <v>1</v>
      </c>
      <c r="V259" s="315"/>
      <c r="W259" s="315">
        <v>1</v>
      </c>
      <c r="X259" s="315">
        <v>1</v>
      </c>
      <c r="Y259" s="315">
        <v>1</v>
      </c>
      <c r="Z259" s="315">
        <v>1</v>
      </c>
      <c r="AA259" s="315">
        <v>1</v>
      </c>
      <c r="AB259" s="315">
        <v>1</v>
      </c>
      <c r="AC259" s="315">
        <v>1</v>
      </c>
      <c r="AD259" s="315"/>
      <c r="AE259" s="315"/>
      <c r="AF259" s="315">
        <v>1</v>
      </c>
      <c r="AG259" s="315">
        <v>1</v>
      </c>
      <c r="AH259" s="315"/>
      <c r="AI259" s="315">
        <v>1</v>
      </c>
      <c r="AJ259" s="315">
        <v>1</v>
      </c>
      <c r="AK259" s="315"/>
      <c r="AL259" s="315">
        <v>1</v>
      </c>
      <c r="AM259" s="315"/>
      <c r="AN259" s="315">
        <v>1</v>
      </c>
      <c r="AO259" s="315">
        <v>1</v>
      </c>
      <c r="AP259" s="315">
        <v>1</v>
      </c>
      <c r="AQ259" s="317">
        <v>1</v>
      </c>
    </row>
    <row r="260" spans="1:43" s="378" customFormat="1" ht="44.25" customHeight="1">
      <c r="A260" s="313" t="s">
        <v>1505</v>
      </c>
      <c r="B260" s="313" t="s">
        <v>386</v>
      </c>
      <c r="C260" s="314" t="s">
        <v>706</v>
      </c>
      <c r="D260" s="314" t="s">
        <v>1424</v>
      </c>
      <c r="E260" s="314" t="s">
        <v>1523</v>
      </c>
      <c r="F260" s="315"/>
      <c r="G260" s="315"/>
      <c r="H260" s="315">
        <v>1</v>
      </c>
      <c r="I260" s="315">
        <v>1</v>
      </c>
      <c r="J260" s="315">
        <v>1</v>
      </c>
      <c r="K260" s="315"/>
      <c r="L260" s="315">
        <v>1</v>
      </c>
      <c r="M260" s="315">
        <v>1</v>
      </c>
      <c r="N260" s="315"/>
      <c r="O260" s="315"/>
      <c r="P260" s="315">
        <v>1</v>
      </c>
      <c r="Q260" s="315">
        <v>1</v>
      </c>
      <c r="R260" s="315"/>
      <c r="S260" s="315"/>
      <c r="T260" s="315">
        <v>1</v>
      </c>
      <c r="U260" s="315"/>
      <c r="V260" s="315"/>
      <c r="W260" s="315">
        <v>1</v>
      </c>
      <c r="X260" s="315">
        <v>1</v>
      </c>
      <c r="Y260" s="315">
        <v>1</v>
      </c>
      <c r="Z260" s="315">
        <v>1</v>
      </c>
      <c r="AA260" s="315"/>
      <c r="AB260" s="315">
        <v>1</v>
      </c>
      <c r="AC260" s="315">
        <v>1</v>
      </c>
      <c r="AD260" s="315"/>
      <c r="AE260" s="315"/>
      <c r="AF260" s="315">
        <v>1</v>
      </c>
      <c r="AG260" s="315">
        <v>1</v>
      </c>
      <c r="AH260" s="315">
        <v>1</v>
      </c>
      <c r="AI260" s="315">
        <v>1</v>
      </c>
      <c r="AJ260" s="315"/>
      <c r="AK260" s="315"/>
      <c r="AL260" s="315">
        <v>1</v>
      </c>
      <c r="AM260" s="315">
        <v>1</v>
      </c>
      <c r="AN260" s="315">
        <v>1</v>
      </c>
      <c r="AO260" s="315">
        <v>1</v>
      </c>
      <c r="AP260" s="315">
        <v>1</v>
      </c>
      <c r="AQ260" s="317">
        <v>1</v>
      </c>
    </row>
    <row r="261" spans="1:43" s="378" customFormat="1" ht="44.25" customHeight="1">
      <c r="A261" s="313" t="s">
        <v>1505</v>
      </c>
      <c r="B261" s="313" t="s">
        <v>386</v>
      </c>
      <c r="C261" s="314" t="s">
        <v>708</v>
      </c>
      <c r="D261" s="314" t="s">
        <v>1426</v>
      </c>
      <c r="E261" s="314" t="s">
        <v>1524</v>
      </c>
      <c r="F261" s="315"/>
      <c r="G261" s="315"/>
      <c r="H261" s="315">
        <v>1</v>
      </c>
      <c r="I261" s="315">
        <v>1</v>
      </c>
      <c r="J261" s="315">
        <v>1</v>
      </c>
      <c r="K261" s="315">
        <v>1</v>
      </c>
      <c r="L261" s="315">
        <v>1</v>
      </c>
      <c r="M261" s="315">
        <v>1</v>
      </c>
      <c r="N261" s="315"/>
      <c r="O261" s="315"/>
      <c r="P261" s="315">
        <v>1</v>
      </c>
      <c r="Q261" s="315">
        <v>1</v>
      </c>
      <c r="R261" s="315">
        <v>1</v>
      </c>
      <c r="S261" s="315">
        <v>1</v>
      </c>
      <c r="T261" s="315">
        <v>1</v>
      </c>
      <c r="U261" s="315">
        <v>1</v>
      </c>
      <c r="V261" s="315"/>
      <c r="W261" s="315">
        <v>1</v>
      </c>
      <c r="X261" s="315">
        <v>1</v>
      </c>
      <c r="Y261" s="315">
        <v>1</v>
      </c>
      <c r="Z261" s="315">
        <v>1</v>
      </c>
      <c r="AA261" s="315">
        <v>1</v>
      </c>
      <c r="AB261" s="315">
        <v>1</v>
      </c>
      <c r="AC261" s="315">
        <v>1</v>
      </c>
      <c r="AD261" s="315"/>
      <c r="AE261" s="315"/>
      <c r="AF261" s="315"/>
      <c r="AG261" s="315"/>
      <c r="AH261" s="315"/>
      <c r="AI261" s="315"/>
      <c r="AJ261" s="315">
        <v>1</v>
      </c>
      <c r="AK261" s="315">
        <v>1</v>
      </c>
      <c r="AL261" s="315">
        <v>1</v>
      </c>
      <c r="AM261" s="315">
        <v>1</v>
      </c>
      <c r="AN261" s="315">
        <v>1</v>
      </c>
      <c r="AO261" s="315">
        <v>1</v>
      </c>
      <c r="AP261" s="315"/>
      <c r="AQ261" s="316"/>
    </row>
    <row r="262" spans="1:43" s="378" customFormat="1" ht="44.25" customHeight="1">
      <c r="A262" s="313" t="s">
        <v>1505</v>
      </c>
      <c r="B262" s="313" t="s">
        <v>386</v>
      </c>
      <c r="C262" s="314" t="s">
        <v>710</v>
      </c>
      <c r="D262" s="314" t="s">
        <v>1424</v>
      </c>
      <c r="E262" s="314" t="s">
        <v>1525</v>
      </c>
      <c r="F262" s="315"/>
      <c r="G262" s="315"/>
      <c r="H262" s="315">
        <v>1</v>
      </c>
      <c r="I262" s="315">
        <v>1</v>
      </c>
      <c r="J262" s="315">
        <v>1</v>
      </c>
      <c r="K262" s="315">
        <v>1</v>
      </c>
      <c r="L262" s="315">
        <v>1</v>
      </c>
      <c r="M262" s="315">
        <v>1</v>
      </c>
      <c r="N262" s="315"/>
      <c r="O262" s="315"/>
      <c r="P262" s="315">
        <v>1</v>
      </c>
      <c r="Q262" s="315">
        <v>1</v>
      </c>
      <c r="R262" s="315">
        <v>1</v>
      </c>
      <c r="S262" s="315"/>
      <c r="T262" s="315">
        <v>1</v>
      </c>
      <c r="U262" s="315">
        <v>1</v>
      </c>
      <c r="V262" s="315"/>
      <c r="W262" s="315">
        <v>1</v>
      </c>
      <c r="X262" s="315">
        <v>1</v>
      </c>
      <c r="Y262" s="315">
        <v>1</v>
      </c>
      <c r="Z262" s="315">
        <v>1</v>
      </c>
      <c r="AA262" s="315"/>
      <c r="AB262" s="315">
        <v>1</v>
      </c>
      <c r="AC262" s="315">
        <v>1</v>
      </c>
      <c r="AD262" s="315"/>
      <c r="AE262" s="315"/>
      <c r="AF262" s="315">
        <v>1</v>
      </c>
      <c r="AG262" s="315">
        <v>1</v>
      </c>
      <c r="AH262" s="315">
        <v>1</v>
      </c>
      <c r="AI262" s="315">
        <v>1</v>
      </c>
      <c r="AJ262" s="315"/>
      <c r="AK262" s="315"/>
      <c r="AL262" s="315">
        <v>1</v>
      </c>
      <c r="AM262" s="315">
        <v>1</v>
      </c>
      <c r="AN262" s="315">
        <v>1</v>
      </c>
      <c r="AO262" s="315">
        <v>1</v>
      </c>
      <c r="AP262" s="315">
        <v>1</v>
      </c>
      <c r="AQ262" s="316">
        <v>1</v>
      </c>
    </row>
    <row r="263" spans="1:43" s="378" customFormat="1" ht="44.25" customHeight="1">
      <c r="A263" s="313" t="s">
        <v>1505</v>
      </c>
      <c r="B263" s="313" t="s">
        <v>386</v>
      </c>
      <c r="C263" s="314" t="s">
        <v>712</v>
      </c>
      <c r="D263" s="314" t="s">
        <v>1424</v>
      </c>
      <c r="E263" s="314" t="s">
        <v>713</v>
      </c>
      <c r="F263" s="315"/>
      <c r="G263" s="315"/>
      <c r="H263" s="315">
        <v>1</v>
      </c>
      <c r="I263" s="315">
        <v>1</v>
      </c>
      <c r="J263" s="315">
        <v>1</v>
      </c>
      <c r="K263" s="315"/>
      <c r="L263" s="315">
        <v>1</v>
      </c>
      <c r="M263" s="315">
        <v>1</v>
      </c>
      <c r="N263" s="315"/>
      <c r="O263" s="315"/>
      <c r="P263" s="315">
        <v>1</v>
      </c>
      <c r="Q263" s="315">
        <v>1</v>
      </c>
      <c r="R263" s="315">
        <v>1</v>
      </c>
      <c r="S263" s="315">
        <v>1</v>
      </c>
      <c r="T263" s="315">
        <v>1</v>
      </c>
      <c r="U263" s="315">
        <v>1</v>
      </c>
      <c r="V263" s="315"/>
      <c r="W263" s="315"/>
      <c r="X263" s="315">
        <v>1</v>
      </c>
      <c r="Y263" s="315">
        <v>1</v>
      </c>
      <c r="Z263" s="315">
        <v>1</v>
      </c>
      <c r="AA263" s="315"/>
      <c r="AB263" s="315">
        <v>1</v>
      </c>
      <c r="AC263" s="315">
        <v>1</v>
      </c>
      <c r="AD263" s="315"/>
      <c r="AE263" s="315">
        <v>1</v>
      </c>
      <c r="AF263" s="315">
        <v>1</v>
      </c>
      <c r="AG263" s="315">
        <v>1</v>
      </c>
      <c r="AH263" s="315">
        <v>1</v>
      </c>
      <c r="AI263" s="315">
        <v>1</v>
      </c>
      <c r="AJ263" s="315"/>
      <c r="AK263" s="315"/>
      <c r="AL263" s="315">
        <v>1</v>
      </c>
      <c r="AM263" s="315">
        <v>1</v>
      </c>
      <c r="AN263" s="315">
        <v>1</v>
      </c>
      <c r="AO263" s="315">
        <v>1</v>
      </c>
      <c r="AP263" s="315">
        <v>1</v>
      </c>
      <c r="AQ263" s="316">
        <v>1</v>
      </c>
    </row>
    <row r="264" spans="1:43" s="378" customFormat="1" ht="44.25" customHeight="1">
      <c r="A264" s="313" t="s">
        <v>1505</v>
      </c>
      <c r="B264" s="313" t="s">
        <v>386</v>
      </c>
      <c r="C264" s="314" t="s">
        <v>714</v>
      </c>
      <c r="D264" s="314" t="s">
        <v>1424</v>
      </c>
      <c r="E264" s="314" t="s">
        <v>415</v>
      </c>
      <c r="F264" s="315"/>
      <c r="G264" s="315">
        <v>1</v>
      </c>
      <c r="H264" s="315">
        <v>1</v>
      </c>
      <c r="I264" s="315">
        <v>1</v>
      </c>
      <c r="J264" s="315">
        <v>1</v>
      </c>
      <c r="K264" s="315">
        <v>1</v>
      </c>
      <c r="L264" s="315">
        <v>1</v>
      </c>
      <c r="M264" s="315">
        <v>1</v>
      </c>
      <c r="N264" s="315"/>
      <c r="O264" s="315"/>
      <c r="P264" s="315">
        <v>1</v>
      </c>
      <c r="Q264" s="315">
        <v>1</v>
      </c>
      <c r="R264" s="315">
        <v>1</v>
      </c>
      <c r="S264" s="315">
        <v>1</v>
      </c>
      <c r="T264" s="315">
        <v>1</v>
      </c>
      <c r="U264" s="315">
        <v>1</v>
      </c>
      <c r="V264" s="315"/>
      <c r="W264" s="315"/>
      <c r="X264" s="315">
        <v>1</v>
      </c>
      <c r="Y264" s="315">
        <v>1</v>
      </c>
      <c r="Z264" s="315">
        <v>1</v>
      </c>
      <c r="AA264" s="315">
        <v>1</v>
      </c>
      <c r="AB264" s="315">
        <v>1</v>
      </c>
      <c r="AC264" s="315">
        <v>1</v>
      </c>
      <c r="AD264" s="315"/>
      <c r="AE264" s="315"/>
      <c r="AF264" s="315"/>
      <c r="AG264" s="315"/>
      <c r="AH264" s="315">
        <v>1</v>
      </c>
      <c r="AI264" s="315">
        <v>1</v>
      </c>
      <c r="AJ264" s="315"/>
      <c r="AK264" s="315"/>
      <c r="AL264" s="315">
        <v>1</v>
      </c>
      <c r="AM264" s="315">
        <v>1</v>
      </c>
      <c r="AN264" s="315">
        <v>1</v>
      </c>
      <c r="AO264" s="315">
        <v>1</v>
      </c>
      <c r="AP264" s="315">
        <v>1</v>
      </c>
      <c r="AQ264" s="316">
        <v>1</v>
      </c>
    </row>
    <row r="265" spans="1:43" s="378" customFormat="1" ht="44.25" customHeight="1">
      <c r="A265" s="313" t="s">
        <v>1505</v>
      </c>
      <c r="B265" s="313" t="s">
        <v>386</v>
      </c>
      <c r="C265" s="314" t="s">
        <v>715</v>
      </c>
      <c r="D265" s="314" t="s">
        <v>1424</v>
      </c>
      <c r="E265" s="314" t="s">
        <v>1526</v>
      </c>
      <c r="F265" s="315"/>
      <c r="G265" s="315"/>
      <c r="H265" s="315">
        <v>1</v>
      </c>
      <c r="I265" s="315">
        <v>1</v>
      </c>
      <c r="J265" s="315">
        <v>1</v>
      </c>
      <c r="K265" s="315">
        <v>1</v>
      </c>
      <c r="L265" s="315">
        <v>1</v>
      </c>
      <c r="M265" s="315">
        <v>1</v>
      </c>
      <c r="N265" s="315"/>
      <c r="O265" s="315"/>
      <c r="P265" s="315"/>
      <c r="Q265" s="315"/>
      <c r="R265" s="315">
        <v>1</v>
      </c>
      <c r="S265" s="315"/>
      <c r="T265" s="315">
        <v>1</v>
      </c>
      <c r="U265" s="315">
        <v>1</v>
      </c>
      <c r="V265" s="315"/>
      <c r="W265" s="315">
        <v>1</v>
      </c>
      <c r="X265" s="315">
        <v>1</v>
      </c>
      <c r="Y265" s="315">
        <v>1</v>
      </c>
      <c r="Z265" s="315">
        <v>1</v>
      </c>
      <c r="AA265" s="315">
        <v>1</v>
      </c>
      <c r="AB265" s="315">
        <v>1</v>
      </c>
      <c r="AC265" s="315">
        <v>1</v>
      </c>
      <c r="AD265" s="315"/>
      <c r="AE265" s="315"/>
      <c r="AF265" s="315"/>
      <c r="AG265" s="315"/>
      <c r="AH265" s="315">
        <v>1</v>
      </c>
      <c r="AI265" s="315">
        <v>1</v>
      </c>
      <c r="AJ265" s="315"/>
      <c r="AK265" s="315"/>
      <c r="AL265" s="315"/>
      <c r="AM265" s="315">
        <v>1</v>
      </c>
      <c r="AN265" s="315">
        <v>1</v>
      </c>
      <c r="AO265" s="315">
        <v>1</v>
      </c>
      <c r="AP265" s="315"/>
      <c r="AQ265" s="316"/>
    </row>
    <row r="266" spans="1:43" s="378" customFormat="1" ht="44.25" customHeight="1">
      <c r="A266" s="313" t="s">
        <v>1505</v>
      </c>
      <c r="B266" s="313" t="s">
        <v>384</v>
      </c>
      <c r="C266" s="314" t="s">
        <v>717</v>
      </c>
      <c r="D266" s="314" t="s">
        <v>1426</v>
      </c>
      <c r="E266" s="314" t="s">
        <v>1527</v>
      </c>
      <c r="F266" s="315"/>
      <c r="G266" s="315"/>
      <c r="H266" s="315"/>
      <c r="I266" s="315"/>
      <c r="J266" s="315"/>
      <c r="K266" s="315">
        <v>1</v>
      </c>
      <c r="L266" s="315"/>
      <c r="M266" s="315"/>
      <c r="N266" s="315"/>
      <c r="O266" s="315">
        <v>1</v>
      </c>
      <c r="P266" s="315">
        <v>1</v>
      </c>
      <c r="Q266" s="315">
        <v>1</v>
      </c>
      <c r="R266" s="315">
        <v>1</v>
      </c>
      <c r="S266" s="315">
        <v>1</v>
      </c>
      <c r="T266" s="315">
        <v>1</v>
      </c>
      <c r="U266" s="315">
        <v>1</v>
      </c>
      <c r="V266" s="315"/>
      <c r="W266" s="315"/>
      <c r="X266" s="315"/>
      <c r="Y266" s="315"/>
      <c r="Z266" s="315">
        <v>1</v>
      </c>
      <c r="AA266" s="315"/>
      <c r="AB266" s="315"/>
      <c r="AC266" s="315"/>
      <c r="AD266" s="315"/>
      <c r="AE266" s="315"/>
      <c r="AF266" s="315"/>
      <c r="AG266" s="315"/>
      <c r="AH266" s="315"/>
      <c r="AI266" s="315"/>
      <c r="AJ266" s="315"/>
      <c r="AK266" s="315"/>
      <c r="AL266" s="315"/>
      <c r="AM266" s="315"/>
      <c r="AN266" s="315">
        <v>1</v>
      </c>
      <c r="AO266" s="315">
        <v>1</v>
      </c>
      <c r="AP266" s="315">
        <v>1</v>
      </c>
      <c r="AQ266" s="316">
        <v>1</v>
      </c>
    </row>
    <row r="267" spans="1:43" s="378" customFormat="1" ht="44.25" customHeight="1">
      <c r="A267" s="313" t="s">
        <v>1505</v>
      </c>
      <c r="B267" s="313" t="s">
        <v>386</v>
      </c>
      <c r="C267" s="314" t="s">
        <v>719</v>
      </c>
      <c r="D267" s="314" t="s">
        <v>1434</v>
      </c>
      <c r="E267" s="314" t="s">
        <v>1528</v>
      </c>
      <c r="F267" s="315"/>
      <c r="G267" s="315">
        <v>1</v>
      </c>
      <c r="H267" s="315">
        <v>1</v>
      </c>
      <c r="I267" s="315">
        <v>1</v>
      </c>
      <c r="J267" s="315">
        <v>1</v>
      </c>
      <c r="K267" s="315">
        <v>1</v>
      </c>
      <c r="L267" s="315">
        <v>1</v>
      </c>
      <c r="M267" s="315">
        <v>1</v>
      </c>
      <c r="N267" s="315"/>
      <c r="O267" s="315"/>
      <c r="P267" s="315"/>
      <c r="Q267" s="315"/>
      <c r="R267" s="315">
        <v>1</v>
      </c>
      <c r="S267" s="315">
        <v>1</v>
      </c>
      <c r="T267" s="315">
        <v>1</v>
      </c>
      <c r="U267" s="315">
        <v>1</v>
      </c>
      <c r="V267" s="315"/>
      <c r="W267" s="315"/>
      <c r="X267" s="315">
        <v>1</v>
      </c>
      <c r="Y267" s="315">
        <v>1</v>
      </c>
      <c r="Z267" s="315">
        <v>1</v>
      </c>
      <c r="AA267" s="315"/>
      <c r="AB267" s="315">
        <v>1</v>
      </c>
      <c r="AC267" s="315">
        <v>1</v>
      </c>
      <c r="AD267" s="315"/>
      <c r="AE267" s="315"/>
      <c r="AF267" s="315">
        <v>1</v>
      </c>
      <c r="AG267" s="315">
        <v>1</v>
      </c>
      <c r="AH267" s="315">
        <v>1</v>
      </c>
      <c r="AI267" s="315"/>
      <c r="AJ267" s="315"/>
      <c r="AK267" s="315"/>
      <c r="AL267" s="315">
        <v>1</v>
      </c>
      <c r="AM267" s="315">
        <v>1</v>
      </c>
      <c r="AN267" s="315">
        <v>1</v>
      </c>
      <c r="AO267" s="315">
        <v>1</v>
      </c>
      <c r="AP267" s="315">
        <v>1</v>
      </c>
      <c r="AQ267" s="316">
        <v>1</v>
      </c>
    </row>
    <row r="268" spans="1:43" s="378" customFormat="1" ht="44.25" customHeight="1">
      <c r="A268" s="313" t="s">
        <v>1505</v>
      </c>
      <c r="B268" s="313" t="s">
        <v>384</v>
      </c>
      <c r="C268" s="314" t="s">
        <v>721</v>
      </c>
      <c r="D268" s="314" t="s">
        <v>1430</v>
      </c>
      <c r="E268" s="314" t="s">
        <v>1529</v>
      </c>
      <c r="F268" s="315"/>
      <c r="G268" s="315"/>
      <c r="H268" s="315"/>
      <c r="I268" s="315"/>
      <c r="J268" s="315">
        <v>1</v>
      </c>
      <c r="K268" s="315">
        <v>1</v>
      </c>
      <c r="L268" s="315"/>
      <c r="M268" s="315">
        <v>1</v>
      </c>
      <c r="N268" s="315"/>
      <c r="O268" s="315"/>
      <c r="P268" s="315"/>
      <c r="Q268" s="315"/>
      <c r="R268" s="315">
        <v>1</v>
      </c>
      <c r="S268" s="315"/>
      <c r="T268" s="315"/>
      <c r="U268" s="315">
        <v>1</v>
      </c>
      <c r="V268" s="315"/>
      <c r="W268" s="315">
        <v>1</v>
      </c>
      <c r="X268" s="315">
        <v>1</v>
      </c>
      <c r="Y268" s="315">
        <v>1</v>
      </c>
      <c r="Z268" s="315">
        <v>1</v>
      </c>
      <c r="AA268" s="315">
        <v>1</v>
      </c>
      <c r="AB268" s="315">
        <v>1</v>
      </c>
      <c r="AC268" s="315">
        <v>1</v>
      </c>
      <c r="AD268" s="315"/>
      <c r="AE268" s="315"/>
      <c r="AF268" s="315"/>
      <c r="AG268" s="315"/>
      <c r="AH268" s="315"/>
      <c r="AI268" s="315"/>
      <c r="AJ268" s="315"/>
      <c r="AK268" s="315"/>
      <c r="AL268" s="315"/>
      <c r="AM268" s="315"/>
      <c r="AN268" s="315">
        <v>1</v>
      </c>
      <c r="AO268" s="315">
        <v>1</v>
      </c>
      <c r="AP268" s="315"/>
      <c r="AQ268" s="316"/>
    </row>
    <row r="269" spans="1:43" s="378" customFormat="1" ht="44.25" customHeight="1">
      <c r="A269" s="313" t="s">
        <v>1505</v>
      </c>
      <c r="B269" s="313" t="s">
        <v>395</v>
      </c>
      <c r="C269" s="314" t="s">
        <v>723</v>
      </c>
      <c r="D269" s="314" t="s">
        <v>1428</v>
      </c>
      <c r="E269" s="314" t="s">
        <v>724</v>
      </c>
      <c r="F269" s="315"/>
      <c r="G269" s="315"/>
      <c r="H269" s="315"/>
      <c r="I269" s="315"/>
      <c r="J269" s="315"/>
      <c r="K269" s="315">
        <v>1</v>
      </c>
      <c r="L269" s="315">
        <v>1</v>
      </c>
      <c r="M269" s="315">
        <v>1</v>
      </c>
      <c r="N269" s="315"/>
      <c r="O269" s="315"/>
      <c r="P269" s="315"/>
      <c r="Q269" s="315"/>
      <c r="R269" s="315">
        <v>1</v>
      </c>
      <c r="S269" s="315"/>
      <c r="T269" s="315">
        <v>1</v>
      </c>
      <c r="U269" s="315">
        <v>1</v>
      </c>
      <c r="V269" s="315"/>
      <c r="W269" s="315"/>
      <c r="X269" s="315">
        <v>1</v>
      </c>
      <c r="Y269" s="315">
        <v>1</v>
      </c>
      <c r="Z269" s="315">
        <v>1</v>
      </c>
      <c r="AA269" s="315">
        <v>1</v>
      </c>
      <c r="AB269" s="315">
        <v>1</v>
      </c>
      <c r="AC269" s="315">
        <v>1</v>
      </c>
      <c r="AD269" s="315"/>
      <c r="AE269" s="315">
        <v>1</v>
      </c>
      <c r="AF269" s="315">
        <v>1</v>
      </c>
      <c r="AG269" s="315">
        <v>1</v>
      </c>
      <c r="AH269" s="315">
        <v>1</v>
      </c>
      <c r="AI269" s="315">
        <v>1</v>
      </c>
      <c r="AJ269" s="315">
        <v>1</v>
      </c>
      <c r="AK269" s="315">
        <v>1</v>
      </c>
      <c r="AL269" s="315">
        <v>1</v>
      </c>
      <c r="AM269" s="315">
        <v>1</v>
      </c>
      <c r="AN269" s="315">
        <v>1</v>
      </c>
      <c r="AO269" s="315">
        <v>1</v>
      </c>
      <c r="AP269" s="315"/>
      <c r="AQ269" s="316"/>
    </row>
    <row r="270" spans="1:43" s="378" customFormat="1" ht="44.25" customHeight="1">
      <c r="A270" s="313" t="s">
        <v>1505</v>
      </c>
      <c r="B270" s="313" t="s">
        <v>395</v>
      </c>
      <c r="C270" s="314" t="s">
        <v>725</v>
      </c>
      <c r="D270" s="314" t="s">
        <v>1428</v>
      </c>
      <c r="E270" s="314" t="s">
        <v>408</v>
      </c>
      <c r="F270" s="315"/>
      <c r="G270" s="315"/>
      <c r="H270" s="315">
        <v>1</v>
      </c>
      <c r="I270" s="315">
        <v>1</v>
      </c>
      <c r="J270" s="315">
        <v>1</v>
      </c>
      <c r="K270" s="315">
        <v>1</v>
      </c>
      <c r="L270" s="315">
        <v>1</v>
      </c>
      <c r="M270" s="315">
        <v>1</v>
      </c>
      <c r="N270" s="315"/>
      <c r="O270" s="315"/>
      <c r="P270" s="315"/>
      <c r="Q270" s="315"/>
      <c r="R270" s="315">
        <v>1</v>
      </c>
      <c r="S270" s="315"/>
      <c r="T270" s="315">
        <v>1</v>
      </c>
      <c r="U270" s="315">
        <v>1</v>
      </c>
      <c r="V270" s="315"/>
      <c r="W270" s="315">
        <v>1</v>
      </c>
      <c r="X270" s="315">
        <v>1</v>
      </c>
      <c r="Y270" s="315">
        <v>1</v>
      </c>
      <c r="Z270" s="315">
        <v>1</v>
      </c>
      <c r="AA270" s="315">
        <v>1</v>
      </c>
      <c r="AB270" s="315">
        <v>1</v>
      </c>
      <c r="AC270" s="315">
        <v>1</v>
      </c>
      <c r="AD270" s="315"/>
      <c r="AE270" s="315"/>
      <c r="AF270" s="315">
        <v>1</v>
      </c>
      <c r="AG270" s="315">
        <v>1</v>
      </c>
      <c r="AH270" s="315">
        <v>1</v>
      </c>
      <c r="AI270" s="315">
        <v>1</v>
      </c>
      <c r="AJ270" s="315">
        <v>1</v>
      </c>
      <c r="AK270" s="315">
        <v>1</v>
      </c>
      <c r="AL270" s="315">
        <v>1</v>
      </c>
      <c r="AM270" s="315">
        <v>1</v>
      </c>
      <c r="AN270" s="315">
        <v>1</v>
      </c>
      <c r="AO270" s="315">
        <v>1</v>
      </c>
      <c r="AP270" s="315">
        <v>1</v>
      </c>
      <c r="AQ270" s="316">
        <v>1</v>
      </c>
    </row>
    <row r="271" spans="1:43" s="378" customFormat="1" ht="44.25" customHeight="1">
      <c r="A271" s="313" t="s">
        <v>1505</v>
      </c>
      <c r="B271" s="313" t="s">
        <v>395</v>
      </c>
      <c r="C271" s="314" t="s">
        <v>726</v>
      </c>
      <c r="D271" s="314" t="s">
        <v>1430</v>
      </c>
      <c r="E271" s="314" t="s">
        <v>541</v>
      </c>
      <c r="F271" s="315"/>
      <c r="G271" s="315"/>
      <c r="H271" s="315">
        <v>1</v>
      </c>
      <c r="I271" s="315">
        <v>1</v>
      </c>
      <c r="J271" s="315">
        <v>1</v>
      </c>
      <c r="K271" s="315"/>
      <c r="L271" s="315">
        <v>1</v>
      </c>
      <c r="M271" s="315">
        <v>1</v>
      </c>
      <c r="N271" s="315"/>
      <c r="O271" s="315"/>
      <c r="P271" s="315">
        <v>1</v>
      </c>
      <c r="Q271" s="315">
        <v>1</v>
      </c>
      <c r="R271" s="315">
        <v>1</v>
      </c>
      <c r="S271" s="315"/>
      <c r="T271" s="315">
        <v>1</v>
      </c>
      <c r="U271" s="315">
        <v>1</v>
      </c>
      <c r="V271" s="315"/>
      <c r="W271" s="315">
        <v>1</v>
      </c>
      <c r="X271" s="315">
        <v>1</v>
      </c>
      <c r="Y271" s="315">
        <v>1</v>
      </c>
      <c r="Z271" s="315">
        <v>1</v>
      </c>
      <c r="AA271" s="315"/>
      <c r="AB271" s="315">
        <v>1</v>
      </c>
      <c r="AC271" s="315">
        <v>1</v>
      </c>
      <c r="AD271" s="315"/>
      <c r="AE271" s="315"/>
      <c r="AF271" s="315">
        <v>1</v>
      </c>
      <c r="AG271" s="315">
        <v>1</v>
      </c>
      <c r="AH271" s="315">
        <v>1</v>
      </c>
      <c r="AI271" s="315">
        <v>1</v>
      </c>
      <c r="AJ271" s="315"/>
      <c r="AK271" s="315"/>
      <c r="AL271" s="315"/>
      <c r="AM271" s="315"/>
      <c r="AN271" s="315">
        <v>1</v>
      </c>
      <c r="AO271" s="315">
        <v>1</v>
      </c>
      <c r="AP271" s="315"/>
      <c r="AQ271" s="316"/>
    </row>
    <row r="272" spans="1:43" s="378" customFormat="1" ht="44.25" customHeight="1">
      <c r="A272" s="313" t="s">
        <v>1505</v>
      </c>
      <c r="B272" s="313" t="s">
        <v>395</v>
      </c>
      <c r="C272" s="314" t="s">
        <v>727</v>
      </c>
      <c r="D272" s="314" t="s">
        <v>1426</v>
      </c>
      <c r="E272" s="314" t="s">
        <v>408</v>
      </c>
      <c r="F272" s="315"/>
      <c r="G272" s="315">
        <v>1</v>
      </c>
      <c r="H272" s="315">
        <v>1</v>
      </c>
      <c r="I272" s="315">
        <v>1</v>
      </c>
      <c r="J272" s="315">
        <v>1</v>
      </c>
      <c r="K272" s="315"/>
      <c r="L272" s="315">
        <v>1</v>
      </c>
      <c r="M272" s="315">
        <v>1</v>
      </c>
      <c r="N272" s="315"/>
      <c r="O272" s="315"/>
      <c r="P272" s="315">
        <v>1</v>
      </c>
      <c r="Q272" s="315">
        <v>1</v>
      </c>
      <c r="R272" s="315">
        <v>1</v>
      </c>
      <c r="S272" s="315"/>
      <c r="T272" s="315">
        <v>1</v>
      </c>
      <c r="U272" s="315">
        <v>1</v>
      </c>
      <c r="V272" s="315"/>
      <c r="W272" s="315"/>
      <c r="X272" s="315">
        <v>1</v>
      </c>
      <c r="Y272" s="315">
        <v>1</v>
      </c>
      <c r="Z272" s="315">
        <v>1</v>
      </c>
      <c r="AA272" s="315"/>
      <c r="AB272" s="315">
        <v>1</v>
      </c>
      <c r="AC272" s="315">
        <v>1</v>
      </c>
      <c r="AD272" s="315"/>
      <c r="AE272" s="315"/>
      <c r="AF272" s="315">
        <v>1</v>
      </c>
      <c r="AG272" s="315">
        <v>1</v>
      </c>
      <c r="AH272" s="315">
        <v>1</v>
      </c>
      <c r="AI272" s="315">
        <v>1</v>
      </c>
      <c r="AJ272" s="315">
        <v>1</v>
      </c>
      <c r="AK272" s="315">
        <v>1</v>
      </c>
      <c r="AL272" s="315"/>
      <c r="AM272" s="315">
        <v>1</v>
      </c>
      <c r="AN272" s="315">
        <v>1</v>
      </c>
      <c r="AO272" s="315">
        <v>1</v>
      </c>
      <c r="AP272" s="315">
        <v>1</v>
      </c>
      <c r="AQ272" s="317">
        <v>1</v>
      </c>
    </row>
    <row r="273" spans="1:43" s="378" customFormat="1" ht="44.25" customHeight="1">
      <c r="A273" s="313" t="s">
        <v>1505</v>
      </c>
      <c r="B273" s="313" t="s">
        <v>395</v>
      </c>
      <c r="C273" s="314" t="s">
        <v>728</v>
      </c>
      <c r="D273" s="314" t="s">
        <v>1428</v>
      </c>
      <c r="E273" s="314" t="s">
        <v>631</v>
      </c>
      <c r="F273" s="315"/>
      <c r="G273" s="315"/>
      <c r="H273" s="315">
        <v>1</v>
      </c>
      <c r="I273" s="315">
        <v>1</v>
      </c>
      <c r="J273" s="315">
        <v>1</v>
      </c>
      <c r="K273" s="315">
        <v>1</v>
      </c>
      <c r="L273" s="315">
        <v>1</v>
      </c>
      <c r="M273" s="315">
        <v>1</v>
      </c>
      <c r="N273" s="315"/>
      <c r="O273" s="315"/>
      <c r="P273" s="315">
        <v>1</v>
      </c>
      <c r="Q273" s="315">
        <v>1</v>
      </c>
      <c r="R273" s="315">
        <v>1</v>
      </c>
      <c r="S273" s="315"/>
      <c r="T273" s="315">
        <v>1</v>
      </c>
      <c r="U273" s="315">
        <v>1</v>
      </c>
      <c r="V273" s="315"/>
      <c r="W273" s="315"/>
      <c r="X273" s="315">
        <v>1</v>
      </c>
      <c r="Y273" s="315">
        <v>1</v>
      </c>
      <c r="Z273" s="315">
        <v>1</v>
      </c>
      <c r="AA273" s="315">
        <v>1</v>
      </c>
      <c r="AB273" s="315">
        <v>1</v>
      </c>
      <c r="AC273" s="315">
        <v>1</v>
      </c>
      <c r="AD273" s="315"/>
      <c r="AE273" s="315">
        <v>1</v>
      </c>
      <c r="AF273" s="315">
        <v>1</v>
      </c>
      <c r="AG273" s="315">
        <v>1</v>
      </c>
      <c r="AH273" s="315">
        <v>1</v>
      </c>
      <c r="AI273" s="315">
        <v>1</v>
      </c>
      <c r="AJ273" s="315">
        <v>1</v>
      </c>
      <c r="AK273" s="315">
        <v>1</v>
      </c>
      <c r="AL273" s="315"/>
      <c r="AM273" s="315"/>
      <c r="AN273" s="315">
        <v>1</v>
      </c>
      <c r="AO273" s="315">
        <v>1</v>
      </c>
      <c r="AP273" s="315"/>
      <c r="AQ273" s="317"/>
    </row>
    <row r="274" spans="1:43" s="378" customFormat="1" ht="44.25" customHeight="1">
      <c r="A274" s="313" t="s">
        <v>1505</v>
      </c>
      <c r="B274" s="313" t="s">
        <v>395</v>
      </c>
      <c r="C274" s="314" t="s">
        <v>729</v>
      </c>
      <c r="D274" s="314" t="s">
        <v>1428</v>
      </c>
      <c r="E274" s="314" t="s">
        <v>730</v>
      </c>
      <c r="F274" s="315"/>
      <c r="G274" s="315"/>
      <c r="H274" s="315">
        <v>1</v>
      </c>
      <c r="I274" s="315">
        <v>1</v>
      </c>
      <c r="J274" s="315">
        <v>1</v>
      </c>
      <c r="K274" s="315">
        <v>1</v>
      </c>
      <c r="L274" s="315">
        <v>1</v>
      </c>
      <c r="M274" s="315">
        <v>1</v>
      </c>
      <c r="N274" s="315"/>
      <c r="O274" s="315"/>
      <c r="P274" s="315">
        <v>1</v>
      </c>
      <c r="Q274" s="315">
        <v>1</v>
      </c>
      <c r="R274" s="315"/>
      <c r="S274" s="315">
        <v>1</v>
      </c>
      <c r="T274" s="315">
        <v>1</v>
      </c>
      <c r="U274" s="315">
        <v>1</v>
      </c>
      <c r="V274" s="315"/>
      <c r="W274" s="315"/>
      <c r="X274" s="315">
        <v>1</v>
      </c>
      <c r="Y274" s="315">
        <v>1</v>
      </c>
      <c r="Z274" s="315">
        <v>1</v>
      </c>
      <c r="AA274" s="315">
        <v>1</v>
      </c>
      <c r="AB274" s="315"/>
      <c r="AC274" s="315">
        <v>1</v>
      </c>
      <c r="AD274" s="315"/>
      <c r="AE274" s="315">
        <v>1</v>
      </c>
      <c r="AF274" s="315">
        <v>1</v>
      </c>
      <c r="AG274" s="315">
        <v>1</v>
      </c>
      <c r="AH274" s="315">
        <v>1</v>
      </c>
      <c r="AI274" s="315">
        <v>1</v>
      </c>
      <c r="AJ274" s="315">
        <v>1</v>
      </c>
      <c r="AK274" s="315">
        <v>1</v>
      </c>
      <c r="AL274" s="315">
        <v>1</v>
      </c>
      <c r="AM274" s="315">
        <v>1</v>
      </c>
      <c r="AN274" s="315">
        <v>1</v>
      </c>
      <c r="AO274" s="315"/>
      <c r="AP274" s="315"/>
      <c r="AQ274" s="317"/>
    </row>
    <row r="275" spans="1:43" s="378" customFormat="1" ht="44.25" customHeight="1">
      <c r="A275" s="313" t="s">
        <v>1505</v>
      </c>
      <c r="B275" s="313" t="s">
        <v>384</v>
      </c>
      <c r="C275" s="314" t="s">
        <v>731</v>
      </c>
      <c r="D275" s="314" t="s">
        <v>1430</v>
      </c>
      <c r="E275" s="314" t="s">
        <v>1530</v>
      </c>
      <c r="F275" s="315"/>
      <c r="G275" s="315"/>
      <c r="H275" s="315">
        <v>1</v>
      </c>
      <c r="I275" s="315">
        <v>1</v>
      </c>
      <c r="J275" s="315">
        <v>1</v>
      </c>
      <c r="K275" s="315">
        <v>1</v>
      </c>
      <c r="L275" s="315">
        <v>1</v>
      </c>
      <c r="M275" s="315">
        <v>1</v>
      </c>
      <c r="N275" s="315"/>
      <c r="O275" s="315"/>
      <c r="P275" s="315">
        <v>1</v>
      </c>
      <c r="Q275" s="315">
        <v>1</v>
      </c>
      <c r="R275" s="315">
        <v>1</v>
      </c>
      <c r="S275" s="315">
        <v>1</v>
      </c>
      <c r="T275" s="315">
        <v>1</v>
      </c>
      <c r="U275" s="315">
        <v>1</v>
      </c>
      <c r="V275" s="315"/>
      <c r="W275" s="315">
        <v>1</v>
      </c>
      <c r="X275" s="315">
        <v>1</v>
      </c>
      <c r="Y275" s="315">
        <v>1</v>
      </c>
      <c r="Z275" s="315">
        <v>1</v>
      </c>
      <c r="AA275" s="315">
        <v>1</v>
      </c>
      <c r="AB275" s="315">
        <v>1</v>
      </c>
      <c r="AC275" s="315">
        <v>1</v>
      </c>
      <c r="AD275" s="315"/>
      <c r="AE275" s="315"/>
      <c r="AF275" s="315">
        <v>1</v>
      </c>
      <c r="AG275" s="315">
        <v>1</v>
      </c>
      <c r="AH275" s="315">
        <v>1</v>
      </c>
      <c r="AI275" s="315">
        <v>1</v>
      </c>
      <c r="AJ275" s="315"/>
      <c r="AK275" s="315"/>
      <c r="AL275" s="315">
        <v>1</v>
      </c>
      <c r="AM275" s="315"/>
      <c r="AN275" s="315">
        <v>1</v>
      </c>
      <c r="AO275" s="315">
        <v>1</v>
      </c>
      <c r="AP275" s="315">
        <v>1</v>
      </c>
      <c r="AQ275" s="317">
        <v>1</v>
      </c>
    </row>
    <row r="276" spans="1:43" s="378" customFormat="1" ht="44.25" customHeight="1">
      <c r="A276" s="313" t="s">
        <v>1505</v>
      </c>
      <c r="B276" s="313" t="s">
        <v>384</v>
      </c>
      <c r="C276" s="314" t="s">
        <v>733</v>
      </c>
      <c r="D276" s="314" t="s">
        <v>1430</v>
      </c>
      <c r="E276" s="314" t="s">
        <v>568</v>
      </c>
      <c r="F276" s="315"/>
      <c r="G276" s="315"/>
      <c r="H276" s="315">
        <v>1</v>
      </c>
      <c r="I276" s="315">
        <v>1</v>
      </c>
      <c r="J276" s="315">
        <v>1</v>
      </c>
      <c r="K276" s="315"/>
      <c r="L276" s="315"/>
      <c r="M276" s="315">
        <v>1</v>
      </c>
      <c r="N276" s="315"/>
      <c r="O276" s="315"/>
      <c r="P276" s="315">
        <v>1</v>
      </c>
      <c r="Q276" s="315">
        <v>1</v>
      </c>
      <c r="R276" s="315">
        <v>1</v>
      </c>
      <c r="S276" s="315"/>
      <c r="T276" s="315">
        <v>1</v>
      </c>
      <c r="U276" s="315">
        <v>1</v>
      </c>
      <c r="V276" s="315"/>
      <c r="W276" s="315">
        <v>1</v>
      </c>
      <c r="X276" s="315">
        <v>1</v>
      </c>
      <c r="Y276" s="315">
        <v>1</v>
      </c>
      <c r="Z276" s="315">
        <v>1</v>
      </c>
      <c r="AA276" s="315"/>
      <c r="AB276" s="315">
        <v>1</v>
      </c>
      <c r="AC276" s="315">
        <v>1</v>
      </c>
      <c r="AD276" s="315"/>
      <c r="AE276" s="315"/>
      <c r="AF276" s="315"/>
      <c r="AG276" s="315"/>
      <c r="AH276" s="315"/>
      <c r="AI276" s="315">
        <v>1</v>
      </c>
      <c r="AJ276" s="315"/>
      <c r="AK276" s="315"/>
      <c r="AL276" s="315"/>
      <c r="AM276" s="315"/>
      <c r="AN276" s="315"/>
      <c r="AO276" s="315"/>
      <c r="AP276" s="315"/>
      <c r="AQ276" s="317"/>
    </row>
    <row r="277" spans="1:43" s="378" customFormat="1" ht="44.25" customHeight="1">
      <c r="A277" s="313" t="s">
        <v>1505</v>
      </c>
      <c r="B277" s="313" t="s">
        <v>395</v>
      </c>
      <c r="C277" s="314" t="s">
        <v>734</v>
      </c>
      <c r="D277" s="314" t="s">
        <v>1430</v>
      </c>
      <c r="E277" s="314" t="s">
        <v>1531</v>
      </c>
      <c r="F277" s="315"/>
      <c r="G277" s="315"/>
      <c r="H277" s="315"/>
      <c r="I277" s="315"/>
      <c r="J277" s="315">
        <v>1</v>
      </c>
      <c r="K277" s="315">
        <v>1</v>
      </c>
      <c r="L277" s="315">
        <v>1</v>
      </c>
      <c r="M277" s="315">
        <v>1</v>
      </c>
      <c r="N277" s="315"/>
      <c r="O277" s="315"/>
      <c r="P277" s="315">
        <v>1</v>
      </c>
      <c r="Q277" s="315">
        <v>1</v>
      </c>
      <c r="R277" s="315">
        <v>1</v>
      </c>
      <c r="S277" s="315"/>
      <c r="T277" s="315">
        <v>1</v>
      </c>
      <c r="U277" s="315"/>
      <c r="V277" s="315"/>
      <c r="W277" s="315"/>
      <c r="X277" s="315"/>
      <c r="Y277" s="315"/>
      <c r="Z277" s="315">
        <v>1</v>
      </c>
      <c r="AA277" s="315">
        <v>1</v>
      </c>
      <c r="AB277" s="315">
        <v>1</v>
      </c>
      <c r="AC277" s="315">
        <v>1</v>
      </c>
      <c r="AD277" s="315"/>
      <c r="AE277" s="315">
        <v>1</v>
      </c>
      <c r="AF277" s="315">
        <v>1</v>
      </c>
      <c r="AG277" s="315">
        <v>1</v>
      </c>
      <c r="AH277" s="315"/>
      <c r="AI277" s="315"/>
      <c r="AJ277" s="315">
        <v>1</v>
      </c>
      <c r="AK277" s="315">
        <v>1</v>
      </c>
      <c r="AL277" s="315">
        <v>1</v>
      </c>
      <c r="AM277" s="315">
        <v>1</v>
      </c>
      <c r="AN277" s="315">
        <v>1</v>
      </c>
      <c r="AO277" s="315">
        <v>1</v>
      </c>
      <c r="AP277" s="315"/>
      <c r="AQ277" s="317"/>
    </row>
    <row r="278" spans="1:43" s="378" customFormat="1" ht="44.25" customHeight="1">
      <c r="A278" s="313" t="s">
        <v>1505</v>
      </c>
      <c r="B278" s="313" t="s">
        <v>395</v>
      </c>
      <c r="C278" s="314" t="s">
        <v>736</v>
      </c>
      <c r="D278" s="314" t="s">
        <v>1430</v>
      </c>
      <c r="E278" s="314" t="s">
        <v>541</v>
      </c>
      <c r="F278" s="315"/>
      <c r="G278" s="315"/>
      <c r="H278" s="315">
        <v>1</v>
      </c>
      <c r="I278" s="315">
        <v>1</v>
      </c>
      <c r="J278" s="315">
        <v>1</v>
      </c>
      <c r="K278" s="315">
        <v>1</v>
      </c>
      <c r="L278" s="315">
        <v>1</v>
      </c>
      <c r="M278" s="315">
        <v>1</v>
      </c>
      <c r="N278" s="315"/>
      <c r="O278" s="315"/>
      <c r="P278" s="315">
        <v>1</v>
      </c>
      <c r="Q278" s="315">
        <v>1</v>
      </c>
      <c r="R278" s="315">
        <v>1</v>
      </c>
      <c r="S278" s="315"/>
      <c r="T278" s="315">
        <v>1</v>
      </c>
      <c r="U278" s="315">
        <v>1</v>
      </c>
      <c r="V278" s="315"/>
      <c r="W278" s="315">
        <v>1</v>
      </c>
      <c r="X278" s="315">
        <v>1</v>
      </c>
      <c r="Y278" s="315">
        <v>1</v>
      </c>
      <c r="Z278" s="315">
        <v>1</v>
      </c>
      <c r="AA278" s="315">
        <v>1</v>
      </c>
      <c r="AB278" s="315">
        <v>1</v>
      </c>
      <c r="AC278" s="315">
        <v>1</v>
      </c>
      <c r="AD278" s="315"/>
      <c r="AE278" s="315"/>
      <c r="AF278" s="315">
        <v>1</v>
      </c>
      <c r="AG278" s="315">
        <v>1</v>
      </c>
      <c r="AH278" s="315"/>
      <c r="AI278" s="315">
        <v>1</v>
      </c>
      <c r="AJ278" s="315">
        <v>1</v>
      </c>
      <c r="AK278" s="315">
        <v>1</v>
      </c>
      <c r="AL278" s="315">
        <v>1</v>
      </c>
      <c r="AM278" s="315">
        <v>1</v>
      </c>
      <c r="AN278" s="315"/>
      <c r="AO278" s="315"/>
      <c r="AP278" s="315">
        <v>1</v>
      </c>
      <c r="AQ278" s="317">
        <v>1</v>
      </c>
    </row>
    <row r="279" spans="1:43" s="378" customFormat="1" ht="44.25" customHeight="1">
      <c r="A279" s="313" t="s">
        <v>1505</v>
      </c>
      <c r="B279" s="313" t="s">
        <v>395</v>
      </c>
      <c r="C279" s="314" t="s">
        <v>737</v>
      </c>
      <c r="D279" s="314" t="s">
        <v>1430</v>
      </c>
      <c r="E279" s="314" t="s">
        <v>426</v>
      </c>
      <c r="F279" s="315"/>
      <c r="G279" s="315"/>
      <c r="H279" s="315">
        <v>1</v>
      </c>
      <c r="I279" s="315">
        <v>1</v>
      </c>
      <c r="J279" s="315"/>
      <c r="K279" s="315">
        <v>1</v>
      </c>
      <c r="L279" s="315">
        <v>1</v>
      </c>
      <c r="M279" s="315">
        <v>1</v>
      </c>
      <c r="N279" s="315"/>
      <c r="O279" s="315"/>
      <c r="P279" s="315">
        <v>1</v>
      </c>
      <c r="Q279" s="315">
        <v>1</v>
      </c>
      <c r="R279" s="315"/>
      <c r="S279" s="315"/>
      <c r="T279" s="315"/>
      <c r="U279" s="315">
        <v>1</v>
      </c>
      <c r="V279" s="315"/>
      <c r="W279" s="315"/>
      <c r="X279" s="315">
        <v>1</v>
      </c>
      <c r="Y279" s="315">
        <v>1</v>
      </c>
      <c r="Z279" s="315">
        <v>1</v>
      </c>
      <c r="AA279" s="315">
        <v>1</v>
      </c>
      <c r="AB279" s="315">
        <v>1</v>
      </c>
      <c r="AC279" s="315">
        <v>1</v>
      </c>
      <c r="AD279" s="315"/>
      <c r="AE279" s="315">
        <v>1</v>
      </c>
      <c r="AF279" s="315">
        <v>1</v>
      </c>
      <c r="AG279" s="315">
        <v>1</v>
      </c>
      <c r="AH279" s="315"/>
      <c r="AI279" s="315">
        <v>1</v>
      </c>
      <c r="AJ279" s="315">
        <v>1</v>
      </c>
      <c r="AK279" s="315">
        <v>1</v>
      </c>
      <c r="AL279" s="315">
        <v>1</v>
      </c>
      <c r="AM279" s="315">
        <v>1</v>
      </c>
      <c r="AN279" s="315"/>
      <c r="AO279" s="315"/>
      <c r="AP279" s="315"/>
      <c r="AQ279" s="317"/>
    </row>
    <row r="280" spans="1:43" s="378" customFormat="1" ht="44.25" customHeight="1">
      <c r="A280" s="313" t="s">
        <v>1505</v>
      </c>
      <c r="B280" s="313" t="s">
        <v>384</v>
      </c>
      <c r="C280" s="314" t="s">
        <v>738</v>
      </c>
      <c r="D280" s="314" t="s">
        <v>1430</v>
      </c>
      <c r="E280" s="314" t="s">
        <v>1532</v>
      </c>
      <c r="F280" s="315"/>
      <c r="G280" s="315"/>
      <c r="H280" s="315"/>
      <c r="I280" s="315"/>
      <c r="J280" s="315">
        <v>1</v>
      </c>
      <c r="K280" s="315"/>
      <c r="L280" s="315">
        <v>1</v>
      </c>
      <c r="M280" s="315">
        <v>1</v>
      </c>
      <c r="N280" s="315"/>
      <c r="O280" s="315"/>
      <c r="P280" s="315">
        <v>1</v>
      </c>
      <c r="Q280" s="315">
        <v>1</v>
      </c>
      <c r="R280" s="315">
        <v>1</v>
      </c>
      <c r="S280" s="315"/>
      <c r="T280" s="315">
        <v>1</v>
      </c>
      <c r="U280" s="315">
        <v>1</v>
      </c>
      <c r="V280" s="315"/>
      <c r="W280" s="315">
        <v>1</v>
      </c>
      <c r="X280" s="315">
        <v>1</v>
      </c>
      <c r="Y280" s="315">
        <v>1</v>
      </c>
      <c r="Z280" s="315">
        <v>1</v>
      </c>
      <c r="AA280" s="315"/>
      <c r="AB280" s="315">
        <v>1</v>
      </c>
      <c r="AC280" s="315">
        <v>1</v>
      </c>
      <c r="AD280" s="315"/>
      <c r="AE280" s="315"/>
      <c r="AF280" s="315">
        <v>1</v>
      </c>
      <c r="AG280" s="315">
        <v>1</v>
      </c>
      <c r="AH280" s="315">
        <v>1</v>
      </c>
      <c r="AI280" s="315">
        <v>1</v>
      </c>
      <c r="AJ280" s="315">
        <v>1</v>
      </c>
      <c r="AK280" s="315">
        <v>1</v>
      </c>
      <c r="AL280" s="315"/>
      <c r="AM280" s="315"/>
      <c r="AN280" s="315">
        <v>1</v>
      </c>
      <c r="AO280" s="315">
        <v>1</v>
      </c>
      <c r="AP280" s="315"/>
      <c r="AQ280" s="317"/>
    </row>
    <row r="281" spans="1:43" s="378" customFormat="1" ht="44.25" customHeight="1">
      <c r="A281" s="313" t="s">
        <v>1505</v>
      </c>
      <c r="B281" s="313" t="s">
        <v>384</v>
      </c>
      <c r="C281" s="314" t="s">
        <v>740</v>
      </c>
      <c r="D281" s="314" t="s">
        <v>1430</v>
      </c>
      <c r="E281" s="314" t="s">
        <v>607</v>
      </c>
      <c r="F281" s="315"/>
      <c r="G281" s="315"/>
      <c r="H281" s="315">
        <v>1</v>
      </c>
      <c r="I281" s="315">
        <v>1</v>
      </c>
      <c r="J281" s="315">
        <v>1</v>
      </c>
      <c r="K281" s="315"/>
      <c r="L281" s="315">
        <v>1</v>
      </c>
      <c r="M281" s="315">
        <v>1</v>
      </c>
      <c r="N281" s="315"/>
      <c r="O281" s="315"/>
      <c r="P281" s="315">
        <v>1</v>
      </c>
      <c r="Q281" s="315">
        <v>1</v>
      </c>
      <c r="R281" s="315">
        <v>1</v>
      </c>
      <c r="S281" s="315">
        <v>1</v>
      </c>
      <c r="T281" s="315">
        <v>1</v>
      </c>
      <c r="U281" s="315">
        <v>1</v>
      </c>
      <c r="V281" s="315"/>
      <c r="W281" s="315">
        <v>1</v>
      </c>
      <c r="X281" s="315">
        <v>1</v>
      </c>
      <c r="Y281" s="315">
        <v>1</v>
      </c>
      <c r="Z281" s="315">
        <v>1</v>
      </c>
      <c r="AA281" s="315"/>
      <c r="AB281" s="315">
        <v>1</v>
      </c>
      <c r="AC281" s="315">
        <v>1</v>
      </c>
      <c r="AD281" s="315"/>
      <c r="AE281" s="315"/>
      <c r="AF281" s="315">
        <v>1</v>
      </c>
      <c r="AG281" s="315">
        <v>1</v>
      </c>
      <c r="AH281" s="315">
        <v>1</v>
      </c>
      <c r="AI281" s="315">
        <v>1</v>
      </c>
      <c r="AJ281" s="315">
        <v>1</v>
      </c>
      <c r="AK281" s="315">
        <v>1</v>
      </c>
      <c r="AL281" s="315"/>
      <c r="AM281" s="315"/>
      <c r="AN281" s="315">
        <v>1</v>
      </c>
      <c r="AO281" s="315">
        <v>1</v>
      </c>
      <c r="AP281" s="315">
        <v>1</v>
      </c>
      <c r="AQ281" s="317">
        <v>1</v>
      </c>
    </row>
    <row r="282" spans="1:43" s="378" customFormat="1" ht="44.25" customHeight="1">
      <c r="A282" s="313" t="s">
        <v>1505</v>
      </c>
      <c r="B282" s="313" t="s">
        <v>395</v>
      </c>
      <c r="C282" s="314" t="s">
        <v>741</v>
      </c>
      <c r="D282" s="314" t="s">
        <v>1428</v>
      </c>
      <c r="E282" s="314" t="s">
        <v>528</v>
      </c>
      <c r="F282" s="315"/>
      <c r="G282" s="315"/>
      <c r="H282" s="315"/>
      <c r="I282" s="315"/>
      <c r="J282" s="315">
        <v>1</v>
      </c>
      <c r="K282" s="315">
        <v>1</v>
      </c>
      <c r="L282" s="315">
        <v>1</v>
      </c>
      <c r="M282" s="315">
        <v>1</v>
      </c>
      <c r="N282" s="315"/>
      <c r="O282" s="315">
        <v>1</v>
      </c>
      <c r="P282" s="315">
        <v>1</v>
      </c>
      <c r="Q282" s="315">
        <v>1</v>
      </c>
      <c r="R282" s="315">
        <v>1</v>
      </c>
      <c r="S282" s="315">
        <v>1</v>
      </c>
      <c r="T282" s="315">
        <v>1</v>
      </c>
      <c r="U282" s="315">
        <v>1</v>
      </c>
      <c r="V282" s="315"/>
      <c r="W282" s="315">
        <v>1</v>
      </c>
      <c r="X282" s="315">
        <v>1</v>
      </c>
      <c r="Y282" s="315">
        <v>1</v>
      </c>
      <c r="Z282" s="315">
        <v>1</v>
      </c>
      <c r="AA282" s="315">
        <v>1</v>
      </c>
      <c r="AB282" s="315">
        <v>1</v>
      </c>
      <c r="AC282" s="315">
        <v>1</v>
      </c>
      <c r="AD282" s="315"/>
      <c r="AE282" s="315"/>
      <c r="AF282" s="315"/>
      <c r="AG282" s="315"/>
      <c r="AH282" s="315">
        <v>1</v>
      </c>
      <c r="AI282" s="315"/>
      <c r="AJ282" s="315"/>
      <c r="AK282" s="315"/>
      <c r="AL282" s="315">
        <v>1</v>
      </c>
      <c r="AM282" s="315"/>
      <c r="AN282" s="315">
        <v>1</v>
      </c>
      <c r="AO282" s="315">
        <v>1</v>
      </c>
      <c r="AP282" s="315">
        <v>1</v>
      </c>
      <c r="AQ282" s="317">
        <v>1</v>
      </c>
    </row>
    <row r="283" spans="1:43" s="378" customFormat="1" ht="44.25" customHeight="1">
      <c r="A283" s="313" t="s">
        <v>1505</v>
      </c>
      <c r="B283" s="313" t="s">
        <v>395</v>
      </c>
      <c r="C283" s="314" t="s">
        <v>742</v>
      </c>
      <c r="D283" s="314" t="s">
        <v>1428</v>
      </c>
      <c r="E283" s="314" t="s">
        <v>528</v>
      </c>
      <c r="F283" s="315"/>
      <c r="G283" s="315">
        <v>1</v>
      </c>
      <c r="H283" s="315">
        <v>1</v>
      </c>
      <c r="I283" s="315">
        <v>1</v>
      </c>
      <c r="J283" s="315">
        <v>1</v>
      </c>
      <c r="K283" s="315"/>
      <c r="L283" s="315">
        <v>1</v>
      </c>
      <c r="M283" s="315">
        <v>1</v>
      </c>
      <c r="N283" s="315"/>
      <c r="O283" s="315"/>
      <c r="P283" s="315">
        <v>1</v>
      </c>
      <c r="Q283" s="315">
        <v>1</v>
      </c>
      <c r="R283" s="315">
        <v>1</v>
      </c>
      <c r="S283" s="315">
        <v>1</v>
      </c>
      <c r="T283" s="315">
        <v>1</v>
      </c>
      <c r="U283" s="315"/>
      <c r="V283" s="315"/>
      <c r="W283" s="315">
        <v>1</v>
      </c>
      <c r="X283" s="315">
        <v>1</v>
      </c>
      <c r="Y283" s="315">
        <v>1</v>
      </c>
      <c r="Z283" s="315">
        <v>1</v>
      </c>
      <c r="AA283" s="315">
        <v>1</v>
      </c>
      <c r="AB283" s="315">
        <v>1</v>
      </c>
      <c r="AC283" s="315">
        <v>1</v>
      </c>
      <c r="AD283" s="315"/>
      <c r="AE283" s="315"/>
      <c r="AF283" s="315"/>
      <c r="AG283" s="315"/>
      <c r="AH283" s="315">
        <v>1</v>
      </c>
      <c r="AI283" s="315"/>
      <c r="AJ283" s="315"/>
      <c r="AK283" s="315"/>
      <c r="AL283" s="315"/>
      <c r="AM283" s="315"/>
      <c r="AN283" s="315">
        <v>1</v>
      </c>
      <c r="AO283" s="315">
        <v>1</v>
      </c>
      <c r="AP283" s="315"/>
      <c r="AQ283" s="317"/>
    </row>
    <row r="284" spans="1:43" s="378" customFormat="1" ht="44.25" customHeight="1">
      <c r="A284" s="313" t="s">
        <v>1505</v>
      </c>
      <c r="B284" s="313" t="s">
        <v>395</v>
      </c>
      <c r="C284" s="314" t="s">
        <v>743</v>
      </c>
      <c r="D284" s="314" t="s">
        <v>1428</v>
      </c>
      <c r="E284" s="314" t="s">
        <v>744</v>
      </c>
      <c r="F284" s="315"/>
      <c r="G284" s="315">
        <v>1</v>
      </c>
      <c r="H284" s="315">
        <v>1</v>
      </c>
      <c r="I284" s="315">
        <v>1</v>
      </c>
      <c r="J284" s="315">
        <v>1</v>
      </c>
      <c r="K284" s="315">
        <v>1</v>
      </c>
      <c r="L284" s="315">
        <v>1</v>
      </c>
      <c r="M284" s="315">
        <v>1</v>
      </c>
      <c r="N284" s="315"/>
      <c r="O284" s="315">
        <v>1</v>
      </c>
      <c r="P284" s="315">
        <v>1</v>
      </c>
      <c r="Q284" s="315">
        <v>1</v>
      </c>
      <c r="R284" s="315">
        <v>1</v>
      </c>
      <c r="S284" s="315">
        <v>1</v>
      </c>
      <c r="T284" s="315"/>
      <c r="U284" s="315"/>
      <c r="V284" s="315"/>
      <c r="W284" s="315"/>
      <c r="X284" s="315">
        <v>1</v>
      </c>
      <c r="Y284" s="315">
        <v>1</v>
      </c>
      <c r="Z284" s="315">
        <v>1</v>
      </c>
      <c r="AA284" s="315">
        <v>1</v>
      </c>
      <c r="AB284" s="315">
        <v>1</v>
      </c>
      <c r="AC284" s="315">
        <v>1</v>
      </c>
      <c r="AD284" s="315"/>
      <c r="AE284" s="315"/>
      <c r="AF284" s="315"/>
      <c r="AG284" s="315"/>
      <c r="AH284" s="315"/>
      <c r="AI284" s="315"/>
      <c r="AJ284" s="315"/>
      <c r="AK284" s="315"/>
      <c r="AL284" s="315">
        <v>1</v>
      </c>
      <c r="AM284" s="315"/>
      <c r="AN284" s="315">
        <v>1</v>
      </c>
      <c r="AO284" s="315">
        <v>1</v>
      </c>
      <c r="AP284" s="315"/>
      <c r="AQ284" s="317"/>
    </row>
    <row r="285" spans="1:43" s="378" customFormat="1" ht="44.25" customHeight="1">
      <c r="A285" s="313" t="s">
        <v>1505</v>
      </c>
      <c r="B285" s="313" t="s">
        <v>395</v>
      </c>
      <c r="C285" s="314" t="s">
        <v>745</v>
      </c>
      <c r="D285" s="314" t="s">
        <v>1428</v>
      </c>
      <c r="E285" s="314" t="s">
        <v>528</v>
      </c>
      <c r="F285" s="315"/>
      <c r="G285" s="315"/>
      <c r="H285" s="315"/>
      <c r="I285" s="315"/>
      <c r="J285" s="315">
        <v>1</v>
      </c>
      <c r="K285" s="315"/>
      <c r="L285" s="315">
        <v>1</v>
      </c>
      <c r="M285" s="315">
        <v>1</v>
      </c>
      <c r="N285" s="315"/>
      <c r="O285" s="315">
        <v>1</v>
      </c>
      <c r="P285" s="315">
        <v>1</v>
      </c>
      <c r="Q285" s="315">
        <v>1</v>
      </c>
      <c r="R285" s="315">
        <v>1</v>
      </c>
      <c r="S285" s="315">
        <v>1</v>
      </c>
      <c r="T285" s="315">
        <v>1</v>
      </c>
      <c r="U285" s="315">
        <v>1</v>
      </c>
      <c r="V285" s="315"/>
      <c r="W285" s="315">
        <v>1</v>
      </c>
      <c r="X285" s="315">
        <v>1</v>
      </c>
      <c r="Y285" s="315">
        <v>1</v>
      </c>
      <c r="Z285" s="315">
        <v>1</v>
      </c>
      <c r="AA285" s="315">
        <v>1</v>
      </c>
      <c r="AB285" s="315">
        <v>1</v>
      </c>
      <c r="AC285" s="315">
        <v>1</v>
      </c>
      <c r="AD285" s="315"/>
      <c r="AE285" s="315"/>
      <c r="AF285" s="315"/>
      <c r="AG285" s="315"/>
      <c r="AH285" s="315"/>
      <c r="AI285" s="315"/>
      <c r="AJ285" s="315"/>
      <c r="AK285" s="315"/>
      <c r="AL285" s="315">
        <v>1</v>
      </c>
      <c r="AM285" s="315"/>
      <c r="AN285" s="315">
        <v>1</v>
      </c>
      <c r="AO285" s="315">
        <v>1</v>
      </c>
      <c r="AP285" s="315">
        <v>1</v>
      </c>
      <c r="AQ285" s="316">
        <v>1</v>
      </c>
    </row>
    <row r="286" spans="1:43" s="378" customFormat="1" ht="44.25" customHeight="1">
      <c r="A286" s="313" t="s">
        <v>1505</v>
      </c>
      <c r="B286" s="313" t="s">
        <v>395</v>
      </c>
      <c r="C286" s="314" t="s">
        <v>746</v>
      </c>
      <c r="D286" s="314" t="s">
        <v>1428</v>
      </c>
      <c r="E286" s="314" t="s">
        <v>747</v>
      </c>
      <c r="F286" s="315"/>
      <c r="G286" s="315">
        <v>1</v>
      </c>
      <c r="H286" s="315">
        <v>1</v>
      </c>
      <c r="I286" s="315">
        <v>1</v>
      </c>
      <c r="J286" s="315">
        <v>1</v>
      </c>
      <c r="K286" s="315">
        <v>1</v>
      </c>
      <c r="L286" s="315">
        <v>1</v>
      </c>
      <c r="M286" s="315">
        <v>1</v>
      </c>
      <c r="N286" s="315"/>
      <c r="O286" s="315"/>
      <c r="P286" s="315"/>
      <c r="Q286" s="315"/>
      <c r="R286" s="315">
        <v>1</v>
      </c>
      <c r="S286" s="315">
        <v>1</v>
      </c>
      <c r="T286" s="315"/>
      <c r="U286" s="315">
        <v>1</v>
      </c>
      <c r="V286" s="315"/>
      <c r="W286" s="315">
        <v>1</v>
      </c>
      <c r="X286" s="315">
        <v>1</v>
      </c>
      <c r="Y286" s="315">
        <v>1</v>
      </c>
      <c r="Z286" s="315">
        <v>1</v>
      </c>
      <c r="AA286" s="315"/>
      <c r="AB286" s="315">
        <v>1</v>
      </c>
      <c r="AC286" s="315">
        <v>1</v>
      </c>
      <c r="AD286" s="315"/>
      <c r="AE286" s="315"/>
      <c r="AF286" s="315"/>
      <c r="AG286" s="315"/>
      <c r="AH286" s="315">
        <v>1</v>
      </c>
      <c r="AI286" s="315"/>
      <c r="AJ286" s="315"/>
      <c r="AK286" s="315"/>
      <c r="AL286" s="315"/>
      <c r="AM286" s="315"/>
      <c r="AN286" s="315">
        <v>1</v>
      </c>
      <c r="AO286" s="315">
        <v>1</v>
      </c>
      <c r="AP286" s="315">
        <v>1</v>
      </c>
      <c r="AQ286" s="316">
        <v>1</v>
      </c>
    </row>
    <row r="287" spans="1:43" s="378" customFormat="1" ht="44.25" customHeight="1">
      <c r="A287" s="313" t="s">
        <v>1505</v>
      </c>
      <c r="B287" s="313" t="s">
        <v>395</v>
      </c>
      <c r="C287" s="314" t="s">
        <v>748</v>
      </c>
      <c r="D287" s="314" t="s">
        <v>1428</v>
      </c>
      <c r="E287" s="314" t="s">
        <v>575</v>
      </c>
      <c r="F287" s="315"/>
      <c r="G287" s="315">
        <v>1</v>
      </c>
      <c r="H287" s="315">
        <v>1</v>
      </c>
      <c r="I287" s="315">
        <v>1</v>
      </c>
      <c r="J287" s="315">
        <v>1</v>
      </c>
      <c r="K287" s="315">
        <v>1</v>
      </c>
      <c r="L287" s="315">
        <v>1</v>
      </c>
      <c r="M287" s="315">
        <v>1</v>
      </c>
      <c r="N287" s="315"/>
      <c r="O287" s="315"/>
      <c r="P287" s="315"/>
      <c r="Q287" s="315"/>
      <c r="R287" s="315">
        <v>1</v>
      </c>
      <c r="S287" s="315"/>
      <c r="T287" s="315"/>
      <c r="U287" s="315">
        <v>1</v>
      </c>
      <c r="V287" s="315"/>
      <c r="W287" s="315">
        <v>1</v>
      </c>
      <c r="X287" s="315">
        <v>1</v>
      </c>
      <c r="Y287" s="315">
        <v>1</v>
      </c>
      <c r="Z287" s="315">
        <v>1</v>
      </c>
      <c r="AA287" s="315"/>
      <c r="AB287" s="315">
        <v>1</v>
      </c>
      <c r="AC287" s="315">
        <v>1</v>
      </c>
      <c r="AD287" s="315"/>
      <c r="AE287" s="315"/>
      <c r="AF287" s="315"/>
      <c r="AG287" s="315"/>
      <c r="AH287" s="315">
        <v>1</v>
      </c>
      <c r="AI287" s="315"/>
      <c r="AJ287" s="315">
        <v>1</v>
      </c>
      <c r="AK287" s="315">
        <v>1</v>
      </c>
      <c r="AL287" s="315"/>
      <c r="AM287" s="315">
        <v>1</v>
      </c>
      <c r="AN287" s="315">
        <v>1</v>
      </c>
      <c r="AO287" s="315">
        <v>1</v>
      </c>
      <c r="AP287" s="315">
        <v>1</v>
      </c>
      <c r="AQ287" s="316">
        <v>1</v>
      </c>
    </row>
    <row r="288" spans="1:43" s="378" customFormat="1" ht="44.25" customHeight="1">
      <c r="A288" s="313" t="s">
        <v>1505</v>
      </c>
      <c r="B288" s="313" t="s">
        <v>395</v>
      </c>
      <c r="C288" s="314" t="s">
        <v>749</v>
      </c>
      <c r="D288" s="314" t="s">
        <v>1428</v>
      </c>
      <c r="E288" s="314" t="s">
        <v>575</v>
      </c>
      <c r="F288" s="315"/>
      <c r="G288" s="315">
        <v>1</v>
      </c>
      <c r="H288" s="315">
        <v>1</v>
      </c>
      <c r="I288" s="315">
        <v>1</v>
      </c>
      <c r="J288" s="315">
        <v>1</v>
      </c>
      <c r="K288" s="315">
        <v>1</v>
      </c>
      <c r="L288" s="315">
        <v>1</v>
      </c>
      <c r="M288" s="315">
        <v>1</v>
      </c>
      <c r="N288" s="315"/>
      <c r="O288" s="315"/>
      <c r="P288" s="315">
        <v>1</v>
      </c>
      <c r="Q288" s="315">
        <v>1</v>
      </c>
      <c r="R288" s="315">
        <v>1</v>
      </c>
      <c r="S288" s="315">
        <v>1</v>
      </c>
      <c r="T288" s="315">
        <v>1</v>
      </c>
      <c r="U288" s="315">
        <v>1</v>
      </c>
      <c r="V288" s="315"/>
      <c r="W288" s="315">
        <v>1</v>
      </c>
      <c r="X288" s="315">
        <v>1</v>
      </c>
      <c r="Y288" s="315">
        <v>1</v>
      </c>
      <c r="Z288" s="315">
        <v>1</v>
      </c>
      <c r="AA288" s="315">
        <v>1</v>
      </c>
      <c r="AB288" s="315">
        <v>1</v>
      </c>
      <c r="AC288" s="315">
        <v>1</v>
      </c>
      <c r="AD288" s="315"/>
      <c r="AE288" s="315"/>
      <c r="AF288" s="315"/>
      <c r="AG288" s="315"/>
      <c r="AH288" s="315"/>
      <c r="AI288" s="315"/>
      <c r="AJ288" s="315">
        <v>1</v>
      </c>
      <c r="AK288" s="315">
        <v>1</v>
      </c>
      <c r="AL288" s="315">
        <v>1</v>
      </c>
      <c r="AM288" s="315">
        <v>1</v>
      </c>
      <c r="AN288" s="315">
        <v>1</v>
      </c>
      <c r="AO288" s="315">
        <v>1</v>
      </c>
      <c r="AP288" s="315">
        <v>1</v>
      </c>
      <c r="AQ288" s="316">
        <v>1</v>
      </c>
    </row>
    <row r="289" spans="1:43" s="378" customFormat="1" ht="44.25" customHeight="1">
      <c r="A289" s="313" t="s">
        <v>1505</v>
      </c>
      <c r="B289" s="313" t="s">
        <v>386</v>
      </c>
      <c r="C289" s="314" t="s">
        <v>750</v>
      </c>
      <c r="D289" s="314" t="s">
        <v>1424</v>
      </c>
      <c r="E289" s="314" t="s">
        <v>415</v>
      </c>
      <c r="F289" s="315"/>
      <c r="G289" s="315">
        <v>1</v>
      </c>
      <c r="H289" s="315">
        <v>1</v>
      </c>
      <c r="I289" s="315">
        <v>1</v>
      </c>
      <c r="J289" s="315">
        <v>1</v>
      </c>
      <c r="K289" s="315">
        <v>1</v>
      </c>
      <c r="L289" s="315">
        <v>1</v>
      </c>
      <c r="M289" s="315">
        <v>1</v>
      </c>
      <c r="N289" s="315"/>
      <c r="O289" s="315">
        <v>1</v>
      </c>
      <c r="P289" s="315">
        <v>1</v>
      </c>
      <c r="Q289" s="315">
        <v>1</v>
      </c>
      <c r="R289" s="315">
        <v>1</v>
      </c>
      <c r="S289" s="315">
        <v>1</v>
      </c>
      <c r="T289" s="315">
        <v>1</v>
      </c>
      <c r="U289" s="315">
        <v>1</v>
      </c>
      <c r="V289" s="315"/>
      <c r="W289" s="315"/>
      <c r="X289" s="315">
        <v>1</v>
      </c>
      <c r="Y289" s="315">
        <v>1</v>
      </c>
      <c r="Z289" s="315">
        <v>1</v>
      </c>
      <c r="AA289" s="315">
        <v>1</v>
      </c>
      <c r="AB289" s="315">
        <v>1</v>
      </c>
      <c r="AC289" s="315">
        <v>1</v>
      </c>
      <c r="AD289" s="315"/>
      <c r="AE289" s="315"/>
      <c r="AF289" s="315">
        <v>1</v>
      </c>
      <c r="AG289" s="315">
        <v>1</v>
      </c>
      <c r="AH289" s="315">
        <v>1</v>
      </c>
      <c r="AI289" s="315"/>
      <c r="AJ289" s="315"/>
      <c r="AK289" s="315"/>
      <c r="AL289" s="315">
        <v>1</v>
      </c>
      <c r="AM289" s="315"/>
      <c r="AN289" s="315">
        <v>1</v>
      </c>
      <c r="AO289" s="315">
        <v>1</v>
      </c>
      <c r="AP289" s="315">
        <v>1</v>
      </c>
      <c r="AQ289" s="316">
        <v>1</v>
      </c>
    </row>
    <row r="290" spans="1:43" s="378" customFormat="1" ht="44.25" customHeight="1">
      <c r="A290" s="313" t="s">
        <v>1505</v>
      </c>
      <c r="B290" s="313" t="s">
        <v>386</v>
      </c>
      <c r="C290" s="314" t="s">
        <v>751</v>
      </c>
      <c r="D290" s="314" t="s">
        <v>1424</v>
      </c>
      <c r="E290" s="314" t="s">
        <v>415</v>
      </c>
      <c r="F290" s="315"/>
      <c r="G290" s="315">
        <v>1</v>
      </c>
      <c r="H290" s="315">
        <v>1</v>
      </c>
      <c r="I290" s="315">
        <v>1</v>
      </c>
      <c r="J290" s="315">
        <v>1</v>
      </c>
      <c r="K290" s="315">
        <v>1</v>
      </c>
      <c r="L290" s="315">
        <v>1</v>
      </c>
      <c r="M290" s="315">
        <v>1</v>
      </c>
      <c r="N290" s="315"/>
      <c r="O290" s="315"/>
      <c r="P290" s="315"/>
      <c r="Q290" s="315"/>
      <c r="R290" s="315">
        <v>1</v>
      </c>
      <c r="S290" s="315">
        <v>1</v>
      </c>
      <c r="T290" s="315">
        <v>1</v>
      </c>
      <c r="U290" s="315">
        <v>1</v>
      </c>
      <c r="V290" s="315"/>
      <c r="W290" s="315">
        <v>1</v>
      </c>
      <c r="X290" s="315">
        <v>1</v>
      </c>
      <c r="Y290" s="315">
        <v>1</v>
      </c>
      <c r="Z290" s="315">
        <v>1</v>
      </c>
      <c r="AA290" s="315"/>
      <c r="AB290" s="315">
        <v>1</v>
      </c>
      <c r="AC290" s="315">
        <v>1</v>
      </c>
      <c r="AD290" s="315"/>
      <c r="AE290" s="315"/>
      <c r="AF290" s="315">
        <v>1</v>
      </c>
      <c r="AG290" s="315">
        <v>1</v>
      </c>
      <c r="AH290" s="315">
        <v>1</v>
      </c>
      <c r="AI290" s="315"/>
      <c r="AJ290" s="315"/>
      <c r="AK290" s="315"/>
      <c r="AL290" s="315"/>
      <c r="AM290" s="315">
        <v>1</v>
      </c>
      <c r="AN290" s="315">
        <v>1</v>
      </c>
      <c r="AO290" s="315">
        <v>1</v>
      </c>
      <c r="AP290" s="315">
        <v>1</v>
      </c>
      <c r="AQ290" s="316">
        <v>1</v>
      </c>
    </row>
    <row r="291" spans="1:43" s="378" customFormat="1" ht="44.25" customHeight="1">
      <c r="A291" s="313" t="s">
        <v>1505</v>
      </c>
      <c r="B291" s="313" t="s">
        <v>386</v>
      </c>
      <c r="C291" s="314" t="s">
        <v>752</v>
      </c>
      <c r="D291" s="314" t="s">
        <v>1424</v>
      </c>
      <c r="E291" s="314" t="s">
        <v>415</v>
      </c>
      <c r="F291" s="315"/>
      <c r="G291" s="315"/>
      <c r="H291" s="315">
        <v>1</v>
      </c>
      <c r="I291" s="315">
        <v>1</v>
      </c>
      <c r="J291" s="315">
        <v>1</v>
      </c>
      <c r="K291" s="315">
        <v>1</v>
      </c>
      <c r="L291" s="315">
        <v>1</v>
      </c>
      <c r="M291" s="315">
        <v>1</v>
      </c>
      <c r="N291" s="315"/>
      <c r="O291" s="315">
        <v>1</v>
      </c>
      <c r="P291" s="315">
        <v>1</v>
      </c>
      <c r="Q291" s="315">
        <v>1</v>
      </c>
      <c r="R291" s="315">
        <v>1</v>
      </c>
      <c r="S291" s="315"/>
      <c r="T291" s="315">
        <v>1</v>
      </c>
      <c r="U291" s="315">
        <v>1</v>
      </c>
      <c r="V291" s="315"/>
      <c r="W291" s="315">
        <v>1</v>
      </c>
      <c r="X291" s="315">
        <v>1</v>
      </c>
      <c r="Y291" s="315">
        <v>1</v>
      </c>
      <c r="Z291" s="315">
        <v>1</v>
      </c>
      <c r="AA291" s="315">
        <v>1</v>
      </c>
      <c r="AB291" s="315">
        <v>1</v>
      </c>
      <c r="AC291" s="315">
        <v>1</v>
      </c>
      <c r="AD291" s="315"/>
      <c r="AE291" s="315"/>
      <c r="AF291" s="315">
        <v>1</v>
      </c>
      <c r="AG291" s="315">
        <v>1</v>
      </c>
      <c r="AH291" s="315">
        <v>1</v>
      </c>
      <c r="AI291" s="315"/>
      <c r="AJ291" s="315"/>
      <c r="AK291" s="315"/>
      <c r="AL291" s="315">
        <v>1</v>
      </c>
      <c r="AM291" s="315">
        <v>1</v>
      </c>
      <c r="AN291" s="315">
        <v>1</v>
      </c>
      <c r="AO291" s="315">
        <v>1</v>
      </c>
      <c r="AP291" s="315"/>
      <c r="AQ291" s="316"/>
    </row>
    <row r="292" spans="1:43" s="378" customFormat="1" ht="44.25" customHeight="1">
      <c r="A292" s="313" t="s">
        <v>1505</v>
      </c>
      <c r="B292" s="313" t="s">
        <v>386</v>
      </c>
      <c r="C292" s="314" t="s">
        <v>753</v>
      </c>
      <c r="D292" s="314" t="s">
        <v>1424</v>
      </c>
      <c r="E292" s="314" t="s">
        <v>415</v>
      </c>
      <c r="F292" s="315"/>
      <c r="G292" s="315">
        <v>1</v>
      </c>
      <c r="H292" s="315">
        <v>1</v>
      </c>
      <c r="I292" s="315">
        <v>1</v>
      </c>
      <c r="J292" s="315">
        <v>1</v>
      </c>
      <c r="K292" s="315">
        <v>1</v>
      </c>
      <c r="L292" s="315">
        <v>1</v>
      </c>
      <c r="M292" s="315">
        <v>1</v>
      </c>
      <c r="N292" s="315"/>
      <c r="O292" s="315"/>
      <c r="P292" s="315"/>
      <c r="Q292" s="315"/>
      <c r="R292" s="315">
        <v>1</v>
      </c>
      <c r="S292" s="315"/>
      <c r="T292" s="315">
        <v>1</v>
      </c>
      <c r="U292" s="315">
        <v>1</v>
      </c>
      <c r="V292" s="315"/>
      <c r="W292" s="315">
        <v>1</v>
      </c>
      <c r="X292" s="315">
        <v>1</v>
      </c>
      <c r="Y292" s="315">
        <v>1</v>
      </c>
      <c r="Z292" s="315">
        <v>1</v>
      </c>
      <c r="AA292" s="315">
        <v>1</v>
      </c>
      <c r="AB292" s="315">
        <v>1</v>
      </c>
      <c r="AC292" s="315">
        <v>1</v>
      </c>
      <c r="AD292" s="315"/>
      <c r="AE292" s="315"/>
      <c r="AF292" s="315">
        <v>1</v>
      </c>
      <c r="AG292" s="315">
        <v>1</v>
      </c>
      <c r="AH292" s="315">
        <v>1</v>
      </c>
      <c r="AI292" s="315"/>
      <c r="AJ292" s="315"/>
      <c r="AK292" s="315"/>
      <c r="AL292" s="315">
        <v>1</v>
      </c>
      <c r="AM292" s="315">
        <v>1</v>
      </c>
      <c r="AN292" s="315">
        <v>1</v>
      </c>
      <c r="AO292" s="315">
        <v>1</v>
      </c>
      <c r="AP292" s="315">
        <v>1</v>
      </c>
      <c r="AQ292" s="316">
        <v>1</v>
      </c>
    </row>
    <row r="293" spans="1:43" s="378" customFormat="1" ht="44.25" customHeight="1">
      <c r="A293" s="313" t="s">
        <v>1505</v>
      </c>
      <c r="B293" s="313" t="s">
        <v>386</v>
      </c>
      <c r="C293" s="314" t="s">
        <v>754</v>
      </c>
      <c r="D293" s="314" t="s">
        <v>1424</v>
      </c>
      <c r="E293" s="314" t="s">
        <v>545</v>
      </c>
      <c r="F293" s="315"/>
      <c r="G293" s="315">
        <v>1</v>
      </c>
      <c r="H293" s="315">
        <v>1</v>
      </c>
      <c r="I293" s="315">
        <v>1</v>
      </c>
      <c r="J293" s="315">
        <v>1</v>
      </c>
      <c r="K293" s="315">
        <v>1</v>
      </c>
      <c r="L293" s="315">
        <v>1</v>
      </c>
      <c r="M293" s="315">
        <v>1</v>
      </c>
      <c r="N293" s="315"/>
      <c r="O293" s="315"/>
      <c r="P293" s="315"/>
      <c r="Q293" s="315"/>
      <c r="R293" s="315">
        <v>1</v>
      </c>
      <c r="S293" s="315">
        <v>1</v>
      </c>
      <c r="T293" s="315">
        <v>1</v>
      </c>
      <c r="U293" s="315">
        <v>1</v>
      </c>
      <c r="V293" s="315"/>
      <c r="W293" s="315">
        <v>1</v>
      </c>
      <c r="X293" s="315">
        <v>1</v>
      </c>
      <c r="Y293" s="315">
        <v>1</v>
      </c>
      <c r="Z293" s="315">
        <v>1</v>
      </c>
      <c r="AA293" s="315">
        <v>1</v>
      </c>
      <c r="AB293" s="315">
        <v>1</v>
      </c>
      <c r="AC293" s="315">
        <v>1</v>
      </c>
      <c r="AD293" s="315"/>
      <c r="AE293" s="315"/>
      <c r="AF293" s="315">
        <v>1</v>
      </c>
      <c r="AG293" s="315">
        <v>1</v>
      </c>
      <c r="AH293" s="315">
        <v>1</v>
      </c>
      <c r="AI293" s="315"/>
      <c r="AJ293" s="315">
        <v>1</v>
      </c>
      <c r="AK293" s="315">
        <v>1</v>
      </c>
      <c r="AL293" s="315">
        <v>1</v>
      </c>
      <c r="AM293" s="315">
        <v>1</v>
      </c>
      <c r="AN293" s="315">
        <v>1</v>
      </c>
      <c r="AO293" s="315">
        <v>1</v>
      </c>
      <c r="AP293" s="315"/>
      <c r="AQ293" s="316"/>
    </row>
    <row r="294" spans="1:43" s="378" customFormat="1" ht="44.25" customHeight="1">
      <c r="A294" s="313" t="s">
        <v>1505</v>
      </c>
      <c r="B294" s="313" t="s">
        <v>386</v>
      </c>
      <c r="C294" s="314" t="s">
        <v>755</v>
      </c>
      <c r="D294" s="314" t="s">
        <v>1424</v>
      </c>
      <c r="E294" s="314" t="s">
        <v>545</v>
      </c>
      <c r="F294" s="315"/>
      <c r="G294" s="315">
        <v>1</v>
      </c>
      <c r="H294" s="315">
        <v>1</v>
      </c>
      <c r="I294" s="315">
        <v>1</v>
      </c>
      <c r="J294" s="315">
        <v>1</v>
      </c>
      <c r="K294" s="315"/>
      <c r="L294" s="315">
        <v>1</v>
      </c>
      <c r="M294" s="315">
        <v>1</v>
      </c>
      <c r="N294" s="315"/>
      <c r="O294" s="315"/>
      <c r="P294" s="315"/>
      <c r="Q294" s="315"/>
      <c r="R294" s="315">
        <v>1</v>
      </c>
      <c r="S294" s="315"/>
      <c r="T294" s="315">
        <v>1</v>
      </c>
      <c r="U294" s="315">
        <v>1</v>
      </c>
      <c r="V294" s="315"/>
      <c r="W294" s="315">
        <v>1</v>
      </c>
      <c r="X294" s="315">
        <v>1</v>
      </c>
      <c r="Y294" s="315">
        <v>1</v>
      </c>
      <c r="Z294" s="315">
        <v>1</v>
      </c>
      <c r="AA294" s="315"/>
      <c r="AB294" s="315">
        <v>1</v>
      </c>
      <c r="AC294" s="315">
        <v>1</v>
      </c>
      <c r="AD294" s="315"/>
      <c r="AE294" s="315"/>
      <c r="AF294" s="315"/>
      <c r="AG294" s="315"/>
      <c r="AH294" s="315"/>
      <c r="AI294" s="315"/>
      <c r="AJ294" s="315">
        <v>1</v>
      </c>
      <c r="AK294" s="315">
        <v>1</v>
      </c>
      <c r="AL294" s="315">
        <v>1</v>
      </c>
      <c r="AM294" s="315">
        <v>1</v>
      </c>
      <c r="AN294" s="315">
        <v>1</v>
      </c>
      <c r="AO294" s="315">
        <v>1</v>
      </c>
      <c r="AP294" s="315"/>
      <c r="AQ294" s="316"/>
    </row>
    <row r="295" spans="1:43" s="378" customFormat="1" ht="44.25" customHeight="1">
      <c r="A295" s="313" t="s">
        <v>1505</v>
      </c>
      <c r="B295" s="313" t="s">
        <v>386</v>
      </c>
      <c r="C295" s="314" t="s">
        <v>756</v>
      </c>
      <c r="D295" s="314" t="s">
        <v>1424</v>
      </c>
      <c r="E295" s="314" t="s">
        <v>415</v>
      </c>
      <c r="F295" s="315"/>
      <c r="G295" s="315">
        <v>1</v>
      </c>
      <c r="H295" s="315"/>
      <c r="I295" s="315"/>
      <c r="J295" s="315">
        <v>1</v>
      </c>
      <c r="K295" s="315">
        <v>1</v>
      </c>
      <c r="L295" s="315">
        <v>1</v>
      </c>
      <c r="M295" s="315">
        <v>1</v>
      </c>
      <c r="N295" s="315"/>
      <c r="O295" s="315"/>
      <c r="P295" s="315"/>
      <c r="Q295" s="315"/>
      <c r="R295" s="315">
        <v>1</v>
      </c>
      <c r="S295" s="315"/>
      <c r="T295" s="315">
        <v>1</v>
      </c>
      <c r="U295" s="315">
        <v>1</v>
      </c>
      <c r="V295" s="315"/>
      <c r="W295" s="315">
        <v>1</v>
      </c>
      <c r="X295" s="315">
        <v>1</v>
      </c>
      <c r="Y295" s="315">
        <v>1</v>
      </c>
      <c r="Z295" s="315">
        <v>1</v>
      </c>
      <c r="AA295" s="315"/>
      <c r="AB295" s="315">
        <v>1</v>
      </c>
      <c r="AC295" s="315">
        <v>1</v>
      </c>
      <c r="AD295" s="315"/>
      <c r="AE295" s="315"/>
      <c r="AF295" s="315"/>
      <c r="AG295" s="315"/>
      <c r="AH295" s="315"/>
      <c r="AI295" s="315"/>
      <c r="AJ295" s="315">
        <v>1</v>
      </c>
      <c r="AK295" s="315">
        <v>1</v>
      </c>
      <c r="AL295" s="315">
        <v>1</v>
      </c>
      <c r="AM295" s="315">
        <v>1</v>
      </c>
      <c r="AN295" s="315">
        <v>1</v>
      </c>
      <c r="AO295" s="315">
        <v>1</v>
      </c>
      <c r="AP295" s="315"/>
      <c r="AQ295" s="316"/>
    </row>
    <row r="296" spans="1:43" s="378" customFormat="1" ht="44.25" customHeight="1">
      <c r="A296" s="313" t="s">
        <v>1505</v>
      </c>
      <c r="B296" s="313" t="s">
        <v>386</v>
      </c>
      <c r="C296" s="314" t="s">
        <v>757</v>
      </c>
      <c r="D296" s="314" t="s">
        <v>1424</v>
      </c>
      <c r="E296" s="314" t="s">
        <v>758</v>
      </c>
      <c r="F296" s="315"/>
      <c r="G296" s="315">
        <v>1</v>
      </c>
      <c r="H296" s="315">
        <v>1</v>
      </c>
      <c r="I296" s="315">
        <v>1</v>
      </c>
      <c r="J296" s="315">
        <v>1</v>
      </c>
      <c r="K296" s="315">
        <v>1</v>
      </c>
      <c r="L296" s="315">
        <v>1</v>
      </c>
      <c r="M296" s="315">
        <v>1</v>
      </c>
      <c r="N296" s="315"/>
      <c r="O296" s="315"/>
      <c r="P296" s="315"/>
      <c r="Q296" s="315"/>
      <c r="R296" s="315"/>
      <c r="S296" s="315">
        <v>1</v>
      </c>
      <c r="T296" s="315">
        <v>1</v>
      </c>
      <c r="U296" s="315">
        <v>1</v>
      </c>
      <c r="V296" s="315"/>
      <c r="W296" s="315">
        <v>1</v>
      </c>
      <c r="X296" s="315">
        <v>1</v>
      </c>
      <c r="Y296" s="315">
        <v>1</v>
      </c>
      <c r="Z296" s="315">
        <v>1</v>
      </c>
      <c r="AA296" s="315">
        <v>1</v>
      </c>
      <c r="AB296" s="315">
        <v>1</v>
      </c>
      <c r="AC296" s="315">
        <v>1</v>
      </c>
      <c r="AD296" s="315"/>
      <c r="AE296" s="315"/>
      <c r="AF296" s="315"/>
      <c r="AG296" s="315"/>
      <c r="AH296" s="315"/>
      <c r="AI296" s="315">
        <v>1</v>
      </c>
      <c r="AJ296" s="315"/>
      <c r="AK296" s="315"/>
      <c r="AL296" s="315"/>
      <c r="AM296" s="315"/>
      <c r="AN296" s="315">
        <v>1</v>
      </c>
      <c r="AO296" s="315">
        <v>1</v>
      </c>
      <c r="AP296" s="315">
        <v>1</v>
      </c>
      <c r="AQ296" s="316">
        <v>1</v>
      </c>
    </row>
    <row r="297" spans="1:43" s="378" customFormat="1" ht="44.25" customHeight="1">
      <c r="A297" s="313" t="s">
        <v>1505</v>
      </c>
      <c r="B297" s="313" t="s">
        <v>386</v>
      </c>
      <c r="C297" s="314" t="s">
        <v>759</v>
      </c>
      <c r="D297" s="314" t="s">
        <v>1424</v>
      </c>
      <c r="E297" s="314" t="s">
        <v>760</v>
      </c>
      <c r="F297" s="315"/>
      <c r="G297" s="315"/>
      <c r="H297" s="315">
        <v>1</v>
      </c>
      <c r="I297" s="315">
        <v>1</v>
      </c>
      <c r="J297" s="315">
        <v>1</v>
      </c>
      <c r="K297" s="315"/>
      <c r="L297" s="315">
        <v>1</v>
      </c>
      <c r="M297" s="315">
        <v>1</v>
      </c>
      <c r="N297" s="315"/>
      <c r="O297" s="315"/>
      <c r="P297" s="315"/>
      <c r="Q297" s="315"/>
      <c r="R297" s="315">
        <v>1</v>
      </c>
      <c r="S297" s="315">
        <v>1</v>
      </c>
      <c r="T297" s="315">
        <v>1</v>
      </c>
      <c r="U297" s="315">
        <v>1</v>
      </c>
      <c r="V297" s="315"/>
      <c r="W297" s="315">
        <v>1</v>
      </c>
      <c r="X297" s="315">
        <v>1</v>
      </c>
      <c r="Y297" s="315">
        <v>1</v>
      </c>
      <c r="Z297" s="315">
        <v>1</v>
      </c>
      <c r="AA297" s="315"/>
      <c r="AB297" s="315">
        <v>1</v>
      </c>
      <c r="AC297" s="315">
        <v>1</v>
      </c>
      <c r="AD297" s="315"/>
      <c r="AE297" s="315">
        <v>1</v>
      </c>
      <c r="AF297" s="315">
        <v>1</v>
      </c>
      <c r="AG297" s="315">
        <v>1</v>
      </c>
      <c r="AH297" s="315"/>
      <c r="AI297" s="315"/>
      <c r="AJ297" s="315"/>
      <c r="AK297" s="315"/>
      <c r="AL297" s="315">
        <v>1</v>
      </c>
      <c r="AM297" s="315">
        <v>1</v>
      </c>
      <c r="AN297" s="315">
        <v>1</v>
      </c>
      <c r="AO297" s="315">
        <v>1</v>
      </c>
      <c r="AP297" s="315">
        <v>1</v>
      </c>
      <c r="AQ297" s="316">
        <v>1</v>
      </c>
    </row>
    <row r="298" spans="1:43" s="378" customFormat="1" ht="44.25" customHeight="1">
      <c r="A298" s="313" t="s">
        <v>1505</v>
      </c>
      <c r="B298" s="313" t="s">
        <v>386</v>
      </c>
      <c r="C298" s="314" t="s">
        <v>761</v>
      </c>
      <c r="D298" s="314" t="s">
        <v>1424</v>
      </c>
      <c r="E298" s="314" t="s">
        <v>758</v>
      </c>
      <c r="F298" s="315"/>
      <c r="G298" s="315">
        <v>1</v>
      </c>
      <c r="H298" s="315">
        <v>1</v>
      </c>
      <c r="I298" s="315">
        <v>1</v>
      </c>
      <c r="J298" s="315">
        <v>1</v>
      </c>
      <c r="K298" s="315">
        <v>1</v>
      </c>
      <c r="L298" s="315">
        <v>1</v>
      </c>
      <c r="M298" s="315">
        <v>1</v>
      </c>
      <c r="N298" s="315"/>
      <c r="O298" s="315"/>
      <c r="P298" s="315"/>
      <c r="Q298" s="315"/>
      <c r="R298" s="315">
        <v>1</v>
      </c>
      <c r="S298" s="315"/>
      <c r="T298" s="315">
        <v>1</v>
      </c>
      <c r="U298" s="315">
        <v>1</v>
      </c>
      <c r="V298" s="315"/>
      <c r="W298" s="315">
        <v>1</v>
      </c>
      <c r="X298" s="315">
        <v>1</v>
      </c>
      <c r="Y298" s="315">
        <v>1</v>
      </c>
      <c r="Z298" s="315">
        <v>1</v>
      </c>
      <c r="AA298" s="315">
        <v>1</v>
      </c>
      <c r="AB298" s="315">
        <v>1</v>
      </c>
      <c r="AC298" s="315">
        <v>1</v>
      </c>
      <c r="AD298" s="315"/>
      <c r="AE298" s="315"/>
      <c r="AF298" s="315">
        <v>1</v>
      </c>
      <c r="AG298" s="315">
        <v>1</v>
      </c>
      <c r="AH298" s="315">
        <v>1</v>
      </c>
      <c r="AI298" s="315"/>
      <c r="AJ298" s="315"/>
      <c r="AK298" s="315"/>
      <c r="AL298" s="315">
        <v>1</v>
      </c>
      <c r="AM298" s="315">
        <v>1</v>
      </c>
      <c r="AN298" s="315">
        <v>1</v>
      </c>
      <c r="AO298" s="315">
        <v>1</v>
      </c>
      <c r="AP298" s="315">
        <v>1</v>
      </c>
      <c r="AQ298" s="316">
        <v>1</v>
      </c>
    </row>
    <row r="299" spans="1:43" s="378" customFormat="1" ht="44.25" customHeight="1">
      <c r="A299" s="313" t="s">
        <v>1505</v>
      </c>
      <c r="B299" s="313" t="s">
        <v>386</v>
      </c>
      <c r="C299" s="314" t="s">
        <v>762</v>
      </c>
      <c r="D299" s="314" t="s">
        <v>1440</v>
      </c>
      <c r="E299" s="314" t="s">
        <v>587</v>
      </c>
      <c r="F299" s="315"/>
      <c r="G299" s="315">
        <v>1</v>
      </c>
      <c r="H299" s="315">
        <v>1</v>
      </c>
      <c r="I299" s="315">
        <v>1</v>
      </c>
      <c r="J299" s="315">
        <v>1</v>
      </c>
      <c r="K299" s="315">
        <v>1</v>
      </c>
      <c r="L299" s="315">
        <v>1</v>
      </c>
      <c r="M299" s="315">
        <v>1</v>
      </c>
      <c r="N299" s="315"/>
      <c r="O299" s="315"/>
      <c r="P299" s="315"/>
      <c r="Q299" s="315"/>
      <c r="R299" s="315">
        <v>1</v>
      </c>
      <c r="S299" s="315"/>
      <c r="T299" s="315"/>
      <c r="U299" s="315">
        <v>1</v>
      </c>
      <c r="V299" s="315"/>
      <c r="W299" s="315">
        <v>1</v>
      </c>
      <c r="X299" s="315">
        <v>1</v>
      </c>
      <c r="Y299" s="315">
        <v>1</v>
      </c>
      <c r="Z299" s="315">
        <v>1</v>
      </c>
      <c r="AA299" s="315">
        <v>1</v>
      </c>
      <c r="AB299" s="315">
        <v>1</v>
      </c>
      <c r="AC299" s="315">
        <v>1</v>
      </c>
      <c r="AD299" s="315"/>
      <c r="AE299" s="315"/>
      <c r="AF299" s="315">
        <v>1</v>
      </c>
      <c r="AG299" s="315">
        <v>1</v>
      </c>
      <c r="AH299" s="315">
        <v>1</v>
      </c>
      <c r="AI299" s="315">
        <v>1</v>
      </c>
      <c r="AJ299" s="315"/>
      <c r="AK299" s="315"/>
      <c r="AL299" s="315">
        <v>1</v>
      </c>
      <c r="AM299" s="315">
        <v>1</v>
      </c>
      <c r="AN299" s="315"/>
      <c r="AO299" s="315">
        <v>1</v>
      </c>
      <c r="AP299" s="315">
        <v>1</v>
      </c>
      <c r="AQ299" s="316">
        <v>1</v>
      </c>
    </row>
    <row r="300" spans="1:43" s="378" customFormat="1" ht="44.25" customHeight="1">
      <c r="A300" s="313" t="s">
        <v>1505</v>
      </c>
      <c r="B300" s="313" t="s">
        <v>386</v>
      </c>
      <c r="C300" s="314" t="s">
        <v>763</v>
      </c>
      <c r="D300" s="314" t="s">
        <v>1432</v>
      </c>
      <c r="E300" s="314" t="s">
        <v>587</v>
      </c>
      <c r="F300" s="315"/>
      <c r="G300" s="315">
        <v>1</v>
      </c>
      <c r="H300" s="315"/>
      <c r="I300" s="315"/>
      <c r="J300" s="315">
        <v>1</v>
      </c>
      <c r="K300" s="315">
        <v>1</v>
      </c>
      <c r="L300" s="315">
        <v>1</v>
      </c>
      <c r="M300" s="315">
        <v>1</v>
      </c>
      <c r="N300" s="315"/>
      <c r="O300" s="315">
        <v>1</v>
      </c>
      <c r="P300" s="315"/>
      <c r="Q300" s="315">
        <v>1</v>
      </c>
      <c r="R300" s="315"/>
      <c r="S300" s="315"/>
      <c r="T300" s="315">
        <v>1</v>
      </c>
      <c r="U300" s="315">
        <v>1</v>
      </c>
      <c r="V300" s="315"/>
      <c r="W300" s="315"/>
      <c r="X300" s="315"/>
      <c r="Y300" s="315"/>
      <c r="Z300" s="315">
        <v>1</v>
      </c>
      <c r="AA300" s="315">
        <v>1</v>
      </c>
      <c r="AB300" s="315">
        <v>1</v>
      </c>
      <c r="AC300" s="315">
        <v>1</v>
      </c>
      <c r="AD300" s="315"/>
      <c r="AE300" s="315"/>
      <c r="AF300" s="315"/>
      <c r="AG300" s="315"/>
      <c r="AH300" s="315"/>
      <c r="AI300" s="315"/>
      <c r="AJ300" s="315"/>
      <c r="AK300" s="315"/>
      <c r="AL300" s="315"/>
      <c r="AM300" s="315"/>
      <c r="AN300" s="315">
        <v>1</v>
      </c>
      <c r="AO300" s="315">
        <v>1</v>
      </c>
      <c r="AP300" s="315"/>
      <c r="AQ300" s="316"/>
    </row>
    <row r="301" spans="1:43" s="378" customFormat="1" ht="44.25" customHeight="1">
      <c r="A301" s="313" t="s">
        <v>1505</v>
      </c>
      <c r="B301" s="313" t="s">
        <v>386</v>
      </c>
      <c r="C301" s="314" t="s">
        <v>764</v>
      </c>
      <c r="D301" s="314" t="s">
        <v>1424</v>
      </c>
      <c r="E301" s="314" t="s">
        <v>415</v>
      </c>
      <c r="F301" s="315"/>
      <c r="G301" s="315">
        <v>1</v>
      </c>
      <c r="H301" s="315">
        <v>1</v>
      </c>
      <c r="I301" s="315">
        <v>1</v>
      </c>
      <c r="J301" s="315">
        <v>1</v>
      </c>
      <c r="K301" s="315"/>
      <c r="L301" s="315">
        <v>1</v>
      </c>
      <c r="M301" s="315">
        <v>1</v>
      </c>
      <c r="N301" s="315"/>
      <c r="O301" s="315"/>
      <c r="P301" s="315">
        <v>1</v>
      </c>
      <c r="Q301" s="315">
        <v>1</v>
      </c>
      <c r="R301" s="315">
        <v>1</v>
      </c>
      <c r="S301" s="315"/>
      <c r="T301" s="315">
        <v>1</v>
      </c>
      <c r="U301" s="315">
        <v>1</v>
      </c>
      <c r="V301" s="315"/>
      <c r="W301" s="315"/>
      <c r="X301" s="315">
        <v>1</v>
      </c>
      <c r="Y301" s="315">
        <v>1</v>
      </c>
      <c r="Z301" s="315">
        <v>1</v>
      </c>
      <c r="AA301" s="315"/>
      <c r="AB301" s="315">
        <v>1</v>
      </c>
      <c r="AC301" s="315">
        <v>1</v>
      </c>
      <c r="AD301" s="315"/>
      <c r="AE301" s="315">
        <v>1</v>
      </c>
      <c r="AF301" s="315"/>
      <c r="AG301" s="315"/>
      <c r="AH301" s="315"/>
      <c r="AI301" s="315"/>
      <c r="AJ301" s="315"/>
      <c r="AK301" s="315"/>
      <c r="AL301" s="315">
        <v>1</v>
      </c>
      <c r="AM301" s="315">
        <v>1</v>
      </c>
      <c r="AN301" s="315">
        <v>1</v>
      </c>
      <c r="AO301" s="315">
        <v>1</v>
      </c>
      <c r="AP301" s="315">
        <v>1</v>
      </c>
      <c r="AQ301" s="316">
        <v>1</v>
      </c>
    </row>
    <row r="302" spans="1:43" s="378" customFormat="1" ht="44.25" customHeight="1">
      <c r="A302" s="313" t="s">
        <v>1505</v>
      </c>
      <c r="B302" s="313" t="s">
        <v>384</v>
      </c>
      <c r="C302" s="314" t="s">
        <v>765</v>
      </c>
      <c r="D302" s="314" t="s">
        <v>1426</v>
      </c>
      <c r="E302" s="314" t="s">
        <v>565</v>
      </c>
      <c r="F302" s="315"/>
      <c r="G302" s="315">
        <v>1</v>
      </c>
      <c r="H302" s="315"/>
      <c r="I302" s="315"/>
      <c r="J302" s="315"/>
      <c r="K302" s="315"/>
      <c r="L302" s="315">
        <v>1</v>
      </c>
      <c r="M302" s="315">
        <v>1</v>
      </c>
      <c r="N302" s="315"/>
      <c r="O302" s="315">
        <v>1</v>
      </c>
      <c r="P302" s="315">
        <v>1</v>
      </c>
      <c r="Q302" s="315">
        <v>1</v>
      </c>
      <c r="R302" s="315"/>
      <c r="S302" s="315">
        <v>1</v>
      </c>
      <c r="T302" s="315">
        <v>1</v>
      </c>
      <c r="U302" s="315"/>
      <c r="V302" s="315"/>
      <c r="W302" s="315"/>
      <c r="X302" s="315"/>
      <c r="Y302" s="315"/>
      <c r="Z302" s="315">
        <v>1</v>
      </c>
      <c r="AA302" s="315"/>
      <c r="AB302" s="315">
        <v>1</v>
      </c>
      <c r="AC302" s="315">
        <v>1</v>
      </c>
      <c r="AD302" s="315"/>
      <c r="AE302" s="315"/>
      <c r="AF302" s="315"/>
      <c r="AG302" s="315"/>
      <c r="AH302" s="315"/>
      <c r="AI302" s="315"/>
      <c r="AJ302" s="315"/>
      <c r="AK302" s="315"/>
      <c r="AL302" s="315"/>
      <c r="AM302" s="315"/>
      <c r="AN302" s="315">
        <v>1</v>
      </c>
      <c r="AO302" s="315"/>
      <c r="AP302" s="315">
        <v>1</v>
      </c>
      <c r="AQ302" s="316">
        <v>1</v>
      </c>
    </row>
    <row r="303" spans="1:43" s="378" customFormat="1" ht="44.25" customHeight="1">
      <c r="A303" s="313" t="s">
        <v>1505</v>
      </c>
      <c r="B303" s="313" t="s">
        <v>386</v>
      </c>
      <c r="C303" s="314" t="s">
        <v>766</v>
      </c>
      <c r="D303" s="314" t="s">
        <v>1424</v>
      </c>
      <c r="E303" s="314" t="s">
        <v>415</v>
      </c>
      <c r="F303" s="315"/>
      <c r="G303" s="315"/>
      <c r="H303" s="315">
        <v>1</v>
      </c>
      <c r="I303" s="315">
        <v>1</v>
      </c>
      <c r="J303" s="315">
        <v>1</v>
      </c>
      <c r="K303" s="315"/>
      <c r="L303" s="315"/>
      <c r="M303" s="315">
        <v>1</v>
      </c>
      <c r="N303" s="315"/>
      <c r="O303" s="315">
        <v>1</v>
      </c>
      <c r="P303" s="315">
        <v>1</v>
      </c>
      <c r="Q303" s="315">
        <v>1</v>
      </c>
      <c r="R303" s="315">
        <v>1</v>
      </c>
      <c r="S303" s="315">
        <v>1</v>
      </c>
      <c r="T303" s="315">
        <v>1</v>
      </c>
      <c r="U303" s="315">
        <v>1</v>
      </c>
      <c r="V303" s="315"/>
      <c r="W303" s="315">
        <v>1</v>
      </c>
      <c r="X303" s="315">
        <v>1</v>
      </c>
      <c r="Y303" s="315">
        <v>1</v>
      </c>
      <c r="Z303" s="315">
        <v>1</v>
      </c>
      <c r="AA303" s="315"/>
      <c r="AB303" s="315">
        <v>1</v>
      </c>
      <c r="AC303" s="315">
        <v>1</v>
      </c>
      <c r="AD303" s="315"/>
      <c r="AE303" s="315"/>
      <c r="AF303" s="315">
        <v>1</v>
      </c>
      <c r="AG303" s="315">
        <v>1</v>
      </c>
      <c r="AH303" s="315">
        <v>1</v>
      </c>
      <c r="AI303" s="315">
        <v>1</v>
      </c>
      <c r="AJ303" s="315"/>
      <c r="AK303" s="315"/>
      <c r="AL303" s="315">
        <v>1</v>
      </c>
      <c r="AM303" s="315"/>
      <c r="AN303" s="315">
        <v>1</v>
      </c>
      <c r="AO303" s="315">
        <v>1</v>
      </c>
      <c r="AP303" s="315"/>
      <c r="AQ303" s="316"/>
    </row>
    <row r="304" spans="1:43" s="378" customFormat="1" ht="44.25" customHeight="1">
      <c r="A304" s="313" t="s">
        <v>1505</v>
      </c>
      <c r="B304" s="313" t="s">
        <v>384</v>
      </c>
      <c r="C304" s="314" t="s">
        <v>767</v>
      </c>
      <c r="D304" s="314" t="s">
        <v>1430</v>
      </c>
      <c r="E304" s="314" t="s">
        <v>575</v>
      </c>
      <c r="F304" s="315"/>
      <c r="G304" s="315"/>
      <c r="H304" s="315">
        <v>1</v>
      </c>
      <c r="I304" s="315">
        <v>1</v>
      </c>
      <c r="J304" s="315">
        <v>1</v>
      </c>
      <c r="K304" s="315"/>
      <c r="L304" s="315">
        <v>1</v>
      </c>
      <c r="M304" s="315">
        <v>1</v>
      </c>
      <c r="N304" s="315"/>
      <c r="O304" s="315">
        <v>1</v>
      </c>
      <c r="P304" s="315">
        <v>1</v>
      </c>
      <c r="Q304" s="315">
        <v>1</v>
      </c>
      <c r="R304" s="315">
        <v>1</v>
      </c>
      <c r="S304" s="315">
        <v>1</v>
      </c>
      <c r="T304" s="315">
        <v>1</v>
      </c>
      <c r="U304" s="315">
        <v>1</v>
      </c>
      <c r="V304" s="315"/>
      <c r="W304" s="315">
        <v>1</v>
      </c>
      <c r="X304" s="315">
        <v>1</v>
      </c>
      <c r="Y304" s="315">
        <v>1</v>
      </c>
      <c r="Z304" s="315">
        <v>1</v>
      </c>
      <c r="AA304" s="315"/>
      <c r="AB304" s="315">
        <v>1</v>
      </c>
      <c r="AC304" s="315">
        <v>1</v>
      </c>
      <c r="AD304" s="315"/>
      <c r="AE304" s="315"/>
      <c r="AF304" s="315"/>
      <c r="AG304" s="315"/>
      <c r="AH304" s="315"/>
      <c r="AI304" s="315"/>
      <c r="AJ304" s="315"/>
      <c r="AK304" s="315"/>
      <c r="AL304" s="315"/>
      <c r="AM304" s="315"/>
      <c r="AN304" s="315">
        <v>1</v>
      </c>
      <c r="AO304" s="315">
        <v>1</v>
      </c>
      <c r="AP304" s="315"/>
      <c r="AQ304" s="316"/>
    </row>
    <row r="305" spans="1:43" s="378" customFormat="1" ht="44.25" customHeight="1">
      <c r="A305" s="313" t="s">
        <v>1505</v>
      </c>
      <c r="B305" s="313" t="s">
        <v>384</v>
      </c>
      <c r="C305" s="314" t="s">
        <v>768</v>
      </c>
      <c r="D305" s="314" t="s">
        <v>1426</v>
      </c>
      <c r="E305" s="314" t="s">
        <v>575</v>
      </c>
      <c r="F305" s="315"/>
      <c r="G305" s="315"/>
      <c r="H305" s="315"/>
      <c r="I305" s="315"/>
      <c r="J305" s="315">
        <v>1</v>
      </c>
      <c r="K305" s="315">
        <v>1</v>
      </c>
      <c r="L305" s="315">
        <v>1</v>
      </c>
      <c r="M305" s="315">
        <v>1</v>
      </c>
      <c r="N305" s="315"/>
      <c r="O305" s="315">
        <v>1</v>
      </c>
      <c r="P305" s="315"/>
      <c r="Q305" s="315"/>
      <c r="R305" s="315"/>
      <c r="S305" s="315"/>
      <c r="T305" s="315"/>
      <c r="U305" s="315">
        <v>1</v>
      </c>
      <c r="V305" s="315"/>
      <c r="W305" s="315">
        <v>1</v>
      </c>
      <c r="X305" s="315">
        <v>1</v>
      </c>
      <c r="Y305" s="315">
        <v>1</v>
      </c>
      <c r="Z305" s="315">
        <v>1</v>
      </c>
      <c r="AA305" s="315">
        <v>1</v>
      </c>
      <c r="AB305" s="315">
        <v>1</v>
      </c>
      <c r="AC305" s="315">
        <v>1</v>
      </c>
      <c r="AD305" s="315"/>
      <c r="AE305" s="315"/>
      <c r="AF305" s="315">
        <v>1</v>
      </c>
      <c r="AG305" s="315">
        <v>1</v>
      </c>
      <c r="AH305" s="315">
        <v>1</v>
      </c>
      <c r="AI305" s="315">
        <v>1</v>
      </c>
      <c r="AJ305" s="315">
        <v>1</v>
      </c>
      <c r="AK305" s="315">
        <v>1</v>
      </c>
      <c r="AL305" s="315">
        <v>1</v>
      </c>
      <c r="AM305" s="315"/>
      <c r="AN305" s="315"/>
      <c r="AO305" s="315">
        <v>1</v>
      </c>
      <c r="AP305" s="315">
        <v>1</v>
      </c>
      <c r="AQ305" s="316">
        <v>1</v>
      </c>
    </row>
    <row r="306" spans="1:43" s="378" customFormat="1" ht="44.25" customHeight="1">
      <c r="A306" s="313" t="s">
        <v>1505</v>
      </c>
      <c r="B306" s="313" t="s">
        <v>386</v>
      </c>
      <c r="C306" s="314" t="s">
        <v>769</v>
      </c>
      <c r="D306" s="314" t="s">
        <v>1424</v>
      </c>
      <c r="E306" s="314" t="s">
        <v>770</v>
      </c>
      <c r="F306" s="315"/>
      <c r="G306" s="315">
        <v>1</v>
      </c>
      <c r="H306" s="315"/>
      <c r="I306" s="315">
        <v>1</v>
      </c>
      <c r="J306" s="315">
        <v>1</v>
      </c>
      <c r="K306" s="315">
        <v>1</v>
      </c>
      <c r="L306" s="315">
        <v>1</v>
      </c>
      <c r="M306" s="315">
        <v>1</v>
      </c>
      <c r="N306" s="315"/>
      <c r="O306" s="315"/>
      <c r="P306" s="315">
        <v>1</v>
      </c>
      <c r="Q306" s="315">
        <v>1</v>
      </c>
      <c r="R306" s="315">
        <v>1</v>
      </c>
      <c r="S306" s="315">
        <v>1</v>
      </c>
      <c r="T306" s="315">
        <v>1</v>
      </c>
      <c r="U306" s="315">
        <v>1</v>
      </c>
      <c r="V306" s="315"/>
      <c r="W306" s="315">
        <v>1</v>
      </c>
      <c r="X306" s="315">
        <v>1</v>
      </c>
      <c r="Y306" s="315">
        <v>1</v>
      </c>
      <c r="Z306" s="315">
        <v>1</v>
      </c>
      <c r="AA306" s="315">
        <v>1</v>
      </c>
      <c r="AB306" s="315">
        <v>1</v>
      </c>
      <c r="AC306" s="315">
        <v>1</v>
      </c>
      <c r="AD306" s="315"/>
      <c r="AE306" s="315"/>
      <c r="AF306" s="315">
        <v>1</v>
      </c>
      <c r="AG306" s="315">
        <v>1</v>
      </c>
      <c r="AH306" s="315">
        <v>1</v>
      </c>
      <c r="AI306" s="315">
        <v>1</v>
      </c>
      <c r="AJ306" s="315"/>
      <c r="AK306" s="315"/>
      <c r="AL306" s="315">
        <v>1</v>
      </c>
      <c r="AM306" s="315">
        <v>1</v>
      </c>
      <c r="AN306" s="315">
        <v>1</v>
      </c>
      <c r="AO306" s="315">
        <v>1</v>
      </c>
      <c r="AP306" s="315">
        <v>1</v>
      </c>
      <c r="AQ306" s="316">
        <v>1</v>
      </c>
    </row>
    <row r="307" spans="1:43" s="378" customFormat="1" ht="44.25" customHeight="1">
      <c r="A307" s="313" t="s">
        <v>1505</v>
      </c>
      <c r="B307" s="313" t="s">
        <v>395</v>
      </c>
      <c r="C307" s="314" t="s">
        <v>771</v>
      </c>
      <c r="D307" s="314" t="s">
        <v>1424</v>
      </c>
      <c r="E307" s="314" t="s">
        <v>415</v>
      </c>
      <c r="F307" s="315"/>
      <c r="G307" s="315">
        <v>1</v>
      </c>
      <c r="H307" s="315"/>
      <c r="I307" s="315">
        <v>1</v>
      </c>
      <c r="J307" s="315">
        <v>1</v>
      </c>
      <c r="K307" s="315">
        <v>1</v>
      </c>
      <c r="L307" s="315">
        <v>1</v>
      </c>
      <c r="M307" s="315">
        <v>1</v>
      </c>
      <c r="N307" s="315"/>
      <c r="O307" s="315"/>
      <c r="P307" s="315"/>
      <c r="Q307" s="315"/>
      <c r="R307" s="315">
        <v>1</v>
      </c>
      <c r="S307" s="315">
        <v>1</v>
      </c>
      <c r="T307" s="315">
        <v>1</v>
      </c>
      <c r="U307" s="315">
        <v>1</v>
      </c>
      <c r="V307" s="315"/>
      <c r="W307" s="315">
        <v>1</v>
      </c>
      <c r="X307" s="315">
        <v>1</v>
      </c>
      <c r="Y307" s="315">
        <v>1</v>
      </c>
      <c r="Z307" s="315">
        <v>1</v>
      </c>
      <c r="AA307" s="315">
        <v>1</v>
      </c>
      <c r="AB307" s="315">
        <v>1</v>
      </c>
      <c r="AC307" s="315">
        <v>1</v>
      </c>
      <c r="AD307" s="315"/>
      <c r="AE307" s="315"/>
      <c r="AF307" s="315">
        <v>1</v>
      </c>
      <c r="AG307" s="315">
        <v>1</v>
      </c>
      <c r="AH307" s="315">
        <v>1</v>
      </c>
      <c r="AI307" s="315">
        <v>1</v>
      </c>
      <c r="AJ307" s="315">
        <v>1</v>
      </c>
      <c r="AK307" s="315">
        <v>1</v>
      </c>
      <c r="AL307" s="315">
        <v>1</v>
      </c>
      <c r="AM307" s="315">
        <v>1</v>
      </c>
      <c r="AN307" s="315">
        <v>1</v>
      </c>
      <c r="AO307" s="315">
        <v>1</v>
      </c>
      <c r="AP307" s="315">
        <v>1</v>
      </c>
      <c r="AQ307" s="316">
        <v>1</v>
      </c>
    </row>
    <row r="308" spans="1:43" s="378" customFormat="1" ht="44.25" customHeight="1">
      <c r="A308" s="313" t="s">
        <v>1505</v>
      </c>
      <c r="B308" s="313" t="s">
        <v>395</v>
      </c>
      <c r="C308" s="314" t="s">
        <v>772</v>
      </c>
      <c r="D308" s="314" t="s">
        <v>1428</v>
      </c>
      <c r="E308" s="314" t="s">
        <v>773</v>
      </c>
      <c r="F308" s="315"/>
      <c r="G308" s="315"/>
      <c r="H308" s="315">
        <v>1</v>
      </c>
      <c r="I308" s="315">
        <v>1</v>
      </c>
      <c r="J308" s="315"/>
      <c r="K308" s="315">
        <v>1</v>
      </c>
      <c r="L308" s="315">
        <v>1</v>
      </c>
      <c r="M308" s="315">
        <v>1</v>
      </c>
      <c r="N308" s="315"/>
      <c r="O308" s="315">
        <v>1</v>
      </c>
      <c r="P308" s="315">
        <v>1</v>
      </c>
      <c r="Q308" s="315">
        <v>1</v>
      </c>
      <c r="R308" s="315"/>
      <c r="S308" s="315"/>
      <c r="T308" s="315"/>
      <c r="U308" s="315"/>
      <c r="V308" s="315"/>
      <c r="W308" s="315">
        <v>1</v>
      </c>
      <c r="X308" s="315">
        <v>1</v>
      </c>
      <c r="Y308" s="315">
        <v>1</v>
      </c>
      <c r="Z308" s="315">
        <v>1</v>
      </c>
      <c r="AA308" s="315">
        <v>1</v>
      </c>
      <c r="AB308" s="315">
        <v>1</v>
      </c>
      <c r="AC308" s="315">
        <v>1</v>
      </c>
      <c r="AD308" s="315"/>
      <c r="AE308" s="315"/>
      <c r="AF308" s="315"/>
      <c r="AG308" s="315"/>
      <c r="AH308" s="315"/>
      <c r="AI308" s="315"/>
      <c r="AJ308" s="315"/>
      <c r="AK308" s="315"/>
      <c r="AL308" s="315"/>
      <c r="AM308" s="315"/>
      <c r="AN308" s="315">
        <v>1</v>
      </c>
      <c r="AO308" s="315">
        <v>1</v>
      </c>
      <c r="AP308" s="315"/>
      <c r="AQ308" s="316"/>
    </row>
    <row r="309" spans="1:43" s="378" customFormat="1" ht="44.25" customHeight="1">
      <c r="A309" s="313" t="s">
        <v>1505</v>
      </c>
      <c r="B309" s="313" t="s">
        <v>395</v>
      </c>
      <c r="C309" s="314" t="s">
        <v>774</v>
      </c>
      <c r="D309" s="314" t="s">
        <v>1430</v>
      </c>
      <c r="E309" s="314" t="s">
        <v>775</v>
      </c>
      <c r="F309" s="315"/>
      <c r="G309" s="315"/>
      <c r="H309" s="315"/>
      <c r="I309" s="315"/>
      <c r="J309" s="315">
        <v>1</v>
      </c>
      <c r="K309" s="315">
        <v>1</v>
      </c>
      <c r="L309" s="315">
        <v>1</v>
      </c>
      <c r="M309" s="315">
        <v>1</v>
      </c>
      <c r="N309" s="315"/>
      <c r="O309" s="315">
        <v>1</v>
      </c>
      <c r="P309" s="315">
        <v>1</v>
      </c>
      <c r="Q309" s="315">
        <v>1</v>
      </c>
      <c r="R309" s="315">
        <v>1</v>
      </c>
      <c r="S309" s="315"/>
      <c r="T309" s="315">
        <v>1</v>
      </c>
      <c r="U309" s="315">
        <v>1</v>
      </c>
      <c r="V309" s="315"/>
      <c r="W309" s="315">
        <v>1</v>
      </c>
      <c r="X309" s="315">
        <v>1</v>
      </c>
      <c r="Y309" s="315">
        <v>1</v>
      </c>
      <c r="Z309" s="315">
        <v>1</v>
      </c>
      <c r="AA309" s="315">
        <v>1</v>
      </c>
      <c r="AB309" s="315">
        <v>1</v>
      </c>
      <c r="AC309" s="315">
        <v>1</v>
      </c>
      <c r="AD309" s="315"/>
      <c r="AE309" s="315"/>
      <c r="AF309" s="315"/>
      <c r="AG309" s="315"/>
      <c r="AH309" s="315">
        <v>1</v>
      </c>
      <c r="AI309" s="315">
        <v>1</v>
      </c>
      <c r="AJ309" s="315"/>
      <c r="AK309" s="315"/>
      <c r="AL309" s="315">
        <v>1</v>
      </c>
      <c r="AM309" s="315"/>
      <c r="AN309" s="315"/>
      <c r="AO309" s="315">
        <v>1</v>
      </c>
      <c r="AP309" s="315"/>
      <c r="AQ309" s="316"/>
    </row>
    <row r="310" spans="1:43" s="378" customFormat="1" ht="44.25" customHeight="1">
      <c r="A310" s="313" t="s">
        <v>1505</v>
      </c>
      <c r="B310" s="313" t="s">
        <v>395</v>
      </c>
      <c r="C310" s="314" t="s">
        <v>776</v>
      </c>
      <c r="D310" s="314" t="s">
        <v>1426</v>
      </c>
      <c r="E310" s="314" t="s">
        <v>575</v>
      </c>
      <c r="F310" s="315"/>
      <c r="G310" s="315">
        <v>1</v>
      </c>
      <c r="H310" s="315">
        <v>1</v>
      </c>
      <c r="I310" s="315">
        <v>1</v>
      </c>
      <c r="J310" s="315">
        <v>1</v>
      </c>
      <c r="K310" s="315">
        <v>1</v>
      </c>
      <c r="L310" s="315">
        <v>1</v>
      </c>
      <c r="M310" s="315">
        <v>1</v>
      </c>
      <c r="N310" s="315"/>
      <c r="O310" s="315">
        <v>1</v>
      </c>
      <c r="P310" s="315">
        <v>1</v>
      </c>
      <c r="Q310" s="315">
        <v>1</v>
      </c>
      <c r="R310" s="315">
        <v>1</v>
      </c>
      <c r="S310" s="315"/>
      <c r="T310" s="315">
        <v>1</v>
      </c>
      <c r="U310" s="315">
        <v>1</v>
      </c>
      <c r="V310" s="315"/>
      <c r="W310" s="315"/>
      <c r="X310" s="315">
        <v>1</v>
      </c>
      <c r="Y310" s="315">
        <v>1</v>
      </c>
      <c r="Z310" s="315">
        <v>1</v>
      </c>
      <c r="AA310" s="315">
        <v>1</v>
      </c>
      <c r="AB310" s="315">
        <v>1</v>
      </c>
      <c r="AC310" s="315">
        <v>1</v>
      </c>
      <c r="AD310" s="315"/>
      <c r="AE310" s="315"/>
      <c r="AF310" s="315"/>
      <c r="AG310" s="315"/>
      <c r="AH310" s="315">
        <v>1</v>
      </c>
      <c r="AI310" s="315">
        <v>1</v>
      </c>
      <c r="AJ310" s="315">
        <v>1</v>
      </c>
      <c r="AK310" s="315">
        <v>1</v>
      </c>
      <c r="AL310" s="315"/>
      <c r="AM310" s="315"/>
      <c r="AN310" s="315">
        <v>1</v>
      </c>
      <c r="AO310" s="315">
        <v>1</v>
      </c>
      <c r="AP310" s="315">
        <v>1</v>
      </c>
      <c r="AQ310" s="316">
        <v>1</v>
      </c>
    </row>
    <row r="311" spans="1:43" s="378" customFormat="1" ht="44.25" customHeight="1">
      <c r="A311" s="313" t="s">
        <v>1505</v>
      </c>
      <c r="B311" s="313" t="s">
        <v>395</v>
      </c>
      <c r="C311" s="314" t="s">
        <v>777</v>
      </c>
      <c r="D311" s="314" t="s">
        <v>1428</v>
      </c>
      <c r="E311" s="314" t="s">
        <v>408</v>
      </c>
      <c r="F311" s="315"/>
      <c r="G311" s="315">
        <v>1</v>
      </c>
      <c r="H311" s="315">
        <v>1</v>
      </c>
      <c r="I311" s="315">
        <v>1</v>
      </c>
      <c r="J311" s="315">
        <v>1</v>
      </c>
      <c r="K311" s="315"/>
      <c r="L311" s="315"/>
      <c r="M311" s="315">
        <v>1</v>
      </c>
      <c r="N311" s="315"/>
      <c r="O311" s="315"/>
      <c r="P311" s="315">
        <v>1</v>
      </c>
      <c r="Q311" s="315">
        <v>1</v>
      </c>
      <c r="R311" s="315">
        <v>1</v>
      </c>
      <c r="S311" s="315">
        <v>1</v>
      </c>
      <c r="T311" s="315">
        <v>1</v>
      </c>
      <c r="U311" s="315">
        <v>1</v>
      </c>
      <c r="V311" s="315"/>
      <c r="W311" s="315">
        <v>1</v>
      </c>
      <c r="X311" s="315">
        <v>1</v>
      </c>
      <c r="Y311" s="315">
        <v>1</v>
      </c>
      <c r="Z311" s="315">
        <v>1</v>
      </c>
      <c r="AA311" s="315">
        <v>1</v>
      </c>
      <c r="AB311" s="315">
        <v>1</v>
      </c>
      <c r="AC311" s="315">
        <v>1</v>
      </c>
      <c r="AD311" s="315"/>
      <c r="AE311" s="315"/>
      <c r="AF311" s="315">
        <v>1</v>
      </c>
      <c r="AG311" s="315">
        <v>1</v>
      </c>
      <c r="AH311" s="315">
        <v>1</v>
      </c>
      <c r="AI311" s="315"/>
      <c r="AJ311" s="315">
        <v>1</v>
      </c>
      <c r="AK311" s="315">
        <v>1</v>
      </c>
      <c r="AL311" s="315">
        <v>1</v>
      </c>
      <c r="AM311" s="315">
        <v>1</v>
      </c>
      <c r="AN311" s="315">
        <v>1</v>
      </c>
      <c r="AO311" s="315">
        <v>1</v>
      </c>
      <c r="AP311" s="315">
        <v>1</v>
      </c>
      <c r="AQ311" s="316">
        <v>1</v>
      </c>
    </row>
    <row r="312" spans="1:43" s="378" customFormat="1" ht="44.25" customHeight="1">
      <c r="A312" s="313" t="s">
        <v>1505</v>
      </c>
      <c r="B312" s="313" t="s">
        <v>395</v>
      </c>
      <c r="C312" s="314" t="s">
        <v>778</v>
      </c>
      <c r="D312" s="314" t="s">
        <v>1428</v>
      </c>
      <c r="E312" s="314" t="s">
        <v>568</v>
      </c>
      <c r="F312" s="315"/>
      <c r="G312" s="315"/>
      <c r="H312" s="315"/>
      <c r="I312" s="315"/>
      <c r="J312" s="315">
        <v>1</v>
      </c>
      <c r="K312" s="315">
        <v>1</v>
      </c>
      <c r="L312" s="315">
        <v>1</v>
      </c>
      <c r="M312" s="315">
        <v>1</v>
      </c>
      <c r="N312" s="315"/>
      <c r="O312" s="315">
        <v>1</v>
      </c>
      <c r="P312" s="315">
        <v>1</v>
      </c>
      <c r="Q312" s="315">
        <v>1</v>
      </c>
      <c r="R312" s="315">
        <v>1</v>
      </c>
      <c r="S312" s="315">
        <v>1</v>
      </c>
      <c r="T312" s="315">
        <v>1</v>
      </c>
      <c r="U312" s="315">
        <v>1</v>
      </c>
      <c r="V312" s="315"/>
      <c r="W312" s="315">
        <v>1</v>
      </c>
      <c r="X312" s="315">
        <v>1</v>
      </c>
      <c r="Y312" s="315">
        <v>1</v>
      </c>
      <c r="Z312" s="315">
        <v>1</v>
      </c>
      <c r="AA312" s="315">
        <v>1</v>
      </c>
      <c r="AB312" s="315">
        <v>1</v>
      </c>
      <c r="AC312" s="315">
        <v>1</v>
      </c>
      <c r="AD312" s="315"/>
      <c r="AE312" s="315"/>
      <c r="AF312" s="315"/>
      <c r="AG312" s="315"/>
      <c r="AH312" s="315">
        <v>1</v>
      </c>
      <c r="AI312" s="315"/>
      <c r="AJ312" s="315">
        <v>1</v>
      </c>
      <c r="AK312" s="315">
        <v>1</v>
      </c>
      <c r="AL312" s="315">
        <v>1</v>
      </c>
      <c r="AM312" s="315"/>
      <c r="AN312" s="315">
        <v>1</v>
      </c>
      <c r="AO312" s="315">
        <v>1</v>
      </c>
      <c r="AP312" s="315">
        <v>1</v>
      </c>
      <c r="AQ312" s="316">
        <v>1</v>
      </c>
    </row>
    <row r="313" spans="1:43" s="378" customFormat="1" ht="44.25" customHeight="1">
      <c r="A313" s="313" t="s">
        <v>1505</v>
      </c>
      <c r="B313" s="313" t="s">
        <v>395</v>
      </c>
      <c r="C313" s="314" t="s">
        <v>779</v>
      </c>
      <c r="D313" s="314" t="s">
        <v>1428</v>
      </c>
      <c r="E313" s="314" t="s">
        <v>780</v>
      </c>
      <c r="F313" s="315"/>
      <c r="G313" s="315"/>
      <c r="H313" s="315">
        <v>1</v>
      </c>
      <c r="I313" s="315">
        <v>1</v>
      </c>
      <c r="J313" s="315">
        <v>1</v>
      </c>
      <c r="K313" s="315"/>
      <c r="L313" s="315">
        <v>1</v>
      </c>
      <c r="M313" s="315">
        <v>1</v>
      </c>
      <c r="N313" s="315"/>
      <c r="O313" s="315">
        <v>1</v>
      </c>
      <c r="P313" s="315">
        <v>1</v>
      </c>
      <c r="Q313" s="315">
        <v>1</v>
      </c>
      <c r="R313" s="315">
        <v>1</v>
      </c>
      <c r="S313" s="315"/>
      <c r="T313" s="315">
        <v>1</v>
      </c>
      <c r="U313" s="315">
        <v>1</v>
      </c>
      <c r="V313" s="315"/>
      <c r="W313" s="315"/>
      <c r="X313" s="315">
        <v>1</v>
      </c>
      <c r="Y313" s="315">
        <v>1</v>
      </c>
      <c r="Z313" s="315">
        <v>1</v>
      </c>
      <c r="AA313" s="315">
        <v>1</v>
      </c>
      <c r="AB313" s="315"/>
      <c r="AC313" s="315"/>
      <c r="AD313" s="315"/>
      <c r="AE313" s="315">
        <v>1</v>
      </c>
      <c r="AF313" s="315">
        <v>1</v>
      </c>
      <c r="AG313" s="315">
        <v>1</v>
      </c>
      <c r="AH313" s="315">
        <v>1</v>
      </c>
      <c r="AI313" s="315">
        <v>1</v>
      </c>
      <c r="AJ313" s="315">
        <v>1</v>
      </c>
      <c r="AK313" s="315">
        <v>1</v>
      </c>
      <c r="AL313" s="315">
        <v>1</v>
      </c>
      <c r="AM313" s="315">
        <v>1</v>
      </c>
      <c r="AN313" s="315">
        <v>1</v>
      </c>
      <c r="AO313" s="315">
        <v>1</v>
      </c>
      <c r="AP313" s="315">
        <v>1</v>
      </c>
      <c r="AQ313" s="316">
        <v>1</v>
      </c>
    </row>
    <row r="314" spans="1:43" s="378" customFormat="1" ht="44.25" customHeight="1">
      <c r="A314" s="313" t="s">
        <v>1505</v>
      </c>
      <c r="B314" s="313" t="s">
        <v>395</v>
      </c>
      <c r="C314" s="314" t="s">
        <v>781</v>
      </c>
      <c r="D314" s="314" t="s">
        <v>1446</v>
      </c>
      <c r="E314" s="314" t="s">
        <v>782</v>
      </c>
      <c r="F314" s="315"/>
      <c r="G314" s="315">
        <v>1</v>
      </c>
      <c r="H314" s="315">
        <v>1</v>
      </c>
      <c r="I314" s="315">
        <v>1</v>
      </c>
      <c r="J314" s="315">
        <v>1</v>
      </c>
      <c r="K314" s="315">
        <v>1</v>
      </c>
      <c r="L314" s="315">
        <v>1</v>
      </c>
      <c r="M314" s="315">
        <v>1</v>
      </c>
      <c r="N314" s="315"/>
      <c r="O314" s="315"/>
      <c r="P314" s="315"/>
      <c r="Q314" s="315"/>
      <c r="R314" s="315">
        <v>1</v>
      </c>
      <c r="S314" s="315">
        <v>1</v>
      </c>
      <c r="T314" s="315"/>
      <c r="U314" s="315">
        <v>1</v>
      </c>
      <c r="V314" s="315"/>
      <c r="W314" s="315">
        <v>1</v>
      </c>
      <c r="X314" s="315">
        <v>1</v>
      </c>
      <c r="Y314" s="315">
        <v>1</v>
      </c>
      <c r="Z314" s="315">
        <v>1</v>
      </c>
      <c r="AA314" s="315">
        <v>1</v>
      </c>
      <c r="AB314" s="315">
        <v>1</v>
      </c>
      <c r="AC314" s="315">
        <v>1</v>
      </c>
      <c r="AD314" s="315"/>
      <c r="AE314" s="315"/>
      <c r="AF314" s="315">
        <v>1</v>
      </c>
      <c r="AG314" s="315">
        <v>1</v>
      </c>
      <c r="AH314" s="315"/>
      <c r="AI314" s="315">
        <v>1</v>
      </c>
      <c r="AJ314" s="315">
        <v>1</v>
      </c>
      <c r="AK314" s="315">
        <v>1</v>
      </c>
      <c r="AL314" s="315"/>
      <c r="AM314" s="315">
        <v>1</v>
      </c>
      <c r="AN314" s="315">
        <v>1</v>
      </c>
      <c r="AO314" s="315">
        <v>1</v>
      </c>
      <c r="AP314" s="315"/>
      <c r="AQ314" s="317"/>
    </row>
    <row r="315" spans="1:43" s="378" customFormat="1" ht="44.25" customHeight="1">
      <c r="A315" s="313" t="s">
        <v>1505</v>
      </c>
      <c r="B315" s="313" t="s">
        <v>395</v>
      </c>
      <c r="C315" s="314" t="s">
        <v>783</v>
      </c>
      <c r="D315" s="314" t="s">
        <v>1428</v>
      </c>
      <c r="E315" s="314" t="s">
        <v>565</v>
      </c>
      <c r="F315" s="315"/>
      <c r="G315" s="315"/>
      <c r="H315" s="315">
        <v>1</v>
      </c>
      <c r="I315" s="315">
        <v>1</v>
      </c>
      <c r="J315" s="315">
        <v>1</v>
      </c>
      <c r="K315" s="315">
        <v>1</v>
      </c>
      <c r="L315" s="315">
        <v>1</v>
      </c>
      <c r="M315" s="315">
        <v>1</v>
      </c>
      <c r="N315" s="315"/>
      <c r="O315" s="315">
        <v>1</v>
      </c>
      <c r="P315" s="315">
        <v>1</v>
      </c>
      <c r="Q315" s="315">
        <v>1</v>
      </c>
      <c r="R315" s="315">
        <v>1</v>
      </c>
      <c r="S315" s="315">
        <v>1</v>
      </c>
      <c r="T315" s="315">
        <v>1</v>
      </c>
      <c r="U315" s="315">
        <v>1</v>
      </c>
      <c r="V315" s="315"/>
      <c r="W315" s="315">
        <v>1</v>
      </c>
      <c r="X315" s="315">
        <v>1</v>
      </c>
      <c r="Y315" s="315">
        <v>1</v>
      </c>
      <c r="Z315" s="315">
        <v>1</v>
      </c>
      <c r="AA315" s="315">
        <v>1</v>
      </c>
      <c r="AB315" s="315">
        <v>1</v>
      </c>
      <c r="AC315" s="315">
        <v>1</v>
      </c>
      <c r="AD315" s="315"/>
      <c r="AE315" s="315"/>
      <c r="AF315" s="315">
        <v>1</v>
      </c>
      <c r="AG315" s="315">
        <v>1</v>
      </c>
      <c r="AH315" s="315">
        <v>1</v>
      </c>
      <c r="AI315" s="315"/>
      <c r="AJ315" s="315">
        <v>1</v>
      </c>
      <c r="AK315" s="315">
        <v>1</v>
      </c>
      <c r="AL315" s="315">
        <v>1</v>
      </c>
      <c r="AM315" s="315">
        <v>1</v>
      </c>
      <c r="AN315" s="315">
        <v>1</v>
      </c>
      <c r="AO315" s="315">
        <v>1</v>
      </c>
      <c r="AP315" s="315">
        <v>1</v>
      </c>
      <c r="AQ315" s="316">
        <v>1</v>
      </c>
    </row>
    <row r="316" spans="1:43" s="378" customFormat="1" ht="44.25" customHeight="1">
      <c r="A316" s="313" t="s">
        <v>1505</v>
      </c>
      <c r="B316" s="313" t="s">
        <v>395</v>
      </c>
      <c r="C316" s="314" t="s">
        <v>784</v>
      </c>
      <c r="D316" s="314" t="s">
        <v>1424</v>
      </c>
      <c r="E316" s="314" t="s">
        <v>575</v>
      </c>
      <c r="F316" s="315"/>
      <c r="G316" s="315">
        <v>1</v>
      </c>
      <c r="H316" s="315"/>
      <c r="I316" s="315">
        <v>1</v>
      </c>
      <c r="J316" s="315">
        <v>1</v>
      </c>
      <c r="K316" s="315"/>
      <c r="L316" s="315">
        <v>1</v>
      </c>
      <c r="M316" s="315">
        <v>1</v>
      </c>
      <c r="N316" s="315"/>
      <c r="O316" s="315"/>
      <c r="P316" s="315"/>
      <c r="Q316" s="315"/>
      <c r="R316" s="315">
        <v>1</v>
      </c>
      <c r="S316" s="315">
        <v>1</v>
      </c>
      <c r="T316" s="315">
        <v>1</v>
      </c>
      <c r="U316" s="315">
        <v>1</v>
      </c>
      <c r="V316" s="315"/>
      <c r="W316" s="315">
        <v>1</v>
      </c>
      <c r="X316" s="315">
        <v>1</v>
      </c>
      <c r="Y316" s="315">
        <v>1</v>
      </c>
      <c r="Z316" s="315">
        <v>1</v>
      </c>
      <c r="AA316" s="315"/>
      <c r="AB316" s="315">
        <v>1</v>
      </c>
      <c r="AC316" s="315">
        <v>1</v>
      </c>
      <c r="AD316" s="315"/>
      <c r="AE316" s="315"/>
      <c r="AF316" s="315">
        <v>1</v>
      </c>
      <c r="AG316" s="315">
        <v>1</v>
      </c>
      <c r="AH316" s="315"/>
      <c r="AI316" s="315">
        <v>1</v>
      </c>
      <c r="AJ316" s="315">
        <v>1</v>
      </c>
      <c r="AK316" s="315">
        <v>1</v>
      </c>
      <c r="AL316" s="315">
        <v>1</v>
      </c>
      <c r="AM316" s="315">
        <v>1</v>
      </c>
      <c r="AN316" s="315">
        <v>1</v>
      </c>
      <c r="AO316" s="315">
        <v>1</v>
      </c>
      <c r="AP316" s="315">
        <v>1</v>
      </c>
      <c r="AQ316" s="316">
        <v>1</v>
      </c>
    </row>
    <row r="317" spans="1:43" s="378" customFormat="1" ht="44.25" customHeight="1">
      <c r="A317" s="313" t="s">
        <v>1505</v>
      </c>
      <c r="B317" s="313" t="s">
        <v>386</v>
      </c>
      <c r="C317" s="314" t="s">
        <v>785</v>
      </c>
      <c r="D317" s="314" t="s">
        <v>1426</v>
      </c>
      <c r="E317" s="314" t="s">
        <v>528</v>
      </c>
      <c r="F317" s="315"/>
      <c r="G317" s="315">
        <v>1</v>
      </c>
      <c r="H317" s="315"/>
      <c r="I317" s="315">
        <v>1</v>
      </c>
      <c r="J317" s="315">
        <v>1</v>
      </c>
      <c r="K317" s="315">
        <v>1</v>
      </c>
      <c r="L317" s="315"/>
      <c r="M317" s="315">
        <v>1</v>
      </c>
      <c r="N317" s="315"/>
      <c r="O317" s="315">
        <v>1</v>
      </c>
      <c r="P317" s="315">
        <v>1</v>
      </c>
      <c r="Q317" s="315">
        <v>1</v>
      </c>
      <c r="R317" s="315">
        <v>1</v>
      </c>
      <c r="S317" s="315">
        <v>1</v>
      </c>
      <c r="T317" s="315">
        <v>1</v>
      </c>
      <c r="U317" s="315">
        <v>1</v>
      </c>
      <c r="V317" s="315"/>
      <c r="W317" s="315"/>
      <c r="X317" s="315">
        <v>1</v>
      </c>
      <c r="Y317" s="315">
        <v>1</v>
      </c>
      <c r="Z317" s="315">
        <v>1</v>
      </c>
      <c r="AA317" s="315">
        <v>1</v>
      </c>
      <c r="AB317" s="315">
        <v>1</v>
      </c>
      <c r="AC317" s="315">
        <v>1</v>
      </c>
      <c r="AD317" s="315"/>
      <c r="AE317" s="315"/>
      <c r="AF317" s="315"/>
      <c r="AG317" s="315"/>
      <c r="AH317" s="315"/>
      <c r="AI317" s="315"/>
      <c r="AJ317" s="315"/>
      <c r="AK317" s="315"/>
      <c r="AL317" s="315"/>
      <c r="AM317" s="315"/>
      <c r="AN317" s="315">
        <v>1</v>
      </c>
      <c r="AO317" s="315">
        <v>1</v>
      </c>
      <c r="AP317" s="315"/>
      <c r="AQ317" s="317"/>
    </row>
    <row r="318" spans="1:43" s="378" customFormat="1" ht="44.25" customHeight="1">
      <c r="A318" s="313" t="s">
        <v>1505</v>
      </c>
      <c r="B318" s="313" t="s">
        <v>386</v>
      </c>
      <c r="C318" s="314" t="s">
        <v>786</v>
      </c>
      <c r="D318" s="314" t="s">
        <v>1426</v>
      </c>
      <c r="E318" s="314" t="s">
        <v>571</v>
      </c>
      <c r="F318" s="315"/>
      <c r="G318" s="315"/>
      <c r="H318" s="315">
        <v>1</v>
      </c>
      <c r="I318" s="315">
        <v>1</v>
      </c>
      <c r="J318" s="315">
        <v>1</v>
      </c>
      <c r="K318" s="315">
        <v>1</v>
      </c>
      <c r="L318" s="315">
        <v>1</v>
      </c>
      <c r="M318" s="315">
        <v>1</v>
      </c>
      <c r="N318" s="315"/>
      <c r="O318" s="315">
        <v>1</v>
      </c>
      <c r="P318" s="315">
        <v>1</v>
      </c>
      <c r="Q318" s="315">
        <v>1</v>
      </c>
      <c r="R318" s="315">
        <v>1</v>
      </c>
      <c r="S318" s="315"/>
      <c r="T318" s="315">
        <v>1</v>
      </c>
      <c r="U318" s="315">
        <v>1</v>
      </c>
      <c r="V318" s="315"/>
      <c r="W318" s="315">
        <v>1</v>
      </c>
      <c r="X318" s="315">
        <v>1</v>
      </c>
      <c r="Y318" s="315">
        <v>1</v>
      </c>
      <c r="Z318" s="315">
        <v>1</v>
      </c>
      <c r="AA318" s="315">
        <v>1</v>
      </c>
      <c r="AB318" s="315">
        <v>1</v>
      </c>
      <c r="AC318" s="315">
        <v>1</v>
      </c>
      <c r="AD318" s="315"/>
      <c r="AE318" s="315"/>
      <c r="AF318" s="315"/>
      <c r="AG318" s="315"/>
      <c r="AH318" s="315"/>
      <c r="AI318" s="315"/>
      <c r="AJ318" s="315"/>
      <c r="AK318" s="315"/>
      <c r="AL318" s="315">
        <v>1</v>
      </c>
      <c r="AM318" s="315"/>
      <c r="AN318" s="315">
        <v>1</v>
      </c>
      <c r="AO318" s="315">
        <v>1</v>
      </c>
      <c r="AP318" s="315"/>
      <c r="AQ318" s="317"/>
    </row>
    <row r="319" spans="1:43" s="378" customFormat="1" ht="44.25" customHeight="1">
      <c r="A319" s="313" t="s">
        <v>1505</v>
      </c>
      <c r="B319" s="313" t="s">
        <v>386</v>
      </c>
      <c r="C319" s="314" t="s">
        <v>787</v>
      </c>
      <c r="D319" s="314" t="s">
        <v>1430</v>
      </c>
      <c r="E319" s="314" t="s">
        <v>575</v>
      </c>
      <c r="F319" s="315"/>
      <c r="G319" s="315"/>
      <c r="H319" s="315">
        <v>1</v>
      </c>
      <c r="I319" s="315">
        <v>1</v>
      </c>
      <c r="J319" s="315">
        <v>1</v>
      </c>
      <c r="K319" s="315">
        <v>1</v>
      </c>
      <c r="L319" s="315">
        <v>1</v>
      </c>
      <c r="M319" s="315">
        <v>1</v>
      </c>
      <c r="N319" s="315"/>
      <c r="O319" s="315">
        <v>1</v>
      </c>
      <c r="P319" s="315">
        <v>1</v>
      </c>
      <c r="Q319" s="315">
        <v>1</v>
      </c>
      <c r="R319" s="315">
        <v>1</v>
      </c>
      <c r="S319" s="315"/>
      <c r="T319" s="315">
        <v>1</v>
      </c>
      <c r="U319" s="315">
        <v>1</v>
      </c>
      <c r="V319" s="315"/>
      <c r="W319" s="315">
        <v>1</v>
      </c>
      <c r="X319" s="315">
        <v>1</v>
      </c>
      <c r="Y319" s="315">
        <v>1</v>
      </c>
      <c r="Z319" s="315">
        <v>1</v>
      </c>
      <c r="AA319" s="315">
        <v>1</v>
      </c>
      <c r="AB319" s="315">
        <v>1</v>
      </c>
      <c r="AC319" s="315">
        <v>1</v>
      </c>
      <c r="AD319" s="315"/>
      <c r="AE319" s="315"/>
      <c r="AF319" s="315"/>
      <c r="AG319" s="315"/>
      <c r="AH319" s="315"/>
      <c r="AI319" s="315">
        <v>1</v>
      </c>
      <c r="AJ319" s="315">
        <v>1</v>
      </c>
      <c r="AK319" s="315">
        <v>1</v>
      </c>
      <c r="AL319" s="315">
        <v>1</v>
      </c>
      <c r="AM319" s="315"/>
      <c r="AN319" s="315">
        <v>1</v>
      </c>
      <c r="AO319" s="315">
        <v>1</v>
      </c>
      <c r="AP319" s="315"/>
      <c r="AQ319" s="316"/>
    </row>
    <row r="320" spans="1:43" s="378" customFormat="1" ht="44.25" customHeight="1">
      <c r="A320" s="313" t="s">
        <v>1505</v>
      </c>
      <c r="B320" s="313" t="s">
        <v>386</v>
      </c>
      <c r="C320" s="314" t="s">
        <v>788</v>
      </c>
      <c r="D320" s="314" t="s">
        <v>1426</v>
      </c>
      <c r="E320" s="314" t="s">
        <v>565</v>
      </c>
      <c r="F320" s="315"/>
      <c r="G320" s="315"/>
      <c r="H320" s="315"/>
      <c r="I320" s="315"/>
      <c r="J320" s="315"/>
      <c r="K320" s="315">
        <v>1</v>
      </c>
      <c r="L320" s="315"/>
      <c r="M320" s="315">
        <v>1</v>
      </c>
      <c r="N320" s="315"/>
      <c r="O320" s="315">
        <v>1</v>
      </c>
      <c r="P320" s="315">
        <v>1</v>
      </c>
      <c r="Q320" s="315">
        <v>1</v>
      </c>
      <c r="R320" s="315">
        <v>1</v>
      </c>
      <c r="S320" s="315"/>
      <c r="T320" s="315">
        <v>1</v>
      </c>
      <c r="U320" s="315">
        <v>1</v>
      </c>
      <c r="V320" s="315"/>
      <c r="W320" s="315">
        <v>1</v>
      </c>
      <c r="X320" s="315"/>
      <c r="Y320" s="315"/>
      <c r="Z320" s="315">
        <v>1</v>
      </c>
      <c r="AA320" s="315">
        <v>1</v>
      </c>
      <c r="AB320" s="315">
        <v>1</v>
      </c>
      <c r="AC320" s="315">
        <v>1</v>
      </c>
      <c r="AD320" s="315"/>
      <c r="AE320" s="315"/>
      <c r="AF320" s="315">
        <v>1</v>
      </c>
      <c r="AG320" s="315">
        <v>1</v>
      </c>
      <c r="AH320" s="315">
        <v>1</v>
      </c>
      <c r="AI320" s="315">
        <v>1</v>
      </c>
      <c r="AJ320" s="315"/>
      <c r="AK320" s="315"/>
      <c r="AL320" s="315">
        <v>1</v>
      </c>
      <c r="AM320" s="315"/>
      <c r="AN320" s="315">
        <v>1</v>
      </c>
      <c r="AO320" s="315">
        <v>1</v>
      </c>
      <c r="AP320" s="315"/>
      <c r="AQ320" s="317"/>
    </row>
    <row r="321" spans="1:43" s="378" customFormat="1" ht="44.25" customHeight="1">
      <c r="A321" s="313" t="s">
        <v>1505</v>
      </c>
      <c r="B321" s="313" t="s">
        <v>386</v>
      </c>
      <c r="C321" s="314" t="s">
        <v>789</v>
      </c>
      <c r="D321" s="314" t="s">
        <v>1430</v>
      </c>
      <c r="E321" s="314" t="s">
        <v>575</v>
      </c>
      <c r="F321" s="315"/>
      <c r="G321" s="315"/>
      <c r="H321" s="315">
        <v>1</v>
      </c>
      <c r="I321" s="315">
        <v>1</v>
      </c>
      <c r="J321" s="315">
        <v>1</v>
      </c>
      <c r="K321" s="315"/>
      <c r="L321" s="315">
        <v>1</v>
      </c>
      <c r="M321" s="315">
        <v>1</v>
      </c>
      <c r="N321" s="315"/>
      <c r="O321" s="315">
        <v>1</v>
      </c>
      <c r="P321" s="315">
        <v>1</v>
      </c>
      <c r="Q321" s="315">
        <v>1</v>
      </c>
      <c r="R321" s="315">
        <v>1</v>
      </c>
      <c r="S321" s="315"/>
      <c r="T321" s="315">
        <v>1</v>
      </c>
      <c r="U321" s="315">
        <v>1</v>
      </c>
      <c r="V321" s="315"/>
      <c r="W321" s="315">
        <v>1</v>
      </c>
      <c r="X321" s="315">
        <v>1</v>
      </c>
      <c r="Y321" s="315">
        <v>1</v>
      </c>
      <c r="Z321" s="315">
        <v>1</v>
      </c>
      <c r="AA321" s="315"/>
      <c r="AB321" s="315"/>
      <c r="AC321" s="315"/>
      <c r="AD321" s="315"/>
      <c r="AE321" s="315"/>
      <c r="AF321" s="315"/>
      <c r="AG321" s="315"/>
      <c r="AH321" s="315"/>
      <c r="AI321" s="315"/>
      <c r="AJ321" s="315"/>
      <c r="AK321" s="315"/>
      <c r="AL321" s="315"/>
      <c r="AM321" s="315"/>
      <c r="AN321" s="315"/>
      <c r="AO321" s="315">
        <v>1</v>
      </c>
      <c r="AP321" s="315"/>
      <c r="AQ321" s="317"/>
    </row>
    <row r="322" spans="1:43" s="378" customFormat="1" ht="44.25" customHeight="1">
      <c r="A322" s="313" t="s">
        <v>1505</v>
      </c>
      <c r="B322" s="313" t="s">
        <v>386</v>
      </c>
      <c r="C322" s="314" t="s">
        <v>790</v>
      </c>
      <c r="D322" s="314" t="s">
        <v>1426</v>
      </c>
      <c r="E322" s="314" t="s">
        <v>571</v>
      </c>
      <c r="F322" s="315"/>
      <c r="G322" s="315">
        <v>1</v>
      </c>
      <c r="H322" s="315">
        <v>1</v>
      </c>
      <c r="I322" s="315">
        <v>1</v>
      </c>
      <c r="J322" s="315">
        <v>1</v>
      </c>
      <c r="K322" s="315">
        <v>1</v>
      </c>
      <c r="L322" s="315">
        <v>1</v>
      </c>
      <c r="M322" s="315">
        <v>1</v>
      </c>
      <c r="N322" s="315"/>
      <c r="O322" s="315">
        <v>1</v>
      </c>
      <c r="P322" s="315">
        <v>1</v>
      </c>
      <c r="Q322" s="315">
        <v>1</v>
      </c>
      <c r="R322" s="315">
        <v>1</v>
      </c>
      <c r="S322" s="315"/>
      <c r="T322" s="315">
        <v>1</v>
      </c>
      <c r="U322" s="315">
        <v>1</v>
      </c>
      <c r="V322" s="315"/>
      <c r="W322" s="315"/>
      <c r="X322" s="315">
        <v>1</v>
      </c>
      <c r="Y322" s="315">
        <v>1</v>
      </c>
      <c r="Z322" s="315">
        <v>1</v>
      </c>
      <c r="AA322" s="315"/>
      <c r="AB322" s="315">
        <v>1</v>
      </c>
      <c r="AC322" s="315">
        <v>1</v>
      </c>
      <c r="AD322" s="315"/>
      <c r="AE322" s="315"/>
      <c r="AF322" s="315">
        <v>1</v>
      </c>
      <c r="AG322" s="315">
        <v>1</v>
      </c>
      <c r="AH322" s="315">
        <v>1</v>
      </c>
      <c r="AI322" s="315"/>
      <c r="AJ322" s="315"/>
      <c r="AK322" s="315"/>
      <c r="AL322" s="315"/>
      <c r="AM322" s="315"/>
      <c r="AN322" s="315">
        <v>1</v>
      </c>
      <c r="AO322" s="315">
        <v>1</v>
      </c>
      <c r="AP322" s="315"/>
      <c r="AQ322" s="317"/>
    </row>
    <row r="323" spans="1:43" s="378" customFormat="1" ht="44.25" customHeight="1">
      <c r="A323" s="313" t="s">
        <v>1505</v>
      </c>
      <c r="B323" s="313" t="s">
        <v>395</v>
      </c>
      <c r="C323" s="314" t="s">
        <v>791</v>
      </c>
      <c r="D323" s="314" t="s">
        <v>1428</v>
      </c>
      <c r="E323" s="314" t="s">
        <v>408</v>
      </c>
      <c r="F323" s="315"/>
      <c r="G323" s="315"/>
      <c r="H323" s="315">
        <v>1</v>
      </c>
      <c r="I323" s="315">
        <v>1</v>
      </c>
      <c r="J323" s="315">
        <v>1</v>
      </c>
      <c r="K323" s="315"/>
      <c r="L323" s="315">
        <v>1</v>
      </c>
      <c r="M323" s="315">
        <v>1</v>
      </c>
      <c r="N323" s="315"/>
      <c r="O323" s="315"/>
      <c r="P323" s="315">
        <v>1</v>
      </c>
      <c r="Q323" s="315">
        <v>1</v>
      </c>
      <c r="R323" s="315">
        <v>1</v>
      </c>
      <c r="S323" s="315"/>
      <c r="T323" s="315"/>
      <c r="U323" s="315">
        <v>1</v>
      </c>
      <c r="V323" s="315"/>
      <c r="W323" s="315">
        <v>1</v>
      </c>
      <c r="X323" s="315">
        <v>1</v>
      </c>
      <c r="Y323" s="315">
        <v>1</v>
      </c>
      <c r="Z323" s="315">
        <v>1</v>
      </c>
      <c r="AA323" s="315"/>
      <c r="AB323" s="315">
        <v>1</v>
      </c>
      <c r="AC323" s="315">
        <v>1</v>
      </c>
      <c r="AD323" s="315"/>
      <c r="AE323" s="315">
        <v>1</v>
      </c>
      <c r="AF323" s="315">
        <v>1</v>
      </c>
      <c r="AG323" s="315">
        <v>1</v>
      </c>
      <c r="AH323" s="315">
        <v>1</v>
      </c>
      <c r="AI323" s="315"/>
      <c r="AJ323" s="315"/>
      <c r="AK323" s="315"/>
      <c r="AL323" s="315">
        <v>1</v>
      </c>
      <c r="AM323" s="315"/>
      <c r="AN323" s="315">
        <v>1</v>
      </c>
      <c r="AO323" s="315">
        <v>1</v>
      </c>
      <c r="AP323" s="315">
        <v>1</v>
      </c>
      <c r="AQ323" s="317">
        <v>1</v>
      </c>
    </row>
    <row r="324" spans="1:43" s="378" customFormat="1" ht="44.25" customHeight="1">
      <c r="A324" s="313" t="s">
        <v>1505</v>
      </c>
      <c r="B324" s="313" t="s">
        <v>395</v>
      </c>
      <c r="C324" s="314" t="s">
        <v>792</v>
      </c>
      <c r="D324" s="314" t="s">
        <v>1426</v>
      </c>
      <c r="E324" s="314" t="s">
        <v>408</v>
      </c>
      <c r="F324" s="315"/>
      <c r="G324" s="315">
        <v>1</v>
      </c>
      <c r="H324" s="315">
        <v>1</v>
      </c>
      <c r="I324" s="315">
        <v>1</v>
      </c>
      <c r="J324" s="315">
        <v>1</v>
      </c>
      <c r="K324" s="315"/>
      <c r="L324" s="315">
        <v>1</v>
      </c>
      <c r="M324" s="315">
        <v>1</v>
      </c>
      <c r="N324" s="315"/>
      <c r="O324" s="315"/>
      <c r="P324" s="315">
        <v>1</v>
      </c>
      <c r="Q324" s="315">
        <v>1</v>
      </c>
      <c r="R324" s="315">
        <v>1</v>
      </c>
      <c r="S324" s="315">
        <v>1</v>
      </c>
      <c r="T324" s="315">
        <v>1</v>
      </c>
      <c r="U324" s="315">
        <v>1</v>
      </c>
      <c r="V324" s="315"/>
      <c r="W324" s="315">
        <v>1</v>
      </c>
      <c r="X324" s="315">
        <v>1</v>
      </c>
      <c r="Y324" s="315">
        <v>1</v>
      </c>
      <c r="Z324" s="315">
        <v>1</v>
      </c>
      <c r="AA324" s="315"/>
      <c r="AB324" s="315">
        <v>1</v>
      </c>
      <c r="AC324" s="315">
        <v>1</v>
      </c>
      <c r="AD324" s="315"/>
      <c r="AE324" s="315"/>
      <c r="AF324" s="315">
        <v>1</v>
      </c>
      <c r="AG324" s="315">
        <v>1</v>
      </c>
      <c r="AH324" s="315">
        <v>1</v>
      </c>
      <c r="AI324" s="315">
        <v>1</v>
      </c>
      <c r="AJ324" s="315">
        <v>1</v>
      </c>
      <c r="AK324" s="315">
        <v>1</v>
      </c>
      <c r="AL324" s="315">
        <v>1</v>
      </c>
      <c r="AM324" s="315"/>
      <c r="AN324" s="315">
        <v>1</v>
      </c>
      <c r="AO324" s="315">
        <v>1</v>
      </c>
      <c r="AP324" s="315">
        <v>1</v>
      </c>
      <c r="AQ324" s="317">
        <v>1</v>
      </c>
    </row>
    <row r="325" spans="1:43" s="378" customFormat="1" ht="44.25" customHeight="1">
      <c r="A325" s="313" t="s">
        <v>1505</v>
      </c>
      <c r="B325" s="313" t="s">
        <v>395</v>
      </c>
      <c r="C325" s="314" t="s">
        <v>793</v>
      </c>
      <c r="D325" s="314" t="s">
        <v>1428</v>
      </c>
      <c r="E325" s="314" t="s">
        <v>565</v>
      </c>
      <c r="F325" s="315"/>
      <c r="G325" s="315">
        <v>1</v>
      </c>
      <c r="H325" s="315">
        <v>1</v>
      </c>
      <c r="I325" s="315">
        <v>1</v>
      </c>
      <c r="J325" s="315">
        <v>1</v>
      </c>
      <c r="K325" s="315">
        <v>1</v>
      </c>
      <c r="L325" s="315">
        <v>1</v>
      </c>
      <c r="M325" s="315">
        <v>1</v>
      </c>
      <c r="N325" s="315"/>
      <c r="O325" s="315"/>
      <c r="P325" s="315">
        <v>1</v>
      </c>
      <c r="Q325" s="315">
        <v>1</v>
      </c>
      <c r="R325" s="315">
        <v>1</v>
      </c>
      <c r="S325" s="315"/>
      <c r="T325" s="315"/>
      <c r="U325" s="315">
        <v>1</v>
      </c>
      <c r="V325" s="315"/>
      <c r="W325" s="315"/>
      <c r="X325" s="315">
        <v>1</v>
      </c>
      <c r="Y325" s="315">
        <v>1</v>
      </c>
      <c r="Z325" s="315">
        <v>1</v>
      </c>
      <c r="AA325" s="315">
        <v>1</v>
      </c>
      <c r="AB325" s="315">
        <v>1</v>
      </c>
      <c r="AC325" s="315">
        <v>1</v>
      </c>
      <c r="AD325" s="315"/>
      <c r="AE325" s="315">
        <v>1</v>
      </c>
      <c r="AF325" s="315">
        <v>1</v>
      </c>
      <c r="AG325" s="315">
        <v>1</v>
      </c>
      <c r="AH325" s="315">
        <v>1</v>
      </c>
      <c r="AI325" s="315">
        <v>1</v>
      </c>
      <c r="AJ325" s="315"/>
      <c r="AK325" s="315"/>
      <c r="AL325" s="315">
        <v>1</v>
      </c>
      <c r="AM325" s="315"/>
      <c r="AN325" s="315">
        <v>1</v>
      </c>
      <c r="AO325" s="315">
        <v>1</v>
      </c>
      <c r="AP325" s="315">
        <v>1</v>
      </c>
      <c r="AQ325" s="317">
        <v>1</v>
      </c>
    </row>
    <row r="326" spans="1:43" s="378" customFormat="1" ht="44.25" customHeight="1">
      <c r="A326" s="313" t="s">
        <v>1505</v>
      </c>
      <c r="B326" s="313" t="s">
        <v>395</v>
      </c>
      <c r="C326" s="314" t="s">
        <v>794</v>
      </c>
      <c r="D326" s="314" t="s">
        <v>1428</v>
      </c>
      <c r="E326" s="314" t="s">
        <v>631</v>
      </c>
      <c r="F326" s="315"/>
      <c r="G326" s="315"/>
      <c r="H326" s="315">
        <v>1</v>
      </c>
      <c r="I326" s="315">
        <v>1</v>
      </c>
      <c r="J326" s="315">
        <v>1</v>
      </c>
      <c r="K326" s="315">
        <v>1</v>
      </c>
      <c r="L326" s="315">
        <v>1</v>
      </c>
      <c r="M326" s="315">
        <v>1</v>
      </c>
      <c r="N326" s="315"/>
      <c r="O326" s="315">
        <v>1</v>
      </c>
      <c r="P326" s="315">
        <v>1</v>
      </c>
      <c r="Q326" s="315">
        <v>1</v>
      </c>
      <c r="R326" s="315">
        <v>1</v>
      </c>
      <c r="S326" s="315"/>
      <c r="T326" s="315">
        <v>1</v>
      </c>
      <c r="U326" s="315">
        <v>1</v>
      </c>
      <c r="V326" s="315"/>
      <c r="W326" s="315"/>
      <c r="X326" s="315">
        <v>1</v>
      </c>
      <c r="Y326" s="315">
        <v>1</v>
      </c>
      <c r="Z326" s="315">
        <v>1</v>
      </c>
      <c r="AA326" s="315">
        <v>1</v>
      </c>
      <c r="AB326" s="315">
        <v>1</v>
      </c>
      <c r="AC326" s="315">
        <v>1</v>
      </c>
      <c r="AD326" s="315"/>
      <c r="AE326" s="315">
        <v>1</v>
      </c>
      <c r="AF326" s="315">
        <v>1</v>
      </c>
      <c r="AG326" s="315">
        <v>1</v>
      </c>
      <c r="AH326" s="315">
        <v>1</v>
      </c>
      <c r="AI326" s="315"/>
      <c r="AJ326" s="315">
        <v>1</v>
      </c>
      <c r="AK326" s="315">
        <v>1</v>
      </c>
      <c r="AL326" s="315">
        <v>1</v>
      </c>
      <c r="AM326" s="315">
        <v>1</v>
      </c>
      <c r="AN326" s="315">
        <v>1</v>
      </c>
      <c r="AO326" s="315">
        <v>1</v>
      </c>
      <c r="AP326" s="315"/>
      <c r="AQ326" s="316"/>
    </row>
    <row r="327" spans="1:43" s="378" customFormat="1" ht="44.25" customHeight="1">
      <c r="A327" s="313" t="s">
        <v>1505</v>
      </c>
      <c r="B327" s="313" t="s">
        <v>386</v>
      </c>
      <c r="C327" s="314" t="s">
        <v>795</v>
      </c>
      <c r="D327" s="314" t="s">
        <v>1426</v>
      </c>
      <c r="E327" s="314" t="s">
        <v>571</v>
      </c>
      <c r="F327" s="315"/>
      <c r="G327" s="315">
        <v>1</v>
      </c>
      <c r="H327" s="315">
        <v>1</v>
      </c>
      <c r="I327" s="315">
        <v>1</v>
      </c>
      <c r="J327" s="315">
        <v>1</v>
      </c>
      <c r="K327" s="315">
        <v>1</v>
      </c>
      <c r="L327" s="315"/>
      <c r="M327" s="315">
        <v>1</v>
      </c>
      <c r="N327" s="315"/>
      <c r="O327" s="315">
        <v>1</v>
      </c>
      <c r="P327" s="315">
        <v>1</v>
      </c>
      <c r="Q327" s="315">
        <v>1</v>
      </c>
      <c r="R327" s="315">
        <v>1</v>
      </c>
      <c r="S327" s="315">
        <v>1</v>
      </c>
      <c r="T327" s="315">
        <v>1</v>
      </c>
      <c r="U327" s="315">
        <v>1</v>
      </c>
      <c r="V327" s="315"/>
      <c r="W327" s="315"/>
      <c r="X327" s="315">
        <v>1</v>
      </c>
      <c r="Y327" s="315">
        <v>1</v>
      </c>
      <c r="Z327" s="315">
        <v>1</v>
      </c>
      <c r="AA327" s="315">
        <v>1</v>
      </c>
      <c r="AB327" s="315">
        <v>1</v>
      </c>
      <c r="AC327" s="315">
        <v>1</v>
      </c>
      <c r="AD327" s="315"/>
      <c r="AE327" s="315"/>
      <c r="AF327" s="315"/>
      <c r="AG327" s="315"/>
      <c r="AH327" s="315"/>
      <c r="AI327" s="315">
        <v>1</v>
      </c>
      <c r="AJ327" s="315"/>
      <c r="AK327" s="315"/>
      <c r="AL327" s="315"/>
      <c r="AM327" s="315"/>
      <c r="AN327" s="315">
        <v>1</v>
      </c>
      <c r="AO327" s="315">
        <v>1</v>
      </c>
      <c r="AP327" s="315"/>
      <c r="AQ327" s="317"/>
    </row>
    <row r="328" spans="1:43" s="378" customFormat="1" ht="44.25" customHeight="1">
      <c r="A328" s="313" t="s">
        <v>1505</v>
      </c>
      <c r="B328" s="313" t="s">
        <v>386</v>
      </c>
      <c r="C328" s="314" t="s">
        <v>796</v>
      </c>
      <c r="D328" s="314" t="s">
        <v>1430</v>
      </c>
      <c r="E328" s="314" t="s">
        <v>541</v>
      </c>
      <c r="F328" s="315"/>
      <c r="G328" s="315"/>
      <c r="H328" s="315">
        <v>1</v>
      </c>
      <c r="I328" s="315">
        <v>1</v>
      </c>
      <c r="J328" s="315">
        <v>1</v>
      </c>
      <c r="K328" s="315"/>
      <c r="L328" s="315">
        <v>1</v>
      </c>
      <c r="M328" s="315">
        <v>1</v>
      </c>
      <c r="N328" s="315"/>
      <c r="O328" s="315">
        <v>1</v>
      </c>
      <c r="P328" s="315">
        <v>1</v>
      </c>
      <c r="Q328" s="315">
        <v>1</v>
      </c>
      <c r="R328" s="315">
        <v>1</v>
      </c>
      <c r="S328" s="315">
        <v>1</v>
      </c>
      <c r="T328" s="315">
        <v>1</v>
      </c>
      <c r="U328" s="315">
        <v>1</v>
      </c>
      <c r="V328" s="315"/>
      <c r="W328" s="315">
        <v>1</v>
      </c>
      <c r="X328" s="315">
        <v>1</v>
      </c>
      <c r="Y328" s="315">
        <v>1</v>
      </c>
      <c r="Z328" s="315">
        <v>1</v>
      </c>
      <c r="AA328" s="315">
        <v>1</v>
      </c>
      <c r="AB328" s="315">
        <v>1</v>
      </c>
      <c r="AC328" s="315">
        <v>1</v>
      </c>
      <c r="AD328" s="315"/>
      <c r="AE328" s="315"/>
      <c r="AF328" s="315"/>
      <c r="AG328" s="315"/>
      <c r="AH328" s="315"/>
      <c r="AI328" s="315"/>
      <c r="AJ328" s="315"/>
      <c r="AK328" s="315"/>
      <c r="AL328" s="315"/>
      <c r="AM328" s="315"/>
      <c r="AN328" s="315">
        <v>1</v>
      </c>
      <c r="AO328" s="315">
        <v>1</v>
      </c>
      <c r="AP328" s="315"/>
      <c r="AQ328" s="316"/>
    </row>
    <row r="329" spans="1:43" s="378" customFormat="1" ht="44.25" customHeight="1">
      <c r="A329" s="313" t="s">
        <v>1505</v>
      </c>
      <c r="B329" s="313" t="s">
        <v>386</v>
      </c>
      <c r="C329" s="314" t="s">
        <v>797</v>
      </c>
      <c r="D329" s="314" t="s">
        <v>1430</v>
      </c>
      <c r="E329" s="314" t="s">
        <v>408</v>
      </c>
      <c r="F329" s="315"/>
      <c r="G329" s="315"/>
      <c r="H329" s="315"/>
      <c r="I329" s="315"/>
      <c r="J329" s="315">
        <v>1</v>
      </c>
      <c r="K329" s="315">
        <v>1</v>
      </c>
      <c r="L329" s="315">
        <v>1</v>
      </c>
      <c r="M329" s="315">
        <v>1</v>
      </c>
      <c r="N329" s="315"/>
      <c r="O329" s="315">
        <v>1</v>
      </c>
      <c r="P329" s="315">
        <v>1</v>
      </c>
      <c r="Q329" s="315">
        <v>1</v>
      </c>
      <c r="R329" s="315">
        <v>1</v>
      </c>
      <c r="S329" s="315">
        <v>1</v>
      </c>
      <c r="T329" s="315">
        <v>1</v>
      </c>
      <c r="U329" s="315">
        <v>1</v>
      </c>
      <c r="V329" s="315"/>
      <c r="W329" s="315">
        <v>1</v>
      </c>
      <c r="X329" s="315">
        <v>1</v>
      </c>
      <c r="Y329" s="315">
        <v>1</v>
      </c>
      <c r="Z329" s="315">
        <v>1</v>
      </c>
      <c r="AA329" s="315">
        <v>1</v>
      </c>
      <c r="AB329" s="315">
        <v>1</v>
      </c>
      <c r="AC329" s="315">
        <v>1</v>
      </c>
      <c r="AD329" s="315"/>
      <c r="AE329" s="315"/>
      <c r="AF329" s="315">
        <v>1</v>
      </c>
      <c r="AG329" s="315">
        <v>1</v>
      </c>
      <c r="AH329" s="315">
        <v>1</v>
      </c>
      <c r="AI329" s="315"/>
      <c r="AJ329" s="315"/>
      <c r="AK329" s="315"/>
      <c r="AL329" s="315">
        <v>1</v>
      </c>
      <c r="AM329" s="315"/>
      <c r="AN329" s="315">
        <v>1</v>
      </c>
      <c r="AO329" s="315">
        <v>1</v>
      </c>
      <c r="AP329" s="315"/>
      <c r="AQ329" s="317"/>
    </row>
    <row r="330" spans="1:43" s="378" customFormat="1" ht="44.25" customHeight="1">
      <c r="A330" s="313" t="s">
        <v>1505</v>
      </c>
      <c r="B330" s="313" t="s">
        <v>386</v>
      </c>
      <c r="C330" s="314" t="s">
        <v>798</v>
      </c>
      <c r="D330" s="314" t="s">
        <v>1430</v>
      </c>
      <c r="E330" s="314" t="s">
        <v>541</v>
      </c>
      <c r="F330" s="315"/>
      <c r="G330" s="315"/>
      <c r="H330" s="315"/>
      <c r="I330" s="315"/>
      <c r="J330" s="315">
        <v>1</v>
      </c>
      <c r="K330" s="315">
        <v>1</v>
      </c>
      <c r="L330" s="315"/>
      <c r="M330" s="315">
        <v>1</v>
      </c>
      <c r="N330" s="315"/>
      <c r="O330" s="315">
        <v>1</v>
      </c>
      <c r="P330" s="315">
        <v>1</v>
      </c>
      <c r="Q330" s="315">
        <v>1</v>
      </c>
      <c r="R330" s="315">
        <v>1</v>
      </c>
      <c r="S330" s="315">
        <v>1</v>
      </c>
      <c r="T330" s="315">
        <v>1</v>
      </c>
      <c r="U330" s="315">
        <v>1</v>
      </c>
      <c r="V330" s="315"/>
      <c r="W330" s="315">
        <v>1</v>
      </c>
      <c r="X330" s="315">
        <v>1</v>
      </c>
      <c r="Y330" s="315">
        <v>1</v>
      </c>
      <c r="Z330" s="315">
        <v>1</v>
      </c>
      <c r="AA330" s="315">
        <v>1</v>
      </c>
      <c r="AB330" s="315">
        <v>1</v>
      </c>
      <c r="AC330" s="315">
        <v>1</v>
      </c>
      <c r="AD330" s="315"/>
      <c r="AE330" s="315"/>
      <c r="AF330" s="315"/>
      <c r="AG330" s="315"/>
      <c r="AH330" s="315"/>
      <c r="AI330" s="315"/>
      <c r="AJ330" s="315"/>
      <c r="AK330" s="315"/>
      <c r="AL330" s="315">
        <v>1</v>
      </c>
      <c r="AM330" s="315"/>
      <c r="AN330" s="315">
        <v>1</v>
      </c>
      <c r="AO330" s="315">
        <v>1</v>
      </c>
      <c r="AP330" s="315"/>
      <c r="AQ330" s="317"/>
    </row>
    <row r="331" spans="1:43" s="378" customFormat="1" ht="44.25" customHeight="1">
      <c r="A331" s="313" t="s">
        <v>1505</v>
      </c>
      <c r="B331" s="313" t="s">
        <v>395</v>
      </c>
      <c r="C331" s="314" t="s">
        <v>799</v>
      </c>
      <c r="D331" s="314" t="s">
        <v>1428</v>
      </c>
      <c r="E331" s="314" t="s">
        <v>571</v>
      </c>
      <c r="F331" s="315"/>
      <c r="G331" s="315"/>
      <c r="H331" s="315">
        <v>1</v>
      </c>
      <c r="I331" s="315">
        <v>1</v>
      </c>
      <c r="J331" s="315">
        <v>1</v>
      </c>
      <c r="K331" s="315">
        <v>1</v>
      </c>
      <c r="L331" s="315">
        <v>1</v>
      </c>
      <c r="M331" s="315">
        <v>1</v>
      </c>
      <c r="N331" s="315"/>
      <c r="O331" s="315">
        <v>1</v>
      </c>
      <c r="P331" s="315"/>
      <c r="Q331" s="315">
        <v>1</v>
      </c>
      <c r="R331" s="315">
        <v>1</v>
      </c>
      <c r="S331" s="315">
        <v>1</v>
      </c>
      <c r="T331" s="315">
        <v>1</v>
      </c>
      <c r="U331" s="315"/>
      <c r="V331" s="315"/>
      <c r="W331" s="315">
        <v>1</v>
      </c>
      <c r="X331" s="315">
        <v>1</v>
      </c>
      <c r="Y331" s="315">
        <v>1</v>
      </c>
      <c r="Z331" s="315">
        <v>1</v>
      </c>
      <c r="AA331" s="315">
        <v>1</v>
      </c>
      <c r="AB331" s="315">
        <v>1</v>
      </c>
      <c r="AC331" s="315">
        <v>1</v>
      </c>
      <c r="AD331" s="315"/>
      <c r="AE331" s="315">
        <v>1</v>
      </c>
      <c r="AF331" s="315">
        <v>1</v>
      </c>
      <c r="AG331" s="315">
        <v>1</v>
      </c>
      <c r="AH331" s="315">
        <v>1</v>
      </c>
      <c r="AI331" s="315">
        <v>1</v>
      </c>
      <c r="AJ331" s="315">
        <v>1</v>
      </c>
      <c r="AK331" s="315">
        <v>1</v>
      </c>
      <c r="AL331" s="315"/>
      <c r="AM331" s="315"/>
      <c r="AN331" s="315">
        <v>1</v>
      </c>
      <c r="AO331" s="315">
        <v>1</v>
      </c>
      <c r="AP331" s="315">
        <v>1</v>
      </c>
      <c r="AQ331" s="317">
        <v>1</v>
      </c>
    </row>
    <row r="332" spans="1:43" s="378" customFormat="1" ht="44.25" customHeight="1">
      <c r="A332" s="313" t="s">
        <v>1505</v>
      </c>
      <c r="B332" s="313" t="s">
        <v>395</v>
      </c>
      <c r="C332" s="314" t="s">
        <v>800</v>
      </c>
      <c r="D332" s="314" t="s">
        <v>1424</v>
      </c>
      <c r="E332" s="314" t="s">
        <v>565</v>
      </c>
      <c r="F332" s="315"/>
      <c r="G332" s="315">
        <v>1</v>
      </c>
      <c r="H332" s="315">
        <v>1</v>
      </c>
      <c r="I332" s="315">
        <v>1</v>
      </c>
      <c r="J332" s="315">
        <v>1</v>
      </c>
      <c r="K332" s="315">
        <v>1</v>
      </c>
      <c r="L332" s="315">
        <v>1</v>
      </c>
      <c r="M332" s="315">
        <v>1</v>
      </c>
      <c r="N332" s="315"/>
      <c r="O332" s="315">
        <v>1</v>
      </c>
      <c r="P332" s="315">
        <v>1</v>
      </c>
      <c r="Q332" s="315">
        <v>1</v>
      </c>
      <c r="R332" s="315">
        <v>1</v>
      </c>
      <c r="S332" s="315"/>
      <c r="T332" s="315">
        <v>1</v>
      </c>
      <c r="U332" s="315">
        <v>1</v>
      </c>
      <c r="V332" s="315"/>
      <c r="W332" s="315">
        <v>1</v>
      </c>
      <c r="X332" s="315">
        <v>1</v>
      </c>
      <c r="Y332" s="315">
        <v>1</v>
      </c>
      <c r="Z332" s="315">
        <v>1</v>
      </c>
      <c r="AA332" s="315">
        <v>1</v>
      </c>
      <c r="AB332" s="315">
        <v>1</v>
      </c>
      <c r="AC332" s="315">
        <v>1</v>
      </c>
      <c r="AD332" s="315"/>
      <c r="AE332" s="315"/>
      <c r="AF332" s="315"/>
      <c r="AG332" s="315"/>
      <c r="AH332" s="315"/>
      <c r="AI332" s="315"/>
      <c r="AJ332" s="315">
        <v>1</v>
      </c>
      <c r="AK332" s="315">
        <v>1</v>
      </c>
      <c r="AL332" s="315">
        <v>1</v>
      </c>
      <c r="AM332" s="315">
        <v>1</v>
      </c>
      <c r="AN332" s="315">
        <v>1</v>
      </c>
      <c r="AO332" s="315">
        <v>1</v>
      </c>
      <c r="AP332" s="315">
        <v>1</v>
      </c>
      <c r="AQ332" s="317">
        <v>1</v>
      </c>
    </row>
    <row r="333" spans="1:43" s="378" customFormat="1" ht="44.25" customHeight="1">
      <c r="A333" s="313" t="s">
        <v>1505</v>
      </c>
      <c r="B333" s="313" t="s">
        <v>395</v>
      </c>
      <c r="C333" s="314" t="s">
        <v>801</v>
      </c>
      <c r="D333" s="314" t="s">
        <v>1438</v>
      </c>
      <c r="E333" s="314" t="s">
        <v>760</v>
      </c>
      <c r="F333" s="315"/>
      <c r="G333" s="315">
        <v>1</v>
      </c>
      <c r="H333" s="315">
        <v>1</v>
      </c>
      <c r="I333" s="315">
        <v>1</v>
      </c>
      <c r="J333" s="315">
        <v>1</v>
      </c>
      <c r="K333" s="315">
        <v>1</v>
      </c>
      <c r="L333" s="315">
        <v>1</v>
      </c>
      <c r="M333" s="315">
        <v>1</v>
      </c>
      <c r="N333" s="315"/>
      <c r="O333" s="315">
        <v>1</v>
      </c>
      <c r="P333" s="315">
        <v>1</v>
      </c>
      <c r="Q333" s="315">
        <v>1</v>
      </c>
      <c r="R333" s="315">
        <v>1</v>
      </c>
      <c r="S333" s="315"/>
      <c r="T333" s="315">
        <v>1</v>
      </c>
      <c r="U333" s="315">
        <v>1</v>
      </c>
      <c r="V333" s="315"/>
      <c r="W333" s="315">
        <v>1</v>
      </c>
      <c r="X333" s="315">
        <v>1</v>
      </c>
      <c r="Y333" s="315">
        <v>1</v>
      </c>
      <c r="Z333" s="315">
        <v>1</v>
      </c>
      <c r="AA333" s="315">
        <v>1</v>
      </c>
      <c r="AB333" s="315">
        <v>1</v>
      </c>
      <c r="AC333" s="315">
        <v>1</v>
      </c>
      <c r="AD333" s="315"/>
      <c r="AE333" s="315"/>
      <c r="AF333" s="315"/>
      <c r="AG333" s="315"/>
      <c r="AH333" s="315">
        <v>1</v>
      </c>
      <c r="AI333" s="315">
        <v>1</v>
      </c>
      <c r="AJ333" s="315">
        <v>1</v>
      </c>
      <c r="AK333" s="315">
        <v>1</v>
      </c>
      <c r="AL333" s="315">
        <v>1</v>
      </c>
      <c r="AM333" s="315">
        <v>1</v>
      </c>
      <c r="AN333" s="315">
        <v>1</v>
      </c>
      <c r="AO333" s="315">
        <v>1</v>
      </c>
      <c r="AP333" s="315">
        <v>1</v>
      </c>
      <c r="AQ333" s="317">
        <v>1</v>
      </c>
    </row>
    <row r="334" spans="1:43" s="378" customFormat="1" ht="44.25" customHeight="1">
      <c r="A334" s="313" t="s">
        <v>1505</v>
      </c>
      <c r="B334" s="313" t="s">
        <v>395</v>
      </c>
      <c r="C334" s="314" t="s">
        <v>802</v>
      </c>
      <c r="D334" s="314" t="s">
        <v>1424</v>
      </c>
      <c r="E334" s="314" t="s">
        <v>545</v>
      </c>
      <c r="F334" s="315"/>
      <c r="G334" s="315">
        <v>1</v>
      </c>
      <c r="H334" s="315">
        <v>1</v>
      </c>
      <c r="I334" s="315">
        <v>1</v>
      </c>
      <c r="J334" s="315">
        <v>1</v>
      </c>
      <c r="K334" s="315">
        <v>1</v>
      </c>
      <c r="L334" s="315">
        <v>1</v>
      </c>
      <c r="M334" s="315">
        <v>1</v>
      </c>
      <c r="N334" s="315"/>
      <c r="O334" s="315">
        <v>1</v>
      </c>
      <c r="P334" s="315">
        <v>1</v>
      </c>
      <c r="Q334" s="315">
        <v>1</v>
      </c>
      <c r="R334" s="315">
        <v>1</v>
      </c>
      <c r="S334" s="315">
        <v>1</v>
      </c>
      <c r="T334" s="315">
        <v>1</v>
      </c>
      <c r="U334" s="315">
        <v>1</v>
      </c>
      <c r="V334" s="315"/>
      <c r="W334" s="315">
        <v>1</v>
      </c>
      <c r="X334" s="315">
        <v>1</v>
      </c>
      <c r="Y334" s="315">
        <v>1</v>
      </c>
      <c r="Z334" s="315">
        <v>1</v>
      </c>
      <c r="AA334" s="315">
        <v>1</v>
      </c>
      <c r="AB334" s="315">
        <v>1</v>
      </c>
      <c r="AC334" s="315">
        <v>1</v>
      </c>
      <c r="AD334" s="315"/>
      <c r="AE334" s="315"/>
      <c r="AF334" s="315">
        <v>1</v>
      </c>
      <c r="AG334" s="315">
        <v>1</v>
      </c>
      <c r="AH334" s="315"/>
      <c r="AI334" s="315">
        <v>1</v>
      </c>
      <c r="AJ334" s="315">
        <v>1</v>
      </c>
      <c r="AK334" s="315">
        <v>1</v>
      </c>
      <c r="AL334" s="315">
        <v>1</v>
      </c>
      <c r="AM334" s="315">
        <v>1</v>
      </c>
      <c r="AN334" s="315">
        <v>1</v>
      </c>
      <c r="AO334" s="315">
        <v>1</v>
      </c>
      <c r="AP334" s="315">
        <v>1</v>
      </c>
      <c r="AQ334" s="317">
        <v>1</v>
      </c>
    </row>
    <row r="335" spans="1:43" s="378" customFormat="1" ht="44.25" customHeight="1">
      <c r="A335" s="313" t="s">
        <v>1505</v>
      </c>
      <c r="B335" s="313" t="s">
        <v>395</v>
      </c>
      <c r="C335" s="314" t="s">
        <v>803</v>
      </c>
      <c r="D335" s="314" t="s">
        <v>1428</v>
      </c>
      <c r="E335" s="314" t="s">
        <v>545</v>
      </c>
      <c r="F335" s="315"/>
      <c r="G335" s="315">
        <v>1</v>
      </c>
      <c r="H335" s="315">
        <v>1</v>
      </c>
      <c r="I335" s="315">
        <v>1</v>
      </c>
      <c r="J335" s="315">
        <v>1</v>
      </c>
      <c r="K335" s="315">
        <v>1</v>
      </c>
      <c r="L335" s="315">
        <v>1</v>
      </c>
      <c r="M335" s="315">
        <v>1</v>
      </c>
      <c r="N335" s="315"/>
      <c r="O335" s="315">
        <v>1</v>
      </c>
      <c r="P335" s="315">
        <v>1</v>
      </c>
      <c r="Q335" s="315">
        <v>1</v>
      </c>
      <c r="R335" s="315">
        <v>1</v>
      </c>
      <c r="S335" s="315">
        <v>1</v>
      </c>
      <c r="T335" s="315">
        <v>1</v>
      </c>
      <c r="U335" s="315">
        <v>1</v>
      </c>
      <c r="V335" s="315"/>
      <c r="W335" s="315">
        <v>1</v>
      </c>
      <c r="X335" s="315">
        <v>1</v>
      </c>
      <c r="Y335" s="315">
        <v>1</v>
      </c>
      <c r="Z335" s="315">
        <v>1</v>
      </c>
      <c r="AA335" s="315"/>
      <c r="AB335" s="315">
        <v>1</v>
      </c>
      <c r="AC335" s="315">
        <v>1</v>
      </c>
      <c r="AD335" s="315"/>
      <c r="AE335" s="315"/>
      <c r="AF335" s="315"/>
      <c r="AG335" s="315"/>
      <c r="AH335" s="315">
        <v>1</v>
      </c>
      <c r="AI335" s="315">
        <v>1</v>
      </c>
      <c r="AJ335" s="315">
        <v>1</v>
      </c>
      <c r="AK335" s="315">
        <v>1</v>
      </c>
      <c r="AL335" s="315">
        <v>1</v>
      </c>
      <c r="AM335" s="315"/>
      <c r="AN335" s="315">
        <v>1</v>
      </c>
      <c r="AO335" s="315">
        <v>1</v>
      </c>
      <c r="AP335" s="315">
        <v>1</v>
      </c>
      <c r="AQ335" s="317">
        <v>1</v>
      </c>
    </row>
    <row r="336" spans="1:43" s="378" customFormat="1" ht="44.25" customHeight="1">
      <c r="A336" s="313" t="s">
        <v>1505</v>
      </c>
      <c r="B336" s="313" t="s">
        <v>386</v>
      </c>
      <c r="C336" s="314" t="s">
        <v>804</v>
      </c>
      <c r="D336" s="314" t="s">
        <v>1424</v>
      </c>
      <c r="E336" s="314" t="s">
        <v>620</v>
      </c>
      <c r="F336" s="315"/>
      <c r="G336" s="315">
        <v>1</v>
      </c>
      <c r="H336" s="315"/>
      <c r="I336" s="315">
        <v>1</v>
      </c>
      <c r="J336" s="315">
        <v>1</v>
      </c>
      <c r="K336" s="315"/>
      <c r="L336" s="315">
        <v>1</v>
      </c>
      <c r="M336" s="315">
        <v>1</v>
      </c>
      <c r="N336" s="315"/>
      <c r="O336" s="315">
        <v>1</v>
      </c>
      <c r="P336" s="315"/>
      <c r="Q336" s="315"/>
      <c r="R336" s="315">
        <v>1</v>
      </c>
      <c r="S336" s="315">
        <v>1</v>
      </c>
      <c r="T336" s="315">
        <v>1</v>
      </c>
      <c r="U336" s="315">
        <v>1</v>
      </c>
      <c r="V336" s="315"/>
      <c r="W336" s="315">
        <v>1</v>
      </c>
      <c r="X336" s="315">
        <v>1</v>
      </c>
      <c r="Y336" s="315">
        <v>1</v>
      </c>
      <c r="Z336" s="315">
        <v>1</v>
      </c>
      <c r="AA336" s="315"/>
      <c r="AB336" s="315">
        <v>1</v>
      </c>
      <c r="AC336" s="315">
        <v>1</v>
      </c>
      <c r="AD336" s="315"/>
      <c r="AE336" s="315"/>
      <c r="AF336" s="315"/>
      <c r="AG336" s="315"/>
      <c r="AH336" s="315"/>
      <c r="AI336" s="315"/>
      <c r="AJ336" s="315"/>
      <c r="AK336" s="315"/>
      <c r="AL336" s="315">
        <v>1</v>
      </c>
      <c r="AM336" s="315">
        <v>1</v>
      </c>
      <c r="AN336" s="315">
        <v>1</v>
      </c>
      <c r="AO336" s="315">
        <v>1</v>
      </c>
      <c r="AP336" s="315">
        <v>1</v>
      </c>
      <c r="AQ336" s="316">
        <v>1</v>
      </c>
    </row>
    <row r="337" spans="1:43" s="378" customFormat="1" ht="44.25" customHeight="1">
      <c r="A337" s="313" t="s">
        <v>1505</v>
      </c>
      <c r="B337" s="313" t="s">
        <v>386</v>
      </c>
      <c r="C337" s="314" t="s">
        <v>805</v>
      </c>
      <c r="D337" s="314" t="s">
        <v>1424</v>
      </c>
      <c r="E337" s="314" t="s">
        <v>415</v>
      </c>
      <c r="F337" s="315"/>
      <c r="G337" s="315">
        <v>1</v>
      </c>
      <c r="H337" s="315">
        <v>1</v>
      </c>
      <c r="I337" s="315">
        <v>1</v>
      </c>
      <c r="J337" s="315">
        <v>1</v>
      </c>
      <c r="K337" s="315">
        <v>1</v>
      </c>
      <c r="L337" s="315">
        <v>1</v>
      </c>
      <c r="M337" s="315">
        <v>1</v>
      </c>
      <c r="N337" s="315"/>
      <c r="O337" s="315"/>
      <c r="P337" s="315">
        <v>1</v>
      </c>
      <c r="Q337" s="315">
        <v>1</v>
      </c>
      <c r="R337" s="315">
        <v>1</v>
      </c>
      <c r="S337" s="315">
        <v>1</v>
      </c>
      <c r="T337" s="315">
        <v>1</v>
      </c>
      <c r="U337" s="315">
        <v>1</v>
      </c>
      <c r="V337" s="315"/>
      <c r="W337" s="315">
        <v>1</v>
      </c>
      <c r="X337" s="315">
        <v>1</v>
      </c>
      <c r="Y337" s="315">
        <v>1</v>
      </c>
      <c r="Z337" s="315">
        <v>1</v>
      </c>
      <c r="AA337" s="315">
        <v>1</v>
      </c>
      <c r="AB337" s="315">
        <v>1</v>
      </c>
      <c r="AC337" s="315">
        <v>1</v>
      </c>
      <c r="AD337" s="315"/>
      <c r="AE337" s="315">
        <v>1</v>
      </c>
      <c r="AF337" s="315">
        <v>1</v>
      </c>
      <c r="AG337" s="315">
        <v>1</v>
      </c>
      <c r="AH337" s="315">
        <v>1</v>
      </c>
      <c r="AI337" s="315"/>
      <c r="AJ337" s="315"/>
      <c r="AK337" s="315"/>
      <c r="AL337" s="315">
        <v>1</v>
      </c>
      <c r="AM337" s="315">
        <v>1</v>
      </c>
      <c r="AN337" s="315">
        <v>1</v>
      </c>
      <c r="AO337" s="315">
        <v>1</v>
      </c>
      <c r="AP337" s="315">
        <v>1</v>
      </c>
      <c r="AQ337" s="317">
        <v>1</v>
      </c>
    </row>
    <row r="338" spans="1:43" s="378" customFormat="1" ht="44.25" customHeight="1">
      <c r="A338" s="313" t="s">
        <v>1505</v>
      </c>
      <c r="B338" s="313" t="s">
        <v>386</v>
      </c>
      <c r="C338" s="314" t="s">
        <v>806</v>
      </c>
      <c r="D338" s="314" t="s">
        <v>1424</v>
      </c>
      <c r="E338" s="314" t="s">
        <v>415</v>
      </c>
      <c r="F338" s="315"/>
      <c r="G338" s="315">
        <v>1</v>
      </c>
      <c r="H338" s="315"/>
      <c r="I338" s="315">
        <v>1</v>
      </c>
      <c r="J338" s="315">
        <v>1</v>
      </c>
      <c r="K338" s="315">
        <v>1</v>
      </c>
      <c r="L338" s="315">
        <v>1</v>
      </c>
      <c r="M338" s="315">
        <v>1</v>
      </c>
      <c r="N338" s="315"/>
      <c r="O338" s="315"/>
      <c r="P338" s="315"/>
      <c r="Q338" s="315"/>
      <c r="R338" s="315">
        <v>1</v>
      </c>
      <c r="S338" s="315">
        <v>1</v>
      </c>
      <c r="T338" s="315">
        <v>1</v>
      </c>
      <c r="U338" s="315">
        <v>1</v>
      </c>
      <c r="V338" s="315"/>
      <c r="W338" s="315">
        <v>1</v>
      </c>
      <c r="X338" s="315">
        <v>1</v>
      </c>
      <c r="Y338" s="315">
        <v>1</v>
      </c>
      <c r="Z338" s="315">
        <v>1</v>
      </c>
      <c r="AA338" s="315">
        <v>1</v>
      </c>
      <c r="AB338" s="315">
        <v>1</v>
      </c>
      <c r="AC338" s="315">
        <v>1</v>
      </c>
      <c r="AD338" s="315"/>
      <c r="AE338" s="315">
        <v>1</v>
      </c>
      <c r="AF338" s="315">
        <v>1</v>
      </c>
      <c r="AG338" s="315">
        <v>1</v>
      </c>
      <c r="AH338" s="315"/>
      <c r="AI338" s="315"/>
      <c r="AJ338" s="315"/>
      <c r="AK338" s="315"/>
      <c r="AL338" s="315">
        <v>1</v>
      </c>
      <c r="AM338" s="315">
        <v>1</v>
      </c>
      <c r="AN338" s="315">
        <v>1</v>
      </c>
      <c r="AO338" s="315">
        <v>1</v>
      </c>
      <c r="AP338" s="315">
        <v>1</v>
      </c>
      <c r="AQ338" s="316">
        <v>1</v>
      </c>
    </row>
    <row r="339" spans="1:43" s="378" customFormat="1" ht="44.25" customHeight="1">
      <c r="A339" s="313" t="s">
        <v>1505</v>
      </c>
      <c r="B339" s="313" t="s">
        <v>386</v>
      </c>
      <c r="C339" s="314" t="s">
        <v>807</v>
      </c>
      <c r="D339" s="314" t="s">
        <v>1430</v>
      </c>
      <c r="E339" s="314" t="s">
        <v>775</v>
      </c>
      <c r="F339" s="315"/>
      <c r="G339" s="315">
        <v>1</v>
      </c>
      <c r="H339" s="315">
        <v>1</v>
      </c>
      <c r="I339" s="315">
        <v>1</v>
      </c>
      <c r="J339" s="315"/>
      <c r="K339" s="315">
        <v>1</v>
      </c>
      <c r="L339" s="315"/>
      <c r="M339" s="315">
        <v>1</v>
      </c>
      <c r="N339" s="315"/>
      <c r="O339" s="315">
        <v>1</v>
      </c>
      <c r="P339" s="315">
        <v>1</v>
      </c>
      <c r="Q339" s="315">
        <v>1</v>
      </c>
      <c r="R339" s="315"/>
      <c r="S339" s="315">
        <v>1</v>
      </c>
      <c r="T339" s="315"/>
      <c r="U339" s="315">
        <v>1</v>
      </c>
      <c r="V339" s="315"/>
      <c r="W339" s="315">
        <v>1</v>
      </c>
      <c r="X339" s="315">
        <v>1</v>
      </c>
      <c r="Y339" s="315">
        <v>1</v>
      </c>
      <c r="Z339" s="315">
        <v>1</v>
      </c>
      <c r="AA339" s="315">
        <v>1</v>
      </c>
      <c r="AB339" s="315">
        <v>1</v>
      </c>
      <c r="AC339" s="315">
        <v>1</v>
      </c>
      <c r="AD339" s="315"/>
      <c r="AE339" s="315"/>
      <c r="AF339" s="315">
        <v>1</v>
      </c>
      <c r="AG339" s="315">
        <v>1</v>
      </c>
      <c r="AH339" s="315">
        <v>1</v>
      </c>
      <c r="AI339" s="315">
        <v>1</v>
      </c>
      <c r="AJ339" s="315"/>
      <c r="AK339" s="315"/>
      <c r="AL339" s="315">
        <v>1</v>
      </c>
      <c r="AM339" s="315"/>
      <c r="AN339" s="315">
        <v>1</v>
      </c>
      <c r="AO339" s="315"/>
      <c r="AP339" s="315"/>
      <c r="AQ339" s="316"/>
    </row>
    <row r="340" spans="1:43" s="378" customFormat="1" ht="44.25" customHeight="1">
      <c r="A340" s="313" t="s">
        <v>1505</v>
      </c>
      <c r="B340" s="313" t="s">
        <v>386</v>
      </c>
      <c r="C340" s="314" t="s">
        <v>808</v>
      </c>
      <c r="D340" s="314" t="s">
        <v>1424</v>
      </c>
      <c r="E340" s="314" t="s">
        <v>575</v>
      </c>
      <c r="F340" s="315"/>
      <c r="G340" s="315">
        <v>1</v>
      </c>
      <c r="H340" s="315">
        <v>1</v>
      </c>
      <c r="I340" s="315">
        <v>1</v>
      </c>
      <c r="J340" s="315">
        <v>1</v>
      </c>
      <c r="K340" s="315"/>
      <c r="L340" s="315">
        <v>1</v>
      </c>
      <c r="M340" s="315">
        <v>1</v>
      </c>
      <c r="N340" s="315"/>
      <c r="O340" s="315">
        <v>1</v>
      </c>
      <c r="P340" s="315">
        <v>1</v>
      </c>
      <c r="Q340" s="315">
        <v>1</v>
      </c>
      <c r="R340" s="315">
        <v>1</v>
      </c>
      <c r="S340" s="315">
        <v>1</v>
      </c>
      <c r="T340" s="315">
        <v>1</v>
      </c>
      <c r="U340" s="315">
        <v>1</v>
      </c>
      <c r="V340" s="315"/>
      <c r="W340" s="315">
        <v>1</v>
      </c>
      <c r="X340" s="315">
        <v>1</v>
      </c>
      <c r="Y340" s="315">
        <v>1</v>
      </c>
      <c r="Z340" s="315">
        <v>1</v>
      </c>
      <c r="AA340" s="315"/>
      <c r="AB340" s="315">
        <v>1</v>
      </c>
      <c r="AC340" s="315">
        <v>1</v>
      </c>
      <c r="AD340" s="315"/>
      <c r="AE340" s="315"/>
      <c r="AF340" s="315"/>
      <c r="AG340" s="315"/>
      <c r="AH340" s="315">
        <v>1</v>
      </c>
      <c r="AI340" s="315">
        <v>1</v>
      </c>
      <c r="AJ340" s="315">
        <v>1</v>
      </c>
      <c r="AK340" s="315">
        <v>1</v>
      </c>
      <c r="AL340" s="315">
        <v>1</v>
      </c>
      <c r="AM340" s="315">
        <v>1</v>
      </c>
      <c r="AN340" s="315">
        <v>1</v>
      </c>
      <c r="AO340" s="315">
        <v>1</v>
      </c>
      <c r="AP340" s="315">
        <v>1</v>
      </c>
      <c r="AQ340" s="316">
        <v>1</v>
      </c>
    </row>
    <row r="341" spans="1:43" s="378" customFormat="1" ht="44.25" customHeight="1">
      <c r="A341" s="313" t="s">
        <v>1505</v>
      </c>
      <c r="B341" s="313" t="s">
        <v>386</v>
      </c>
      <c r="C341" s="314" t="s">
        <v>809</v>
      </c>
      <c r="D341" s="314" t="s">
        <v>1424</v>
      </c>
      <c r="E341" s="314" t="s">
        <v>810</v>
      </c>
      <c r="F341" s="315"/>
      <c r="G341" s="315">
        <v>1</v>
      </c>
      <c r="H341" s="315">
        <v>1</v>
      </c>
      <c r="I341" s="315">
        <v>1</v>
      </c>
      <c r="J341" s="315">
        <v>1</v>
      </c>
      <c r="K341" s="315">
        <v>1</v>
      </c>
      <c r="L341" s="315">
        <v>1</v>
      </c>
      <c r="M341" s="315">
        <v>1</v>
      </c>
      <c r="N341" s="315"/>
      <c r="O341" s="315"/>
      <c r="P341" s="315"/>
      <c r="Q341" s="315"/>
      <c r="R341" s="315">
        <v>1</v>
      </c>
      <c r="S341" s="315">
        <v>1</v>
      </c>
      <c r="T341" s="315">
        <v>1</v>
      </c>
      <c r="U341" s="315">
        <v>1</v>
      </c>
      <c r="V341" s="315"/>
      <c r="W341" s="315">
        <v>1</v>
      </c>
      <c r="X341" s="315">
        <v>1</v>
      </c>
      <c r="Y341" s="315">
        <v>1</v>
      </c>
      <c r="Z341" s="315">
        <v>1</v>
      </c>
      <c r="AA341" s="315">
        <v>1</v>
      </c>
      <c r="AB341" s="315">
        <v>1</v>
      </c>
      <c r="AC341" s="315">
        <v>1</v>
      </c>
      <c r="AD341" s="315"/>
      <c r="AE341" s="315">
        <v>1</v>
      </c>
      <c r="AF341" s="315">
        <v>1</v>
      </c>
      <c r="AG341" s="315">
        <v>1</v>
      </c>
      <c r="AH341" s="315"/>
      <c r="AI341" s="315">
        <v>1</v>
      </c>
      <c r="AJ341" s="315">
        <v>1</v>
      </c>
      <c r="AK341" s="315">
        <v>1</v>
      </c>
      <c r="AL341" s="315">
        <v>1</v>
      </c>
      <c r="AM341" s="315">
        <v>1</v>
      </c>
      <c r="AN341" s="315">
        <v>1</v>
      </c>
      <c r="AO341" s="315">
        <v>1</v>
      </c>
      <c r="AP341" s="315">
        <v>1</v>
      </c>
      <c r="AQ341" s="316">
        <v>1</v>
      </c>
    </row>
    <row r="342" spans="1:43" s="378" customFormat="1" ht="44.25" customHeight="1">
      <c r="A342" s="313" t="s">
        <v>1505</v>
      </c>
      <c r="B342" s="313" t="s">
        <v>395</v>
      </c>
      <c r="C342" s="314" t="s">
        <v>811</v>
      </c>
      <c r="D342" s="314" t="s">
        <v>1428</v>
      </c>
      <c r="E342" s="314" t="s">
        <v>631</v>
      </c>
      <c r="F342" s="315"/>
      <c r="G342" s="315">
        <v>1</v>
      </c>
      <c r="H342" s="315">
        <v>1</v>
      </c>
      <c r="I342" s="315">
        <v>1</v>
      </c>
      <c r="J342" s="315">
        <v>1</v>
      </c>
      <c r="K342" s="315"/>
      <c r="L342" s="315">
        <v>1</v>
      </c>
      <c r="M342" s="315">
        <v>1</v>
      </c>
      <c r="N342" s="315"/>
      <c r="O342" s="315"/>
      <c r="P342" s="315">
        <v>1</v>
      </c>
      <c r="Q342" s="315">
        <v>1</v>
      </c>
      <c r="R342" s="315">
        <v>1</v>
      </c>
      <c r="S342" s="315">
        <v>1</v>
      </c>
      <c r="T342" s="315">
        <v>1</v>
      </c>
      <c r="U342" s="315">
        <v>1</v>
      </c>
      <c r="V342" s="315"/>
      <c r="W342" s="315">
        <v>1</v>
      </c>
      <c r="X342" s="315">
        <v>1</v>
      </c>
      <c r="Y342" s="315">
        <v>1</v>
      </c>
      <c r="Z342" s="315">
        <v>1</v>
      </c>
      <c r="AA342" s="315"/>
      <c r="AB342" s="315">
        <v>1</v>
      </c>
      <c r="AC342" s="315">
        <v>1</v>
      </c>
      <c r="AD342" s="315"/>
      <c r="AE342" s="315">
        <v>1</v>
      </c>
      <c r="AF342" s="315">
        <v>1</v>
      </c>
      <c r="AG342" s="315">
        <v>1</v>
      </c>
      <c r="AH342" s="315">
        <v>1</v>
      </c>
      <c r="AI342" s="315"/>
      <c r="AJ342" s="315">
        <v>1</v>
      </c>
      <c r="AK342" s="315">
        <v>1</v>
      </c>
      <c r="AL342" s="315">
        <v>1</v>
      </c>
      <c r="AM342" s="315">
        <v>1</v>
      </c>
      <c r="AN342" s="315">
        <v>1</v>
      </c>
      <c r="AO342" s="315">
        <v>1</v>
      </c>
      <c r="AP342" s="315">
        <v>1</v>
      </c>
      <c r="AQ342" s="316">
        <v>1</v>
      </c>
    </row>
    <row r="343" spans="1:43" s="378" customFormat="1" ht="44.25" customHeight="1">
      <c r="A343" s="313" t="s">
        <v>1505</v>
      </c>
      <c r="B343" s="313" t="s">
        <v>386</v>
      </c>
      <c r="C343" s="314" t="s">
        <v>812</v>
      </c>
      <c r="D343" s="314" t="s">
        <v>1426</v>
      </c>
      <c r="E343" s="314" t="s">
        <v>565</v>
      </c>
      <c r="F343" s="315"/>
      <c r="G343" s="315">
        <v>1</v>
      </c>
      <c r="H343" s="315">
        <v>1</v>
      </c>
      <c r="I343" s="315">
        <v>1</v>
      </c>
      <c r="J343" s="315">
        <v>1</v>
      </c>
      <c r="K343" s="315">
        <v>1</v>
      </c>
      <c r="L343" s="315">
        <v>1</v>
      </c>
      <c r="M343" s="315">
        <v>1</v>
      </c>
      <c r="N343" s="315"/>
      <c r="O343" s="315">
        <v>1</v>
      </c>
      <c r="P343" s="315">
        <v>1</v>
      </c>
      <c r="Q343" s="315">
        <v>1</v>
      </c>
      <c r="R343" s="315">
        <v>1</v>
      </c>
      <c r="S343" s="315"/>
      <c r="T343" s="315">
        <v>1</v>
      </c>
      <c r="U343" s="315">
        <v>1</v>
      </c>
      <c r="V343" s="315"/>
      <c r="W343" s="315">
        <v>1</v>
      </c>
      <c r="X343" s="315">
        <v>1</v>
      </c>
      <c r="Y343" s="315">
        <v>1</v>
      </c>
      <c r="Z343" s="315">
        <v>1</v>
      </c>
      <c r="AA343" s="315">
        <v>1</v>
      </c>
      <c r="AB343" s="315">
        <v>1</v>
      </c>
      <c r="AC343" s="315">
        <v>1</v>
      </c>
      <c r="AD343" s="315"/>
      <c r="AE343" s="315"/>
      <c r="AF343" s="315"/>
      <c r="AG343" s="315"/>
      <c r="AH343" s="315">
        <v>1</v>
      </c>
      <c r="AI343" s="315">
        <v>1</v>
      </c>
      <c r="AJ343" s="315">
        <v>1</v>
      </c>
      <c r="AK343" s="315">
        <v>1</v>
      </c>
      <c r="AL343" s="315">
        <v>1</v>
      </c>
      <c r="AM343" s="315">
        <v>1</v>
      </c>
      <c r="AN343" s="315">
        <v>1</v>
      </c>
      <c r="AO343" s="315">
        <v>1</v>
      </c>
      <c r="AP343" s="315">
        <v>1</v>
      </c>
      <c r="AQ343" s="316">
        <v>1</v>
      </c>
    </row>
    <row r="344" spans="1:43" s="378" customFormat="1" ht="44.25" customHeight="1">
      <c r="A344" s="313" t="s">
        <v>1505</v>
      </c>
      <c r="B344" s="313" t="s">
        <v>395</v>
      </c>
      <c r="C344" s="314" t="s">
        <v>813</v>
      </c>
      <c r="D344" s="314" t="s">
        <v>1428</v>
      </c>
      <c r="E344" s="314" t="s">
        <v>814</v>
      </c>
      <c r="F344" s="315"/>
      <c r="G344" s="315">
        <v>1</v>
      </c>
      <c r="H344" s="315">
        <v>1</v>
      </c>
      <c r="I344" s="315">
        <v>1</v>
      </c>
      <c r="J344" s="315">
        <v>1</v>
      </c>
      <c r="K344" s="315">
        <v>1</v>
      </c>
      <c r="L344" s="315">
        <v>1</v>
      </c>
      <c r="M344" s="315">
        <v>1</v>
      </c>
      <c r="N344" s="315"/>
      <c r="O344" s="315"/>
      <c r="P344" s="315">
        <v>1</v>
      </c>
      <c r="Q344" s="315">
        <v>1</v>
      </c>
      <c r="R344" s="315">
        <v>1</v>
      </c>
      <c r="S344" s="315"/>
      <c r="T344" s="315">
        <v>1</v>
      </c>
      <c r="U344" s="315">
        <v>1</v>
      </c>
      <c r="V344" s="315"/>
      <c r="W344" s="315">
        <v>1</v>
      </c>
      <c r="X344" s="315">
        <v>1</v>
      </c>
      <c r="Y344" s="315">
        <v>1</v>
      </c>
      <c r="Z344" s="315">
        <v>1</v>
      </c>
      <c r="AA344" s="315">
        <v>1</v>
      </c>
      <c r="AB344" s="315">
        <v>1</v>
      </c>
      <c r="AC344" s="315">
        <v>1</v>
      </c>
      <c r="AD344" s="315"/>
      <c r="AE344" s="315">
        <v>1</v>
      </c>
      <c r="AF344" s="315">
        <v>1</v>
      </c>
      <c r="AG344" s="315">
        <v>1</v>
      </c>
      <c r="AH344" s="315"/>
      <c r="AI344" s="315">
        <v>1</v>
      </c>
      <c r="AJ344" s="315">
        <v>1</v>
      </c>
      <c r="AK344" s="315">
        <v>1</v>
      </c>
      <c r="AL344" s="315">
        <v>1</v>
      </c>
      <c r="AM344" s="315">
        <v>1</v>
      </c>
      <c r="AN344" s="315">
        <v>1</v>
      </c>
      <c r="AO344" s="315">
        <v>1</v>
      </c>
      <c r="AP344" s="315">
        <v>1</v>
      </c>
      <c r="AQ344" s="316">
        <v>1</v>
      </c>
    </row>
    <row r="345" spans="1:43" s="378" customFormat="1" ht="44.25" customHeight="1">
      <c r="A345" s="313" t="s">
        <v>1505</v>
      </c>
      <c r="B345" s="313" t="s">
        <v>395</v>
      </c>
      <c r="C345" s="314" t="s">
        <v>815</v>
      </c>
      <c r="D345" s="314" t="s">
        <v>1428</v>
      </c>
      <c r="E345" s="314" t="s">
        <v>404</v>
      </c>
      <c r="F345" s="315"/>
      <c r="G345" s="315">
        <v>1</v>
      </c>
      <c r="H345" s="315">
        <v>1</v>
      </c>
      <c r="I345" s="315">
        <v>1</v>
      </c>
      <c r="J345" s="315">
        <v>1</v>
      </c>
      <c r="K345" s="315">
        <v>1</v>
      </c>
      <c r="L345" s="315">
        <v>1</v>
      </c>
      <c r="M345" s="315">
        <v>1</v>
      </c>
      <c r="N345" s="315"/>
      <c r="O345" s="315">
        <v>1</v>
      </c>
      <c r="P345" s="315">
        <v>1</v>
      </c>
      <c r="Q345" s="315">
        <v>1</v>
      </c>
      <c r="R345" s="315">
        <v>1</v>
      </c>
      <c r="S345" s="315">
        <v>1</v>
      </c>
      <c r="T345" s="315"/>
      <c r="U345" s="315">
        <v>1</v>
      </c>
      <c r="V345" s="315"/>
      <c r="W345" s="315"/>
      <c r="X345" s="315">
        <v>1</v>
      </c>
      <c r="Y345" s="315">
        <v>1</v>
      </c>
      <c r="Z345" s="315">
        <v>1</v>
      </c>
      <c r="AA345" s="315">
        <v>1</v>
      </c>
      <c r="AB345" s="315">
        <v>1</v>
      </c>
      <c r="AC345" s="315">
        <v>1</v>
      </c>
      <c r="AD345" s="315"/>
      <c r="AE345" s="315">
        <v>1</v>
      </c>
      <c r="AF345" s="315">
        <v>1</v>
      </c>
      <c r="AG345" s="315">
        <v>1</v>
      </c>
      <c r="AH345" s="315">
        <v>1</v>
      </c>
      <c r="AI345" s="315"/>
      <c r="AJ345" s="315">
        <v>1</v>
      </c>
      <c r="AK345" s="315">
        <v>1</v>
      </c>
      <c r="AL345" s="315">
        <v>1</v>
      </c>
      <c r="AM345" s="315">
        <v>1</v>
      </c>
      <c r="AN345" s="315"/>
      <c r="AO345" s="315">
        <v>1</v>
      </c>
      <c r="AP345" s="315">
        <v>1</v>
      </c>
      <c r="AQ345" s="316">
        <v>1</v>
      </c>
    </row>
    <row r="346" spans="1:43" s="378" customFormat="1" ht="44.25" customHeight="1">
      <c r="A346" s="313" t="s">
        <v>1505</v>
      </c>
      <c r="B346" s="313" t="s">
        <v>386</v>
      </c>
      <c r="C346" s="314" t="s">
        <v>816</v>
      </c>
      <c r="D346" s="314" t="s">
        <v>1426</v>
      </c>
      <c r="E346" s="314" t="s">
        <v>565</v>
      </c>
      <c r="F346" s="315"/>
      <c r="G346" s="315">
        <v>1</v>
      </c>
      <c r="H346" s="315">
        <v>1</v>
      </c>
      <c r="I346" s="315">
        <v>1</v>
      </c>
      <c r="J346" s="315">
        <v>1</v>
      </c>
      <c r="K346" s="315"/>
      <c r="L346" s="315">
        <v>1</v>
      </c>
      <c r="M346" s="315">
        <v>1</v>
      </c>
      <c r="N346" s="315"/>
      <c r="O346" s="315">
        <v>1</v>
      </c>
      <c r="P346" s="315">
        <v>1</v>
      </c>
      <c r="Q346" s="315">
        <v>1</v>
      </c>
      <c r="R346" s="315">
        <v>1</v>
      </c>
      <c r="S346" s="315"/>
      <c r="T346" s="315">
        <v>1</v>
      </c>
      <c r="U346" s="315">
        <v>1</v>
      </c>
      <c r="V346" s="315"/>
      <c r="W346" s="315">
        <v>1</v>
      </c>
      <c r="X346" s="315">
        <v>1</v>
      </c>
      <c r="Y346" s="315">
        <v>1</v>
      </c>
      <c r="Z346" s="315">
        <v>1</v>
      </c>
      <c r="AA346" s="315"/>
      <c r="AB346" s="315">
        <v>1</v>
      </c>
      <c r="AC346" s="315">
        <v>1</v>
      </c>
      <c r="AD346" s="315"/>
      <c r="AE346" s="315"/>
      <c r="AF346" s="315">
        <v>1</v>
      </c>
      <c r="AG346" s="315">
        <v>1</v>
      </c>
      <c r="AH346" s="315">
        <v>1</v>
      </c>
      <c r="AI346" s="315"/>
      <c r="AJ346" s="315"/>
      <c r="AK346" s="315"/>
      <c r="AL346" s="315"/>
      <c r="AM346" s="315"/>
      <c r="AN346" s="315">
        <v>1</v>
      </c>
      <c r="AO346" s="315">
        <v>1</v>
      </c>
      <c r="AP346" s="315">
        <v>1</v>
      </c>
      <c r="AQ346" s="316">
        <v>1</v>
      </c>
    </row>
    <row r="347" spans="1:43" s="378" customFormat="1" ht="44.25" customHeight="1">
      <c r="A347" s="313" t="s">
        <v>1505</v>
      </c>
      <c r="B347" s="313" t="s">
        <v>386</v>
      </c>
      <c r="C347" s="314" t="s">
        <v>817</v>
      </c>
      <c r="D347" s="314" t="s">
        <v>1430</v>
      </c>
      <c r="E347" s="314" t="s">
        <v>814</v>
      </c>
      <c r="F347" s="315"/>
      <c r="G347" s="315"/>
      <c r="H347" s="315">
        <v>1</v>
      </c>
      <c r="I347" s="315">
        <v>1</v>
      </c>
      <c r="J347" s="315">
        <v>1</v>
      </c>
      <c r="K347" s="315"/>
      <c r="L347" s="315">
        <v>1</v>
      </c>
      <c r="M347" s="315">
        <v>1</v>
      </c>
      <c r="N347" s="315"/>
      <c r="O347" s="315">
        <v>1</v>
      </c>
      <c r="P347" s="315">
        <v>1</v>
      </c>
      <c r="Q347" s="315">
        <v>1</v>
      </c>
      <c r="R347" s="315">
        <v>1</v>
      </c>
      <c r="S347" s="315"/>
      <c r="T347" s="315">
        <v>1</v>
      </c>
      <c r="U347" s="315">
        <v>1</v>
      </c>
      <c r="V347" s="315"/>
      <c r="W347" s="315">
        <v>1</v>
      </c>
      <c r="X347" s="315">
        <v>1</v>
      </c>
      <c r="Y347" s="315">
        <v>1</v>
      </c>
      <c r="Z347" s="315">
        <v>1</v>
      </c>
      <c r="AA347" s="315"/>
      <c r="AB347" s="315">
        <v>1</v>
      </c>
      <c r="AC347" s="315">
        <v>1</v>
      </c>
      <c r="AD347" s="315"/>
      <c r="AE347" s="315">
        <v>1</v>
      </c>
      <c r="AF347" s="315">
        <v>1</v>
      </c>
      <c r="AG347" s="315">
        <v>1</v>
      </c>
      <c r="AH347" s="315">
        <v>1</v>
      </c>
      <c r="AI347" s="315"/>
      <c r="AJ347" s="315">
        <v>1</v>
      </c>
      <c r="AK347" s="315">
        <v>1</v>
      </c>
      <c r="AL347" s="315">
        <v>1</v>
      </c>
      <c r="AM347" s="315">
        <v>1</v>
      </c>
      <c r="AN347" s="315">
        <v>1</v>
      </c>
      <c r="AO347" s="315">
        <v>1</v>
      </c>
      <c r="AP347" s="315">
        <v>1</v>
      </c>
      <c r="AQ347" s="317">
        <v>1</v>
      </c>
    </row>
    <row r="348" spans="1:43" s="378" customFormat="1" ht="44.25" customHeight="1">
      <c r="A348" s="313" t="s">
        <v>1505</v>
      </c>
      <c r="B348" s="313" t="s">
        <v>386</v>
      </c>
      <c r="C348" s="314" t="s">
        <v>818</v>
      </c>
      <c r="D348" s="314" t="s">
        <v>1426</v>
      </c>
      <c r="E348" s="314" t="s">
        <v>565</v>
      </c>
      <c r="F348" s="315"/>
      <c r="G348" s="315">
        <v>1</v>
      </c>
      <c r="H348" s="315">
        <v>1</v>
      </c>
      <c r="I348" s="315">
        <v>1</v>
      </c>
      <c r="J348" s="315">
        <v>1</v>
      </c>
      <c r="K348" s="315">
        <v>1</v>
      </c>
      <c r="L348" s="315">
        <v>1</v>
      </c>
      <c r="M348" s="315">
        <v>1</v>
      </c>
      <c r="N348" s="315"/>
      <c r="O348" s="315">
        <v>1</v>
      </c>
      <c r="P348" s="315">
        <v>1</v>
      </c>
      <c r="Q348" s="315">
        <v>1</v>
      </c>
      <c r="R348" s="315">
        <v>1</v>
      </c>
      <c r="S348" s="315">
        <v>1</v>
      </c>
      <c r="T348" s="315">
        <v>1</v>
      </c>
      <c r="U348" s="315">
        <v>1</v>
      </c>
      <c r="V348" s="315"/>
      <c r="W348" s="315">
        <v>1</v>
      </c>
      <c r="X348" s="315">
        <v>1</v>
      </c>
      <c r="Y348" s="315">
        <v>1</v>
      </c>
      <c r="Z348" s="315">
        <v>1</v>
      </c>
      <c r="AA348" s="315">
        <v>1</v>
      </c>
      <c r="AB348" s="315">
        <v>1</v>
      </c>
      <c r="AC348" s="315">
        <v>1</v>
      </c>
      <c r="AD348" s="315"/>
      <c r="AE348" s="315"/>
      <c r="AF348" s="315"/>
      <c r="AG348" s="315"/>
      <c r="AH348" s="315">
        <v>1</v>
      </c>
      <c r="AI348" s="315">
        <v>1</v>
      </c>
      <c r="AJ348" s="315"/>
      <c r="AK348" s="315"/>
      <c r="AL348" s="315">
        <v>1</v>
      </c>
      <c r="AM348" s="315"/>
      <c r="AN348" s="315">
        <v>1</v>
      </c>
      <c r="AO348" s="315">
        <v>1</v>
      </c>
      <c r="AP348" s="315">
        <v>1</v>
      </c>
      <c r="AQ348" s="317">
        <v>1</v>
      </c>
    </row>
    <row r="349" spans="1:43" s="378" customFormat="1" ht="44.25" customHeight="1">
      <c r="A349" s="313" t="s">
        <v>1505</v>
      </c>
      <c r="B349" s="313" t="s">
        <v>386</v>
      </c>
      <c r="C349" s="314" t="s">
        <v>819</v>
      </c>
      <c r="D349" s="314" t="s">
        <v>1424</v>
      </c>
      <c r="E349" s="314" t="s">
        <v>575</v>
      </c>
      <c r="F349" s="315"/>
      <c r="G349" s="315">
        <v>1</v>
      </c>
      <c r="H349" s="315">
        <v>1</v>
      </c>
      <c r="I349" s="315">
        <v>1</v>
      </c>
      <c r="J349" s="315">
        <v>1</v>
      </c>
      <c r="K349" s="315"/>
      <c r="L349" s="315">
        <v>1</v>
      </c>
      <c r="M349" s="315">
        <v>1</v>
      </c>
      <c r="N349" s="315"/>
      <c r="O349" s="315">
        <v>1</v>
      </c>
      <c r="P349" s="315">
        <v>1</v>
      </c>
      <c r="Q349" s="315">
        <v>1</v>
      </c>
      <c r="R349" s="315">
        <v>1</v>
      </c>
      <c r="S349" s="315">
        <v>1</v>
      </c>
      <c r="T349" s="315">
        <v>1</v>
      </c>
      <c r="U349" s="315">
        <v>1</v>
      </c>
      <c r="V349" s="315"/>
      <c r="W349" s="315">
        <v>1</v>
      </c>
      <c r="X349" s="315">
        <v>1</v>
      </c>
      <c r="Y349" s="315">
        <v>1</v>
      </c>
      <c r="Z349" s="315">
        <v>1</v>
      </c>
      <c r="AA349" s="315"/>
      <c r="AB349" s="315">
        <v>1</v>
      </c>
      <c r="AC349" s="315">
        <v>1</v>
      </c>
      <c r="AD349" s="315"/>
      <c r="AE349" s="315">
        <v>1</v>
      </c>
      <c r="AF349" s="315">
        <v>1</v>
      </c>
      <c r="AG349" s="315">
        <v>1</v>
      </c>
      <c r="AH349" s="315">
        <v>1</v>
      </c>
      <c r="AI349" s="315">
        <v>1</v>
      </c>
      <c r="AJ349" s="315">
        <v>1</v>
      </c>
      <c r="AK349" s="315">
        <v>1</v>
      </c>
      <c r="AL349" s="315">
        <v>1</v>
      </c>
      <c r="AM349" s="315">
        <v>1</v>
      </c>
      <c r="AN349" s="315">
        <v>1</v>
      </c>
      <c r="AO349" s="315">
        <v>1</v>
      </c>
      <c r="AP349" s="315">
        <v>1</v>
      </c>
      <c r="AQ349" s="316">
        <v>1</v>
      </c>
    </row>
    <row r="350" spans="1:43" s="378" customFormat="1" ht="44.25" customHeight="1">
      <c r="A350" s="313" t="s">
        <v>1505</v>
      </c>
      <c r="B350" s="313" t="s">
        <v>386</v>
      </c>
      <c r="C350" s="314" t="s">
        <v>820</v>
      </c>
      <c r="D350" s="314" t="s">
        <v>1438</v>
      </c>
      <c r="E350" s="314" t="s">
        <v>760</v>
      </c>
      <c r="F350" s="315"/>
      <c r="G350" s="315">
        <v>1</v>
      </c>
      <c r="H350" s="315">
        <v>1</v>
      </c>
      <c r="I350" s="315">
        <v>1</v>
      </c>
      <c r="J350" s="315">
        <v>1</v>
      </c>
      <c r="K350" s="315"/>
      <c r="L350" s="315">
        <v>1</v>
      </c>
      <c r="M350" s="315">
        <v>1</v>
      </c>
      <c r="N350" s="315"/>
      <c r="O350" s="315">
        <v>1</v>
      </c>
      <c r="P350" s="315">
        <v>1</v>
      </c>
      <c r="Q350" s="315">
        <v>1</v>
      </c>
      <c r="R350" s="315">
        <v>1</v>
      </c>
      <c r="S350" s="315">
        <v>1</v>
      </c>
      <c r="T350" s="315">
        <v>1</v>
      </c>
      <c r="U350" s="315">
        <v>1</v>
      </c>
      <c r="V350" s="315"/>
      <c r="W350" s="315">
        <v>1</v>
      </c>
      <c r="X350" s="315">
        <v>1</v>
      </c>
      <c r="Y350" s="315">
        <v>1</v>
      </c>
      <c r="Z350" s="315">
        <v>1</v>
      </c>
      <c r="AA350" s="315"/>
      <c r="AB350" s="315">
        <v>1</v>
      </c>
      <c r="AC350" s="315">
        <v>1</v>
      </c>
      <c r="AD350" s="315"/>
      <c r="AE350" s="315">
        <v>1</v>
      </c>
      <c r="AF350" s="315">
        <v>1</v>
      </c>
      <c r="AG350" s="315">
        <v>1</v>
      </c>
      <c r="AH350" s="315"/>
      <c r="AI350" s="315">
        <v>1</v>
      </c>
      <c r="AJ350" s="315">
        <v>1</v>
      </c>
      <c r="AK350" s="315">
        <v>1</v>
      </c>
      <c r="AL350" s="315">
        <v>1</v>
      </c>
      <c r="AM350" s="315">
        <v>1</v>
      </c>
      <c r="AN350" s="315">
        <v>1</v>
      </c>
      <c r="AO350" s="315">
        <v>1</v>
      </c>
      <c r="AP350" s="315">
        <v>1</v>
      </c>
      <c r="AQ350" s="316">
        <v>1</v>
      </c>
    </row>
    <row r="351" spans="1:43" s="378" customFormat="1" ht="44.25" customHeight="1">
      <c r="A351" s="313" t="s">
        <v>1505</v>
      </c>
      <c r="B351" s="313" t="s">
        <v>386</v>
      </c>
      <c r="C351" s="314" t="s">
        <v>821</v>
      </c>
      <c r="D351" s="314" t="s">
        <v>1426</v>
      </c>
      <c r="E351" s="314" t="s">
        <v>690</v>
      </c>
      <c r="F351" s="315"/>
      <c r="G351" s="315">
        <v>1</v>
      </c>
      <c r="H351" s="315">
        <v>1</v>
      </c>
      <c r="I351" s="315">
        <v>1</v>
      </c>
      <c r="J351" s="315">
        <v>1</v>
      </c>
      <c r="K351" s="315">
        <v>1</v>
      </c>
      <c r="L351" s="315">
        <v>1</v>
      </c>
      <c r="M351" s="315">
        <v>1</v>
      </c>
      <c r="N351" s="315"/>
      <c r="O351" s="315">
        <v>1</v>
      </c>
      <c r="P351" s="315">
        <v>1</v>
      </c>
      <c r="Q351" s="315">
        <v>1</v>
      </c>
      <c r="R351" s="315"/>
      <c r="S351" s="315">
        <v>1</v>
      </c>
      <c r="T351" s="315"/>
      <c r="U351" s="315">
        <v>1</v>
      </c>
      <c r="V351" s="315"/>
      <c r="W351" s="315">
        <v>1</v>
      </c>
      <c r="X351" s="315">
        <v>1</v>
      </c>
      <c r="Y351" s="315">
        <v>1</v>
      </c>
      <c r="Z351" s="315">
        <v>1</v>
      </c>
      <c r="AA351" s="315">
        <v>1</v>
      </c>
      <c r="AB351" s="315">
        <v>1</v>
      </c>
      <c r="AC351" s="315">
        <v>1</v>
      </c>
      <c r="AD351" s="315"/>
      <c r="AE351" s="315">
        <v>1</v>
      </c>
      <c r="AF351" s="315">
        <v>1</v>
      </c>
      <c r="AG351" s="315">
        <v>1</v>
      </c>
      <c r="AH351" s="315"/>
      <c r="AI351" s="315">
        <v>1</v>
      </c>
      <c r="AJ351" s="315"/>
      <c r="AK351" s="315"/>
      <c r="AL351" s="315"/>
      <c r="AM351" s="315"/>
      <c r="AN351" s="315"/>
      <c r="AO351" s="315">
        <v>1</v>
      </c>
      <c r="AP351" s="315"/>
      <c r="AQ351" s="317"/>
    </row>
    <row r="352" spans="1:43" s="378" customFormat="1" ht="44.25" customHeight="1">
      <c r="A352" s="313" t="s">
        <v>1505</v>
      </c>
      <c r="B352" s="313" t="s">
        <v>386</v>
      </c>
      <c r="C352" s="314" t="s">
        <v>822</v>
      </c>
      <c r="D352" s="314" t="s">
        <v>1424</v>
      </c>
      <c r="E352" s="314" t="s">
        <v>575</v>
      </c>
      <c r="F352" s="315"/>
      <c r="G352" s="315">
        <v>1</v>
      </c>
      <c r="H352" s="315">
        <v>1</v>
      </c>
      <c r="I352" s="315">
        <v>1</v>
      </c>
      <c r="J352" s="315">
        <v>1</v>
      </c>
      <c r="K352" s="315">
        <v>1</v>
      </c>
      <c r="L352" s="315">
        <v>1</v>
      </c>
      <c r="M352" s="315">
        <v>1</v>
      </c>
      <c r="N352" s="315"/>
      <c r="O352" s="315">
        <v>1</v>
      </c>
      <c r="P352" s="315">
        <v>1</v>
      </c>
      <c r="Q352" s="315">
        <v>1</v>
      </c>
      <c r="R352" s="315">
        <v>1</v>
      </c>
      <c r="S352" s="315">
        <v>1</v>
      </c>
      <c r="T352" s="315">
        <v>1</v>
      </c>
      <c r="U352" s="315">
        <v>1</v>
      </c>
      <c r="V352" s="315"/>
      <c r="W352" s="315">
        <v>1</v>
      </c>
      <c r="X352" s="315">
        <v>1</v>
      </c>
      <c r="Y352" s="315">
        <v>1</v>
      </c>
      <c r="Z352" s="315">
        <v>1</v>
      </c>
      <c r="AA352" s="315">
        <v>1</v>
      </c>
      <c r="AB352" s="315"/>
      <c r="AC352" s="315">
        <v>1</v>
      </c>
      <c r="AD352" s="315"/>
      <c r="AE352" s="315">
        <v>1</v>
      </c>
      <c r="AF352" s="315"/>
      <c r="AG352" s="315">
        <v>1</v>
      </c>
      <c r="AH352" s="315">
        <v>1</v>
      </c>
      <c r="AI352" s="315"/>
      <c r="AJ352" s="315">
        <v>1</v>
      </c>
      <c r="AK352" s="315">
        <v>1</v>
      </c>
      <c r="AL352" s="315">
        <v>1</v>
      </c>
      <c r="AM352" s="315">
        <v>1</v>
      </c>
      <c r="AN352" s="315">
        <v>1</v>
      </c>
      <c r="AO352" s="315">
        <v>1</v>
      </c>
      <c r="AP352" s="315">
        <v>1</v>
      </c>
      <c r="AQ352" s="317">
        <v>1</v>
      </c>
    </row>
    <row r="353" spans="1:43" s="378" customFormat="1" ht="44.25" customHeight="1">
      <c r="A353" s="313" t="s">
        <v>1505</v>
      </c>
      <c r="B353" s="313" t="s">
        <v>386</v>
      </c>
      <c r="C353" s="314" t="s">
        <v>823</v>
      </c>
      <c r="D353" s="314" t="s">
        <v>1426</v>
      </c>
      <c r="E353" s="314" t="s">
        <v>408</v>
      </c>
      <c r="F353" s="315"/>
      <c r="G353" s="315">
        <v>1</v>
      </c>
      <c r="H353" s="315">
        <v>1</v>
      </c>
      <c r="I353" s="315">
        <v>1</v>
      </c>
      <c r="J353" s="315">
        <v>1</v>
      </c>
      <c r="K353" s="315">
        <v>1</v>
      </c>
      <c r="L353" s="315">
        <v>1</v>
      </c>
      <c r="M353" s="315">
        <v>1</v>
      </c>
      <c r="N353" s="315"/>
      <c r="O353" s="315">
        <v>1</v>
      </c>
      <c r="P353" s="315">
        <v>1</v>
      </c>
      <c r="Q353" s="315">
        <v>1</v>
      </c>
      <c r="R353" s="315">
        <v>1</v>
      </c>
      <c r="S353" s="315"/>
      <c r="T353" s="315"/>
      <c r="U353" s="315">
        <v>1</v>
      </c>
      <c r="V353" s="315"/>
      <c r="W353" s="315">
        <v>1</v>
      </c>
      <c r="X353" s="315">
        <v>1</v>
      </c>
      <c r="Y353" s="315">
        <v>1</v>
      </c>
      <c r="Z353" s="315">
        <v>1</v>
      </c>
      <c r="AA353" s="315">
        <v>1</v>
      </c>
      <c r="AB353" s="315"/>
      <c r="AC353" s="315"/>
      <c r="AD353" s="315"/>
      <c r="AE353" s="315">
        <v>1</v>
      </c>
      <c r="AF353" s="315">
        <v>1</v>
      </c>
      <c r="AG353" s="315">
        <v>1</v>
      </c>
      <c r="AH353" s="315">
        <v>1</v>
      </c>
      <c r="AI353" s="315">
        <v>1</v>
      </c>
      <c r="AJ353" s="315">
        <v>1</v>
      </c>
      <c r="AK353" s="315">
        <v>1</v>
      </c>
      <c r="AL353" s="315">
        <v>1</v>
      </c>
      <c r="AM353" s="315"/>
      <c r="AN353" s="315">
        <v>1</v>
      </c>
      <c r="AO353" s="315">
        <v>1</v>
      </c>
      <c r="AP353" s="315"/>
      <c r="AQ353" s="317"/>
    </row>
    <row r="354" spans="1:43" s="378" customFormat="1" ht="44.25" customHeight="1">
      <c r="A354" s="313" t="s">
        <v>1505</v>
      </c>
      <c r="B354" s="313" t="s">
        <v>384</v>
      </c>
      <c r="C354" s="314" t="s">
        <v>824</v>
      </c>
      <c r="D354" s="314" t="s">
        <v>1426</v>
      </c>
      <c r="E354" s="314" t="s">
        <v>575</v>
      </c>
      <c r="F354" s="315"/>
      <c r="G354" s="315">
        <v>1</v>
      </c>
      <c r="H354" s="315">
        <v>1</v>
      </c>
      <c r="I354" s="315">
        <v>1</v>
      </c>
      <c r="J354" s="315">
        <v>1</v>
      </c>
      <c r="K354" s="315">
        <v>1</v>
      </c>
      <c r="L354" s="315">
        <v>1</v>
      </c>
      <c r="M354" s="315">
        <v>1</v>
      </c>
      <c r="N354" s="315"/>
      <c r="O354" s="315">
        <v>1</v>
      </c>
      <c r="P354" s="315">
        <v>1</v>
      </c>
      <c r="Q354" s="315">
        <v>1</v>
      </c>
      <c r="R354" s="315">
        <v>1</v>
      </c>
      <c r="S354" s="315"/>
      <c r="T354" s="315">
        <v>1</v>
      </c>
      <c r="U354" s="315">
        <v>1</v>
      </c>
      <c r="V354" s="315"/>
      <c r="W354" s="315">
        <v>1</v>
      </c>
      <c r="X354" s="315">
        <v>1</v>
      </c>
      <c r="Y354" s="315">
        <v>1</v>
      </c>
      <c r="Z354" s="315">
        <v>1</v>
      </c>
      <c r="AA354" s="315">
        <v>1</v>
      </c>
      <c r="AB354" s="315"/>
      <c r="AC354" s="315"/>
      <c r="AD354" s="315"/>
      <c r="AE354" s="315">
        <v>1</v>
      </c>
      <c r="AF354" s="315">
        <v>1</v>
      </c>
      <c r="AG354" s="315">
        <v>1</v>
      </c>
      <c r="AH354" s="315">
        <v>1</v>
      </c>
      <c r="AI354" s="315">
        <v>1</v>
      </c>
      <c r="AJ354" s="315">
        <v>1</v>
      </c>
      <c r="AK354" s="315">
        <v>1</v>
      </c>
      <c r="AL354" s="315">
        <v>1</v>
      </c>
      <c r="AM354" s="315">
        <v>1</v>
      </c>
      <c r="AN354" s="315">
        <v>1</v>
      </c>
      <c r="AO354" s="315">
        <v>1</v>
      </c>
      <c r="AP354" s="315">
        <v>1</v>
      </c>
      <c r="AQ354" s="317">
        <v>1</v>
      </c>
    </row>
    <row r="355" spans="1:43" s="378" customFormat="1" ht="44.25" customHeight="1">
      <c r="A355" s="313" t="s">
        <v>1505</v>
      </c>
      <c r="B355" s="313" t="s">
        <v>384</v>
      </c>
      <c r="C355" s="314" t="s">
        <v>825</v>
      </c>
      <c r="D355" s="314" t="s">
        <v>1426</v>
      </c>
      <c r="E355" s="314" t="s">
        <v>565</v>
      </c>
      <c r="F355" s="315"/>
      <c r="G355" s="315">
        <v>1</v>
      </c>
      <c r="H355" s="315">
        <v>1</v>
      </c>
      <c r="I355" s="315">
        <v>1</v>
      </c>
      <c r="J355" s="315">
        <v>1</v>
      </c>
      <c r="K355" s="315">
        <v>1</v>
      </c>
      <c r="L355" s="315">
        <v>1</v>
      </c>
      <c r="M355" s="315">
        <v>1</v>
      </c>
      <c r="N355" s="315"/>
      <c r="O355" s="315">
        <v>1</v>
      </c>
      <c r="P355" s="315">
        <v>1</v>
      </c>
      <c r="Q355" s="315">
        <v>1</v>
      </c>
      <c r="R355" s="315">
        <v>1</v>
      </c>
      <c r="S355" s="315"/>
      <c r="T355" s="315">
        <v>1</v>
      </c>
      <c r="U355" s="315">
        <v>1</v>
      </c>
      <c r="V355" s="315"/>
      <c r="W355" s="315">
        <v>1</v>
      </c>
      <c r="X355" s="315">
        <v>1</v>
      </c>
      <c r="Y355" s="315">
        <v>1</v>
      </c>
      <c r="Z355" s="315">
        <v>1</v>
      </c>
      <c r="AA355" s="315">
        <v>1</v>
      </c>
      <c r="AB355" s="315"/>
      <c r="AC355" s="315"/>
      <c r="AD355" s="315"/>
      <c r="AE355" s="315">
        <v>1</v>
      </c>
      <c r="AF355" s="315">
        <v>1</v>
      </c>
      <c r="AG355" s="315">
        <v>1</v>
      </c>
      <c r="AH355" s="315">
        <v>1</v>
      </c>
      <c r="AI355" s="315">
        <v>1</v>
      </c>
      <c r="AJ355" s="315">
        <v>1</v>
      </c>
      <c r="AK355" s="315">
        <v>1</v>
      </c>
      <c r="AL355" s="315">
        <v>1</v>
      </c>
      <c r="AM355" s="315">
        <v>1</v>
      </c>
      <c r="AN355" s="315">
        <v>1</v>
      </c>
      <c r="AO355" s="315">
        <v>1</v>
      </c>
      <c r="AP355" s="315">
        <v>1</v>
      </c>
      <c r="AQ355" s="317">
        <v>1</v>
      </c>
    </row>
    <row r="356" spans="1:43" s="378" customFormat="1" ht="44.25" customHeight="1">
      <c r="A356" s="313" t="s">
        <v>1505</v>
      </c>
      <c r="B356" s="313" t="s">
        <v>395</v>
      </c>
      <c r="C356" s="314" t="s">
        <v>826</v>
      </c>
      <c r="D356" s="314" t="s">
        <v>1426</v>
      </c>
      <c r="E356" s="314" t="s">
        <v>827</v>
      </c>
      <c r="F356" s="315"/>
      <c r="G356" s="315"/>
      <c r="H356" s="315"/>
      <c r="I356" s="315"/>
      <c r="J356" s="315"/>
      <c r="K356" s="315">
        <v>1</v>
      </c>
      <c r="L356" s="315">
        <v>1</v>
      </c>
      <c r="M356" s="315">
        <v>1</v>
      </c>
      <c r="N356" s="315"/>
      <c r="O356" s="315"/>
      <c r="P356" s="315"/>
      <c r="Q356" s="315"/>
      <c r="R356" s="315"/>
      <c r="S356" s="315">
        <v>1</v>
      </c>
      <c r="T356" s="315">
        <v>1</v>
      </c>
      <c r="U356" s="315">
        <v>1</v>
      </c>
      <c r="V356" s="315"/>
      <c r="W356" s="315"/>
      <c r="X356" s="315"/>
      <c r="Y356" s="315"/>
      <c r="Z356" s="315"/>
      <c r="AA356" s="315"/>
      <c r="AB356" s="315"/>
      <c r="AC356" s="315"/>
      <c r="AD356" s="315"/>
      <c r="AE356" s="315"/>
      <c r="AF356" s="315"/>
      <c r="AG356" s="315"/>
      <c r="AH356" s="315"/>
      <c r="AI356" s="315"/>
      <c r="AJ356" s="315"/>
      <c r="AK356" s="315"/>
      <c r="AL356" s="315">
        <v>1</v>
      </c>
      <c r="AM356" s="315">
        <v>1</v>
      </c>
      <c r="AN356" s="315">
        <v>1</v>
      </c>
      <c r="AO356" s="315">
        <v>1</v>
      </c>
      <c r="AP356" s="315">
        <v>1</v>
      </c>
      <c r="AQ356" s="316">
        <v>1</v>
      </c>
    </row>
    <row r="357" spans="1:43" s="378" customFormat="1" ht="44.25" customHeight="1">
      <c r="A357" s="313" t="s">
        <v>1505</v>
      </c>
      <c r="B357" s="313" t="s">
        <v>386</v>
      </c>
      <c r="C357" s="314" t="s">
        <v>828</v>
      </c>
      <c r="D357" s="314" t="s">
        <v>1454</v>
      </c>
      <c r="E357" s="314" t="s">
        <v>829</v>
      </c>
      <c r="F357" s="315"/>
      <c r="G357" s="315"/>
      <c r="H357" s="315"/>
      <c r="I357" s="315"/>
      <c r="J357" s="315"/>
      <c r="K357" s="315"/>
      <c r="L357" s="315"/>
      <c r="M357" s="315"/>
      <c r="N357" s="315"/>
      <c r="O357" s="315"/>
      <c r="P357" s="315"/>
      <c r="Q357" s="315"/>
      <c r="R357" s="315"/>
      <c r="S357" s="315"/>
      <c r="T357" s="315"/>
      <c r="U357" s="315"/>
      <c r="V357" s="315"/>
      <c r="W357" s="315"/>
      <c r="X357" s="315"/>
      <c r="Y357" s="315"/>
      <c r="Z357" s="315"/>
      <c r="AA357" s="315"/>
      <c r="AB357" s="315"/>
      <c r="AC357" s="315"/>
      <c r="AD357" s="315"/>
      <c r="AE357" s="315"/>
      <c r="AF357" s="315"/>
      <c r="AG357" s="315"/>
      <c r="AH357" s="315"/>
      <c r="AI357" s="315"/>
      <c r="AJ357" s="315">
        <v>1</v>
      </c>
      <c r="AK357" s="315">
        <v>1</v>
      </c>
      <c r="AL357" s="315"/>
      <c r="AM357" s="315">
        <v>1</v>
      </c>
      <c r="AN357" s="315">
        <v>1</v>
      </c>
      <c r="AO357" s="315">
        <v>1</v>
      </c>
      <c r="AP357" s="315"/>
      <c r="AQ357" s="317"/>
    </row>
    <row r="358" spans="1:43" s="378" customFormat="1" ht="44.25" customHeight="1">
      <c r="A358" s="313" t="s">
        <v>1505</v>
      </c>
      <c r="B358" s="313" t="s">
        <v>386</v>
      </c>
      <c r="C358" s="314" t="s">
        <v>830</v>
      </c>
      <c r="D358" s="314" t="s">
        <v>1424</v>
      </c>
      <c r="E358" s="314" t="s">
        <v>831</v>
      </c>
      <c r="F358" s="315"/>
      <c r="G358" s="315"/>
      <c r="H358" s="315"/>
      <c r="I358" s="315"/>
      <c r="J358" s="315"/>
      <c r="K358" s="315">
        <v>1</v>
      </c>
      <c r="L358" s="315">
        <v>1</v>
      </c>
      <c r="M358" s="315">
        <v>1</v>
      </c>
      <c r="N358" s="315"/>
      <c r="O358" s="315"/>
      <c r="P358" s="315"/>
      <c r="Q358" s="315"/>
      <c r="R358" s="315"/>
      <c r="S358" s="315">
        <v>1</v>
      </c>
      <c r="T358" s="315">
        <v>1</v>
      </c>
      <c r="U358" s="315">
        <v>1</v>
      </c>
      <c r="V358" s="315"/>
      <c r="W358" s="315"/>
      <c r="X358" s="315"/>
      <c r="Y358" s="315"/>
      <c r="Z358" s="315"/>
      <c r="AA358" s="315">
        <v>1</v>
      </c>
      <c r="AB358" s="315"/>
      <c r="AC358" s="315"/>
      <c r="AD358" s="315"/>
      <c r="AE358" s="315"/>
      <c r="AF358" s="315"/>
      <c r="AG358" s="315"/>
      <c r="AH358" s="315"/>
      <c r="AI358" s="315"/>
      <c r="AJ358" s="315"/>
      <c r="AK358" s="315"/>
      <c r="AL358" s="315">
        <v>1</v>
      </c>
      <c r="AM358" s="315">
        <v>1</v>
      </c>
      <c r="AN358" s="315">
        <v>1</v>
      </c>
      <c r="AO358" s="315"/>
      <c r="AP358" s="315"/>
      <c r="AQ358" s="317"/>
    </row>
    <row r="359" spans="1:43" s="378" customFormat="1" ht="44.25" customHeight="1">
      <c r="A359" s="313" t="s">
        <v>1505</v>
      </c>
      <c r="B359" s="313" t="s">
        <v>384</v>
      </c>
      <c r="C359" s="314" t="s">
        <v>832</v>
      </c>
      <c r="D359" s="314" t="s">
        <v>1426</v>
      </c>
      <c r="E359" s="314" t="s">
        <v>833</v>
      </c>
      <c r="F359" s="315"/>
      <c r="G359" s="315"/>
      <c r="H359" s="315"/>
      <c r="I359" s="315"/>
      <c r="J359" s="315"/>
      <c r="K359" s="315"/>
      <c r="L359" s="315">
        <v>1</v>
      </c>
      <c r="M359" s="315">
        <v>1</v>
      </c>
      <c r="N359" s="315"/>
      <c r="O359" s="315"/>
      <c r="P359" s="315"/>
      <c r="Q359" s="315"/>
      <c r="R359" s="315"/>
      <c r="S359" s="315"/>
      <c r="T359" s="315">
        <v>1</v>
      </c>
      <c r="U359" s="315">
        <v>1</v>
      </c>
      <c r="V359" s="315"/>
      <c r="W359" s="315"/>
      <c r="X359" s="315"/>
      <c r="Y359" s="315"/>
      <c r="Z359" s="315"/>
      <c r="AA359" s="315"/>
      <c r="AB359" s="315"/>
      <c r="AC359" s="315"/>
      <c r="AD359" s="315"/>
      <c r="AE359" s="315"/>
      <c r="AF359" s="315"/>
      <c r="AG359" s="315"/>
      <c r="AH359" s="315"/>
      <c r="AI359" s="315"/>
      <c r="AJ359" s="315">
        <v>1</v>
      </c>
      <c r="AK359" s="315">
        <v>1</v>
      </c>
      <c r="AL359" s="315">
        <v>1</v>
      </c>
      <c r="AM359" s="315">
        <v>1</v>
      </c>
      <c r="AN359" s="315">
        <v>1</v>
      </c>
      <c r="AO359" s="315">
        <v>1</v>
      </c>
      <c r="AP359" s="315">
        <v>1</v>
      </c>
      <c r="AQ359" s="317">
        <v>1</v>
      </c>
    </row>
    <row r="360" spans="1:43" s="378" customFormat="1" ht="44.25" customHeight="1">
      <c r="A360" s="313" t="s">
        <v>1505</v>
      </c>
      <c r="B360" s="313" t="s">
        <v>386</v>
      </c>
      <c r="C360" s="314" t="s">
        <v>834</v>
      </c>
      <c r="D360" s="314" t="s">
        <v>1424</v>
      </c>
      <c r="E360" s="314" t="s">
        <v>835</v>
      </c>
      <c r="F360" s="315"/>
      <c r="G360" s="315"/>
      <c r="H360" s="315"/>
      <c r="I360" s="315"/>
      <c r="J360" s="315"/>
      <c r="K360" s="315">
        <v>1</v>
      </c>
      <c r="L360" s="315">
        <v>1</v>
      </c>
      <c r="M360" s="315"/>
      <c r="N360" s="315"/>
      <c r="O360" s="315"/>
      <c r="P360" s="315"/>
      <c r="Q360" s="315"/>
      <c r="R360" s="315"/>
      <c r="S360" s="315">
        <v>1</v>
      </c>
      <c r="T360" s="315">
        <v>1</v>
      </c>
      <c r="U360" s="315"/>
      <c r="V360" s="315"/>
      <c r="W360" s="315"/>
      <c r="X360" s="315"/>
      <c r="Y360" s="315"/>
      <c r="Z360" s="315"/>
      <c r="AA360" s="315">
        <v>1</v>
      </c>
      <c r="AB360" s="315"/>
      <c r="AC360" s="315"/>
      <c r="AD360" s="315"/>
      <c r="AE360" s="315"/>
      <c r="AF360" s="315"/>
      <c r="AG360" s="315"/>
      <c r="AH360" s="315"/>
      <c r="AI360" s="315">
        <v>1</v>
      </c>
      <c r="AJ360" s="315"/>
      <c r="AK360" s="315"/>
      <c r="AL360" s="315"/>
      <c r="AM360" s="315"/>
      <c r="AN360" s="315"/>
      <c r="AO360" s="315"/>
      <c r="AP360" s="315"/>
      <c r="AQ360" s="317"/>
    </row>
    <row r="361" spans="1:43" s="378" customFormat="1" ht="44.25" customHeight="1">
      <c r="A361" s="313" t="s">
        <v>1505</v>
      </c>
      <c r="B361" s="313" t="s">
        <v>386</v>
      </c>
      <c r="C361" s="314" t="s">
        <v>836</v>
      </c>
      <c r="D361" s="314" t="s">
        <v>1424</v>
      </c>
      <c r="E361" s="314" t="s">
        <v>837</v>
      </c>
      <c r="F361" s="315"/>
      <c r="G361" s="315"/>
      <c r="H361" s="315"/>
      <c r="I361" s="315"/>
      <c r="J361" s="315"/>
      <c r="K361" s="315">
        <v>1</v>
      </c>
      <c r="L361" s="315">
        <v>1</v>
      </c>
      <c r="M361" s="315">
        <v>1</v>
      </c>
      <c r="N361" s="315"/>
      <c r="O361" s="315"/>
      <c r="P361" s="315"/>
      <c r="Q361" s="315"/>
      <c r="R361" s="315"/>
      <c r="S361" s="315">
        <v>1</v>
      </c>
      <c r="T361" s="315">
        <v>1</v>
      </c>
      <c r="U361" s="315">
        <v>1</v>
      </c>
      <c r="V361" s="315"/>
      <c r="W361" s="315"/>
      <c r="X361" s="315"/>
      <c r="Y361" s="315"/>
      <c r="Z361" s="315"/>
      <c r="AA361" s="315">
        <v>1</v>
      </c>
      <c r="AB361" s="315"/>
      <c r="AC361" s="315">
        <v>1</v>
      </c>
      <c r="AD361" s="315"/>
      <c r="AE361" s="315"/>
      <c r="AF361" s="315"/>
      <c r="AG361" s="315"/>
      <c r="AH361" s="315"/>
      <c r="AI361" s="315"/>
      <c r="AJ361" s="315"/>
      <c r="AK361" s="315"/>
      <c r="AL361" s="315">
        <v>1</v>
      </c>
      <c r="AM361" s="315">
        <v>1</v>
      </c>
      <c r="AN361" s="315">
        <v>1</v>
      </c>
      <c r="AO361" s="315">
        <v>1</v>
      </c>
      <c r="AP361" s="315">
        <v>1</v>
      </c>
      <c r="AQ361" s="317">
        <v>1</v>
      </c>
    </row>
    <row r="362" spans="1:43" s="378" customFormat="1" ht="44.25" customHeight="1">
      <c r="A362" s="313" t="s">
        <v>1505</v>
      </c>
      <c r="B362" s="313" t="s">
        <v>386</v>
      </c>
      <c r="C362" s="314" t="s">
        <v>838</v>
      </c>
      <c r="D362" s="314" t="s">
        <v>1424</v>
      </c>
      <c r="E362" s="314" t="s">
        <v>839</v>
      </c>
      <c r="F362" s="315"/>
      <c r="G362" s="315"/>
      <c r="H362" s="315"/>
      <c r="I362" s="315"/>
      <c r="J362" s="315"/>
      <c r="K362" s="315"/>
      <c r="L362" s="315">
        <v>1</v>
      </c>
      <c r="M362" s="315">
        <v>1</v>
      </c>
      <c r="N362" s="315"/>
      <c r="O362" s="315"/>
      <c r="P362" s="315"/>
      <c r="Q362" s="315"/>
      <c r="R362" s="315"/>
      <c r="S362" s="315">
        <v>1</v>
      </c>
      <c r="T362" s="315">
        <v>1</v>
      </c>
      <c r="U362" s="315">
        <v>1</v>
      </c>
      <c r="V362" s="315"/>
      <c r="W362" s="315"/>
      <c r="X362" s="315"/>
      <c r="Y362" s="315"/>
      <c r="Z362" s="315"/>
      <c r="AA362" s="315"/>
      <c r="AB362" s="315"/>
      <c r="AC362" s="315"/>
      <c r="AD362" s="315"/>
      <c r="AE362" s="315"/>
      <c r="AF362" s="315"/>
      <c r="AG362" s="315"/>
      <c r="AH362" s="315"/>
      <c r="AI362" s="315"/>
      <c r="AJ362" s="315"/>
      <c r="AK362" s="315"/>
      <c r="AL362" s="315">
        <v>1</v>
      </c>
      <c r="AM362" s="315">
        <v>1</v>
      </c>
      <c r="AN362" s="315">
        <v>1</v>
      </c>
      <c r="AO362" s="315">
        <v>1</v>
      </c>
      <c r="AP362" s="315">
        <v>1</v>
      </c>
      <c r="AQ362" s="317">
        <v>1</v>
      </c>
    </row>
    <row r="363" spans="1:43" s="378" customFormat="1" ht="44.25" customHeight="1">
      <c r="A363" s="313" t="s">
        <v>1505</v>
      </c>
      <c r="B363" s="313" t="s">
        <v>388</v>
      </c>
      <c r="C363" s="314" t="s">
        <v>840</v>
      </c>
      <c r="D363" s="314" t="s">
        <v>1446</v>
      </c>
      <c r="E363" s="314" t="s">
        <v>841</v>
      </c>
      <c r="F363" s="315"/>
      <c r="G363" s="315"/>
      <c r="H363" s="315"/>
      <c r="I363" s="315"/>
      <c r="J363" s="315"/>
      <c r="K363" s="315">
        <v>1</v>
      </c>
      <c r="L363" s="315"/>
      <c r="M363" s="315"/>
      <c r="N363" s="315"/>
      <c r="O363" s="315"/>
      <c r="P363" s="315"/>
      <c r="Q363" s="315"/>
      <c r="R363" s="315"/>
      <c r="S363" s="315"/>
      <c r="T363" s="315"/>
      <c r="U363" s="315"/>
      <c r="V363" s="315"/>
      <c r="W363" s="315"/>
      <c r="X363" s="315"/>
      <c r="Y363" s="315"/>
      <c r="Z363" s="315"/>
      <c r="AA363" s="315">
        <v>1</v>
      </c>
      <c r="AB363" s="315"/>
      <c r="AC363" s="315"/>
      <c r="AD363" s="315"/>
      <c r="AE363" s="315"/>
      <c r="AF363" s="315"/>
      <c r="AG363" s="315"/>
      <c r="AH363" s="315"/>
      <c r="AI363" s="315"/>
      <c r="AJ363" s="315"/>
      <c r="AK363" s="315"/>
      <c r="AL363" s="315"/>
      <c r="AM363" s="315"/>
      <c r="AN363" s="315"/>
      <c r="AO363" s="315"/>
      <c r="AP363" s="315"/>
      <c r="AQ363" s="316"/>
    </row>
    <row r="364" spans="1:43" s="378" customFormat="1" ht="44.25" customHeight="1">
      <c r="A364" s="313" t="s">
        <v>1505</v>
      </c>
      <c r="B364" s="313" t="s">
        <v>386</v>
      </c>
      <c r="C364" s="314" t="s">
        <v>842</v>
      </c>
      <c r="D364" s="314" t="s">
        <v>1432</v>
      </c>
      <c r="E364" s="314" t="s">
        <v>843</v>
      </c>
      <c r="F364" s="315"/>
      <c r="G364" s="315"/>
      <c r="H364" s="315"/>
      <c r="I364" s="315"/>
      <c r="J364" s="315"/>
      <c r="K364" s="315">
        <v>1</v>
      </c>
      <c r="L364" s="315"/>
      <c r="M364" s="315"/>
      <c r="N364" s="315"/>
      <c r="O364" s="315"/>
      <c r="P364" s="315"/>
      <c r="Q364" s="315"/>
      <c r="R364" s="315"/>
      <c r="S364" s="315"/>
      <c r="T364" s="315"/>
      <c r="U364" s="315"/>
      <c r="V364" s="315"/>
      <c r="W364" s="315"/>
      <c r="X364" s="315"/>
      <c r="Y364" s="315"/>
      <c r="Z364" s="315"/>
      <c r="AA364" s="315">
        <v>1</v>
      </c>
      <c r="AB364" s="315"/>
      <c r="AC364" s="315"/>
      <c r="AD364" s="315"/>
      <c r="AE364" s="315"/>
      <c r="AF364" s="315"/>
      <c r="AG364" s="315"/>
      <c r="AH364" s="315"/>
      <c r="AI364" s="315"/>
      <c r="AJ364" s="315"/>
      <c r="AK364" s="315"/>
      <c r="AL364" s="315"/>
      <c r="AM364" s="315"/>
      <c r="AN364" s="315"/>
      <c r="AO364" s="315"/>
      <c r="AP364" s="315"/>
      <c r="AQ364" s="316"/>
    </row>
    <row r="365" spans="1:43" s="378" customFormat="1" ht="44.25" customHeight="1">
      <c r="A365" s="313" t="s">
        <v>1505</v>
      </c>
      <c r="B365" s="313" t="s">
        <v>386</v>
      </c>
      <c r="C365" s="314" t="s">
        <v>844</v>
      </c>
      <c r="D365" s="314" t="s">
        <v>1424</v>
      </c>
      <c r="E365" s="314" t="s">
        <v>845</v>
      </c>
      <c r="F365" s="315"/>
      <c r="G365" s="315"/>
      <c r="H365" s="315"/>
      <c r="I365" s="315"/>
      <c r="J365" s="315"/>
      <c r="K365" s="315">
        <v>1</v>
      </c>
      <c r="L365" s="315">
        <v>1</v>
      </c>
      <c r="M365" s="315"/>
      <c r="N365" s="315"/>
      <c r="O365" s="315"/>
      <c r="P365" s="315"/>
      <c r="Q365" s="315"/>
      <c r="R365" s="315"/>
      <c r="S365" s="315">
        <v>1</v>
      </c>
      <c r="T365" s="315"/>
      <c r="U365" s="315"/>
      <c r="V365" s="315"/>
      <c r="W365" s="315"/>
      <c r="X365" s="315"/>
      <c r="Y365" s="315"/>
      <c r="Z365" s="315"/>
      <c r="AA365" s="315">
        <v>1</v>
      </c>
      <c r="AB365" s="315"/>
      <c r="AC365" s="315"/>
      <c r="AD365" s="315"/>
      <c r="AE365" s="315"/>
      <c r="AF365" s="315"/>
      <c r="AG365" s="315"/>
      <c r="AH365" s="315"/>
      <c r="AI365" s="315"/>
      <c r="AJ365" s="315"/>
      <c r="AK365" s="315"/>
      <c r="AL365" s="315"/>
      <c r="AM365" s="315"/>
      <c r="AN365" s="315"/>
      <c r="AO365" s="315"/>
      <c r="AP365" s="315"/>
      <c r="AQ365" s="316"/>
    </row>
    <row r="366" spans="1:43" s="378" customFormat="1" ht="44.25" customHeight="1">
      <c r="A366" s="313" t="s">
        <v>1505</v>
      </c>
      <c r="B366" s="313" t="s">
        <v>386</v>
      </c>
      <c r="C366" s="314" t="s">
        <v>846</v>
      </c>
      <c r="D366" s="314" t="s">
        <v>1432</v>
      </c>
      <c r="E366" s="314" t="s">
        <v>847</v>
      </c>
      <c r="F366" s="315"/>
      <c r="G366" s="315"/>
      <c r="H366" s="315"/>
      <c r="I366" s="315"/>
      <c r="J366" s="315"/>
      <c r="K366" s="315"/>
      <c r="L366" s="315"/>
      <c r="M366" s="315"/>
      <c r="N366" s="315"/>
      <c r="O366" s="315"/>
      <c r="P366" s="315"/>
      <c r="Q366" s="315"/>
      <c r="R366" s="315"/>
      <c r="S366" s="315"/>
      <c r="T366" s="315"/>
      <c r="U366" s="315"/>
      <c r="V366" s="315"/>
      <c r="W366" s="315"/>
      <c r="X366" s="315"/>
      <c r="Y366" s="315"/>
      <c r="Z366" s="315"/>
      <c r="AA366" s="315"/>
      <c r="AB366" s="315"/>
      <c r="AC366" s="315"/>
      <c r="AD366" s="315"/>
      <c r="AE366" s="315"/>
      <c r="AF366" s="315"/>
      <c r="AG366" s="315"/>
      <c r="AH366" s="315"/>
      <c r="AI366" s="315"/>
      <c r="AJ366" s="315"/>
      <c r="AK366" s="315"/>
      <c r="AL366" s="315"/>
      <c r="AM366" s="315"/>
      <c r="AN366" s="315"/>
      <c r="AO366" s="315"/>
      <c r="AP366" s="315"/>
      <c r="AQ366" s="316"/>
    </row>
    <row r="367" spans="1:43" s="378" customFormat="1" ht="44.25" customHeight="1">
      <c r="A367" s="313" t="s">
        <v>1505</v>
      </c>
      <c r="B367" s="313" t="s">
        <v>395</v>
      </c>
      <c r="C367" s="314" t="s">
        <v>848</v>
      </c>
      <c r="D367" s="314" t="s">
        <v>1438</v>
      </c>
      <c r="E367" s="314" t="s">
        <v>849</v>
      </c>
      <c r="F367" s="315"/>
      <c r="G367" s="315"/>
      <c r="H367" s="315"/>
      <c r="I367" s="315"/>
      <c r="J367" s="315"/>
      <c r="K367" s="315"/>
      <c r="L367" s="315"/>
      <c r="M367" s="315"/>
      <c r="N367" s="315"/>
      <c r="O367" s="315"/>
      <c r="P367" s="315"/>
      <c r="Q367" s="315"/>
      <c r="R367" s="315"/>
      <c r="S367" s="315"/>
      <c r="T367" s="315"/>
      <c r="U367" s="315"/>
      <c r="V367" s="315"/>
      <c r="W367" s="315"/>
      <c r="X367" s="315"/>
      <c r="Y367" s="315"/>
      <c r="Z367" s="315"/>
      <c r="AA367" s="315"/>
      <c r="AB367" s="315"/>
      <c r="AC367" s="315"/>
      <c r="AD367" s="315"/>
      <c r="AE367" s="315"/>
      <c r="AF367" s="315"/>
      <c r="AG367" s="315"/>
      <c r="AH367" s="315"/>
      <c r="AI367" s="315"/>
      <c r="AJ367" s="315"/>
      <c r="AK367" s="315"/>
      <c r="AL367" s="315"/>
      <c r="AM367" s="315"/>
      <c r="AN367" s="315"/>
      <c r="AO367" s="315"/>
      <c r="AP367" s="315"/>
      <c r="AQ367" s="316"/>
    </row>
    <row r="368" spans="1:43" s="378" customFormat="1" ht="44.25" customHeight="1">
      <c r="A368" s="313" t="s">
        <v>1505</v>
      </c>
      <c r="B368" s="313" t="s">
        <v>395</v>
      </c>
      <c r="C368" s="314" t="s">
        <v>850</v>
      </c>
      <c r="D368" s="314" t="s">
        <v>1424</v>
      </c>
      <c r="E368" s="314" t="s">
        <v>851</v>
      </c>
      <c r="F368" s="315"/>
      <c r="G368" s="315"/>
      <c r="H368" s="315"/>
      <c r="I368" s="315"/>
      <c r="J368" s="315"/>
      <c r="K368" s="315">
        <v>1</v>
      </c>
      <c r="L368" s="315"/>
      <c r="M368" s="315"/>
      <c r="N368" s="315"/>
      <c r="O368" s="315"/>
      <c r="P368" s="315"/>
      <c r="Q368" s="315"/>
      <c r="R368" s="315"/>
      <c r="S368" s="315"/>
      <c r="T368" s="315"/>
      <c r="U368" s="315"/>
      <c r="V368" s="315"/>
      <c r="W368" s="315"/>
      <c r="X368" s="315"/>
      <c r="Y368" s="315"/>
      <c r="Z368" s="315"/>
      <c r="AA368" s="315">
        <v>1</v>
      </c>
      <c r="AB368" s="315"/>
      <c r="AC368" s="315"/>
      <c r="AD368" s="315"/>
      <c r="AE368" s="315"/>
      <c r="AF368" s="315"/>
      <c r="AG368" s="315"/>
      <c r="AH368" s="315"/>
      <c r="AI368" s="315"/>
      <c r="AJ368" s="315"/>
      <c r="AK368" s="315"/>
      <c r="AL368" s="315"/>
      <c r="AM368" s="315"/>
      <c r="AN368" s="315"/>
      <c r="AO368" s="315"/>
      <c r="AP368" s="315"/>
      <c r="AQ368" s="317"/>
    </row>
    <row r="369" spans="1:43" s="378" customFormat="1" ht="44.25" customHeight="1">
      <c r="A369" s="313" t="s">
        <v>1505</v>
      </c>
      <c r="B369" s="313" t="s">
        <v>395</v>
      </c>
      <c r="C369" s="314" t="s">
        <v>852</v>
      </c>
      <c r="D369" s="314" t="s">
        <v>1424</v>
      </c>
      <c r="E369" s="314" t="s">
        <v>853</v>
      </c>
      <c r="F369" s="315"/>
      <c r="G369" s="315"/>
      <c r="H369" s="315"/>
      <c r="I369" s="315"/>
      <c r="J369" s="315"/>
      <c r="K369" s="315">
        <v>1</v>
      </c>
      <c r="L369" s="315"/>
      <c r="M369" s="315"/>
      <c r="N369" s="315"/>
      <c r="O369" s="315"/>
      <c r="P369" s="315"/>
      <c r="Q369" s="315"/>
      <c r="R369" s="315"/>
      <c r="S369" s="315"/>
      <c r="T369" s="315"/>
      <c r="U369" s="315"/>
      <c r="V369" s="315"/>
      <c r="W369" s="315"/>
      <c r="X369" s="315"/>
      <c r="Y369" s="315"/>
      <c r="Z369" s="315"/>
      <c r="AA369" s="315">
        <v>1</v>
      </c>
      <c r="AB369" s="315"/>
      <c r="AC369" s="315"/>
      <c r="AD369" s="315"/>
      <c r="AE369" s="315"/>
      <c r="AF369" s="315"/>
      <c r="AG369" s="315"/>
      <c r="AH369" s="315"/>
      <c r="AI369" s="315"/>
      <c r="AJ369" s="315"/>
      <c r="AK369" s="315"/>
      <c r="AL369" s="315"/>
      <c r="AM369" s="315"/>
      <c r="AN369" s="315"/>
      <c r="AO369" s="315"/>
      <c r="AP369" s="315"/>
      <c r="AQ369" s="317"/>
    </row>
    <row r="370" spans="1:43" s="378" customFormat="1" ht="44.25" customHeight="1">
      <c r="A370" s="313" t="s">
        <v>1505</v>
      </c>
      <c r="B370" s="313" t="s">
        <v>386</v>
      </c>
      <c r="C370" s="314" t="s">
        <v>854</v>
      </c>
      <c r="D370" s="314" t="s">
        <v>1424</v>
      </c>
      <c r="E370" s="314" t="s">
        <v>855</v>
      </c>
      <c r="F370" s="315"/>
      <c r="G370" s="315"/>
      <c r="H370" s="315"/>
      <c r="I370" s="315"/>
      <c r="J370" s="315"/>
      <c r="K370" s="315"/>
      <c r="L370" s="315"/>
      <c r="M370" s="315"/>
      <c r="N370" s="315"/>
      <c r="O370" s="315"/>
      <c r="P370" s="315"/>
      <c r="Q370" s="315"/>
      <c r="R370" s="315"/>
      <c r="S370" s="315"/>
      <c r="T370" s="315"/>
      <c r="U370" s="315"/>
      <c r="V370" s="315"/>
      <c r="W370" s="315"/>
      <c r="X370" s="315"/>
      <c r="Y370" s="315"/>
      <c r="Z370" s="315"/>
      <c r="AA370" s="315"/>
      <c r="AB370" s="315"/>
      <c r="AC370" s="315"/>
      <c r="AD370" s="315"/>
      <c r="AE370" s="315"/>
      <c r="AF370" s="315"/>
      <c r="AG370" s="315"/>
      <c r="AH370" s="315"/>
      <c r="AI370" s="315"/>
      <c r="AJ370" s="315"/>
      <c r="AK370" s="315"/>
      <c r="AL370" s="315"/>
      <c r="AM370" s="315"/>
      <c r="AN370" s="315"/>
      <c r="AO370" s="315"/>
      <c r="AP370" s="315"/>
      <c r="AQ370" s="317"/>
    </row>
    <row r="371" spans="1:43" s="378" customFormat="1" ht="44.25" customHeight="1">
      <c r="A371" s="313" t="s">
        <v>1505</v>
      </c>
      <c r="B371" s="313" t="s">
        <v>386</v>
      </c>
      <c r="C371" s="314" t="s">
        <v>856</v>
      </c>
      <c r="D371" s="314" t="s">
        <v>1432</v>
      </c>
      <c r="E371" s="314" t="s">
        <v>857</v>
      </c>
      <c r="F371" s="315"/>
      <c r="G371" s="315"/>
      <c r="H371" s="315"/>
      <c r="I371" s="315"/>
      <c r="J371" s="315"/>
      <c r="K371" s="315"/>
      <c r="L371" s="315"/>
      <c r="M371" s="315"/>
      <c r="N371" s="315"/>
      <c r="O371" s="315"/>
      <c r="P371" s="315"/>
      <c r="Q371" s="315"/>
      <c r="R371" s="315"/>
      <c r="S371" s="315">
        <v>1</v>
      </c>
      <c r="T371" s="315"/>
      <c r="U371" s="315"/>
      <c r="V371" s="315"/>
      <c r="W371" s="315"/>
      <c r="X371" s="315"/>
      <c r="Y371" s="315"/>
      <c r="Z371" s="315"/>
      <c r="AA371" s="315"/>
      <c r="AB371" s="315"/>
      <c r="AC371" s="315"/>
      <c r="AD371" s="315"/>
      <c r="AE371" s="315"/>
      <c r="AF371" s="315"/>
      <c r="AG371" s="315"/>
      <c r="AH371" s="315"/>
      <c r="AI371" s="315"/>
      <c r="AJ371" s="315"/>
      <c r="AK371" s="315"/>
      <c r="AL371" s="315"/>
      <c r="AM371" s="315"/>
      <c r="AN371" s="315"/>
      <c r="AO371" s="315"/>
      <c r="AP371" s="315"/>
      <c r="AQ371" s="317"/>
    </row>
    <row r="372" spans="1:43" s="378" customFormat="1" ht="44.25" customHeight="1">
      <c r="A372" s="313" t="s">
        <v>1505</v>
      </c>
      <c r="B372" s="313" t="s">
        <v>388</v>
      </c>
      <c r="C372" s="314" t="s">
        <v>858</v>
      </c>
      <c r="D372" s="314" t="s">
        <v>1446</v>
      </c>
      <c r="E372" s="314" t="s">
        <v>859</v>
      </c>
      <c r="F372" s="315"/>
      <c r="G372" s="315"/>
      <c r="H372" s="315"/>
      <c r="I372" s="315"/>
      <c r="J372" s="315"/>
      <c r="K372" s="315"/>
      <c r="L372" s="315"/>
      <c r="M372" s="315"/>
      <c r="N372" s="315"/>
      <c r="O372" s="315"/>
      <c r="P372" s="315"/>
      <c r="Q372" s="315"/>
      <c r="R372" s="315"/>
      <c r="S372" s="315">
        <v>1</v>
      </c>
      <c r="T372" s="315"/>
      <c r="U372" s="315"/>
      <c r="V372" s="315"/>
      <c r="W372" s="315"/>
      <c r="X372" s="315"/>
      <c r="Y372" s="315"/>
      <c r="Z372" s="315"/>
      <c r="AA372" s="315"/>
      <c r="AB372" s="315"/>
      <c r="AC372" s="315"/>
      <c r="AD372" s="315"/>
      <c r="AE372" s="315"/>
      <c r="AF372" s="315"/>
      <c r="AG372" s="315"/>
      <c r="AH372" s="315"/>
      <c r="AI372" s="315"/>
      <c r="AJ372" s="315"/>
      <c r="AK372" s="315"/>
      <c r="AL372" s="315"/>
      <c r="AM372" s="315"/>
      <c r="AN372" s="315"/>
      <c r="AO372" s="315"/>
      <c r="AP372" s="315"/>
      <c r="AQ372" s="317"/>
    </row>
    <row r="373" spans="1:43" s="378" customFormat="1" ht="44.25" customHeight="1">
      <c r="A373" s="313" t="s">
        <v>1505</v>
      </c>
      <c r="B373" s="313" t="s">
        <v>388</v>
      </c>
      <c r="C373" s="314" t="s">
        <v>860</v>
      </c>
      <c r="D373" s="314" t="s">
        <v>1446</v>
      </c>
      <c r="E373" s="314" t="s">
        <v>861</v>
      </c>
      <c r="F373" s="315"/>
      <c r="G373" s="315"/>
      <c r="H373" s="315"/>
      <c r="I373" s="315"/>
      <c r="J373" s="315"/>
      <c r="K373" s="315"/>
      <c r="L373" s="315">
        <v>1</v>
      </c>
      <c r="M373" s="315">
        <v>1</v>
      </c>
      <c r="N373" s="315"/>
      <c r="O373" s="315"/>
      <c r="P373" s="315"/>
      <c r="Q373" s="315"/>
      <c r="R373" s="315"/>
      <c r="S373" s="315">
        <v>1</v>
      </c>
      <c r="T373" s="315">
        <v>1</v>
      </c>
      <c r="U373" s="315"/>
      <c r="V373" s="315"/>
      <c r="W373" s="315"/>
      <c r="X373" s="315"/>
      <c r="Y373" s="315"/>
      <c r="Z373" s="315"/>
      <c r="AA373" s="315"/>
      <c r="AB373" s="315"/>
      <c r="AC373" s="315"/>
      <c r="AD373" s="315"/>
      <c r="AE373" s="315"/>
      <c r="AF373" s="315"/>
      <c r="AG373" s="315"/>
      <c r="AH373" s="315"/>
      <c r="AI373" s="315"/>
      <c r="AJ373" s="315"/>
      <c r="AK373" s="315"/>
      <c r="AL373" s="315"/>
      <c r="AM373" s="315">
        <v>1</v>
      </c>
      <c r="AN373" s="315"/>
      <c r="AO373" s="315"/>
      <c r="AP373" s="315"/>
      <c r="AQ373" s="317"/>
    </row>
    <row r="374" spans="1:43" s="378" customFormat="1" ht="44.25" customHeight="1">
      <c r="A374" s="313" t="s">
        <v>1505</v>
      </c>
      <c r="B374" s="313" t="s">
        <v>386</v>
      </c>
      <c r="C374" s="314" t="s">
        <v>862</v>
      </c>
      <c r="D374" s="314" t="s">
        <v>1424</v>
      </c>
      <c r="E374" s="314" t="s">
        <v>863</v>
      </c>
      <c r="F374" s="315"/>
      <c r="G374" s="315"/>
      <c r="H374" s="315"/>
      <c r="I374" s="315"/>
      <c r="J374" s="315"/>
      <c r="K374" s="315"/>
      <c r="L374" s="315"/>
      <c r="M374" s="315"/>
      <c r="N374" s="315"/>
      <c r="O374" s="315"/>
      <c r="P374" s="315"/>
      <c r="Q374" s="315"/>
      <c r="R374" s="315"/>
      <c r="S374" s="315">
        <v>1</v>
      </c>
      <c r="T374" s="315"/>
      <c r="U374" s="315"/>
      <c r="V374" s="315"/>
      <c r="W374" s="315"/>
      <c r="X374" s="315"/>
      <c r="Y374" s="315"/>
      <c r="Z374" s="315"/>
      <c r="AA374" s="315"/>
      <c r="AB374" s="315"/>
      <c r="AC374" s="315"/>
      <c r="AD374" s="315"/>
      <c r="AE374" s="315"/>
      <c r="AF374" s="315"/>
      <c r="AG374" s="315"/>
      <c r="AH374" s="315"/>
      <c r="AI374" s="315"/>
      <c r="AJ374" s="315"/>
      <c r="AK374" s="315"/>
      <c r="AL374" s="315"/>
      <c r="AM374" s="315"/>
      <c r="AN374" s="315"/>
      <c r="AO374" s="315"/>
      <c r="AP374" s="315"/>
      <c r="AQ374" s="317"/>
    </row>
    <row r="375" spans="1:43" s="378" customFormat="1" ht="44.25" customHeight="1">
      <c r="A375" s="313" t="s">
        <v>1505</v>
      </c>
      <c r="B375" s="313" t="s">
        <v>386</v>
      </c>
      <c r="C375" s="314" t="s">
        <v>864</v>
      </c>
      <c r="D375" s="314" t="s">
        <v>1458</v>
      </c>
      <c r="E375" s="314" t="s">
        <v>865</v>
      </c>
      <c r="F375" s="315"/>
      <c r="G375" s="315"/>
      <c r="H375" s="315"/>
      <c r="I375" s="315"/>
      <c r="J375" s="315"/>
      <c r="K375" s="315"/>
      <c r="L375" s="315"/>
      <c r="M375" s="315"/>
      <c r="N375" s="315"/>
      <c r="O375" s="315"/>
      <c r="P375" s="315"/>
      <c r="Q375" s="315"/>
      <c r="R375" s="315"/>
      <c r="S375" s="315"/>
      <c r="T375" s="315"/>
      <c r="U375" s="315"/>
      <c r="V375" s="315"/>
      <c r="W375" s="315"/>
      <c r="X375" s="315"/>
      <c r="Y375" s="315"/>
      <c r="Z375" s="315"/>
      <c r="AA375" s="315"/>
      <c r="AB375" s="315"/>
      <c r="AC375" s="315"/>
      <c r="AD375" s="315"/>
      <c r="AE375" s="315"/>
      <c r="AF375" s="315"/>
      <c r="AG375" s="315"/>
      <c r="AH375" s="315"/>
      <c r="AI375" s="315"/>
      <c r="AJ375" s="315"/>
      <c r="AK375" s="315"/>
      <c r="AL375" s="315">
        <v>1</v>
      </c>
      <c r="AM375" s="315"/>
      <c r="AN375" s="315"/>
      <c r="AO375" s="315"/>
      <c r="AP375" s="315"/>
      <c r="AQ375" s="317"/>
    </row>
    <row r="376" spans="1:43" s="378" customFormat="1" ht="44.25" customHeight="1">
      <c r="A376" s="313" t="s">
        <v>1505</v>
      </c>
      <c r="B376" s="313" t="s">
        <v>393</v>
      </c>
      <c r="C376" s="314" t="s">
        <v>866</v>
      </c>
      <c r="D376" s="314" t="s">
        <v>1452</v>
      </c>
      <c r="E376" s="314" t="s">
        <v>867</v>
      </c>
      <c r="F376" s="315"/>
      <c r="G376" s="315"/>
      <c r="H376" s="315"/>
      <c r="I376" s="315"/>
      <c r="J376" s="315"/>
      <c r="K376" s="315"/>
      <c r="L376" s="315"/>
      <c r="M376" s="315"/>
      <c r="N376" s="315"/>
      <c r="O376" s="315"/>
      <c r="P376" s="315"/>
      <c r="Q376" s="315"/>
      <c r="R376" s="315"/>
      <c r="S376" s="315">
        <v>1</v>
      </c>
      <c r="T376" s="315"/>
      <c r="U376" s="315"/>
      <c r="V376" s="315"/>
      <c r="W376" s="315"/>
      <c r="X376" s="315"/>
      <c r="Y376" s="315"/>
      <c r="Z376" s="315"/>
      <c r="AA376" s="315"/>
      <c r="AB376" s="315"/>
      <c r="AC376" s="315"/>
      <c r="AD376" s="315"/>
      <c r="AE376" s="315"/>
      <c r="AF376" s="315"/>
      <c r="AG376" s="315"/>
      <c r="AH376" s="315"/>
      <c r="AI376" s="315"/>
      <c r="AJ376" s="315">
        <v>1</v>
      </c>
      <c r="AK376" s="315">
        <v>1</v>
      </c>
      <c r="AL376" s="315"/>
      <c r="AM376" s="315"/>
      <c r="AN376" s="315"/>
      <c r="AO376" s="315"/>
      <c r="AP376" s="315"/>
      <c r="AQ376" s="317"/>
    </row>
    <row r="377" spans="1:43" s="378" customFormat="1" ht="44.25" customHeight="1">
      <c r="A377" s="313" t="s">
        <v>1505</v>
      </c>
      <c r="B377" s="313" t="s">
        <v>393</v>
      </c>
      <c r="C377" s="314" t="s">
        <v>868</v>
      </c>
      <c r="D377" s="314" t="s">
        <v>1452</v>
      </c>
      <c r="E377" s="314" t="s">
        <v>869</v>
      </c>
      <c r="F377" s="315"/>
      <c r="G377" s="315"/>
      <c r="H377" s="315"/>
      <c r="I377" s="315"/>
      <c r="J377" s="315"/>
      <c r="K377" s="315">
        <v>1</v>
      </c>
      <c r="L377" s="315"/>
      <c r="M377" s="315"/>
      <c r="N377" s="315"/>
      <c r="O377" s="315"/>
      <c r="P377" s="315"/>
      <c r="Q377" s="315"/>
      <c r="R377" s="315"/>
      <c r="S377" s="315"/>
      <c r="T377" s="315"/>
      <c r="U377" s="315"/>
      <c r="V377" s="315"/>
      <c r="W377" s="315"/>
      <c r="X377" s="315"/>
      <c r="Y377" s="315"/>
      <c r="Z377" s="315"/>
      <c r="AA377" s="315">
        <v>1</v>
      </c>
      <c r="AB377" s="315"/>
      <c r="AC377" s="315"/>
      <c r="AD377" s="315"/>
      <c r="AE377" s="315"/>
      <c r="AF377" s="315"/>
      <c r="AG377" s="315"/>
      <c r="AH377" s="315"/>
      <c r="AI377" s="315"/>
      <c r="AJ377" s="315"/>
      <c r="AK377" s="315"/>
      <c r="AL377" s="315"/>
      <c r="AM377" s="315"/>
      <c r="AN377" s="315"/>
      <c r="AO377" s="315"/>
      <c r="AP377" s="315"/>
      <c r="AQ377" s="317"/>
    </row>
    <row r="378" spans="1:43" s="378" customFormat="1" ht="44.25" customHeight="1">
      <c r="A378" s="313" t="s">
        <v>1505</v>
      </c>
      <c r="B378" s="313" t="s">
        <v>395</v>
      </c>
      <c r="C378" s="314" t="s">
        <v>870</v>
      </c>
      <c r="D378" s="314" t="s">
        <v>1428</v>
      </c>
      <c r="E378" s="314" t="s">
        <v>871</v>
      </c>
      <c r="F378" s="315"/>
      <c r="G378" s="315"/>
      <c r="H378" s="315"/>
      <c r="I378" s="315"/>
      <c r="J378" s="315"/>
      <c r="K378" s="315">
        <v>1</v>
      </c>
      <c r="L378" s="315"/>
      <c r="M378" s="315"/>
      <c r="N378" s="315"/>
      <c r="O378" s="315"/>
      <c r="P378" s="315"/>
      <c r="Q378" s="315"/>
      <c r="R378" s="315"/>
      <c r="S378" s="315">
        <v>1</v>
      </c>
      <c r="T378" s="315"/>
      <c r="U378" s="315"/>
      <c r="V378" s="315"/>
      <c r="W378" s="315"/>
      <c r="X378" s="315"/>
      <c r="Y378" s="315"/>
      <c r="Z378" s="315"/>
      <c r="AA378" s="315">
        <v>1</v>
      </c>
      <c r="AB378" s="315"/>
      <c r="AC378" s="315"/>
      <c r="AD378" s="315"/>
      <c r="AE378" s="315"/>
      <c r="AF378" s="315"/>
      <c r="AG378" s="315"/>
      <c r="AH378" s="315"/>
      <c r="AI378" s="315"/>
      <c r="AJ378" s="315">
        <v>1</v>
      </c>
      <c r="AK378" s="315">
        <v>1</v>
      </c>
      <c r="AL378" s="315"/>
      <c r="AM378" s="315"/>
      <c r="AN378" s="315"/>
      <c r="AO378" s="315"/>
      <c r="AP378" s="315"/>
      <c r="AQ378" s="317"/>
    </row>
    <row r="379" spans="1:43" s="378" customFormat="1" ht="44.25" customHeight="1">
      <c r="A379" s="313" t="s">
        <v>1505</v>
      </c>
      <c r="B379" s="313" t="s">
        <v>386</v>
      </c>
      <c r="C379" s="314" t="s">
        <v>872</v>
      </c>
      <c r="D379" s="314" t="s">
        <v>1424</v>
      </c>
      <c r="E379" s="314" t="s">
        <v>873</v>
      </c>
      <c r="F379" s="315"/>
      <c r="G379" s="315"/>
      <c r="H379" s="315"/>
      <c r="I379" s="315"/>
      <c r="J379" s="315"/>
      <c r="K379" s="315">
        <v>1</v>
      </c>
      <c r="L379" s="315"/>
      <c r="M379" s="315"/>
      <c r="N379" s="315"/>
      <c r="O379" s="315"/>
      <c r="P379" s="315"/>
      <c r="Q379" s="315"/>
      <c r="R379" s="315"/>
      <c r="S379" s="315"/>
      <c r="T379" s="315"/>
      <c r="U379" s="315"/>
      <c r="V379" s="315"/>
      <c r="W379" s="315"/>
      <c r="X379" s="315"/>
      <c r="Y379" s="315"/>
      <c r="Z379" s="315"/>
      <c r="AA379" s="315">
        <v>1</v>
      </c>
      <c r="AB379" s="315"/>
      <c r="AC379" s="315"/>
      <c r="AD379" s="315"/>
      <c r="AE379" s="315"/>
      <c r="AF379" s="315"/>
      <c r="AG379" s="315"/>
      <c r="AH379" s="315"/>
      <c r="AI379" s="315"/>
      <c r="AJ379" s="315">
        <v>1</v>
      </c>
      <c r="AK379" s="315">
        <v>1</v>
      </c>
      <c r="AL379" s="315"/>
      <c r="AM379" s="315">
        <v>1</v>
      </c>
      <c r="AN379" s="315"/>
      <c r="AO379" s="315"/>
      <c r="AP379" s="315"/>
      <c r="AQ379" s="317"/>
    </row>
    <row r="380" spans="1:43" s="378" customFormat="1" ht="44.25" customHeight="1">
      <c r="A380" s="313" t="s">
        <v>1505</v>
      </c>
      <c r="B380" s="313" t="s">
        <v>386</v>
      </c>
      <c r="C380" s="314" t="s">
        <v>874</v>
      </c>
      <c r="D380" s="314" t="s">
        <v>1434</v>
      </c>
      <c r="E380" s="314" t="s">
        <v>875</v>
      </c>
      <c r="F380" s="315"/>
      <c r="G380" s="315"/>
      <c r="H380" s="315"/>
      <c r="I380" s="315"/>
      <c r="J380" s="315"/>
      <c r="K380" s="315">
        <v>1</v>
      </c>
      <c r="L380" s="315">
        <v>1</v>
      </c>
      <c r="M380" s="315">
        <v>1</v>
      </c>
      <c r="N380" s="315"/>
      <c r="O380" s="315"/>
      <c r="P380" s="315"/>
      <c r="Q380" s="315"/>
      <c r="R380" s="315"/>
      <c r="S380" s="315">
        <v>1</v>
      </c>
      <c r="T380" s="315">
        <v>1</v>
      </c>
      <c r="U380" s="315">
        <v>1</v>
      </c>
      <c r="V380" s="315"/>
      <c r="W380" s="315"/>
      <c r="X380" s="315"/>
      <c r="Y380" s="315"/>
      <c r="Z380" s="315"/>
      <c r="AA380" s="315"/>
      <c r="AB380" s="315"/>
      <c r="AC380" s="315"/>
      <c r="AD380" s="315"/>
      <c r="AE380" s="315"/>
      <c r="AF380" s="315"/>
      <c r="AG380" s="315"/>
      <c r="AH380" s="315"/>
      <c r="AI380" s="315"/>
      <c r="AJ380" s="315"/>
      <c r="AK380" s="315"/>
      <c r="AL380" s="315">
        <v>1</v>
      </c>
      <c r="AM380" s="315">
        <v>1</v>
      </c>
      <c r="AN380" s="315">
        <v>1</v>
      </c>
      <c r="AO380" s="315">
        <v>1</v>
      </c>
      <c r="AP380" s="315"/>
      <c r="AQ380" s="317"/>
    </row>
    <row r="381" spans="1:43" s="378" customFormat="1" ht="44.25" customHeight="1">
      <c r="A381" s="313" t="s">
        <v>1505</v>
      </c>
      <c r="B381" s="313" t="s">
        <v>386</v>
      </c>
      <c r="C381" s="314" t="s">
        <v>876</v>
      </c>
      <c r="D381" s="314" t="s">
        <v>1424</v>
      </c>
      <c r="E381" s="314" t="s">
        <v>877</v>
      </c>
      <c r="F381" s="315"/>
      <c r="G381" s="315"/>
      <c r="H381" s="315"/>
      <c r="I381" s="315"/>
      <c r="J381" s="315"/>
      <c r="K381" s="315">
        <v>1</v>
      </c>
      <c r="L381" s="315">
        <v>1</v>
      </c>
      <c r="M381" s="315"/>
      <c r="N381" s="315"/>
      <c r="O381" s="315"/>
      <c r="P381" s="315"/>
      <c r="Q381" s="315"/>
      <c r="R381" s="315"/>
      <c r="S381" s="315"/>
      <c r="T381" s="315">
        <v>1</v>
      </c>
      <c r="U381" s="315"/>
      <c r="V381" s="315"/>
      <c r="W381" s="315"/>
      <c r="X381" s="315"/>
      <c r="Y381" s="315"/>
      <c r="Z381" s="315"/>
      <c r="AA381" s="315">
        <v>1</v>
      </c>
      <c r="AB381" s="315"/>
      <c r="AC381" s="315"/>
      <c r="AD381" s="315"/>
      <c r="AE381" s="315"/>
      <c r="AF381" s="315"/>
      <c r="AG381" s="315"/>
      <c r="AH381" s="315"/>
      <c r="AI381" s="315"/>
      <c r="AJ381" s="315"/>
      <c r="AK381" s="315"/>
      <c r="AL381" s="315"/>
      <c r="AM381" s="315"/>
      <c r="AN381" s="315"/>
      <c r="AO381" s="315"/>
      <c r="AP381" s="315"/>
      <c r="AQ381" s="317"/>
    </row>
    <row r="382" spans="1:43" s="378" customFormat="1" ht="44.25" customHeight="1">
      <c r="A382" s="313" t="s">
        <v>1505</v>
      </c>
      <c r="B382" s="313" t="s">
        <v>386</v>
      </c>
      <c r="C382" s="314" t="s">
        <v>878</v>
      </c>
      <c r="D382" s="314" t="s">
        <v>1424</v>
      </c>
      <c r="E382" s="314" t="s">
        <v>879</v>
      </c>
      <c r="F382" s="315"/>
      <c r="G382" s="315"/>
      <c r="H382" s="315"/>
      <c r="I382" s="315"/>
      <c r="J382" s="315"/>
      <c r="K382" s="315">
        <v>1</v>
      </c>
      <c r="L382" s="315">
        <v>1</v>
      </c>
      <c r="M382" s="315"/>
      <c r="N382" s="315"/>
      <c r="O382" s="315"/>
      <c r="P382" s="315"/>
      <c r="Q382" s="315"/>
      <c r="R382" s="315"/>
      <c r="S382" s="315"/>
      <c r="T382" s="315">
        <v>1</v>
      </c>
      <c r="U382" s="315"/>
      <c r="V382" s="315"/>
      <c r="W382" s="315"/>
      <c r="X382" s="315"/>
      <c r="Y382" s="315"/>
      <c r="Z382" s="315"/>
      <c r="AA382" s="315">
        <v>1</v>
      </c>
      <c r="AB382" s="315"/>
      <c r="AC382" s="315"/>
      <c r="AD382" s="315"/>
      <c r="AE382" s="315"/>
      <c r="AF382" s="315"/>
      <c r="AG382" s="315"/>
      <c r="AH382" s="315"/>
      <c r="AI382" s="315"/>
      <c r="AJ382" s="315"/>
      <c r="AK382" s="315"/>
      <c r="AL382" s="315"/>
      <c r="AM382" s="315"/>
      <c r="AN382" s="315"/>
      <c r="AO382" s="315"/>
      <c r="AP382" s="315"/>
      <c r="AQ382" s="317"/>
    </row>
    <row r="383" spans="1:43" s="378" customFormat="1" ht="44.25" customHeight="1">
      <c r="A383" s="313" t="s">
        <v>1505</v>
      </c>
      <c r="B383" s="313" t="s">
        <v>395</v>
      </c>
      <c r="C383" s="314" t="s">
        <v>880</v>
      </c>
      <c r="D383" s="314" t="s">
        <v>1436</v>
      </c>
      <c r="E383" s="314" t="s">
        <v>881</v>
      </c>
      <c r="F383" s="315"/>
      <c r="G383" s="315"/>
      <c r="H383" s="315"/>
      <c r="I383" s="315"/>
      <c r="J383" s="315"/>
      <c r="K383" s="315">
        <v>1</v>
      </c>
      <c r="L383" s="315">
        <v>1</v>
      </c>
      <c r="M383" s="315">
        <v>1</v>
      </c>
      <c r="N383" s="315"/>
      <c r="O383" s="315"/>
      <c r="P383" s="315"/>
      <c r="Q383" s="315"/>
      <c r="R383" s="315"/>
      <c r="S383" s="315"/>
      <c r="T383" s="315">
        <v>1</v>
      </c>
      <c r="U383" s="315">
        <v>1</v>
      </c>
      <c r="V383" s="315"/>
      <c r="W383" s="315"/>
      <c r="X383" s="315"/>
      <c r="Y383" s="315"/>
      <c r="Z383" s="315"/>
      <c r="AA383" s="315">
        <v>1</v>
      </c>
      <c r="AB383" s="315"/>
      <c r="AC383" s="315">
        <v>1</v>
      </c>
      <c r="AD383" s="315"/>
      <c r="AE383" s="315"/>
      <c r="AF383" s="315"/>
      <c r="AG383" s="315"/>
      <c r="AH383" s="315"/>
      <c r="AI383" s="315"/>
      <c r="AJ383" s="315">
        <v>1</v>
      </c>
      <c r="AK383" s="315">
        <v>1</v>
      </c>
      <c r="AL383" s="315">
        <v>1</v>
      </c>
      <c r="AM383" s="315">
        <v>1</v>
      </c>
      <c r="AN383" s="315">
        <v>1</v>
      </c>
      <c r="AO383" s="315">
        <v>1</v>
      </c>
      <c r="AP383" s="315">
        <v>1</v>
      </c>
      <c r="AQ383" s="317">
        <v>1</v>
      </c>
    </row>
    <row r="384" spans="1:43" s="378" customFormat="1" ht="44.25" customHeight="1">
      <c r="A384" s="313" t="s">
        <v>1505</v>
      </c>
      <c r="B384" s="313" t="s">
        <v>386</v>
      </c>
      <c r="C384" s="314" t="s">
        <v>882</v>
      </c>
      <c r="D384" s="314" t="s">
        <v>1436</v>
      </c>
      <c r="E384" s="314" t="s">
        <v>883</v>
      </c>
      <c r="F384" s="315"/>
      <c r="G384" s="315"/>
      <c r="H384" s="315"/>
      <c r="I384" s="315"/>
      <c r="J384" s="315"/>
      <c r="K384" s="315"/>
      <c r="L384" s="315">
        <v>1</v>
      </c>
      <c r="M384" s="315"/>
      <c r="N384" s="315"/>
      <c r="O384" s="315"/>
      <c r="P384" s="315"/>
      <c r="Q384" s="315"/>
      <c r="R384" s="315"/>
      <c r="S384" s="315">
        <v>1</v>
      </c>
      <c r="T384" s="315">
        <v>1</v>
      </c>
      <c r="U384" s="315"/>
      <c r="V384" s="315"/>
      <c r="W384" s="315"/>
      <c r="X384" s="315"/>
      <c r="Y384" s="315"/>
      <c r="Z384" s="315"/>
      <c r="AA384" s="315"/>
      <c r="AB384" s="315"/>
      <c r="AC384" s="315"/>
      <c r="AD384" s="315"/>
      <c r="AE384" s="315"/>
      <c r="AF384" s="315"/>
      <c r="AG384" s="315"/>
      <c r="AH384" s="315"/>
      <c r="AI384" s="315"/>
      <c r="AJ384" s="315"/>
      <c r="AK384" s="315"/>
      <c r="AL384" s="315"/>
      <c r="AM384" s="315"/>
      <c r="AN384" s="315"/>
      <c r="AO384" s="315"/>
      <c r="AP384" s="315"/>
      <c r="AQ384" s="317"/>
    </row>
    <row r="385" spans="1:43" s="378" customFormat="1" ht="44.25" customHeight="1">
      <c r="A385" s="313" t="s">
        <v>1505</v>
      </c>
      <c r="B385" s="313" t="s">
        <v>384</v>
      </c>
      <c r="C385" s="314" t="s">
        <v>884</v>
      </c>
      <c r="D385" s="314" t="s">
        <v>1436</v>
      </c>
      <c r="E385" s="314" t="s">
        <v>885</v>
      </c>
      <c r="F385" s="315"/>
      <c r="G385" s="315"/>
      <c r="H385" s="315"/>
      <c r="I385" s="315"/>
      <c r="J385" s="315"/>
      <c r="K385" s="315">
        <v>1</v>
      </c>
      <c r="L385" s="315">
        <v>1</v>
      </c>
      <c r="M385" s="315">
        <v>1</v>
      </c>
      <c r="N385" s="315"/>
      <c r="O385" s="315"/>
      <c r="P385" s="315"/>
      <c r="Q385" s="315"/>
      <c r="R385" s="315"/>
      <c r="S385" s="315">
        <v>1</v>
      </c>
      <c r="T385" s="315">
        <v>1</v>
      </c>
      <c r="U385" s="315">
        <v>1</v>
      </c>
      <c r="V385" s="315"/>
      <c r="W385" s="315"/>
      <c r="X385" s="315"/>
      <c r="Y385" s="315"/>
      <c r="Z385" s="315"/>
      <c r="AA385" s="315">
        <v>1</v>
      </c>
      <c r="AB385" s="315"/>
      <c r="AC385" s="315">
        <v>1</v>
      </c>
      <c r="AD385" s="315"/>
      <c r="AE385" s="315"/>
      <c r="AF385" s="315"/>
      <c r="AG385" s="315"/>
      <c r="AH385" s="315"/>
      <c r="AI385" s="315"/>
      <c r="AJ385" s="315"/>
      <c r="AK385" s="315"/>
      <c r="AL385" s="315"/>
      <c r="AM385" s="315"/>
      <c r="AN385" s="315">
        <v>1</v>
      </c>
      <c r="AO385" s="315">
        <v>1</v>
      </c>
      <c r="AP385" s="315"/>
      <c r="AQ385" s="317"/>
    </row>
    <row r="386" spans="1:43" s="378" customFormat="1" ht="44.25" customHeight="1">
      <c r="A386" s="313" t="s">
        <v>1505</v>
      </c>
      <c r="B386" s="313" t="s">
        <v>395</v>
      </c>
      <c r="C386" s="314" t="s">
        <v>886</v>
      </c>
      <c r="D386" s="314" t="s">
        <v>1424</v>
      </c>
      <c r="E386" s="314" t="s">
        <v>887</v>
      </c>
      <c r="F386" s="315"/>
      <c r="G386" s="315"/>
      <c r="H386" s="315"/>
      <c r="I386" s="315"/>
      <c r="J386" s="315"/>
      <c r="K386" s="315"/>
      <c r="L386" s="315"/>
      <c r="M386" s="315"/>
      <c r="N386" s="315"/>
      <c r="O386" s="315"/>
      <c r="P386" s="315"/>
      <c r="Q386" s="315"/>
      <c r="R386" s="315"/>
      <c r="S386" s="315">
        <v>1</v>
      </c>
      <c r="T386" s="315"/>
      <c r="U386" s="315"/>
      <c r="V386" s="315"/>
      <c r="W386" s="315"/>
      <c r="X386" s="315"/>
      <c r="Y386" s="315"/>
      <c r="Z386" s="315"/>
      <c r="AA386" s="315">
        <v>1</v>
      </c>
      <c r="AB386" s="315"/>
      <c r="AC386" s="315"/>
      <c r="AD386" s="315"/>
      <c r="AE386" s="315"/>
      <c r="AF386" s="315"/>
      <c r="AG386" s="315"/>
      <c r="AH386" s="315"/>
      <c r="AI386" s="315"/>
      <c r="AJ386" s="315">
        <v>1</v>
      </c>
      <c r="AK386" s="315">
        <v>1</v>
      </c>
      <c r="AL386" s="315"/>
      <c r="AM386" s="315"/>
      <c r="AN386" s="315"/>
      <c r="AO386" s="315"/>
      <c r="AP386" s="315"/>
      <c r="AQ386" s="317"/>
    </row>
    <row r="387" spans="1:43" s="378" customFormat="1" ht="44.25" customHeight="1">
      <c r="A387" s="313" t="s">
        <v>1505</v>
      </c>
      <c r="B387" s="313" t="s">
        <v>386</v>
      </c>
      <c r="C387" s="314" t="s">
        <v>888</v>
      </c>
      <c r="D387" s="314" t="s">
        <v>1424</v>
      </c>
      <c r="E387" s="314" t="s">
        <v>889</v>
      </c>
      <c r="F387" s="315"/>
      <c r="G387" s="315"/>
      <c r="H387" s="315"/>
      <c r="I387" s="315"/>
      <c r="J387" s="315"/>
      <c r="K387" s="315"/>
      <c r="L387" s="315">
        <v>1</v>
      </c>
      <c r="M387" s="315"/>
      <c r="N387" s="315"/>
      <c r="O387" s="315"/>
      <c r="P387" s="315"/>
      <c r="Q387" s="315"/>
      <c r="R387" s="315"/>
      <c r="S387" s="315">
        <v>1</v>
      </c>
      <c r="T387" s="315">
        <v>1</v>
      </c>
      <c r="U387" s="315"/>
      <c r="V387" s="315"/>
      <c r="W387" s="315"/>
      <c r="X387" s="315"/>
      <c r="Y387" s="315"/>
      <c r="Z387" s="315"/>
      <c r="AA387" s="315"/>
      <c r="AB387" s="315"/>
      <c r="AC387" s="315"/>
      <c r="AD387" s="315"/>
      <c r="AE387" s="315"/>
      <c r="AF387" s="315"/>
      <c r="AG387" s="315"/>
      <c r="AH387" s="315"/>
      <c r="AI387" s="315"/>
      <c r="AJ387" s="315">
        <v>1</v>
      </c>
      <c r="AK387" s="315">
        <v>1</v>
      </c>
      <c r="AL387" s="315"/>
      <c r="AM387" s="315"/>
      <c r="AN387" s="315"/>
      <c r="AO387" s="315"/>
      <c r="AP387" s="315"/>
      <c r="AQ387" s="317"/>
    </row>
    <row r="388" spans="1:43" s="378" customFormat="1" ht="44.25" customHeight="1">
      <c r="A388" s="313" t="s">
        <v>1505</v>
      </c>
      <c r="B388" s="313" t="s">
        <v>386</v>
      </c>
      <c r="C388" s="314" t="s">
        <v>890</v>
      </c>
      <c r="D388" s="314" t="s">
        <v>1424</v>
      </c>
      <c r="E388" s="314" t="s">
        <v>891</v>
      </c>
      <c r="F388" s="315"/>
      <c r="G388" s="315"/>
      <c r="H388" s="315"/>
      <c r="I388" s="315"/>
      <c r="J388" s="315"/>
      <c r="K388" s="315"/>
      <c r="L388" s="315">
        <v>1</v>
      </c>
      <c r="M388" s="315">
        <v>1</v>
      </c>
      <c r="N388" s="315"/>
      <c r="O388" s="315"/>
      <c r="P388" s="315"/>
      <c r="Q388" s="315"/>
      <c r="R388" s="315"/>
      <c r="S388" s="315">
        <v>1</v>
      </c>
      <c r="T388" s="315">
        <v>1</v>
      </c>
      <c r="U388" s="315">
        <v>1</v>
      </c>
      <c r="V388" s="315"/>
      <c r="W388" s="315"/>
      <c r="X388" s="315"/>
      <c r="Y388" s="315"/>
      <c r="Z388" s="315"/>
      <c r="AA388" s="315"/>
      <c r="AB388" s="315"/>
      <c r="AC388" s="315">
        <v>1</v>
      </c>
      <c r="AD388" s="315"/>
      <c r="AE388" s="315"/>
      <c r="AF388" s="315"/>
      <c r="AG388" s="315"/>
      <c r="AH388" s="315"/>
      <c r="AI388" s="315"/>
      <c r="AJ388" s="315">
        <v>1</v>
      </c>
      <c r="AK388" s="315">
        <v>1</v>
      </c>
      <c r="AL388" s="315">
        <v>1</v>
      </c>
      <c r="AM388" s="315">
        <v>1</v>
      </c>
      <c r="AN388" s="315">
        <v>1</v>
      </c>
      <c r="AO388" s="315">
        <v>1</v>
      </c>
      <c r="AP388" s="315">
        <v>1</v>
      </c>
      <c r="AQ388" s="317">
        <v>1</v>
      </c>
    </row>
    <row r="389" spans="1:43" s="378" customFormat="1" ht="44.25" customHeight="1">
      <c r="A389" s="313" t="s">
        <v>1505</v>
      </c>
      <c r="B389" s="313" t="s">
        <v>386</v>
      </c>
      <c r="C389" s="314" t="s">
        <v>892</v>
      </c>
      <c r="D389" s="314" t="s">
        <v>1424</v>
      </c>
      <c r="E389" s="314" t="s">
        <v>893</v>
      </c>
      <c r="F389" s="315"/>
      <c r="G389" s="315"/>
      <c r="H389" s="315"/>
      <c r="I389" s="315"/>
      <c r="J389" s="315"/>
      <c r="K389" s="315">
        <v>1</v>
      </c>
      <c r="L389" s="315">
        <v>1</v>
      </c>
      <c r="M389" s="315">
        <v>1</v>
      </c>
      <c r="N389" s="315"/>
      <c r="O389" s="315"/>
      <c r="P389" s="315"/>
      <c r="Q389" s="315"/>
      <c r="R389" s="315"/>
      <c r="S389" s="315">
        <v>1</v>
      </c>
      <c r="T389" s="315">
        <v>1</v>
      </c>
      <c r="U389" s="315">
        <v>1</v>
      </c>
      <c r="V389" s="315"/>
      <c r="W389" s="315"/>
      <c r="X389" s="315"/>
      <c r="Y389" s="315"/>
      <c r="Z389" s="315"/>
      <c r="AA389" s="315">
        <v>1</v>
      </c>
      <c r="AB389" s="315"/>
      <c r="AC389" s="315"/>
      <c r="AD389" s="315"/>
      <c r="AE389" s="315"/>
      <c r="AF389" s="315"/>
      <c r="AG389" s="315"/>
      <c r="AH389" s="315"/>
      <c r="AI389" s="315"/>
      <c r="AJ389" s="315">
        <v>1</v>
      </c>
      <c r="AK389" s="315">
        <v>1</v>
      </c>
      <c r="AL389" s="315">
        <v>1</v>
      </c>
      <c r="AM389" s="315">
        <v>1</v>
      </c>
      <c r="AN389" s="315">
        <v>1</v>
      </c>
      <c r="AO389" s="315">
        <v>1</v>
      </c>
      <c r="AP389" s="315">
        <v>1</v>
      </c>
      <c r="AQ389" s="317">
        <v>1</v>
      </c>
    </row>
    <row r="390" spans="1:43" s="378" customFormat="1" ht="44.25" customHeight="1">
      <c r="A390" s="313" t="s">
        <v>1505</v>
      </c>
      <c r="B390" s="313" t="s">
        <v>386</v>
      </c>
      <c r="C390" s="314" t="s">
        <v>894</v>
      </c>
      <c r="D390" s="314" t="s">
        <v>1424</v>
      </c>
      <c r="E390" s="314" t="s">
        <v>1533</v>
      </c>
      <c r="F390" s="315"/>
      <c r="G390" s="315"/>
      <c r="H390" s="315"/>
      <c r="I390" s="315"/>
      <c r="J390" s="315"/>
      <c r="K390" s="315">
        <v>1</v>
      </c>
      <c r="L390" s="315">
        <v>1</v>
      </c>
      <c r="M390" s="315">
        <v>1</v>
      </c>
      <c r="N390" s="315"/>
      <c r="O390" s="315"/>
      <c r="P390" s="315"/>
      <c r="Q390" s="315"/>
      <c r="R390" s="315"/>
      <c r="S390" s="315">
        <v>1</v>
      </c>
      <c r="T390" s="315">
        <v>1</v>
      </c>
      <c r="U390" s="315">
        <v>1</v>
      </c>
      <c r="V390" s="315"/>
      <c r="W390" s="315"/>
      <c r="X390" s="315"/>
      <c r="Y390" s="315"/>
      <c r="Z390" s="315"/>
      <c r="AA390" s="315">
        <v>1</v>
      </c>
      <c r="AB390" s="315"/>
      <c r="AC390" s="315"/>
      <c r="AD390" s="315"/>
      <c r="AE390" s="315"/>
      <c r="AF390" s="315"/>
      <c r="AG390" s="315"/>
      <c r="AH390" s="315"/>
      <c r="AI390" s="315"/>
      <c r="AJ390" s="315">
        <v>1</v>
      </c>
      <c r="AK390" s="315">
        <v>1</v>
      </c>
      <c r="AL390" s="315">
        <v>1</v>
      </c>
      <c r="AM390" s="315">
        <v>1</v>
      </c>
      <c r="AN390" s="315">
        <v>1</v>
      </c>
      <c r="AO390" s="315">
        <v>1</v>
      </c>
      <c r="AP390" s="315">
        <v>1</v>
      </c>
      <c r="AQ390" s="317">
        <v>1</v>
      </c>
    </row>
    <row r="391" spans="1:43" s="378" customFormat="1" ht="44.25" customHeight="1">
      <c r="A391" s="313" t="s">
        <v>1505</v>
      </c>
      <c r="B391" s="313" t="s">
        <v>395</v>
      </c>
      <c r="C391" s="314" t="s">
        <v>896</v>
      </c>
      <c r="D391" s="314" t="s">
        <v>1432</v>
      </c>
      <c r="E391" s="314" t="s">
        <v>897</v>
      </c>
      <c r="F391" s="315"/>
      <c r="G391" s="315"/>
      <c r="H391" s="315"/>
      <c r="I391" s="315"/>
      <c r="J391" s="315"/>
      <c r="K391" s="315">
        <v>1</v>
      </c>
      <c r="L391" s="315">
        <v>1</v>
      </c>
      <c r="M391" s="315"/>
      <c r="N391" s="315"/>
      <c r="O391" s="315"/>
      <c r="P391" s="315"/>
      <c r="Q391" s="315"/>
      <c r="R391" s="315"/>
      <c r="S391" s="315"/>
      <c r="T391" s="315"/>
      <c r="U391" s="315"/>
      <c r="V391" s="315"/>
      <c r="W391" s="315"/>
      <c r="X391" s="315"/>
      <c r="Y391" s="315"/>
      <c r="Z391" s="315"/>
      <c r="AA391" s="315">
        <v>1</v>
      </c>
      <c r="AB391" s="315"/>
      <c r="AC391" s="315"/>
      <c r="AD391" s="315"/>
      <c r="AE391" s="315"/>
      <c r="AF391" s="315"/>
      <c r="AG391" s="315"/>
      <c r="AH391" s="315"/>
      <c r="AI391" s="315"/>
      <c r="AJ391" s="315">
        <v>1</v>
      </c>
      <c r="AK391" s="315">
        <v>1</v>
      </c>
      <c r="AL391" s="315">
        <v>1</v>
      </c>
      <c r="AM391" s="315">
        <v>1</v>
      </c>
      <c r="AN391" s="315">
        <v>1</v>
      </c>
      <c r="AO391" s="315"/>
      <c r="AP391" s="315"/>
      <c r="AQ391" s="316"/>
    </row>
    <row r="392" spans="1:43" s="378" customFormat="1" ht="44.25" customHeight="1">
      <c r="A392" s="313" t="s">
        <v>1505</v>
      </c>
      <c r="B392" s="313" t="s">
        <v>384</v>
      </c>
      <c r="C392" s="314" t="s">
        <v>898</v>
      </c>
      <c r="D392" s="314" t="s">
        <v>1426</v>
      </c>
      <c r="E392" s="314" t="s">
        <v>1534</v>
      </c>
      <c r="F392" s="315"/>
      <c r="G392" s="315"/>
      <c r="H392" s="315"/>
      <c r="I392" s="315"/>
      <c r="J392" s="315"/>
      <c r="K392" s="315">
        <v>1</v>
      </c>
      <c r="L392" s="315">
        <v>1</v>
      </c>
      <c r="M392" s="315">
        <v>1</v>
      </c>
      <c r="N392" s="315"/>
      <c r="O392" s="315"/>
      <c r="P392" s="315"/>
      <c r="Q392" s="315"/>
      <c r="R392" s="315"/>
      <c r="S392" s="315">
        <v>1</v>
      </c>
      <c r="T392" s="315">
        <v>1</v>
      </c>
      <c r="U392" s="315">
        <v>1</v>
      </c>
      <c r="V392" s="315"/>
      <c r="W392" s="315"/>
      <c r="X392" s="315"/>
      <c r="Y392" s="315"/>
      <c r="Z392" s="315"/>
      <c r="AA392" s="315">
        <v>1</v>
      </c>
      <c r="AB392" s="315"/>
      <c r="AC392" s="315">
        <v>1</v>
      </c>
      <c r="AD392" s="315"/>
      <c r="AE392" s="315"/>
      <c r="AF392" s="315"/>
      <c r="AG392" s="315"/>
      <c r="AH392" s="315"/>
      <c r="AI392" s="315"/>
      <c r="AJ392" s="315">
        <v>1</v>
      </c>
      <c r="AK392" s="315">
        <v>1</v>
      </c>
      <c r="AL392" s="315">
        <v>1</v>
      </c>
      <c r="AM392" s="315">
        <v>1</v>
      </c>
      <c r="AN392" s="315">
        <v>1</v>
      </c>
      <c r="AO392" s="315">
        <v>1</v>
      </c>
      <c r="AP392" s="315">
        <v>1</v>
      </c>
      <c r="AQ392" s="317">
        <v>1</v>
      </c>
    </row>
    <row r="393" spans="1:43" s="378" customFormat="1" ht="44.25" customHeight="1">
      <c r="A393" s="313" t="s">
        <v>1505</v>
      </c>
      <c r="B393" s="313" t="s">
        <v>384</v>
      </c>
      <c r="C393" s="314" t="s">
        <v>900</v>
      </c>
      <c r="D393" s="314" t="s">
        <v>1424</v>
      </c>
      <c r="E393" s="314" t="s">
        <v>901</v>
      </c>
      <c r="F393" s="315"/>
      <c r="G393" s="315"/>
      <c r="H393" s="315"/>
      <c r="I393" s="315"/>
      <c r="J393" s="315"/>
      <c r="K393" s="315">
        <v>1</v>
      </c>
      <c r="L393" s="315">
        <v>1</v>
      </c>
      <c r="M393" s="315"/>
      <c r="N393" s="315"/>
      <c r="O393" s="315"/>
      <c r="P393" s="315"/>
      <c r="Q393" s="315"/>
      <c r="R393" s="315"/>
      <c r="S393" s="315">
        <v>1</v>
      </c>
      <c r="T393" s="315">
        <v>1</v>
      </c>
      <c r="U393" s="315"/>
      <c r="V393" s="315"/>
      <c r="W393" s="315"/>
      <c r="X393" s="315"/>
      <c r="Y393" s="315"/>
      <c r="Z393" s="315"/>
      <c r="AA393" s="315">
        <v>1</v>
      </c>
      <c r="AB393" s="315"/>
      <c r="AC393" s="315"/>
      <c r="AD393" s="315"/>
      <c r="AE393" s="315"/>
      <c r="AF393" s="315"/>
      <c r="AG393" s="315"/>
      <c r="AH393" s="315"/>
      <c r="AI393" s="315"/>
      <c r="AJ393" s="315">
        <v>1</v>
      </c>
      <c r="AK393" s="315">
        <v>1</v>
      </c>
      <c r="AL393" s="315"/>
      <c r="AM393" s="315"/>
      <c r="AN393" s="315"/>
      <c r="AO393" s="315"/>
      <c r="AP393" s="315"/>
      <c r="AQ393" s="317"/>
    </row>
    <row r="394" spans="1:43" s="378" customFormat="1" ht="44.25" customHeight="1">
      <c r="A394" s="313" t="s">
        <v>1505</v>
      </c>
      <c r="B394" s="313" t="s">
        <v>384</v>
      </c>
      <c r="C394" s="314" t="s">
        <v>902</v>
      </c>
      <c r="D394" s="314" t="s">
        <v>1426</v>
      </c>
      <c r="E394" s="314" t="s">
        <v>903</v>
      </c>
      <c r="F394" s="315"/>
      <c r="G394" s="315"/>
      <c r="H394" s="315"/>
      <c r="I394" s="315"/>
      <c r="J394" s="315"/>
      <c r="K394" s="315">
        <v>1</v>
      </c>
      <c r="L394" s="315">
        <v>1</v>
      </c>
      <c r="M394" s="315">
        <v>1</v>
      </c>
      <c r="N394" s="315"/>
      <c r="O394" s="315"/>
      <c r="P394" s="315"/>
      <c r="Q394" s="315"/>
      <c r="R394" s="315"/>
      <c r="S394" s="315">
        <v>1</v>
      </c>
      <c r="T394" s="315"/>
      <c r="U394" s="315">
        <v>1</v>
      </c>
      <c r="V394" s="315"/>
      <c r="W394" s="315"/>
      <c r="X394" s="315"/>
      <c r="Y394" s="315"/>
      <c r="Z394" s="315"/>
      <c r="AA394" s="315">
        <v>1</v>
      </c>
      <c r="AB394" s="315"/>
      <c r="AC394" s="315"/>
      <c r="AD394" s="315"/>
      <c r="AE394" s="315"/>
      <c r="AF394" s="315"/>
      <c r="AG394" s="315"/>
      <c r="AH394" s="315"/>
      <c r="AI394" s="315">
        <v>1</v>
      </c>
      <c r="AJ394" s="315">
        <v>1</v>
      </c>
      <c r="AK394" s="315">
        <v>1</v>
      </c>
      <c r="AL394" s="315">
        <v>1</v>
      </c>
      <c r="AM394" s="315">
        <v>1</v>
      </c>
      <c r="AN394" s="315">
        <v>1</v>
      </c>
      <c r="AO394" s="315">
        <v>1</v>
      </c>
      <c r="AP394" s="315">
        <v>1</v>
      </c>
      <c r="AQ394" s="317">
        <v>1</v>
      </c>
    </row>
    <row r="395" spans="1:43" s="378" customFormat="1" ht="44.25" customHeight="1">
      <c r="A395" s="313" t="s">
        <v>1505</v>
      </c>
      <c r="B395" s="313" t="s">
        <v>387</v>
      </c>
      <c r="C395" s="314" t="s">
        <v>904</v>
      </c>
      <c r="D395" s="314" t="s">
        <v>1438</v>
      </c>
      <c r="E395" s="314" t="s">
        <v>905</v>
      </c>
      <c r="F395" s="315"/>
      <c r="G395" s="315"/>
      <c r="H395" s="315"/>
      <c r="I395" s="315"/>
      <c r="J395" s="315"/>
      <c r="K395" s="315">
        <v>1</v>
      </c>
      <c r="L395" s="315"/>
      <c r="M395" s="315"/>
      <c r="N395" s="315"/>
      <c r="O395" s="315"/>
      <c r="P395" s="315"/>
      <c r="Q395" s="315"/>
      <c r="R395" s="315"/>
      <c r="S395" s="315"/>
      <c r="T395" s="315"/>
      <c r="U395" s="315"/>
      <c r="V395" s="315"/>
      <c r="W395" s="315"/>
      <c r="X395" s="315"/>
      <c r="Y395" s="315"/>
      <c r="Z395" s="315"/>
      <c r="AA395" s="315">
        <v>1</v>
      </c>
      <c r="AB395" s="315"/>
      <c r="AC395" s="315"/>
      <c r="AD395" s="315"/>
      <c r="AE395" s="315"/>
      <c r="AF395" s="315"/>
      <c r="AG395" s="315"/>
      <c r="AH395" s="315"/>
      <c r="AI395" s="315"/>
      <c r="AJ395" s="315"/>
      <c r="AK395" s="315"/>
      <c r="AL395" s="315"/>
      <c r="AM395" s="315"/>
      <c r="AN395" s="315"/>
      <c r="AO395" s="315"/>
      <c r="AP395" s="315"/>
      <c r="AQ395" s="317"/>
    </row>
    <row r="396" spans="1:43" s="378" customFormat="1" ht="44.25" customHeight="1">
      <c r="A396" s="313" t="s">
        <v>1505</v>
      </c>
      <c r="B396" s="313" t="s">
        <v>387</v>
      </c>
      <c r="C396" s="314" t="s">
        <v>906</v>
      </c>
      <c r="D396" s="314" t="s">
        <v>1438</v>
      </c>
      <c r="E396" s="314" t="s">
        <v>907</v>
      </c>
      <c r="F396" s="315"/>
      <c r="G396" s="315"/>
      <c r="H396" s="315"/>
      <c r="I396" s="315"/>
      <c r="J396" s="315"/>
      <c r="K396" s="315"/>
      <c r="L396" s="315"/>
      <c r="M396" s="315">
        <v>1</v>
      </c>
      <c r="N396" s="315"/>
      <c r="O396" s="315"/>
      <c r="P396" s="315"/>
      <c r="Q396" s="315"/>
      <c r="R396" s="315"/>
      <c r="S396" s="315"/>
      <c r="T396" s="315"/>
      <c r="U396" s="315"/>
      <c r="V396" s="315"/>
      <c r="W396" s="315"/>
      <c r="X396" s="315"/>
      <c r="Y396" s="315"/>
      <c r="Z396" s="315"/>
      <c r="AA396" s="315"/>
      <c r="AB396" s="315"/>
      <c r="AC396" s="315"/>
      <c r="AD396" s="315"/>
      <c r="AE396" s="315"/>
      <c r="AF396" s="315"/>
      <c r="AG396" s="315"/>
      <c r="AH396" s="315"/>
      <c r="AI396" s="315"/>
      <c r="AJ396" s="315"/>
      <c r="AK396" s="315"/>
      <c r="AL396" s="315"/>
      <c r="AM396" s="315"/>
      <c r="AN396" s="315"/>
      <c r="AO396" s="315"/>
      <c r="AP396" s="315"/>
      <c r="AQ396" s="316"/>
    </row>
    <row r="397" spans="1:43" s="378" customFormat="1" ht="44.25" customHeight="1">
      <c r="A397" s="313" t="s">
        <v>1505</v>
      </c>
      <c r="B397" s="313" t="s">
        <v>384</v>
      </c>
      <c r="C397" s="314" t="s">
        <v>908</v>
      </c>
      <c r="D397" s="314" t="s">
        <v>1426</v>
      </c>
      <c r="E397" s="314" t="s">
        <v>909</v>
      </c>
      <c r="F397" s="315"/>
      <c r="G397" s="315"/>
      <c r="H397" s="315"/>
      <c r="I397" s="315"/>
      <c r="J397" s="315"/>
      <c r="K397" s="315"/>
      <c r="L397" s="315">
        <v>1</v>
      </c>
      <c r="M397" s="315">
        <v>1</v>
      </c>
      <c r="N397" s="315"/>
      <c r="O397" s="315"/>
      <c r="P397" s="315"/>
      <c r="Q397" s="315"/>
      <c r="R397" s="315"/>
      <c r="S397" s="315"/>
      <c r="T397" s="315">
        <v>1</v>
      </c>
      <c r="U397" s="315">
        <v>1</v>
      </c>
      <c r="V397" s="315"/>
      <c r="W397" s="315"/>
      <c r="X397" s="315"/>
      <c r="Y397" s="315"/>
      <c r="Z397" s="315"/>
      <c r="AA397" s="315">
        <v>1</v>
      </c>
      <c r="AB397" s="315"/>
      <c r="AC397" s="315">
        <v>1</v>
      </c>
      <c r="AD397" s="315"/>
      <c r="AE397" s="315"/>
      <c r="AF397" s="315"/>
      <c r="AG397" s="315"/>
      <c r="AH397" s="315"/>
      <c r="AI397" s="315">
        <v>1</v>
      </c>
      <c r="AJ397" s="315"/>
      <c r="AK397" s="315"/>
      <c r="AL397" s="315">
        <v>1</v>
      </c>
      <c r="AM397" s="315">
        <v>1</v>
      </c>
      <c r="AN397" s="315">
        <v>1</v>
      </c>
      <c r="AO397" s="315">
        <v>1</v>
      </c>
      <c r="AP397" s="315">
        <v>1</v>
      </c>
      <c r="AQ397" s="317">
        <v>1</v>
      </c>
    </row>
    <row r="398" spans="1:43" s="378" customFormat="1" ht="44.25" customHeight="1">
      <c r="A398" s="313" t="s">
        <v>1505</v>
      </c>
      <c r="B398" s="313" t="s">
        <v>386</v>
      </c>
      <c r="C398" s="314" t="s">
        <v>910</v>
      </c>
      <c r="D398" s="314" t="s">
        <v>1454</v>
      </c>
      <c r="E398" s="314"/>
      <c r="F398" s="315"/>
      <c r="G398" s="315"/>
      <c r="H398" s="315"/>
      <c r="I398" s="315"/>
      <c r="J398" s="315"/>
      <c r="K398" s="315"/>
      <c r="L398" s="315"/>
      <c r="M398" s="315"/>
      <c r="N398" s="315"/>
      <c r="O398" s="315"/>
      <c r="P398" s="315"/>
      <c r="Q398" s="315"/>
      <c r="R398" s="315"/>
      <c r="S398" s="315">
        <v>1</v>
      </c>
      <c r="T398" s="315"/>
      <c r="U398" s="315"/>
      <c r="V398" s="315"/>
      <c r="W398" s="315"/>
      <c r="X398" s="315"/>
      <c r="Y398" s="315"/>
      <c r="Z398" s="315"/>
      <c r="AA398" s="315">
        <v>1</v>
      </c>
      <c r="AB398" s="315"/>
      <c r="AC398" s="315"/>
      <c r="AD398" s="315"/>
      <c r="AE398" s="315"/>
      <c r="AF398" s="315"/>
      <c r="AG398" s="315"/>
      <c r="AH398" s="315"/>
      <c r="AI398" s="315">
        <v>1</v>
      </c>
      <c r="AJ398" s="315"/>
      <c r="AK398" s="315"/>
      <c r="AL398" s="315"/>
      <c r="AM398" s="315"/>
      <c r="AN398" s="315"/>
      <c r="AO398" s="315"/>
      <c r="AP398" s="315"/>
      <c r="AQ398" s="317"/>
    </row>
    <row r="399" spans="1:43" s="378" customFormat="1" ht="44.25" customHeight="1">
      <c r="A399" s="313" t="s">
        <v>1505</v>
      </c>
      <c r="B399" s="313" t="s">
        <v>386</v>
      </c>
      <c r="C399" s="314" t="s">
        <v>911</v>
      </c>
      <c r="D399" s="314" t="s">
        <v>1424</v>
      </c>
      <c r="E399" s="314" t="s">
        <v>912</v>
      </c>
      <c r="F399" s="315"/>
      <c r="G399" s="315"/>
      <c r="H399" s="315"/>
      <c r="I399" s="315"/>
      <c r="J399" s="315"/>
      <c r="K399" s="315">
        <v>1</v>
      </c>
      <c r="L399" s="315">
        <v>1</v>
      </c>
      <c r="M399" s="315">
        <v>1</v>
      </c>
      <c r="N399" s="315"/>
      <c r="O399" s="315"/>
      <c r="P399" s="315"/>
      <c r="Q399" s="315"/>
      <c r="R399" s="315"/>
      <c r="S399" s="315"/>
      <c r="T399" s="315"/>
      <c r="U399" s="315">
        <v>1</v>
      </c>
      <c r="V399" s="315"/>
      <c r="W399" s="315"/>
      <c r="X399" s="315"/>
      <c r="Y399" s="315"/>
      <c r="Z399" s="315"/>
      <c r="AA399" s="315">
        <v>1</v>
      </c>
      <c r="AB399" s="315"/>
      <c r="AC399" s="315"/>
      <c r="AD399" s="315"/>
      <c r="AE399" s="315"/>
      <c r="AF399" s="315"/>
      <c r="AG399" s="315"/>
      <c r="AH399" s="315"/>
      <c r="AI399" s="315"/>
      <c r="AJ399" s="315">
        <v>1</v>
      </c>
      <c r="AK399" s="315">
        <v>1</v>
      </c>
      <c r="AL399" s="315">
        <v>1</v>
      </c>
      <c r="AM399" s="315">
        <v>1</v>
      </c>
      <c r="AN399" s="315">
        <v>1</v>
      </c>
      <c r="AO399" s="315">
        <v>1</v>
      </c>
      <c r="AP399" s="315"/>
      <c r="AQ399" s="317"/>
    </row>
    <row r="400" spans="1:43" s="378" customFormat="1" ht="44.25" customHeight="1">
      <c r="A400" s="313" t="s">
        <v>1505</v>
      </c>
      <c r="B400" s="313" t="s">
        <v>384</v>
      </c>
      <c r="C400" s="314" t="s">
        <v>913</v>
      </c>
      <c r="D400" s="314" t="s">
        <v>1426</v>
      </c>
      <c r="E400" s="314" t="s">
        <v>914</v>
      </c>
      <c r="F400" s="315"/>
      <c r="G400" s="315"/>
      <c r="H400" s="315"/>
      <c r="I400" s="315"/>
      <c r="J400" s="315"/>
      <c r="K400" s="315">
        <v>1</v>
      </c>
      <c r="L400" s="315">
        <v>1</v>
      </c>
      <c r="M400" s="315"/>
      <c r="N400" s="315"/>
      <c r="O400" s="315"/>
      <c r="P400" s="315"/>
      <c r="Q400" s="315"/>
      <c r="R400" s="315"/>
      <c r="S400" s="315"/>
      <c r="T400" s="315">
        <v>1</v>
      </c>
      <c r="U400" s="315"/>
      <c r="V400" s="315"/>
      <c r="W400" s="315"/>
      <c r="X400" s="315"/>
      <c r="Y400" s="315"/>
      <c r="Z400" s="315"/>
      <c r="AA400" s="315">
        <v>1</v>
      </c>
      <c r="AB400" s="315"/>
      <c r="AC400" s="315"/>
      <c r="AD400" s="315"/>
      <c r="AE400" s="315"/>
      <c r="AF400" s="315"/>
      <c r="AG400" s="315"/>
      <c r="AH400" s="315"/>
      <c r="AI400" s="315"/>
      <c r="AJ400" s="315">
        <v>1</v>
      </c>
      <c r="AK400" s="315">
        <v>1</v>
      </c>
      <c r="AL400" s="315"/>
      <c r="AM400" s="315"/>
      <c r="AN400" s="315"/>
      <c r="AO400" s="315"/>
      <c r="AP400" s="315"/>
      <c r="AQ400" s="316"/>
    </row>
    <row r="401" spans="1:43" s="378" customFormat="1" ht="44.25" customHeight="1">
      <c r="A401" s="313" t="s">
        <v>1505</v>
      </c>
      <c r="B401" s="313" t="s">
        <v>395</v>
      </c>
      <c r="C401" s="314" t="s">
        <v>915</v>
      </c>
      <c r="D401" s="314" t="s">
        <v>1428</v>
      </c>
      <c r="E401" s="314" t="s">
        <v>916</v>
      </c>
      <c r="F401" s="315"/>
      <c r="G401" s="315"/>
      <c r="H401" s="315"/>
      <c r="I401" s="315"/>
      <c r="J401" s="315"/>
      <c r="K401" s="315"/>
      <c r="L401" s="315">
        <v>1</v>
      </c>
      <c r="M401" s="315">
        <v>1</v>
      </c>
      <c r="N401" s="315"/>
      <c r="O401" s="315"/>
      <c r="P401" s="315"/>
      <c r="Q401" s="315"/>
      <c r="R401" s="315"/>
      <c r="S401" s="315"/>
      <c r="T401" s="315">
        <v>1</v>
      </c>
      <c r="U401" s="315">
        <v>1</v>
      </c>
      <c r="V401" s="315"/>
      <c r="W401" s="315"/>
      <c r="X401" s="315"/>
      <c r="Y401" s="315"/>
      <c r="Z401" s="315"/>
      <c r="AA401" s="315">
        <v>1</v>
      </c>
      <c r="AB401" s="315"/>
      <c r="AC401" s="315">
        <v>1</v>
      </c>
      <c r="AD401" s="315"/>
      <c r="AE401" s="315"/>
      <c r="AF401" s="315"/>
      <c r="AG401" s="315"/>
      <c r="AH401" s="315"/>
      <c r="AI401" s="315">
        <v>1</v>
      </c>
      <c r="AJ401" s="315"/>
      <c r="AK401" s="315"/>
      <c r="AL401" s="315">
        <v>1</v>
      </c>
      <c r="AM401" s="315">
        <v>1</v>
      </c>
      <c r="AN401" s="315">
        <v>1</v>
      </c>
      <c r="AO401" s="315">
        <v>1</v>
      </c>
      <c r="AP401" s="315">
        <v>1</v>
      </c>
      <c r="AQ401" s="316">
        <v>1</v>
      </c>
    </row>
    <row r="402" spans="1:43" s="378" customFormat="1" ht="44.25" customHeight="1">
      <c r="A402" s="313" t="s">
        <v>1505</v>
      </c>
      <c r="B402" s="313" t="s">
        <v>387</v>
      </c>
      <c r="C402" s="314" t="s">
        <v>917</v>
      </c>
      <c r="D402" s="314" t="s">
        <v>1438</v>
      </c>
      <c r="E402" s="314" t="s">
        <v>1535</v>
      </c>
      <c r="F402" s="315"/>
      <c r="G402" s="315"/>
      <c r="H402" s="315"/>
      <c r="I402" s="315"/>
      <c r="J402" s="315"/>
      <c r="K402" s="315">
        <v>1</v>
      </c>
      <c r="L402" s="315"/>
      <c r="M402" s="315"/>
      <c r="N402" s="315"/>
      <c r="O402" s="315"/>
      <c r="P402" s="315"/>
      <c r="Q402" s="315"/>
      <c r="R402" s="315"/>
      <c r="S402" s="315"/>
      <c r="T402" s="315"/>
      <c r="U402" s="315"/>
      <c r="V402" s="315"/>
      <c r="W402" s="315"/>
      <c r="X402" s="315"/>
      <c r="Y402" s="315"/>
      <c r="Z402" s="315"/>
      <c r="AA402" s="315">
        <v>1</v>
      </c>
      <c r="AB402" s="315"/>
      <c r="AC402" s="315"/>
      <c r="AD402" s="315"/>
      <c r="AE402" s="315"/>
      <c r="AF402" s="315"/>
      <c r="AG402" s="315"/>
      <c r="AH402" s="315"/>
      <c r="AI402" s="315"/>
      <c r="AJ402" s="315"/>
      <c r="AK402" s="315"/>
      <c r="AL402" s="315"/>
      <c r="AM402" s="315"/>
      <c r="AN402" s="315"/>
      <c r="AO402" s="315"/>
      <c r="AP402" s="315"/>
      <c r="AQ402" s="316"/>
    </row>
    <row r="403" spans="1:43" s="378" customFormat="1" ht="44.25" customHeight="1">
      <c r="A403" s="313" t="s">
        <v>1505</v>
      </c>
      <c r="B403" s="313" t="s">
        <v>386</v>
      </c>
      <c r="C403" s="314" t="s">
        <v>919</v>
      </c>
      <c r="D403" s="314" t="s">
        <v>1424</v>
      </c>
      <c r="E403" s="314" t="s">
        <v>920</v>
      </c>
      <c r="F403" s="315"/>
      <c r="G403" s="315"/>
      <c r="H403" s="315"/>
      <c r="I403" s="315"/>
      <c r="J403" s="315"/>
      <c r="K403" s="315">
        <v>1</v>
      </c>
      <c r="L403" s="315">
        <v>1</v>
      </c>
      <c r="M403" s="315">
        <v>1</v>
      </c>
      <c r="N403" s="315"/>
      <c r="O403" s="315"/>
      <c r="P403" s="315"/>
      <c r="Q403" s="315"/>
      <c r="R403" s="315"/>
      <c r="S403" s="315"/>
      <c r="T403" s="315">
        <v>1</v>
      </c>
      <c r="U403" s="315">
        <v>1</v>
      </c>
      <c r="V403" s="315"/>
      <c r="W403" s="315"/>
      <c r="X403" s="315"/>
      <c r="Y403" s="315"/>
      <c r="Z403" s="315"/>
      <c r="AA403" s="315">
        <v>1</v>
      </c>
      <c r="AB403" s="315">
        <v>1</v>
      </c>
      <c r="AC403" s="315">
        <v>1</v>
      </c>
      <c r="AD403" s="315"/>
      <c r="AE403" s="315"/>
      <c r="AF403" s="315"/>
      <c r="AG403" s="315"/>
      <c r="AH403" s="315"/>
      <c r="AI403" s="315"/>
      <c r="AJ403" s="315">
        <v>1</v>
      </c>
      <c r="AK403" s="315">
        <v>1</v>
      </c>
      <c r="AL403" s="315">
        <v>1</v>
      </c>
      <c r="AM403" s="315">
        <v>1</v>
      </c>
      <c r="AN403" s="315">
        <v>1</v>
      </c>
      <c r="AO403" s="315">
        <v>1</v>
      </c>
      <c r="AP403" s="315">
        <v>1</v>
      </c>
      <c r="AQ403" s="316">
        <v>1</v>
      </c>
    </row>
    <row r="404" spans="1:43" s="378" customFormat="1" ht="44.25" customHeight="1">
      <c r="A404" s="313" t="s">
        <v>1505</v>
      </c>
      <c r="B404" s="313" t="s">
        <v>384</v>
      </c>
      <c r="C404" s="314" t="s">
        <v>921</v>
      </c>
      <c r="D404" s="314" t="s">
        <v>1426</v>
      </c>
      <c r="E404" s="314" t="s">
        <v>922</v>
      </c>
      <c r="F404" s="315"/>
      <c r="G404" s="315"/>
      <c r="H404" s="315"/>
      <c r="I404" s="315"/>
      <c r="J404" s="315"/>
      <c r="K404" s="315">
        <v>1</v>
      </c>
      <c r="L404" s="315">
        <v>1</v>
      </c>
      <c r="M404" s="315">
        <v>1</v>
      </c>
      <c r="N404" s="315"/>
      <c r="O404" s="315"/>
      <c r="P404" s="315"/>
      <c r="Q404" s="315"/>
      <c r="R404" s="315"/>
      <c r="S404" s="315"/>
      <c r="T404" s="315">
        <v>1</v>
      </c>
      <c r="U404" s="315">
        <v>1</v>
      </c>
      <c r="V404" s="315"/>
      <c r="W404" s="315"/>
      <c r="X404" s="315"/>
      <c r="Y404" s="315"/>
      <c r="Z404" s="315"/>
      <c r="AA404" s="315">
        <v>1</v>
      </c>
      <c r="AB404" s="315"/>
      <c r="AC404" s="315"/>
      <c r="AD404" s="315"/>
      <c r="AE404" s="315"/>
      <c r="AF404" s="315"/>
      <c r="AG404" s="315"/>
      <c r="AH404" s="315"/>
      <c r="AI404" s="315"/>
      <c r="AJ404" s="315"/>
      <c r="AK404" s="315"/>
      <c r="AL404" s="315">
        <v>1</v>
      </c>
      <c r="AM404" s="315"/>
      <c r="AN404" s="315">
        <v>1</v>
      </c>
      <c r="AO404" s="315">
        <v>1</v>
      </c>
      <c r="AP404" s="315">
        <v>1</v>
      </c>
      <c r="AQ404" s="316">
        <v>1</v>
      </c>
    </row>
    <row r="405" spans="1:43" s="378" customFormat="1" ht="44.25" customHeight="1">
      <c r="A405" s="313" t="s">
        <v>1505</v>
      </c>
      <c r="B405" s="313" t="s">
        <v>386</v>
      </c>
      <c r="C405" s="314" t="s">
        <v>923</v>
      </c>
      <c r="D405" s="314" t="s">
        <v>1426</v>
      </c>
      <c r="E405" s="314" t="s">
        <v>924</v>
      </c>
      <c r="F405" s="315"/>
      <c r="G405" s="315"/>
      <c r="H405" s="315"/>
      <c r="I405" s="315"/>
      <c r="J405" s="315"/>
      <c r="K405" s="315"/>
      <c r="L405" s="315">
        <v>1</v>
      </c>
      <c r="M405" s="315">
        <v>1</v>
      </c>
      <c r="N405" s="315"/>
      <c r="O405" s="315"/>
      <c r="P405" s="315"/>
      <c r="Q405" s="315"/>
      <c r="R405" s="315"/>
      <c r="S405" s="315"/>
      <c r="T405" s="315">
        <v>1</v>
      </c>
      <c r="U405" s="315">
        <v>1</v>
      </c>
      <c r="V405" s="315"/>
      <c r="W405" s="315"/>
      <c r="X405" s="315"/>
      <c r="Y405" s="315"/>
      <c r="Z405" s="315"/>
      <c r="AA405" s="315">
        <v>1</v>
      </c>
      <c r="AB405" s="315"/>
      <c r="AC405" s="315"/>
      <c r="AD405" s="315"/>
      <c r="AE405" s="315"/>
      <c r="AF405" s="315"/>
      <c r="AG405" s="315"/>
      <c r="AH405" s="315"/>
      <c r="AI405" s="315"/>
      <c r="AJ405" s="315">
        <v>1</v>
      </c>
      <c r="AK405" s="315">
        <v>1</v>
      </c>
      <c r="AL405" s="315"/>
      <c r="AM405" s="315">
        <v>1</v>
      </c>
      <c r="AN405" s="315">
        <v>1</v>
      </c>
      <c r="AO405" s="315">
        <v>1</v>
      </c>
      <c r="AP405" s="315">
        <v>1</v>
      </c>
      <c r="AQ405" s="316">
        <v>1</v>
      </c>
    </row>
    <row r="406" spans="1:43" s="378" customFormat="1" ht="44.25" customHeight="1">
      <c r="A406" s="313" t="s">
        <v>1505</v>
      </c>
      <c r="B406" s="313" t="s">
        <v>395</v>
      </c>
      <c r="C406" s="314" t="s">
        <v>925</v>
      </c>
      <c r="D406" s="314" t="s">
        <v>1424</v>
      </c>
      <c r="E406" s="314" t="s">
        <v>926</v>
      </c>
      <c r="F406" s="315"/>
      <c r="G406" s="315"/>
      <c r="H406" s="315"/>
      <c r="I406" s="315"/>
      <c r="J406" s="315"/>
      <c r="K406" s="315"/>
      <c r="L406" s="315"/>
      <c r="M406" s="315"/>
      <c r="N406" s="315"/>
      <c r="O406" s="315"/>
      <c r="P406" s="315"/>
      <c r="Q406" s="315"/>
      <c r="R406" s="315"/>
      <c r="S406" s="315"/>
      <c r="T406" s="315"/>
      <c r="U406" s="315"/>
      <c r="V406" s="315"/>
      <c r="W406" s="315"/>
      <c r="X406" s="315"/>
      <c r="Y406" s="315"/>
      <c r="Z406" s="315"/>
      <c r="AA406" s="315"/>
      <c r="AB406" s="315"/>
      <c r="AC406" s="315"/>
      <c r="AD406" s="315"/>
      <c r="AE406" s="315"/>
      <c r="AF406" s="315"/>
      <c r="AG406" s="315"/>
      <c r="AH406" s="315"/>
      <c r="AI406" s="315"/>
      <c r="AJ406" s="315">
        <v>1</v>
      </c>
      <c r="AK406" s="315">
        <v>1</v>
      </c>
      <c r="AL406" s="315"/>
      <c r="AM406" s="315"/>
      <c r="AN406" s="315"/>
      <c r="AO406" s="315"/>
      <c r="AP406" s="315"/>
      <c r="AQ406" s="316"/>
    </row>
    <row r="407" spans="1:43" s="378" customFormat="1" ht="44.25" customHeight="1">
      <c r="A407" s="313" t="s">
        <v>1505</v>
      </c>
      <c r="B407" s="313" t="s">
        <v>384</v>
      </c>
      <c r="C407" s="314" t="s">
        <v>927</v>
      </c>
      <c r="D407" s="314" t="s">
        <v>1424</v>
      </c>
      <c r="E407" s="314" t="s">
        <v>928</v>
      </c>
      <c r="F407" s="315"/>
      <c r="G407" s="315"/>
      <c r="H407" s="315"/>
      <c r="I407" s="315"/>
      <c r="J407" s="315"/>
      <c r="K407" s="315"/>
      <c r="L407" s="315">
        <v>1</v>
      </c>
      <c r="M407" s="315"/>
      <c r="N407" s="315"/>
      <c r="O407" s="315"/>
      <c r="P407" s="315"/>
      <c r="Q407" s="315"/>
      <c r="R407" s="315"/>
      <c r="S407" s="315"/>
      <c r="T407" s="315">
        <v>1</v>
      </c>
      <c r="U407" s="315"/>
      <c r="V407" s="315"/>
      <c r="W407" s="315"/>
      <c r="X407" s="315"/>
      <c r="Y407" s="315"/>
      <c r="Z407" s="315"/>
      <c r="AA407" s="315"/>
      <c r="AB407" s="315"/>
      <c r="AC407" s="315"/>
      <c r="AD407" s="315"/>
      <c r="AE407" s="315"/>
      <c r="AF407" s="315"/>
      <c r="AG407" s="315"/>
      <c r="AH407" s="315"/>
      <c r="AI407" s="315"/>
      <c r="AJ407" s="315">
        <v>1</v>
      </c>
      <c r="AK407" s="315">
        <v>1</v>
      </c>
      <c r="AL407" s="315"/>
      <c r="AM407" s="315"/>
      <c r="AN407" s="315"/>
      <c r="AO407" s="315"/>
      <c r="AP407" s="315"/>
      <c r="AQ407" s="316"/>
    </row>
    <row r="408" spans="1:43" s="378" customFormat="1" ht="44.25" customHeight="1">
      <c r="A408" s="313" t="s">
        <v>1505</v>
      </c>
      <c r="B408" s="313" t="s">
        <v>384</v>
      </c>
      <c r="C408" s="314" t="s">
        <v>929</v>
      </c>
      <c r="D408" s="314" t="s">
        <v>1426</v>
      </c>
      <c r="E408" s="314" t="s">
        <v>930</v>
      </c>
      <c r="F408" s="315"/>
      <c r="G408" s="315"/>
      <c r="H408" s="315"/>
      <c r="I408" s="315"/>
      <c r="J408" s="315"/>
      <c r="K408" s="315"/>
      <c r="L408" s="315">
        <v>1</v>
      </c>
      <c r="M408" s="315">
        <v>1</v>
      </c>
      <c r="N408" s="315"/>
      <c r="O408" s="315"/>
      <c r="P408" s="315"/>
      <c r="Q408" s="315"/>
      <c r="R408" s="315"/>
      <c r="S408" s="315"/>
      <c r="T408" s="315"/>
      <c r="U408" s="315">
        <v>1</v>
      </c>
      <c r="V408" s="315"/>
      <c r="W408" s="315"/>
      <c r="X408" s="315"/>
      <c r="Y408" s="315"/>
      <c r="Z408" s="315"/>
      <c r="AA408" s="315"/>
      <c r="AB408" s="315"/>
      <c r="AC408" s="315"/>
      <c r="AD408" s="315"/>
      <c r="AE408" s="315"/>
      <c r="AF408" s="315"/>
      <c r="AG408" s="315"/>
      <c r="AH408" s="315"/>
      <c r="AI408" s="315"/>
      <c r="AJ408" s="315"/>
      <c r="AK408" s="315"/>
      <c r="AL408" s="315">
        <v>1</v>
      </c>
      <c r="AM408" s="315"/>
      <c r="AN408" s="315">
        <v>1</v>
      </c>
      <c r="AO408" s="315">
        <v>1</v>
      </c>
      <c r="AP408" s="315">
        <v>1</v>
      </c>
      <c r="AQ408" s="316">
        <v>1</v>
      </c>
    </row>
    <row r="409" spans="1:43" s="378" customFormat="1" ht="44.25" customHeight="1">
      <c r="A409" s="313" t="s">
        <v>1505</v>
      </c>
      <c r="B409" s="313" t="s">
        <v>384</v>
      </c>
      <c r="C409" s="314" t="s">
        <v>931</v>
      </c>
      <c r="D409" s="314" t="s">
        <v>1424</v>
      </c>
      <c r="E409" s="314" t="s">
        <v>932</v>
      </c>
      <c r="F409" s="315"/>
      <c r="G409" s="315"/>
      <c r="H409" s="315"/>
      <c r="I409" s="315"/>
      <c r="J409" s="315"/>
      <c r="K409" s="315"/>
      <c r="L409" s="315">
        <v>1</v>
      </c>
      <c r="M409" s="315"/>
      <c r="N409" s="315"/>
      <c r="O409" s="315"/>
      <c r="P409" s="315"/>
      <c r="Q409" s="315"/>
      <c r="R409" s="315"/>
      <c r="S409" s="315">
        <v>1</v>
      </c>
      <c r="T409" s="315">
        <v>1</v>
      </c>
      <c r="U409" s="315"/>
      <c r="V409" s="315"/>
      <c r="W409" s="315"/>
      <c r="X409" s="315"/>
      <c r="Y409" s="315"/>
      <c r="Z409" s="315"/>
      <c r="AA409" s="315"/>
      <c r="AB409" s="315"/>
      <c r="AC409" s="315"/>
      <c r="AD409" s="315"/>
      <c r="AE409" s="315"/>
      <c r="AF409" s="315"/>
      <c r="AG409" s="315"/>
      <c r="AH409" s="315"/>
      <c r="AI409" s="315"/>
      <c r="AJ409" s="315">
        <v>1</v>
      </c>
      <c r="AK409" s="315">
        <v>1</v>
      </c>
      <c r="AL409" s="315"/>
      <c r="AM409" s="315"/>
      <c r="AN409" s="315"/>
      <c r="AO409" s="315"/>
      <c r="AP409" s="315"/>
      <c r="AQ409" s="316"/>
    </row>
    <row r="410" spans="1:43" s="378" customFormat="1" ht="44.25" customHeight="1">
      <c r="A410" s="313" t="s">
        <v>1505</v>
      </c>
      <c r="B410" s="313" t="s">
        <v>386</v>
      </c>
      <c r="C410" s="314" t="s">
        <v>933</v>
      </c>
      <c r="D410" s="314" t="s">
        <v>1438</v>
      </c>
      <c r="E410" s="314" t="s">
        <v>934</v>
      </c>
      <c r="F410" s="315"/>
      <c r="G410" s="315"/>
      <c r="H410" s="315"/>
      <c r="I410" s="315"/>
      <c r="J410" s="315"/>
      <c r="K410" s="315"/>
      <c r="L410" s="315"/>
      <c r="M410" s="315"/>
      <c r="N410" s="315"/>
      <c r="O410" s="315"/>
      <c r="P410" s="315"/>
      <c r="Q410" s="315"/>
      <c r="R410" s="315"/>
      <c r="S410" s="315">
        <v>1</v>
      </c>
      <c r="T410" s="315"/>
      <c r="U410" s="315"/>
      <c r="V410" s="315"/>
      <c r="W410" s="315"/>
      <c r="X410" s="315"/>
      <c r="Y410" s="315"/>
      <c r="Z410" s="315"/>
      <c r="AA410" s="315"/>
      <c r="AB410" s="315"/>
      <c r="AC410" s="315"/>
      <c r="AD410" s="315"/>
      <c r="AE410" s="315"/>
      <c r="AF410" s="315"/>
      <c r="AG410" s="315"/>
      <c r="AH410" s="315"/>
      <c r="AI410" s="315"/>
      <c r="AJ410" s="315"/>
      <c r="AK410" s="315"/>
      <c r="AL410" s="315"/>
      <c r="AM410" s="315"/>
      <c r="AN410" s="315"/>
      <c r="AO410" s="315"/>
      <c r="AP410" s="315"/>
      <c r="AQ410" s="316"/>
    </row>
    <row r="411" spans="1:43" s="378" customFormat="1" ht="44.25" customHeight="1">
      <c r="A411" s="313" t="s">
        <v>1505</v>
      </c>
      <c r="B411" s="313" t="s">
        <v>384</v>
      </c>
      <c r="C411" s="314" t="s">
        <v>935</v>
      </c>
      <c r="D411" s="314" t="s">
        <v>1426</v>
      </c>
      <c r="E411" s="314" t="s">
        <v>936</v>
      </c>
      <c r="F411" s="315"/>
      <c r="G411" s="315"/>
      <c r="H411" s="315"/>
      <c r="I411" s="315"/>
      <c r="J411" s="315"/>
      <c r="K411" s="315"/>
      <c r="L411" s="315">
        <v>1</v>
      </c>
      <c r="M411" s="315">
        <v>1</v>
      </c>
      <c r="N411" s="315"/>
      <c r="O411" s="315"/>
      <c r="P411" s="315"/>
      <c r="Q411" s="315"/>
      <c r="R411" s="315"/>
      <c r="S411" s="315">
        <v>1</v>
      </c>
      <c r="T411" s="315">
        <v>1</v>
      </c>
      <c r="U411" s="315">
        <v>1</v>
      </c>
      <c r="V411" s="315"/>
      <c r="W411" s="315"/>
      <c r="X411" s="315"/>
      <c r="Y411" s="315"/>
      <c r="Z411" s="315"/>
      <c r="AA411" s="315"/>
      <c r="AB411" s="315"/>
      <c r="AC411" s="315"/>
      <c r="AD411" s="315"/>
      <c r="AE411" s="315"/>
      <c r="AF411" s="315"/>
      <c r="AG411" s="315"/>
      <c r="AH411" s="315"/>
      <c r="AI411" s="315"/>
      <c r="AJ411" s="315"/>
      <c r="AK411" s="315"/>
      <c r="AL411" s="315"/>
      <c r="AM411" s="315"/>
      <c r="AN411" s="315">
        <v>1</v>
      </c>
      <c r="AO411" s="315">
        <v>1</v>
      </c>
      <c r="AP411" s="315"/>
      <c r="AQ411" s="316"/>
    </row>
    <row r="412" spans="1:43" s="378" customFormat="1" ht="44.25" customHeight="1">
      <c r="A412" s="313" t="s">
        <v>1505</v>
      </c>
      <c r="B412" s="313" t="s">
        <v>386</v>
      </c>
      <c r="C412" s="314" t="s">
        <v>937</v>
      </c>
      <c r="D412" s="314" t="s">
        <v>1424</v>
      </c>
      <c r="E412" s="314" t="s">
        <v>938</v>
      </c>
      <c r="F412" s="315"/>
      <c r="G412" s="315"/>
      <c r="H412" s="315"/>
      <c r="I412" s="315"/>
      <c r="J412" s="315"/>
      <c r="K412" s="315">
        <v>1</v>
      </c>
      <c r="L412" s="315">
        <v>1</v>
      </c>
      <c r="M412" s="315">
        <v>1</v>
      </c>
      <c r="N412" s="315"/>
      <c r="O412" s="315"/>
      <c r="P412" s="315"/>
      <c r="Q412" s="315"/>
      <c r="R412" s="315"/>
      <c r="S412" s="315">
        <v>1</v>
      </c>
      <c r="T412" s="315">
        <v>1</v>
      </c>
      <c r="U412" s="315">
        <v>1</v>
      </c>
      <c r="V412" s="315"/>
      <c r="W412" s="315"/>
      <c r="X412" s="315"/>
      <c r="Y412" s="315"/>
      <c r="Z412" s="315"/>
      <c r="AA412" s="315">
        <v>1</v>
      </c>
      <c r="AB412" s="315"/>
      <c r="AC412" s="315"/>
      <c r="AD412" s="315"/>
      <c r="AE412" s="315"/>
      <c r="AF412" s="315"/>
      <c r="AG412" s="315"/>
      <c r="AH412" s="315"/>
      <c r="AI412" s="315"/>
      <c r="AJ412" s="315"/>
      <c r="AK412" s="315"/>
      <c r="AL412" s="315">
        <v>1</v>
      </c>
      <c r="AM412" s="315">
        <v>1</v>
      </c>
      <c r="AN412" s="315"/>
      <c r="AO412" s="315">
        <v>1</v>
      </c>
      <c r="AP412" s="315">
        <v>1</v>
      </c>
      <c r="AQ412" s="317">
        <v>1</v>
      </c>
    </row>
    <row r="413" spans="1:43" s="378" customFormat="1" ht="44.25" customHeight="1">
      <c r="A413" s="313" t="s">
        <v>1505</v>
      </c>
      <c r="B413" s="313" t="s">
        <v>386</v>
      </c>
      <c r="C413" s="314" t="s">
        <v>939</v>
      </c>
      <c r="D413" s="314" t="s">
        <v>1432</v>
      </c>
      <c r="E413" s="314" t="s">
        <v>940</v>
      </c>
      <c r="F413" s="315"/>
      <c r="G413" s="315"/>
      <c r="H413" s="315"/>
      <c r="I413" s="315"/>
      <c r="J413" s="315"/>
      <c r="K413" s="315"/>
      <c r="L413" s="315"/>
      <c r="M413" s="315"/>
      <c r="N413" s="315"/>
      <c r="O413" s="315"/>
      <c r="P413" s="315"/>
      <c r="Q413" s="315"/>
      <c r="R413" s="315"/>
      <c r="S413" s="315">
        <v>1</v>
      </c>
      <c r="T413" s="315"/>
      <c r="U413" s="315">
        <v>1</v>
      </c>
      <c r="V413" s="315"/>
      <c r="W413" s="315"/>
      <c r="X413" s="315"/>
      <c r="Y413" s="315"/>
      <c r="Z413" s="315"/>
      <c r="AA413" s="315"/>
      <c r="AB413" s="315"/>
      <c r="AC413" s="315"/>
      <c r="AD413" s="315"/>
      <c r="AE413" s="315"/>
      <c r="AF413" s="315"/>
      <c r="AG413" s="315"/>
      <c r="AH413" s="315"/>
      <c r="AI413" s="315"/>
      <c r="AJ413" s="315"/>
      <c r="AK413" s="315"/>
      <c r="AL413" s="315"/>
      <c r="AM413" s="315"/>
      <c r="AN413" s="315"/>
      <c r="AO413" s="315"/>
      <c r="AP413" s="315"/>
      <c r="AQ413" s="316"/>
    </row>
    <row r="414" spans="1:43" s="378" customFormat="1" ht="44.25" customHeight="1">
      <c r="A414" s="313" t="s">
        <v>1505</v>
      </c>
      <c r="B414" s="313" t="s">
        <v>386</v>
      </c>
      <c r="C414" s="314" t="s">
        <v>941</v>
      </c>
      <c r="D414" s="314" t="s">
        <v>1424</v>
      </c>
      <c r="E414" s="314" t="s">
        <v>942</v>
      </c>
      <c r="F414" s="315"/>
      <c r="G414" s="315"/>
      <c r="H414" s="315"/>
      <c r="I414" s="315"/>
      <c r="J414" s="315"/>
      <c r="K414" s="315">
        <v>1</v>
      </c>
      <c r="L414" s="315"/>
      <c r="M414" s="315"/>
      <c r="N414" s="315"/>
      <c r="O414" s="315"/>
      <c r="P414" s="315"/>
      <c r="Q414" s="315"/>
      <c r="R414" s="315"/>
      <c r="S414" s="315">
        <v>1</v>
      </c>
      <c r="T414" s="315"/>
      <c r="U414" s="315"/>
      <c r="V414" s="315"/>
      <c r="W414" s="315"/>
      <c r="X414" s="315"/>
      <c r="Y414" s="315"/>
      <c r="Z414" s="315"/>
      <c r="AA414" s="315">
        <v>1</v>
      </c>
      <c r="AB414" s="315"/>
      <c r="AC414" s="315"/>
      <c r="AD414" s="315"/>
      <c r="AE414" s="315"/>
      <c r="AF414" s="315"/>
      <c r="AG414" s="315"/>
      <c r="AH414" s="315"/>
      <c r="AI414" s="315"/>
      <c r="AJ414" s="315"/>
      <c r="AK414" s="315"/>
      <c r="AL414" s="315"/>
      <c r="AM414" s="315"/>
      <c r="AN414" s="315"/>
      <c r="AO414" s="315"/>
      <c r="AP414" s="315"/>
      <c r="AQ414" s="316"/>
    </row>
    <row r="415" spans="1:43" s="378" customFormat="1" ht="44.25" customHeight="1">
      <c r="A415" s="313" t="s">
        <v>1505</v>
      </c>
      <c r="B415" s="313" t="s">
        <v>386</v>
      </c>
      <c r="C415" s="314" t="s">
        <v>943</v>
      </c>
      <c r="D415" s="314" t="s">
        <v>1438</v>
      </c>
      <c r="E415" s="314" t="s">
        <v>944</v>
      </c>
      <c r="F415" s="315"/>
      <c r="G415" s="315"/>
      <c r="H415" s="315"/>
      <c r="I415" s="315"/>
      <c r="J415" s="315"/>
      <c r="K415" s="315">
        <v>1</v>
      </c>
      <c r="L415" s="315"/>
      <c r="M415" s="315"/>
      <c r="N415" s="315"/>
      <c r="O415" s="315"/>
      <c r="P415" s="315"/>
      <c r="Q415" s="315"/>
      <c r="R415" s="315"/>
      <c r="S415" s="315">
        <v>1</v>
      </c>
      <c r="T415" s="315"/>
      <c r="U415" s="315"/>
      <c r="V415" s="315"/>
      <c r="W415" s="315"/>
      <c r="X415" s="315"/>
      <c r="Y415" s="315"/>
      <c r="Z415" s="315"/>
      <c r="AA415" s="315">
        <v>1</v>
      </c>
      <c r="AB415" s="315"/>
      <c r="AC415" s="315"/>
      <c r="AD415" s="315"/>
      <c r="AE415" s="315"/>
      <c r="AF415" s="315"/>
      <c r="AG415" s="315"/>
      <c r="AH415" s="315"/>
      <c r="AI415" s="315"/>
      <c r="AJ415" s="315">
        <v>1</v>
      </c>
      <c r="AK415" s="315">
        <v>1</v>
      </c>
      <c r="AL415" s="315"/>
      <c r="AM415" s="315"/>
      <c r="AN415" s="315"/>
      <c r="AO415" s="315"/>
      <c r="AP415" s="315"/>
      <c r="AQ415" s="316"/>
    </row>
    <row r="416" spans="1:43" s="378" customFormat="1" ht="44.25" customHeight="1">
      <c r="A416" s="313" t="s">
        <v>1505</v>
      </c>
      <c r="B416" s="313" t="s">
        <v>386</v>
      </c>
      <c r="C416" s="314" t="s">
        <v>945</v>
      </c>
      <c r="D416" s="314" t="s">
        <v>1434</v>
      </c>
      <c r="E416" s="314" t="s">
        <v>946</v>
      </c>
      <c r="F416" s="315"/>
      <c r="G416" s="315"/>
      <c r="H416" s="315"/>
      <c r="I416" s="315"/>
      <c r="J416" s="315"/>
      <c r="K416" s="315">
        <v>1</v>
      </c>
      <c r="L416" s="315"/>
      <c r="M416" s="315"/>
      <c r="N416" s="315"/>
      <c r="O416" s="315"/>
      <c r="P416" s="315"/>
      <c r="Q416" s="315"/>
      <c r="R416" s="315"/>
      <c r="S416" s="315">
        <v>1</v>
      </c>
      <c r="T416" s="315"/>
      <c r="U416" s="315"/>
      <c r="V416" s="315"/>
      <c r="W416" s="315"/>
      <c r="X416" s="315"/>
      <c r="Y416" s="315"/>
      <c r="Z416" s="315"/>
      <c r="AA416" s="315">
        <v>1</v>
      </c>
      <c r="AB416" s="315"/>
      <c r="AC416" s="315"/>
      <c r="AD416" s="315"/>
      <c r="AE416" s="315"/>
      <c r="AF416" s="315"/>
      <c r="AG416" s="315"/>
      <c r="AH416" s="315"/>
      <c r="AI416" s="315"/>
      <c r="AJ416" s="315">
        <v>1</v>
      </c>
      <c r="AK416" s="315">
        <v>1</v>
      </c>
      <c r="AL416" s="315"/>
      <c r="AM416" s="315"/>
      <c r="AN416" s="315"/>
      <c r="AO416" s="315"/>
      <c r="AP416" s="315"/>
      <c r="AQ416" s="316"/>
    </row>
    <row r="417" spans="1:43" s="378" customFormat="1" ht="44.25" customHeight="1">
      <c r="A417" s="313" t="s">
        <v>1505</v>
      </c>
      <c r="B417" s="313" t="s">
        <v>386</v>
      </c>
      <c r="C417" s="314" t="s">
        <v>947</v>
      </c>
      <c r="D417" s="314" t="s">
        <v>1424</v>
      </c>
      <c r="E417" s="314" t="s">
        <v>948</v>
      </c>
      <c r="F417" s="315"/>
      <c r="G417" s="315"/>
      <c r="H417" s="315"/>
      <c r="I417" s="315"/>
      <c r="J417" s="315"/>
      <c r="K417" s="315">
        <v>1</v>
      </c>
      <c r="L417" s="315"/>
      <c r="M417" s="315"/>
      <c r="N417" s="315"/>
      <c r="O417" s="315"/>
      <c r="P417" s="315"/>
      <c r="Q417" s="315"/>
      <c r="R417" s="315"/>
      <c r="S417" s="315"/>
      <c r="T417" s="315"/>
      <c r="U417" s="315"/>
      <c r="V417" s="315"/>
      <c r="W417" s="315"/>
      <c r="X417" s="315"/>
      <c r="Y417" s="315"/>
      <c r="Z417" s="315"/>
      <c r="AA417" s="315">
        <v>1</v>
      </c>
      <c r="AB417" s="315"/>
      <c r="AC417" s="315"/>
      <c r="AD417" s="315"/>
      <c r="AE417" s="315"/>
      <c r="AF417" s="315"/>
      <c r="AG417" s="315"/>
      <c r="AH417" s="315"/>
      <c r="AI417" s="315"/>
      <c r="AJ417" s="315"/>
      <c r="AK417" s="315"/>
      <c r="AL417" s="315"/>
      <c r="AM417" s="315"/>
      <c r="AN417" s="315"/>
      <c r="AO417" s="315"/>
      <c r="AP417" s="315"/>
      <c r="AQ417" s="316"/>
    </row>
    <row r="418" spans="1:43" s="378" customFormat="1" ht="44.25" customHeight="1">
      <c r="A418" s="313" t="s">
        <v>1505</v>
      </c>
      <c r="B418" s="313" t="s">
        <v>386</v>
      </c>
      <c r="C418" s="314" t="s">
        <v>949</v>
      </c>
      <c r="D418" s="314" t="s">
        <v>1424</v>
      </c>
      <c r="E418" s="314" t="s">
        <v>950</v>
      </c>
      <c r="F418" s="315"/>
      <c r="G418" s="315"/>
      <c r="H418" s="315"/>
      <c r="I418" s="315"/>
      <c r="J418" s="315"/>
      <c r="K418" s="315">
        <v>1</v>
      </c>
      <c r="L418" s="315">
        <v>1</v>
      </c>
      <c r="M418" s="315"/>
      <c r="N418" s="315"/>
      <c r="O418" s="315"/>
      <c r="P418" s="315"/>
      <c r="Q418" s="315"/>
      <c r="R418" s="315"/>
      <c r="S418" s="315"/>
      <c r="T418" s="315">
        <v>1</v>
      </c>
      <c r="U418" s="315"/>
      <c r="V418" s="315"/>
      <c r="W418" s="315"/>
      <c r="X418" s="315"/>
      <c r="Y418" s="315"/>
      <c r="Z418" s="315"/>
      <c r="AA418" s="315">
        <v>1</v>
      </c>
      <c r="AB418" s="315"/>
      <c r="AC418" s="315"/>
      <c r="AD418" s="315"/>
      <c r="AE418" s="315"/>
      <c r="AF418" s="315"/>
      <c r="AG418" s="315"/>
      <c r="AH418" s="315"/>
      <c r="AI418" s="315"/>
      <c r="AJ418" s="315">
        <v>1</v>
      </c>
      <c r="AK418" s="315">
        <v>1</v>
      </c>
      <c r="AL418" s="315"/>
      <c r="AM418" s="315"/>
      <c r="AN418" s="315"/>
      <c r="AO418" s="315"/>
      <c r="AP418" s="315"/>
      <c r="AQ418" s="316"/>
    </row>
    <row r="419" spans="1:43" s="378" customFormat="1" ht="44.25" customHeight="1">
      <c r="A419" s="313" t="s">
        <v>1505</v>
      </c>
      <c r="B419" s="313" t="s">
        <v>395</v>
      </c>
      <c r="C419" s="314" t="s">
        <v>951</v>
      </c>
      <c r="D419" s="314" t="s">
        <v>1428</v>
      </c>
      <c r="E419" s="314" t="s">
        <v>952</v>
      </c>
      <c r="F419" s="315"/>
      <c r="G419" s="315"/>
      <c r="H419" s="315"/>
      <c r="I419" s="315"/>
      <c r="J419" s="315"/>
      <c r="K419" s="315">
        <v>1</v>
      </c>
      <c r="L419" s="315">
        <v>1</v>
      </c>
      <c r="M419" s="315">
        <v>1</v>
      </c>
      <c r="N419" s="315"/>
      <c r="O419" s="315"/>
      <c r="P419" s="315"/>
      <c r="Q419" s="315"/>
      <c r="R419" s="315"/>
      <c r="S419" s="315"/>
      <c r="T419" s="315">
        <v>1</v>
      </c>
      <c r="U419" s="315">
        <v>1</v>
      </c>
      <c r="V419" s="315"/>
      <c r="W419" s="315"/>
      <c r="X419" s="315"/>
      <c r="Y419" s="315"/>
      <c r="Z419" s="315"/>
      <c r="AA419" s="315">
        <v>1</v>
      </c>
      <c r="AB419" s="315"/>
      <c r="AC419" s="315"/>
      <c r="AD419" s="315"/>
      <c r="AE419" s="315"/>
      <c r="AF419" s="315"/>
      <c r="AG419" s="315"/>
      <c r="AH419" s="315"/>
      <c r="AI419" s="315"/>
      <c r="AJ419" s="315">
        <v>1</v>
      </c>
      <c r="AK419" s="315">
        <v>1</v>
      </c>
      <c r="AL419" s="315"/>
      <c r="AM419" s="315">
        <v>1</v>
      </c>
      <c r="AN419" s="315">
        <v>1</v>
      </c>
      <c r="AO419" s="315">
        <v>1</v>
      </c>
      <c r="AP419" s="315"/>
      <c r="AQ419" s="316"/>
    </row>
    <row r="420" spans="1:43" s="378" customFormat="1" ht="44.25" customHeight="1">
      <c r="A420" s="313" t="s">
        <v>1505</v>
      </c>
      <c r="B420" s="313" t="s">
        <v>395</v>
      </c>
      <c r="C420" s="314" t="s">
        <v>953</v>
      </c>
      <c r="D420" s="314" t="s">
        <v>1424</v>
      </c>
      <c r="E420" s="314" t="s">
        <v>954</v>
      </c>
      <c r="F420" s="315"/>
      <c r="G420" s="315"/>
      <c r="H420" s="315"/>
      <c r="I420" s="315"/>
      <c r="J420" s="315"/>
      <c r="K420" s="315">
        <v>1</v>
      </c>
      <c r="L420" s="315">
        <v>1</v>
      </c>
      <c r="M420" s="315">
        <v>1</v>
      </c>
      <c r="N420" s="315"/>
      <c r="O420" s="315"/>
      <c r="P420" s="315"/>
      <c r="Q420" s="315"/>
      <c r="R420" s="315"/>
      <c r="S420" s="315"/>
      <c r="T420" s="315">
        <v>1</v>
      </c>
      <c r="U420" s="315">
        <v>1</v>
      </c>
      <c r="V420" s="315"/>
      <c r="W420" s="315"/>
      <c r="X420" s="315"/>
      <c r="Y420" s="315"/>
      <c r="Z420" s="315"/>
      <c r="AA420" s="315">
        <v>1</v>
      </c>
      <c r="AB420" s="315"/>
      <c r="AC420" s="315"/>
      <c r="AD420" s="315"/>
      <c r="AE420" s="315"/>
      <c r="AF420" s="315"/>
      <c r="AG420" s="315"/>
      <c r="AH420" s="315"/>
      <c r="AI420" s="315"/>
      <c r="AJ420" s="315">
        <v>1</v>
      </c>
      <c r="AK420" s="315">
        <v>1</v>
      </c>
      <c r="AL420" s="315">
        <v>1</v>
      </c>
      <c r="AM420" s="315">
        <v>1</v>
      </c>
      <c r="AN420" s="315">
        <v>1</v>
      </c>
      <c r="AO420" s="315">
        <v>1</v>
      </c>
      <c r="AP420" s="315">
        <v>1</v>
      </c>
      <c r="AQ420" s="316">
        <v>1</v>
      </c>
    </row>
    <row r="421" spans="1:43" s="378" customFormat="1" ht="44.25" customHeight="1">
      <c r="A421" s="313" t="s">
        <v>1505</v>
      </c>
      <c r="B421" s="313" t="s">
        <v>384</v>
      </c>
      <c r="C421" s="314" t="s">
        <v>955</v>
      </c>
      <c r="D421" s="314" t="s">
        <v>1426</v>
      </c>
      <c r="E421" s="314" t="s">
        <v>1536</v>
      </c>
      <c r="F421" s="315"/>
      <c r="G421" s="315"/>
      <c r="H421" s="315"/>
      <c r="I421" s="315"/>
      <c r="J421" s="315"/>
      <c r="K421" s="315">
        <v>1</v>
      </c>
      <c r="L421" s="315">
        <v>1</v>
      </c>
      <c r="M421" s="315">
        <v>1</v>
      </c>
      <c r="N421" s="315"/>
      <c r="O421" s="315"/>
      <c r="P421" s="315"/>
      <c r="Q421" s="315"/>
      <c r="R421" s="315"/>
      <c r="S421" s="315"/>
      <c r="T421" s="315">
        <v>1</v>
      </c>
      <c r="U421" s="315">
        <v>1</v>
      </c>
      <c r="V421" s="315"/>
      <c r="W421" s="315"/>
      <c r="X421" s="315"/>
      <c r="Y421" s="315"/>
      <c r="Z421" s="315"/>
      <c r="AA421" s="315">
        <v>1</v>
      </c>
      <c r="AB421" s="315"/>
      <c r="AC421" s="315"/>
      <c r="AD421" s="315"/>
      <c r="AE421" s="315"/>
      <c r="AF421" s="315"/>
      <c r="AG421" s="315"/>
      <c r="AH421" s="315"/>
      <c r="AI421" s="315">
        <v>1</v>
      </c>
      <c r="AJ421" s="315">
        <v>1</v>
      </c>
      <c r="AK421" s="315">
        <v>1</v>
      </c>
      <c r="AL421" s="315"/>
      <c r="AM421" s="315"/>
      <c r="AN421" s="315">
        <v>1</v>
      </c>
      <c r="AO421" s="315">
        <v>1</v>
      </c>
      <c r="AP421" s="315">
        <v>1</v>
      </c>
      <c r="AQ421" s="316">
        <v>1</v>
      </c>
    </row>
    <row r="422" spans="1:43" s="378" customFormat="1" ht="44.25" customHeight="1">
      <c r="A422" s="313" t="s">
        <v>1505</v>
      </c>
      <c r="B422" s="313" t="s">
        <v>386</v>
      </c>
      <c r="C422" s="314" t="s">
        <v>957</v>
      </c>
      <c r="D422" s="314" t="s">
        <v>1424</v>
      </c>
      <c r="E422" s="314" t="s">
        <v>958</v>
      </c>
      <c r="F422" s="315"/>
      <c r="G422" s="315"/>
      <c r="H422" s="315"/>
      <c r="I422" s="315"/>
      <c r="J422" s="315"/>
      <c r="K422" s="315"/>
      <c r="L422" s="315">
        <v>1</v>
      </c>
      <c r="M422" s="315">
        <v>1</v>
      </c>
      <c r="N422" s="315"/>
      <c r="O422" s="315"/>
      <c r="P422" s="315"/>
      <c r="Q422" s="315"/>
      <c r="R422" s="315"/>
      <c r="S422" s="315"/>
      <c r="T422" s="315">
        <v>1</v>
      </c>
      <c r="U422" s="315">
        <v>1</v>
      </c>
      <c r="V422" s="315"/>
      <c r="W422" s="315"/>
      <c r="X422" s="315"/>
      <c r="Y422" s="315"/>
      <c r="Z422" s="315"/>
      <c r="AA422" s="315"/>
      <c r="AB422" s="315"/>
      <c r="AC422" s="315"/>
      <c r="AD422" s="315"/>
      <c r="AE422" s="315"/>
      <c r="AF422" s="315"/>
      <c r="AG422" s="315"/>
      <c r="AH422" s="315"/>
      <c r="AI422" s="315"/>
      <c r="AJ422" s="315"/>
      <c r="AK422" s="315"/>
      <c r="AL422" s="315">
        <v>1</v>
      </c>
      <c r="AM422" s="315">
        <v>1</v>
      </c>
      <c r="AN422" s="315">
        <v>1</v>
      </c>
      <c r="AO422" s="315">
        <v>1</v>
      </c>
      <c r="AP422" s="315">
        <v>1</v>
      </c>
      <c r="AQ422" s="316">
        <v>1</v>
      </c>
    </row>
    <row r="423" spans="1:43" s="378" customFormat="1" ht="44.25" customHeight="1">
      <c r="A423" s="313" t="s">
        <v>1505</v>
      </c>
      <c r="B423" s="313" t="s">
        <v>386</v>
      </c>
      <c r="C423" s="314" t="s">
        <v>959</v>
      </c>
      <c r="D423" s="314" t="s">
        <v>1454</v>
      </c>
      <c r="E423" s="314" t="s">
        <v>960</v>
      </c>
      <c r="F423" s="315"/>
      <c r="G423" s="315"/>
      <c r="H423" s="315"/>
      <c r="I423" s="315"/>
      <c r="J423" s="315"/>
      <c r="K423" s="315"/>
      <c r="L423" s="315"/>
      <c r="M423" s="315"/>
      <c r="N423" s="315"/>
      <c r="O423" s="315"/>
      <c r="P423" s="315"/>
      <c r="Q423" s="315"/>
      <c r="R423" s="315"/>
      <c r="S423" s="315"/>
      <c r="T423" s="315"/>
      <c r="U423" s="315"/>
      <c r="V423" s="315"/>
      <c r="W423" s="315"/>
      <c r="X423" s="315"/>
      <c r="Y423" s="315"/>
      <c r="Z423" s="315"/>
      <c r="AA423" s="315"/>
      <c r="AB423" s="315"/>
      <c r="AC423" s="315"/>
      <c r="AD423" s="315"/>
      <c r="AE423" s="315"/>
      <c r="AF423" s="315"/>
      <c r="AG423" s="315"/>
      <c r="AH423" s="315"/>
      <c r="AI423" s="315"/>
      <c r="AJ423" s="315"/>
      <c r="AK423" s="315"/>
      <c r="AL423" s="315"/>
      <c r="AM423" s="315">
        <v>1</v>
      </c>
      <c r="AN423" s="315"/>
      <c r="AO423" s="315"/>
      <c r="AP423" s="315"/>
      <c r="AQ423" s="316"/>
    </row>
    <row r="424" spans="1:43" s="378" customFormat="1" ht="44.25" customHeight="1">
      <c r="A424" s="313" t="s">
        <v>1505</v>
      </c>
      <c r="B424" s="313" t="s">
        <v>386</v>
      </c>
      <c r="C424" s="314" t="s">
        <v>961</v>
      </c>
      <c r="D424" s="314" t="s">
        <v>1424</v>
      </c>
      <c r="E424" s="314" t="s">
        <v>962</v>
      </c>
      <c r="F424" s="315"/>
      <c r="G424" s="315"/>
      <c r="H424" s="315"/>
      <c r="I424" s="315"/>
      <c r="J424" s="315"/>
      <c r="K424" s="315"/>
      <c r="L424" s="315"/>
      <c r="M424" s="315"/>
      <c r="N424" s="315"/>
      <c r="O424" s="315"/>
      <c r="P424" s="315"/>
      <c r="Q424" s="315"/>
      <c r="R424" s="315"/>
      <c r="S424" s="315"/>
      <c r="T424" s="315"/>
      <c r="U424" s="315"/>
      <c r="V424" s="315"/>
      <c r="W424" s="315"/>
      <c r="X424" s="315"/>
      <c r="Y424" s="315"/>
      <c r="Z424" s="315"/>
      <c r="AA424" s="315"/>
      <c r="AB424" s="315"/>
      <c r="AC424" s="315"/>
      <c r="AD424" s="315"/>
      <c r="AE424" s="315"/>
      <c r="AF424" s="315"/>
      <c r="AG424" s="315"/>
      <c r="AH424" s="315"/>
      <c r="AI424" s="315"/>
      <c r="AJ424" s="315"/>
      <c r="AK424" s="315"/>
      <c r="AL424" s="315"/>
      <c r="AM424" s="315"/>
      <c r="AN424" s="315"/>
      <c r="AO424" s="315"/>
      <c r="AP424" s="315"/>
      <c r="AQ424" s="316"/>
    </row>
    <row r="425" spans="1:43" s="378" customFormat="1" ht="44.25" customHeight="1">
      <c r="A425" s="313" t="s">
        <v>1505</v>
      </c>
      <c r="B425" s="313" t="s">
        <v>386</v>
      </c>
      <c r="C425" s="314" t="s">
        <v>963</v>
      </c>
      <c r="D425" s="314" t="s">
        <v>1432</v>
      </c>
      <c r="E425" s="314" t="s">
        <v>964</v>
      </c>
      <c r="F425" s="315"/>
      <c r="G425" s="315"/>
      <c r="H425" s="315"/>
      <c r="I425" s="315"/>
      <c r="J425" s="315"/>
      <c r="K425" s="315"/>
      <c r="L425" s="315"/>
      <c r="M425" s="315">
        <v>1</v>
      </c>
      <c r="N425" s="315"/>
      <c r="O425" s="315"/>
      <c r="P425" s="315"/>
      <c r="Q425" s="315"/>
      <c r="R425" s="315"/>
      <c r="S425" s="315"/>
      <c r="T425" s="315"/>
      <c r="U425" s="315"/>
      <c r="V425" s="315"/>
      <c r="W425" s="315"/>
      <c r="X425" s="315"/>
      <c r="Y425" s="315"/>
      <c r="Z425" s="315"/>
      <c r="AA425" s="315">
        <v>1</v>
      </c>
      <c r="AB425" s="315"/>
      <c r="AC425" s="315"/>
      <c r="AD425" s="315"/>
      <c r="AE425" s="315"/>
      <c r="AF425" s="315"/>
      <c r="AG425" s="315"/>
      <c r="AH425" s="315"/>
      <c r="AI425" s="315"/>
      <c r="AJ425" s="315"/>
      <c r="AK425" s="315"/>
      <c r="AL425" s="315"/>
      <c r="AM425" s="315"/>
      <c r="AN425" s="315"/>
      <c r="AO425" s="315"/>
      <c r="AP425" s="315"/>
      <c r="AQ425" s="316"/>
    </row>
    <row r="426" spans="1:43" s="378" customFormat="1" ht="44.25" customHeight="1">
      <c r="A426" s="313" t="s">
        <v>1505</v>
      </c>
      <c r="B426" s="313" t="s">
        <v>386</v>
      </c>
      <c r="C426" s="314" t="s">
        <v>965</v>
      </c>
      <c r="D426" s="314" t="s">
        <v>1456</v>
      </c>
      <c r="E426" s="314" t="s">
        <v>966</v>
      </c>
      <c r="F426" s="315"/>
      <c r="G426" s="315"/>
      <c r="H426" s="315"/>
      <c r="I426" s="315"/>
      <c r="J426" s="315"/>
      <c r="K426" s="315"/>
      <c r="L426" s="315"/>
      <c r="M426" s="315"/>
      <c r="N426" s="315"/>
      <c r="O426" s="315"/>
      <c r="P426" s="315"/>
      <c r="Q426" s="315"/>
      <c r="R426" s="315"/>
      <c r="S426" s="315"/>
      <c r="T426" s="315"/>
      <c r="U426" s="315"/>
      <c r="V426" s="315"/>
      <c r="W426" s="315"/>
      <c r="X426" s="315"/>
      <c r="Y426" s="315"/>
      <c r="Z426" s="315"/>
      <c r="AA426" s="315"/>
      <c r="AB426" s="315"/>
      <c r="AC426" s="315"/>
      <c r="AD426" s="315"/>
      <c r="AE426" s="315"/>
      <c r="AF426" s="315"/>
      <c r="AG426" s="315"/>
      <c r="AH426" s="315"/>
      <c r="AI426" s="315"/>
      <c r="AJ426" s="315"/>
      <c r="AK426" s="315"/>
      <c r="AL426" s="315">
        <v>1</v>
      </c>
      <c r="AM426" s="315"/>
      <c r="AN426" s="315"/>
      <c r="AO426" s="315"/>
      <c r="AP426" s="315"/>
      <c r="AQ426" s="316"/>
    </row>
    <row r="427" spans="1:43" s="378" customFormat="1" ht="44.25" customHeight="1">
      <c r="A427" s="313" t="s">
        <v>1505</v>
      </c>
      <c r="B427" s="313" t="s">
        <v>386</v>
      </c>
      <c r="C427" s="314" t="s">
        <v>967</v>
      </c>
      <c r="D427" s="314" t="s">
        <v>1456</v>
      </c>
      <c r="E427" s="314" t="s">
        <v>968</v>
      </c>
      <c r="F427" s="315"/>
      <c r="G427" s="315"/>
      <c r="H427" s="315"/>
      <c r="I427" s="315"/>
      <c r="J427" s="315"/>
      <c r="K427" s="315"/>
      <c r="L427" s="315"/>
      <c r="M427" s="315"/>
      <c r="N427" s="315"/>
      <c r="O427" s="315"/>
      <c r="P427" s="315"/>
      <c r="Q427" s="315"/>
      <c r="R427" s="315"/>
      <c r="S427" s="315"/>
      <c r="T427" s="315"/>
      <c r="U427" s="315"/>
      <c r="V427" s="315"/>
      <c r="W427" s="315"/>
      <c r="X427" s="315"/>
      <c r="Y427" s="315"/>
      <c r="Z427" s="315"/>
      <c r="AA427" s="315"/>
      <c r="AB427" s="315"/>
      <c r="AC427" s="315"/>
      <c r="AD427" s="315"/>
      <c r="AE427" s="315"/>
      <c r="AF427" s="315"/>
      <c r="AG427" s="315"/>
      <c r="AH427" s="315"/>
      <c r="AI427" s="315"/>
      <c r="AJ427" s="315"/>
      <c r="AK427" s="315"/>
      <c r="AL427" s="315"/>
      <c r="AM427" s="315"/>
      <c r="AN427" s="315"/>
      <c r="AO427" s="315"/>
      <c r="AP427" s="315"/>
      <c r="AQ427" s="316"/>
    </row>
    <row r="428" spans="1:43" s="378" customFormat="1" ht="44.25" customHeight="1">
      <c r="A428" s="313" t="s">
        <v>1505</v>
      </c>
      <c r="B428" s="313" t="s">
        <v>386</v>
      </c>
      <c r="C428" s="314" t="s">
        <v>969</v>
      </c>
      <c r="D428" s="314" t="s">
        <v>1434</v>
      </c>
      <c r="E428" s="314" t="s">
        <v>970</v>
      </c>
      <c r="F428" s="315"/>
      <c r="G428" s="315"/>
      <c r="H428" s="315"/>
      <c r="I428" s="315"/>
      <c r="J428" s="315"/>
      <c r="K428" s="315"/>
      <c r="L428" s="315"/>
      <c r="M428" s="315"/>
      <c r="N428" s="315"/>
      <c r="O428" s="315"/>
      <c r="P428" s="315"/>
      <c r="Q428" s="315"/>
      <c r="R428" s="315"/>
      <c r="S428" s="315"/>
      <c r="T428" s="315"/>
      <c r="U428" s="315"/>
      <c r="V428" s="315"/>
      <c r="W428" s="315"/>
      <c r="X428" s="315"/>
      <c r="Y428" s="315"/>
      <c r="Z428" s="315"/>
      <c r="AA428" s="315"/>
      <c r="AB428" s="315"/>
      <c r="AC428" s="315"/>
      <c r="AD428" s="315"/>
      <c r="AE428" s="315"/>
      <c r="AF428" s="315"/>
      <c r="AG428" s="315"/>
      <c r="AH428" s="315"/>
      <c r="AI428" s="315"/>
      <c r="AJ428" s="315"/>
      <c r="AK428" s="315"/>
      <c r="AL428" s="315"/>
      <c r="AM428" s="315"/>
      <c r="AN428" s="315"/>
      <c r="AO428" s="315"/>
      <c r="AP428" s="315"/>
      <c r="AQ428" s="316"/>
    </row>
    <row r="429" spans="1:43" s="378" customFormat="1" ht="44.25" customHeight="1">
      <c r="A429" s="313" t="s">
        <v>1505</v>
      </c>
      <c r="B429" s="313" t="s">
        <v>386</v>
      </c>
      <c r="C429" s="314" t="s">
        <v>971</v>
      </c>
      <c r="D429" s="314" t="s">
        <v>1424</v>
      </c>
      <c r="E429" s="314" t="s">
        <v>972</v>
      </c>
      <c r="F429" s="315"/>
      <c r="G429" s="315"/>
      <c r="H429" s="315"/>
      <c r="I429" s="315"/>
      <c r="J429" s="315"/>
      <c r="K429" s="315">
        <v>1</v>
      </c>
      <c r="L429" s="315"/>
      <c r="M429" s="315"/>
      <c r="N429" s="315"/>
      <c r="O429" s="315"/>
      <c r="P429" s="315"/>
      <c r="Q429" s="315"/>
      <c r="R429" s="315"/>
      <c r="S429" s="315"/>
      <c r="T429" s="315"/>
      <c r="U429" s="315"/>
      <c r="V429" s="315"/>
      <c r="W429" s="315"/>
      <c r="X429" s="315"/>
      <c r="Y429" s="315"/>
      <c r="Z429" s="315"/>
      <c r="AA429" s="315"/>
      <c r="AB429" s="315"/>
      <c r="AC429" s="315"/>
      <c r="AD429" s="315"/>
      <c r="AE429" s="315"/>
      <c r="AF429" s="315"/>
      <c r="AG429" s="315"/>
      <c r="AH429" s="315"/>
      <c r="AI429" s="315"/>
      <c r="AJ429" s="315"/>
      <c r="AK429" s="315"/>
      <c r="AL429" s="315"/>
      <c r="AM429" s="315">
        <v>1</v>
      </c>
      <c r="AN429" s="315"/>
      <c r="AO429" s="315"/>
      <c r="AP429" s="315"/>
      <c r="AQ429" s="317"/>
    </row>
    <row r="430" spans="1:43" s="378" customFormat="1" ht="44.25" customHeight="1">
      <c r="A430" s="313" t="s">
        <v>1505</v>
      </c>
      <c r="B430" s="313" t="s">
        <v>386</v>
      </c>
      <c r="C430" s="314" t="s">
        <v>973</v>
      </c>
      <c r="D430" s="314" t="s">
        <v>1424</v>
      </c>
      <c r="E430" s="314" t="s">
        <v>974</v>
      </c>
      <c r="F430" s="315"/>
      <c r="G430" s="315"/>
      <c r="H430" s="315"/>
      <c r="I430" s="315"/>
      <c r="J430" s="315"/>
      <c r="K430" s="315"/>
      <c r="L430" s="315"/>
      <c r="M430" s="315"/>
      <c r="N430" s="315"/>
      <c r="O430" s="315"/>
      <c r="P430" s="315"/>
      <c r="Q430" s="315"/>
      <c r="R430" s="315"/>
      <c r="S430" s="315"/>
      <c r="T430" s="315"/>
      <c r="U430" s="315"/>
      <c r="V430" s="315"/>
      <c r="W430" s="315"/>
      <c r="X430" s="315"/>
      <c r="Y430" s="315"/>
      <c r="Z430" s="315"/>
      <c r="AA430" s="315"/>
      <c r="AB430" s="315"/>
      <c r="AC430" s="315"/>
      <c r="AD430" s="315"/>
      <c r="AE430" s="315"/>
      <c r="AF430" s="315"/>
      <c r="AG430" s="315"/>
      <c r="AH430" s="315"/>
      <c r="AI430" s="315"/>
      <c r="AJ430" s="315"/>
      <c r="AK430" s="315"/>
      <c r="AL430" s="315"/>
      <c r="AM430" s="315"/>
      <c r="AN430" s="315"/>
      <c r="AO430" s="315"/>
      <c r="AP430" s="315"/>
      <c r="AQ430" s="317"/>
    </row>
    <row r="431" spans="1:43" s="378" customFormat="1" ht="44.25" customHeight="1">
      <c r="A431" s="313" t="s">
        <v>1505</v>
      </c>
      <c r="B431" s="313" t="s">
        <v>386</v>
      </c>
      <c r="C431" s="314" t="s">
        <v>975</v>
      </c>
      <c r="D431" s="314" t="s">
        <v>1432</v>
      </c>
      <c r="E431" s="314" t="s">
        <v>976</v>
      </c>
      <c r="F431" s="315"/>
      <c r="G431" s="315"/>
      <c r="H431" s="315"/>
      <c r="I431" s="315"/>
      <c r="J431" s="315"/>
      <c r="K431" s="315"/>
      <c r="L431" s="315"/>
      <c r="M431" s="315">
        <v>1</v>
      </c>
      <c r="N431" s="315"/>
      <c r="O431" s="315"/>
      <c r="P431" s="315"/>
      <c r="Q431" s="315"/>
      <c r="R431" s="315"/>
      <c r="S431" s="315"/>
      <c r="T431" s="315"/>
      <c r="U431" s="315">
        <v>1</v>
      </c>
      <c r="V431" s="315"/>
      <c r="W431" s="315"/>
      <c r="X431" s="315"/>
      <c r="Y431" s="315"/>
      <c r="Z431" s="315"/>
      <c r="AA431" s="315"/>
      <c r="AB431" s="315"/>
      <c r="AC431" s="315"/>
      <c r="AD431" s="315"/>
      <c r="AE431" s="315"/>
      <c r="AF431" s="315"/>
      <c r="AG431" s="315"/>
      <c r="AH431" s="315"/>
      <c r="AI431" s="315"/>
      <c r="AJ431" s="315"/>
      <c r="AK431" s="315"/>
      <c r="AL431" s="315"/>
      <c r="AM431" s="315"/>
      <c r="AN431" s="315"/>
      <c r="AO431" s="315"/>
      <c r="AP431" s="315"/>
      <c r="AQ431" s="317"/>
    </row>
    <row r="432" spans="1:43" s="378" customFormat="1" ht="44.25" customHeight="1">
      <c r="A432" s="313" t="s">
        <v>1505</v>
      </c>
      <c r="B432" s="313" t="s">
        <v>386</v>
      </c>
      <c r="C432" s="314" t="s">
        <v>977</v>
      </c>
      <c r="D432" s="314" t="s">
        <v>1424</v>
      </c>
      <c r="E432" s="314" t="s">
        <v>978</v>
      </c>
      <c r="F432" s="315"/>
      <c r="G432" s="315"/>
      <c r="H432" s="315"/>
      <c r="I432" s="315"/>
      <c r="J432" s="315"/>
      <c r="K432" s="315"/>
      <c r="L432" s="315"/>
      <c r="M432" s="315"/>
      <c r="N432" s="315"/>
      <c r="O432" s="315"/>
      <c r="P432" s="315"/>
      <c r="Q432" s="315"/>
      <c r="R432" s="315"/>
      <c r="S432" s="315">
        <v>1</v>
      </c>
      <c r="T432" s="315"/>
      <c r="U432" s="315"/>
      <c r="V432" s="315"/>
      <c r="W432" s="315"/>
      <c r="X432" s="315"/>
      <c r="Y432" s="315"/>
      <c r="Z432" s="315"/>
      <c r="AA432" s="315"/>
      <c r="AB432" s="315"/>
      <c r="AC432" s="315"/>
      <c r="AD432" s="315"/>
      <c r="AE432" s="315"/>
      <c r="AF432" s="315"/>
      <c r="AG432" s="315"/>
      <c r="AH432" s="315"/>
      <c r="AI432" s="315"/>
      <c r="AJ432" s="315"/>
      <c r="AK432" s="315"/>
      <c r="AL432" s="315"/>
      <c r="AM432" s="315"/>
      <c r="AN432" s="315"/>
      <c r="AO432" s="315"/>
      <c r="AP432" s="315"/>
      <c r="AQ432" s="317"/>
    </row>
    <row r="433" spans="1:43" s="378" customFormat="1" ht="44.25" customHeight="1">
      <c r="A433" s="313" t="s">
        <v>1505</v>
      </c>
      <c r="B433" s="313" t="s">
        <v>386</v>
      </c>
      <c r="C433" s="314" t="s">
        <v>979</v>
      </c>
      <c r="D433" s="314" t="s">
        <v>1454</v>
      </c>
      <c r="E433" s="314" t="s">
        <v>980</v>
      </c>
      <c r="F433" s="315"/>
      <c r="G433" s="315"/>
      <c r="H433" s="315"/>
      <c r="I433" s="315"/>
      <c r="J433" s="315"/>
      <c r="K433" s="315"/>
      <c r="L433" s="315"/>
      <c r="M433" s="315"/>
      <c r="N433" s="315"/>
      <c r="O433" s="315"/>
      <c r="P433" s="315"/>
      <c r="Q433" s="315"/>
      <c r="R433" s="315"/>
      <c r="S433" s="315"/>
      <c r="T433" s="315"/>
      <c r="U433" s="315"/>
      <c r="V433" s="315"/>
      <c r="W433" s="315"/>
      <c r="X433" s="315"/>
      <c r="Y433" s="315"/>
      <c r="Z433" s="315"/>
      <c r="AA433" s="315"/>
      <c r="AB433" s="315"/>
      <c r="AC433" s="315"/>
      <c r="AD433" s="315"/>
      <c r="AE433" s="315"/>
      <c r="AF433" s="315"/>
      <c r="AG433" s="315"/>
      <c r="AH433" s="315"/>
      <c r="AI433" s="315"/>
      <c r="AJ433" s="315"/>
      <c r="AK433" s="315"/>
      <c r="AL433" s="315"/>
      <c r="AM433" s="315">
        <v>1</v>
      </c>
      <c r="AN433" s="315"/>
      <c r="AO433" s="315"/>
      <c r="AP433" s="315"/>
      <c r="AQ433" s="317"/>
    </row>
    <row r="434" spans="1:43" s="378" customFormat="1" ht="44.25" customHeight="1">
      <c r="A434" s="313" t="s">
        <v>1505</v>
      </c>
      <c r="B434" s="313" t="s">
        <v>386</v>
      </c>
      <c r="C434" s="314" t="s">
        <v>981</v>
      </c>
      <c r="D434" s="314" t="s">
        <v>1432</v>
      </c>
      <c r="E434" s="314" t="s">
        <v>982</v>
      </c>
      <c r="F434" s="315"/>
      <c r="G434" s="315"/>
      <c r="H434" s="315"/>
      <c r="I434" s="315"/>
      <c r="J434" s="315"/>
      <c r="K434" s="315">
        <v>1</v>
      </c>
      <c r="L434" s="315"/>
      <c r="M434" s="315"/>
      <c r="N434" s="315"/>
      <c r="O434" s="315"/>
      <c r="P434" s="315"/>
      <c r="Q434" s="315"/>
      <c r="R434" s="315"/>
      <c r="S434" s="315"/>
      <c r="T434" s="315"/>
      <c r="U434" s="315"/>
      <c r="V434" s="315"/>
      <c r="W434" s="315"/>
      <c r="X434" s="315"/>
      <c r="Y434" s="315"/>
      <c r="Z434" s="315"/>
      <c r="AA434" s="315">
        <v>1</v>
      </c>
      <c r="AB434" s="315"/>
      <c r="AC434" s="315"/>
      <c r="AD434" s="315"/>
      <c r="AE434" s="315"/>
      <c r="AF434" s="315"/>
      <c r="AG434" s="315"/>
      <c r="AH434" s="315"/>
      <c r="AI434" s="315"/>
      <c r="AJ434" s="315"/>
      <c r="AK434" s="315"/>
      <c r="AL434" s="315"/>
      <c r="AM434" s="315"/>
      <c r="AN434" s="315"/>
      <c r="AO434" s="315"/>
      <c r="AP434" s="315"/>
      <c r="AQ434" s="317"/>
    </row>
    <row r="435" spans="1:43" s="378" customFormat="1" ht="44.25" customHeight="1">
      <c r="A435" s="313" t="s">
        <v>1505</v>
      </c>
      <c r="B435" s="313" t="s">
        <v>386</v>
      </c>
      <c r="C435" s="314" t="s">
        <v>983</v>
      </c>
      <c r="D435" s="314" t="s">
        <v>1424</v>
      </c>
      <c r="E435" s="314" t="s">
        <v>984</v>
      </c>
      <c r="F435" s="315"/>
      <c r="G435" s="315"/>
      <c r="H435" s="315"/>
      <c r="I435" s="315"/>
      <c r="J435" s="315"/>
      <c r="K435" s="315"/>
      <c r="L435" s="315"/>
      <c r="M435" s="315"/>
      <c r="N435" s="315"/>
      <c r="O435" s="315"/>
      <c r="P435" s="315"/>
      <c r="Q435" s="315"/>
      <c r="R435" s="315"/>
      <c r="S435" s="315"/>
      <c r="T435" s="315"/>
      <c r="U435" s="315"/>
      <c r="V435" s="315"/>
      <c r="W435" s="315"/>
      <c r="X435" s="315"/>
      <c r="Y435" s="315"/>
      <c r="Z435" s="315"/>
      <c r="AA435" s="315"/>
      <c r="AB435" s="315"/>
      <c r="AC435" s="315"/>
      <c r="AD435" s="315"/>
      <c r="AE435" s="315"/>
      <c r="AF435" s="315"/>
      <c r="AG435" s="315"/>
      <c r="AH435" s="315"/>
      <c r="AI435" s="315"/>
      <c r="AJ435" s="315">
        <v>1</v>
      </c>
      <c r="AK435" s="315">
        <v>1</v>
      </c>
      <c r="AL435" s="315"/>
      <c r="AM435" s="315"/>
      <c r="AN435" s="315"/>
      <c r="AO435" s="315"/>
      <c r="AP435" s="315">
        <v>1</v>
      </c>
      <c r="AQ435" s="317">
        <v>1</v>
      </c>
    </row>
    <row r="436" spans="1:43" s="378" customFormat="1" ht="44.25" customHeight="1">
      <c r="A436" s="313" t="s">
        <v>1505</v>
      </c>
      <c r="B436" s="313" t="s">
        <v>386</v>
      </c>
      <c r="C436" s="314" t="s">
        <v>985</v>
      </c>
      <c r="D436" s="314" t="s">
        <v>1424</v>
      </c>
      <c r="E436" s="314" t="s">
        <v>986</v>
      </c>
      <c r="F436" s="315"/>
      <c r="G436" s="315"/>
      <c r="H436" s="315"/>
      <c r="I436" s="315"/>
      <c r="J436" s="315"/>
      <c r="K436" s="315">
        <v>1</v>
      </c>
      <c r="L436" s="315"/>
      <c r="M436" s="315"/>
      <c r="N436" s="315"/>
      <c r="O436" s="315"/>
      <c r="P436" s="315"/>
      <c r="Q436" s="315"/>
      <c r="R436" s="315"/>
      <c r="S436" s="315"/>
      <c r="T436" s="315"/>
      <c r="U436" s="315"/>
      <c r="V436" s="315"/>
      <c r="W436" s="315"/>
      <c r="X436" s="315"/>
      <c r="Y436" s="315"/>
      <c r="Z436" s="315"/>
      <c r="AA436" s="315"/>
      <c r="AB436" s="315"/>
      <c r="AC436" s="315"/>
      <c r="AD436" s="315"/>
      <c r="AE436" s="315"/>
      <c r="AF436" s="315"/>
      <c r="AG436" s="315"/>
      <c r="AH436" s="315"/>
      <c r="AI436" s="315"/>
      <c r="AJ436" s="315">
        <v>1</v>
      </c>
      <c r="AK436" s="315">
        <v>1</v>
      </c>
      <c r="AL436" s="315"/>
      <c r="AM436" s="315"/>
      <c r="AN436" s="315"/>
      <c r="AO436" s="315"/>
      <c r="AP436" s="315"/>
      <c r="AQ436" s="317"/>
    </row>
    <row r="437" spans="1:43" s="378" customFormat="1" ht="44.25" customHeight="1">
      <c r="A437" s="313" t="s">
        <v>1505</v>
      </c>
      <c r="B437" s="313" t="s">
        <v>386</v>
      </c>
      <c r="C437" s="314" t="s">
        <v>987</v>
      </c>
      <c r="D437" s="314" t="s">
        <v>1424</v>
      </c>
      <c r="E437" s="314" t="s">
        <v>988</v>
      </c>
      <c r="F437" s="315"/>
      <c r="G437" s="315"/>
      <c r="H437" s="315"/>
      <c r="I437" s="315"/>
      <c r="J437" s="315"/>
      <c r="K437" s="315"/>
      <c r="L437" s="315"/>
      <c r="M437" s="315"/>
      <c r="N437" s="315"/>
      <c r="O437" s="315"/>
      <c r="P437" s="315"/>
      <c r="Q437" s="315"/>
      <c r="R437" s="315"/>
      <c r="S437" s="315"/>
      <c r="T437" s="315"/>
      <c r="U437" s="315"/>
      <c r="V437" s="315"/>
      <c r="W437" s="315"/>
      <c r="X437" s="315"/>
      <c r="Y437" s="315"/>
      <c r="Z437" s="315"/>
      <c r="AA437" s="315"/>
      <c r="AB437" s="315"/>
      <c r="AC437" s="315"/>
      <c r="AD437" s="315"/>
      <c r="AE437" s="315"/>
      <c r="AF437" s="315"/>
      <c r="AG437" s="315"/>
      <c r="AH437" s="315"/>
      <c r="AI437" s="315"/>
      <c r="AJ437" s="315"/>
      <c r="AK437" s="315"/>
      <c r="AL437" s="315"/>
      <c r="AM437" s="315"/>
      <c r="AN437" s="315"/>
      <c r="AO437" s="315"/>
      <c r="AP437" s="315"/>
      <c r="AQ437" s="317"/>
    </row>
    <row r="438" spans="1:43" s="378" customFormat="1" ht="44.25" customHeight="1">
      <c r="A438" s="313" t="s">
        <v>1505</v>
      </c>
      <c r="B438" s="313" t="s">
        <v>386</v>
      </c>
      <c r="C438" s="314" t="s">
        <v>989</v>
      </c>
      <c r="D438" s="314" t="s">
        <v>1432</v>
      </c>
      <c r="E438" s="314" t="s">
        <v>990</v>
      </c>
      <c r="F438" s="315"/>
      <c r="G438" s="315"/>
      <c r="H438" s="315"/>
      <c r="I438" s="315"/>
      <c r="J438" s="315"/>
      <c r="K438" s="315">
        <v>1</v>
      </c>
      <c r="L438" s="315"/>
      <c r="M438" s="315"/>
      <c r="N438" s="315"/>
      <c r="O438" s="315"/>
      <c r="P438" s="315"/>
      <c r="Q438" s="315"/>
      <c r="R438" s="315"/>
      <c r="S438" s="315"/>
      <c r="T438" s="315"/>
      <c r="U438" s="315">
        <v>1</v>
      </c>
      <c r="V438" s="315"/>
      <c r="W438" s="315"/>
      <c r="X438" s="315"/>
      <c r="Y438" s="315"/>
      <c r="Z438" s="315"/>
      <c r="AA438" s="315">
        <v>1</v>
      </c>
      <c r="AB438" s="315"/>
      <c r="AC438" s="315"/>
      <c r="AD438" s="315"/>
      <c r="AE438" s="315"/>
      <c r="AF438" s="315"/>
      <c r="AG438" s="315"/>
      <c r="AH438" s="315"/>
      <c r="AI438" s="315"/>
      <c r="AJ438" s="315"/>
      <c r="AK438" s="315"/>
      <c r="AL438" s="315">
        <v>1</v>
      </c>
      <c r="AM438" s="315"/>
      <c r="AN438" s="315"/>
      <c r="AO438" s="315"/>
      <c r="AP438" s="315"/>
      <c r="AQ438" s="317"/>
    </row>
    <row r="439" spans="1:43" s="378" customFormat="1" ht="44.25" customHeight="1">
      <c r="A439" s="313" t="s">
        <v>1505</v>
      </c>
      <c r="B439" s="313" t="s">
        <v>386</v>
      </c>
      <c r="C439" s="314" t="s">
        <v>991</v>
      </c>
      <c r="D439" s="314" t="s">
        <v>1434</v>
      </c>
      <c r="E439" s="314" t="s">
        <v>992</v>
      </c>
      <c r="F439" s="315"/>
      <c r="G439" s="315"/>
      <c r="H439" s="315"/>
      <c r="I439" s="315"/>
      <c r="J439" s="315"/>
      <c r="K439" s="315"/>
      <c r="L439" s="315"/>
      <c r="M439" s="315"/>
      <c r="N439" s="315"/>
      <c r="O439" s="315"/>
      <c r="P439" s="315"/>
      <c r="Q439" s="315"/>
      <c r="R439" s="315"/>
      <c r="S439" s="315"/>
      <c r="T439" s="315">
        <v>1</v>
      </c>
      <c r="U439" s="315"/>
      <c r="V439" s="315"/>
      <c r="W439" s="315"/>
      <c r="X439" s="315"/>
      <c r="Y439" s="315"/>
      <c r="Z439" s="315"/>
      <c r="AA439" s="315">
        <v>1</v>
      </c>
      <c r="AB439" s="315"/>
      <c r="AC439" s="315"/>
      <c r="AD439" s="315"/>
      <c r="AE439" s="315"/>
      <c r="AF439" s="315"/>
      <c r="AG439" s="315"/>
      <c r="AH439" s="315"/>
      <c r="AI439" s="315"/>
      <c r="AJ439" s="315"/>
      <c r="AK439" s="315"/>
      <c r="AL439" s="315"/>
      <c r="AM439" s="315"/>
      <c r="AN439" s="315"/>
      <c r="AO439" s="315"/>
      <c r="AP439" s="315"/>
      <c r="AQ439" s="317"/>
    </row>
    <row r="440" spans="1:43" s="378" customFormat="1" ht="44.25" customHeight="1">
      <c r="A440" s="313" t="s">
        <v>1505</v>
      </c>
      <c r="B440" s="313" t="s">
        <v>386</v>
      </c>
      <c r="C440" s="314" t="s">
        <v>993</v>
      </c>
      <c r="D440" s="314" t="s">
        <v>1424</v>
      </c>
      <c r="E440" s="314" t="s">
        <v>994</v>
      </c>
      <c r="F440" s="315"/>
      <c r="G440" s="315"/>
      <c r="H440" s="315"/>
      <c r="I440" s="315"/>
      <c r="J440" s="315"/>
      <c r="K440" s="315"/>
      <c r="L440" s="315">
        <v>1</v>
      </c>
      <c r="M440" s="315">
        <v>1</v>
      </c>
      <c r="N440" s="315"/>
      <c r="O440" s="315"/>
      <c r="P440" s="315"/>
      <c r="Q440" s="315"/>
      <c r="R440" s="315"/>
      <c r="S440" s="315"/>
      <c r="T440" s="315">
        <v>1</v>
      </c>
      <c r="U440" s="315">
        <v>1</v>
      </c>
      <c r="V440" s="315"/>
      <c r="W440" s="315"/>
      <c r="X440" s="315"/>
      <c r="Y440" s="315"/>
      <c r="Z440" s="315"/>
      <c r="AA440" s="315"/>
      <c r="AB440" s="315"/>
      <c r="AC440" s="315">
        <v>1</v>
      </c>
      <c r="AD440" s="315"/>
      <c r="AE440" s="315"/>
      <c r="AF440" s="315"/>
      <c r="AG440" s="315"/>
      <c r="AH440" s="315"/>
      <c r="AI440" s="315"/>
      <c r="AJ440" s="315">
        <v>1</v>
      </c>
      <c r="AK440" s="315">
        <v>1</v>
      </c>
      <c r="AL440" s="315">
        <v>1</v>
      </c>
      <c r="AM440" s="315">
        <v>1</v>
      </c>
      <c r="AN440" s="315">
        <v>1</v>
      </c>
      <c r="AO440" s="315">
        <v>1</v>
      </c>
      <c r="AP440" s="315">
        <v>1</v>
      </c>
      <c r="AQ440" s="317">
        <v>1</v>
      </c>
    </row>
    <row r="441" spans="1:43" s="378" customFormat="1" ht="44.25" customHeight="1">
      <c r="A441" s="313" t="s">
        <v>1505</v>
      </c>
      <c r="B441" s="313" t="s">
        <v>386</v>
      </c>
      <c r="C441" s="314" t="s">
        <v>995</v>
      </c>
      <c r="D441" s="314" t="s">
        <v>1454</v>
      </c>
      <c r="E441" s="314" t="s">
        <v>996</v>
      </c>
      <c r="F441" s="315"/>
      <c r="G441" s="315"/>
      <c r="H441" s="315"/>
      <c r="I441" s="315"/>
      <c r="J441" s="315"/>
      <c r="K441" s="315"/>
      <c r="L441" s="315"/>
      <c r="M441" s="315">
        <v>1</v>
      </c>
      <c r="N441" s="315"/>
      <c r="O441" s="315"/>
      <c r="P441" s="315"/>
      <c r="Q441" s="315"/>
      <c r="R441" s="315"/>
      <c r="S441" s="315"/>
      <c r="T441" s="315"/>
      <c r="U441" s="315"/>
      <c r="V441" s="315"/>
      <c r="W441" s="315"/>
      <c r="X441" s="315"/>
      <c r="Y441" s="315"/>
      <c r="Z441" s="315"/>
      <c r="AA441" s="315"/>
      <c r="AB441" s="315">
        <v>1</v>
      </c>
      <c r="AC441" s="315">
        <v>1</v>
      </c>
      <c r="AD441" s="315"/>
      <c r="AE441" s="315"/>
      <c r="AF441" s="315"/>
      <c r="AG441" s="315"/>
      <c r="AH441" s="315"/>
      <c r="AI441" s="315"/>
      <c r="AJ441" s="315"/>
      <c r="AK441" s="315"/>
      <c r="AL441" s="315"/>
      <c r="AM441" s="315"/>
      <c r="AN441" s="315"/>
      <c r="AO441" s="315"/>
      <c r="AP441" s="315"/>
      <c r="AQ441" s="317"/>
    </row>
    <row r="442" spans="1:43" s="378" customFormat="1" ht="44.25" customHeight="1">
      <c r="A442" s="313" t="s">
        <v>1505</v>
      </c>
      <c r="B442" s="313" t="s">
        <v>386</v>
      </c>
      <c r="C442" s="314" t="s">
        <v>997</v>
      </c>
      <c r="D442" s="314" t="s">
        <v>1454</v>
      </c>
      <c r="E442" s="314" t="s">
        <v>998</v>
      </c>
      <c r="F442" s="315"/>
      <c r="G442" s="315"/>
      <c r="H442" s="315"/>
      <c r="I442" s="315"/>
      <c r="J442" s="315"/>
      <c r="K442" s="315"/>
      <c r="L442" s="315"/>
      <c r="M442" s="315"/>
      <c r="N442" s="315"/>
      <c r="O442" s="315"/>
      <c r="P442" s="315"/>
      <c r="Q442" s="315"/>
      <c r="R442" s="315"/>
      <c r="S442" s="315"/>
      <c r="T442" s="315"/>
      <c r="U442" s="315"/>
      <c r="V442" s="315"/>
      <c r="W442" s="315"/>
      <c r="X442" s="315"/>
      <c r="Y442" s="315"/>
      <c r="Z442" s="315"/>
      <c r="AA442" s="315"/>
      <c r="AB442" s="315"/>
      <c r="AC442" s="315"/>
      <c r="AD442" s="315"/>
      <c r="AE442" s="315"/>
      <c r="AF442" s="315"/>
      <c r="AG442" s="315"/>
      <c r="AH442" s="315"/>
      <c r="AI442" s="315"/>
      <c r="AJ442" s="315"/>
      <c r="AK442" s="315"/>
      <c r="AL442" s="315"/>
      <c r="AM442" s="315"/>
      <c r="AN442" s="315"/>
      <c r="AO442" s="315"/>
      <c r="AP442" s="315"/>
      <c r="AQ442" s="317"/>
    </row>
    <row r="443" spans="1:43" s="378" customFormat="1" ht="44.25" customHeight="1">
      <c r="A443" s="313" t="s">
        <v>1505</v>
      </c>
      <c r="B443" s="313" t="s">
        <v>386</v>
      </c>
      <c r="C443" s="314" t="s">
        <v>999</v>
      </c>
      <c r="D443" s="314" t="s">
        <v>1434</v>
      </c>
      <c r="E443" s="314" t="s">
        <v>1000</v>
      </c>
      <c r="F443" s="315"/>
      <c r="G443" s="315"/>
      <c r="H443" s="315"/>
      <c r="I443" s="315"/>
      <c r="J443" s="315"/>
      <c r="K443" s="315"/>
      <c r="L443" s="315"/>
      <c r="M443" s="315"/>
      <c r="N443" s="315"/>
      <c r="O443" s="315"/>
      <c r="P443" s="315"/>
      <c r="Q443" s="315"/>
      <c r="R443" s="315"/>
      <c r="S443" s="315"/>
      <c r="T443" s="315"/>
      <c r="U443" s="315"/>
      <c r="V443" s="315"/>
      <c r="W443" s="315"/>
      <c r="X443" s="315"/>
      <c r="Y443" s="315"/>
      <c r="Z443" s="315"/>
      <c r="AA443" s="315"/>
      <c r="AB443" s="315"/>
      <c r="AC443" s="315"/>
      <c r="AD443" s="315"/>
      <c r="AE443" s="315"/>
      <c r="AF443" s="315"/>
      <c r="AG443" s="315"/>
      <c r="AH443" s="315"/>
      <c r="AI443" s="315"/>
      <c r="AJ443" s="315">
        <v>1</v>
      </c>
      <c r="AK443" s="315">
        <v>1</v>
      </c>
      <c r="AL443" s="315"/>
      <c r="AM443" s="315"/>
      <c r="AN443" s="315"/>
      <c r="AO443" s="315"/>
      <c r="AP443" s="315"/>
      <c r="AQ443" s="317"/>
    </row>
    <row r="444" spans="1:43" s="378" customFormat="1" ht="44.25" customHeight="1">
      <c r="A444" s="313" t="s">
        <v>1505</v>
      </c>
      <c r="B444" s="313" t="s">
        <v>386</v>
      </c>
      <c r="C444" s="314" t="s">
        <v>1001</v>
      </c>
      <c r="D444" s="314" t="s">
        <v>1424</v>
      </c>
      <c r="E444" s="314" t="s">
        <v>1002</v>
      </c>
      <c r="F444" s="315"/>
      <c r="G444" s="315"/>
      <c r="H444" s="315"/>
      <c r="I444" s="315"/>
      <c r="J444" s="315"/>
      <c r="K444" s="315"/>
      <c r="L444" s="315"/>
      <c r="M444" s="315"/>
      <c r="N444" s="315"/>
      <c r="O444" s="315"/>
      <c r="P444" s="315"/>
      <c r="Q444" s="315"/>
      <c r="R444" s="315"/>
      <c r="S444" s="315"/>
      <c r="T444" s="315"/>
      <c r="U444" s="315"/>
      <c r="V444" s="315"/>
      <c r="W444" s="315"/>
      <c r="X444" s="315"/>
      <c r="Y444" s="315"/>
      <c r="Z444" s="315"/>
      <c r="AA444" s="315"/>
      <c r="AB444" s="315"/>
      <c r="AC444" s="315"/>
      <c r="AD444" s="315"/>
      <c r="AE444" s="315"/>
      <c r="AF444" s="315"/>
      <c r="AG444" s="315"/>
      <c r="AH444" s="315"/>
      <c r="AI444" s="315"/>
      <c r="AJ444" s="315"/>
      <c r="AK444" s="315"/>
      <c r="AL444" s="315"/>
      <c r="AM444" s="315"/>
      <c r="AN444" s="315"/>
      <c r="AO444" s="315"/>
      <c r="AP444" s="315"/>
      <c r="AQ444" s="317"/>
    </row>
    <row r="445" spans="1:43" s="378" customFormat="1" ht="44.25" customHeight="1">
      <c r="A445" s="313" t="s">
        <v>1505</v>
      </c>
      <c r="B445" s="313" t="s">
        <v>386</v>
      </c>
      <c r="C445" s="314" t="s">
        <v>1003</v>
      </c>
      <c r="D445" s="314" t="s">
        <v>1424</v>
      </c>
      <c r="E445" s="314" t="s">
        <v>1004</v>
      </c>
      <c r="F445" s="315"/>
      <c r="G445" s="315"/>
      <c r="H445" s="315"/>
      <c r="I445" s="315"/>
      <c r="J445" s="315"/>
      <c r="K445" s="315"/>
      <c r="L445" s="315"/>
      <c r="M445" s="315"/>
      <c r="N445" s="315"/>
      <c r="O445" s="315"/>
      <c r="P445" s="315"/>
      <c r="Q445" s="315"/>
      <c r="R445" s="315"/>
      <c r="S445" s="315"/>
      <c r="T445" s="315"/>
      <c r="U445" s="315"/>
      <c r="V445" s="315"/>
      <c r="W445" s="315"/>
      <c r="X445" s="315"/>
      <c r="Y445" s="315"/>
      <c r="Z445" s="315"/>
      <c r="AA445" s="315"/>
      <c r="AB445" s="315"/>
      <c r="AC445" s="315"/>
      <c r="AD445" s="315"/>
      <c r="AE445" s="315"/>
      <c r="AF445" s="315"/>
      <c r="AG445" s="315"/>
      <c r="AH445" s="315"/>
      <c r="AI445" s="315"/>
      <c r="AJ445" s="315">
        <v>1</v>
      </c>
      <c r="AK445" s="315">
        <v>1</v>
      </c>
      <c r="AL445" s="315"/>
      <c r="AM445" s="315"/>
      <c r="AN445" s="315"/>
      <c r="AO445" s="315"/>
      <c r="AP445" s="315"/>
      <c r="AQ445" s="316"/>
    </row>
    <row r="446" spans="1:43" s="378" customFormat="1" ht="44.25" customHeight="1">
      <c r="A446" s="313" t="s">
        <v>1505</v>
      </c>
      <c r="B446" s="313" t="s">
        <v>386</v>
      </c>
      <c r="C446" s="314" t="s">
        <v>1005</v>
      </c>
      <c r="D446" s="314" t="s">
        <v>1424</v>
      </c>
      <c r="E446" s="314" t="s">
        <v>1006</v>
      </c>
      <c r="F446" s="315"/>
      <c r="G446" s="315"/>
      <c r="H446" s="315"/>
      <c r="I446" s="315"/>
      <c r="J446" s="315"/>
      <c r="K446" s="315">
        <v>1</v>
      </c>
      <c r="L446" s="315"/>
      <c r="M446" s="315"/>
      <c r="N446" s="315"/>
      <c r="O446" s="315"/>
      <c r="P446" s="315"/>
      <c r="Q446" s="315"/>
      <c r="R446" s="315"/>
      <c r="S446" s="315"/>
      <c r="T446" s="315"/>
      <c r="U446" s="315"/>
      <c r="V446" s="315"/>
      <c r="W446" s="315"/>
      <c r="X446" s="315"/>
      <c r="Y446" s="315"/>
      <c r="Z446" s="315"/>
      <c r="AA446" s="315">
        <v>1</v>
      </c>
      <c r="AB446" s="315"/>
      <c r="AC446" s="315"/>
      <c r="AD446" s="315"/>
      <c r="AE446" s="315"/>
      <c r="AF446" s="315"/>
      <c r="AG446" s="315"/>
      <c r="AH446" s="315"/>
      <c r="AI446" s="315"/>
      <c r="AJ446" s="315"/>
      <c r="AK446" s="315"/>
      <c r="AL446" s="315"/>
      <c r="AM446" s="315"/>
      <c r="AN446" s="315"/>
      <c r="AO446" s="315"/>
      <c r="AP446" s="315"/>
      <c r="AQ446" s="317"/>
    </row>
    <row r="447" spans="1:43" s="378" customFormat="1" ht="44.25" customHeight="1">
      <c r="A447" s="313" t="s">
        <v>1505</v>
      </c>
      <c r="B447" s="313" t="s">
        <v>395</v>
      </c>
      <c r="C447" s="314" t="s">
        <v>1007</v>
      </c>
      <c r="D447" s="314" t="s">
        <v>1428</v>
      </c>
      <c r="E447" s="314" t="s">
        <v>1008</v>
      </c>
      <c r="F447" s="315"/>
      <c r="G447" s="315"/>
      <c r="H447" s="315"/>
      <c r="I447" s="315"/>
      <c r="J447" s="315"/>
      <c r="K447" s="315"/>
      <c r="L447" s="315">
        <v>1</v>
      </c>
      <c r="M447" s="315">
        <v>1</v>
      </c>
      <c r="N447" s="315"/>
      <c r="O447" s="315"/>
      <c r="P447" s="315"/>
      <c r="Q447" s="315"/>
      <c r="R447" s="315"/>
      <c r="S447" s="315"/>
      <c r="T447" s="315">
        <v>1</v>
      </c>
      <c r="U447" s="315">
        <v>1</v>
      </c>
      <c r="V447" s="315"/>
      <c r="W447" s="315"/>
      <c r="X447" s="315"/>
      <c r="Y447" s="315"/>
      <c r="Z447" s="315"/>
      <c r="AA447" s="315"/>
      <c r="AB447" s="315">
        <v>1</v>
      </c>
      <c r="AC447" s="315">
        <v>1</v>
      </c>
      <c r="AD447" s="315"/>
      <c r="AE447" s="315"/>
      <c r="AF447" s="315"/>
      <c r="AG447" s="315"/>
      <c r="AH447" s="315"/>
      <c r="AI447" s="315"/>
      <c r="AJ447" s="315"/>
      <c r="AK447" s="315"/>
      <c r="AL447" s="315">
        <v>1</v>
      </c>
      <c r="AM447" s="315"/>
      <c r="AN447" s="315">
        <v>1</v>
      </c>
      <c r="AO447" s="315"/>
      <c r="AP447" s="315"/>
      <c r="AQ447" s="317"/>
    </row>
    <row r="448" spans="1:43" s="378" customFormat="1" ht="44.25" customHeight="1">
      <c r="A448" s="313" t="s">
        <v>1505</v>
      </c>
      <c r="B448" s="313" t="s">
        <v>388</v>
      </c>
      <c r="C448" s="314" t="s">
        <v>1009</v>
      </c>
      <c r="D448" s="314" t="s">
        <v>1446</v>
      </c>
      <c r="E448" s="314" t="s">
        <v>1010</v>
      </c>
      <c r="F448" s="315"/>
      <c r="G448" s="315"/>
      <c r="H448" s="315"/>
      <c r="I448" s="315"/>
      <c r="J448" s="315"/>
      <c r="K448" s="315"/>
      <c r="L448" s="315"/>
      <c r="M448" s="315"/>
      <c r="N448" s="315"/>
      <c r="O448" s="315"/>
      <c r="P448" s="315"/>
      <c r="Q448" s="315"/>
      <c r="R448" s="315"/>
      <c r="S448" s="315">
        <v>1</v>
      </c>
      <c r="T448" s="315"/>
      <c r="U448" s="315"/>
      <c r="V448" s="315"/>
      <c r="W448" s="315"/>
      <c r="X448" s="315"/>
      <c r="Y448" s="315"/>
      <c r="Z448" s="315"/>
      <c r="AA448" s="315"/>
      <c r="AB448" s="315"/>
      <c r="AC448" s="315"/>
      <c r="AD448" s="315"/>
      <c r="AE448" s="315"/>
      <c r="AF448" s="315"/>
      <c r="AG448" s="315"/>
      <c r="AH448" s="315"/>
      <c r="AI448" s="315"/>
      <c r="AJ448" s="315">
        <v>1</v>
      </c>
      <c r="AK448" s="315">
        <v>1</v>
      </c>
      <c r="AL448" s="315"/>
      <c r="AM448" s="315"/>
      <c r="AN448" s="315"/>
      <c r="AO448" s="315"/>
      <c r="AP448" s="315"/>
      <c r="AQ448" s="317"/>
    </row>
    <row r="449" spans="1:43" s="378" customFormat="1" ht="44.25" customHeight="1">
      <c r="A449" s="313" t="s">
        <v>1537</v>
      </c>
      <c r="B449" s="313" t="s">
        <v>393</v>
      </c>
      <c r="C449" s="314" t="s">
        <v>1011</v>
      </c>
      <c r="D449" s="314" t="s">
        <v>1452</v>
      </c>
      <c r="E449" s="314" t="s">
        <v>1533</v>
      </c>
      <c r="F449" s="315"/>
      <c r="G449" s="315"/>
      <c r="H449" s="315"/>
      <c r="I449" s="315"/>
      <c r="J449" s="315"/>
      <c r="K449" s="315"/>
      <c r="L449" s="315">
        <v>1</v>
      </c>
      <c r="M449" s="315">
        <v>1</v>
      </c>
      <c r="N449" s="315"/>
      <c r="O449" s="315"/>
      <c r="P449" s="315"/>
      <c r="Q449" s="315"/>
      <c r="R449" s="315"/>
      <c r="S449" s="315"/>
      <c r="T449" s="315">
        <v>1</v>
      </c>
      <c r="U449" s="315">
        <v>1</v>
      </c>
      <c r="V449" s="315"/>
      <c r="W449" s="315"/>
      <c r="X449" s="315"/>
      <c r="Y449" s="315"/>
      <c r="Z449" s="315"/>
      <c r="AA449" s="315"/>
      <c r="AB449" s="315"/>
      <c r="AC449" s="315">
        <v>1</v>
      </c>
      <c r="AD449" s="315"/>
      <c r="AE449" s="315"/>
      <c r="AF449" s="315"/>
      <c r="AG449" s="315"/>
      <c r="AH449" s="315"/>
      <c r="AI449" s="315"/>
      <c r="AJ449" s="315"/>
      <c r="AK449" s="315"/>
      <c r="AL449" s="315">
        <v>1</v>
      </c>
      <c r="AM449" s="315">
        <v>1</v>
      </c>
      <c r="AN449" s="315"/>
      <c r="AO449" s="315">
        <v>1</v>
      </c>
      <c r="AP449" s="315">
        <v>1</v>
      </c>
      <c r="AQ449" s="317">
        <v>1</v>
      </c>
    </row>
    <row r="450" spans="1:43" s="378" customFormat="1" ht="44.25" customHeight="1">
      <c r="A450" s="313" t="s">
        <v>1537</v>
      </c>
      <c r="B450" s="313" t="s">
        <v>386</v>
      </c>
      <c r="C450" s="314" t="s">
        <v>1012</v>
      </c>
      <c r="D450" s="314" t="s">
        <v>1424</v>
      </c>
      <c r="E450" s="314" t="s">
        <v>1534</v>
      </c>
      <c r="F450" s="315"/>
      <c r="G450" s="315"/>
      <c r="H450" s="315"/>
      <c r="I450" s="315"/>
      <c r="J450" s="315"/>
      <c r="K450" s="315"/>
      <c r="L450" s="315">
        <v>1</v>
      </c>
      <c r="M450" s="315">
        <v>1</v>
      </c>
      <c r="N450" s="315"/>
      <c r="O450" s="315"/>
      <c r="P450" s="315"/>
      <c r="Q450" s="315"/>
      <c r="R450" s="315"/>
      <c r="S450" s="315"/>
      <c r="T450" s="315">
        <v>1</v>
      </c>
      <c r="U450" s="315">
        <v>1</v>
      </c>
      <c r="V450" s="315"/>
      <c r="W450" s="315"/>
      <c r="X450" s="315"/>
      <c r="Y450" s="315"/>
      <c r="Z450" s="315"/>
      <c r="AA450" s="315"/>
      <c r="AB450" s="315"/>
      <c r="AC450" s="315"/>
      <c r="AD450" s="315"/>
      <c r="AE450" s="315"/>
      <c r="AF450" s="315"/>
      <c r="AG450" s="315"/>
      <c r="AH450" s="315"/>
      <c r="AI450" s="315"/>
      <c r="AJ450" s="315"/>
      <c r="AK450" s="315"/>
      <c r="AL450" s="315">
        <v>1</v>
      </c>
      <c r="AM450" s="315">
        <v>1</v>
      </c>
      <c r="AN450" s="315">
        <v>1</v>
      </c>
      <c r="AO450" s="315">
        <v>1</v>
      </c>
      <c r="AP450" s="315">
        <v>1</v>
      </c>
      <c r="AQ450" s="317">
        <v>1</v>
      </c>
    </row>
    <row r="451" spans="1:43" s="378" customFormat="1" ht="44.25" customHeight="1">
      <c r="A451" s="313" t="s">
        <v>1537</v>
      </c>
      <c r="B451" s="313" t="s">
        <v>384</v>
      </c>
      <c r="C451" s="314" t="s">
        <v>1013</v>
      </c>
      <c r="D451" s="314" t="s">
        <v>1424</v>
      </c>
      <c r="E451" s="314" t="s">
        <v>1536</v>
      </c>
      <c r="F451" s="315"/>
      <c r="G451" s="315"/>
      <c r="H451" s="315"/>
      <c r="I451" s="315"/>
      <c r="J451" s="315"/>
      <c r="K451" s="315"/>
      <c r="L451" s="315">
        <v>1</v>
      </c>
      <c r="M451" s="315">
        <v>1</v>
      </c>
      <c r="N451" s="315"/>
      <c r="O451" s="315"/>
      <c r="P451" s="315"/>
      <c r="Q451" s="315"/>
      <c r="R451" s="315"/>
      <c r="S451" s="315"/>
      <c r="T451" s="315"/>
      <c r="U451" s="315"/>
      <c r="V451" s="315"/>
      <c r="W451" s="315"/>
      <c r="X451" s="315"/>
      <c r="Y451" s="315"/>
      <c r="Z451" s="315"/>
      <c r="AA451" s="315"/>
      <c r="AB451" s="315"/>
      <c r="AC451" s="315"/>
      <c r="AD451" s="315"/>
      <c r="AE451" s="315"/>
      <c r="AF451" s="315"/>
      <c r="AG451" s="315"/>
      <c r="AH451" s="315"/>
      <c r="AI451" s="315"/>
      <c r="AJ451" s="315"/>
      <c r="AK451" s="315"/>
      <c r="AL451" s="315">
        <v>1</v>
      </c>
      <c r="AM451" s="315">
        <v>1</v>
      </c>
      <c r="AN451" s="315">
        <v>1</v>
      </c>
      <c r="AO451" s="315">
        <v>1</v>
      </c>
      <c r="AP451" s="315">
        <v>1</v>
      </c>
      <c r="AQ451" s="317">
        <v>1</v>
      </c>
    </row>
    <row r="452" spans="1:43" s="378" customFormat="1" ht="44.25" customHeight="1">
      <c r="A452" s="313" t="s">
        <v>1537</v>
      </c>
      <c r="B452" s="313" t="s">
        <v>386</v>
      </c>
      <c r="C452" s="314" t="s">
        <v>1014</v>
      </c>
      <c r="D452" s="314" t="s">
        <v>1424</v>
      </c>
      <c r="E452" s="314" t="s">
        <v>1538</v>
      </c>
      <c r="F452" s="315"/>
      <c r="G452" s="315"/>
      <c r="H452" s="315"/>
      <c r="I452" s="315"/>
      <c r="J452" s="315"/>
      <c r="K452" s="315"/>
      <c r="L452" s="315">
        <v>1</v>
      </c>
      <c r="M452" s="315">
        <v>1</v>
      </c>
      <c r="N452" s="315"/>
      <c r="O452" s="315"/>
      <c r="P452" s="315"/>
      <c r="Q452" s="315"/>
      <c r="R452" s="315"/>
      <c r="S452" s="315"/>
      <c r="T452" s="315"/>
      <c r="U452" s="315">
        <v>1</v>
      </c>
      <c r="V452" s="315"/>
      <c r="W452" s="315"/>
      <c r="X452" s="315"/>
      <c r="Y452" s="315"/>
      <c r="Z452" s="315"/>
      <c r="AA452" s="315"/>
      <c r="AB452" s="315"/>
      <c r="AC452" s="315">
        <v>1</v>
      </c>
      <c r="AD452" s="315"/>
      <c r="AE452" s="315"/>
      <c r="AF452" s="315"/>
      <c r="AG452" s="315"/>
      <c r="AH452" s="315"/>
      <c r="AI452" s="315"/>
      <c r="AJ452" s="315"/>
      <c r="AK452" s="315"/>
      <c r="AL452" s="315">
        <v>1</v>
      </c>
      <c r="AM452" s="315">
        <v>1</v>
      </c>
      <c r="AN452" s="315">
        <v>1</v>
      </c>
      <c r="AO452" s="315">
        <v>1</v>
      </c>
      <c r="AP452" s="315">
        <v>1</v>
      </c>
      <c r="AQ452" s="317">
        <v>1</v>
      </c>
    </row>
    <row r="453" spans="1:43" s="378" customFormat="1" ht="44.25" customHeight="1">
      <c r="A453" s="313" t="s">
        <v>1537</v>
      </c>
      <c r="B453" s="313" t="s">
        <v>386</v>
      </c>
      <c r="C453" s="314" t="s">
        <v>1015</v>
      </c>
      <c r="D453" s="314" t="s">
        <v>1424</v>
      </c>
      <c r="E453" s="314" t="s">
        <v>1539</v>
      </c>
      <c r="F453" s="315"/>
      <c r="G453" s="315"/>
      <c r="H453" s="315"/>
      <c r="I453" s="315"/>
      <c r="J453" s="315"/>
      <c r="K453" s="315"/>
      <c r="L453" s="315">
        <v>1</v>
      </c>
      <c r="M453" s="315">
        <v>1</v>
      </c>
      <c r="N453" s="315"/>
      <c r="O453" s="315"/>
      <c r="P453" s="315"/>
      <c r="Q453" s="315"/>
      <c r="R453" s="315"/>
      <c r="S453" s="315"/>
      <c r="T453" s="315">
        <v>1</v>
      </c>
      <c r="U453" s="315">
        <v>1</v>
      </c>
      <c r="V453" s="315"/>
      <c r="W453" s="315"/>
      <c r="X453" s="315"/>
      <c r="Y453" s="315"/>
      <c r="Z453" s="315"/>
      <c r="AA453" s="315"/>
      <c r="AB453" s="315"/>
      <c r="AC453" s="315">
        <v>1</v>
      </c>
      <c r="AD453" s="315"/>
      <c r="AE453" s="315"/>
      <c r="AF453" s="315"/>
      <c r="AG453" s="315"/>
      <c r="AH453" s="315"/>
      <c r="AI453" s="315"/>
      <c r="AJ453" s="315"/>
      <c r="AK453" s="315"/>
      <c r="AL453" s="315">
        <v>1</v>
      </c>
      <c r="AM453" s="315">
        <v>1</v>
      </c>
      <c r="AN453" s="315"/>
      <c r="AO453" s="315">
        <v>1</v>
      </c>
      <c r="AP453" s="315"/>
      <c r="AQ453" s="317"/>
    </row>
    <row r="454" spans="1:43" s="378" customFormat="1" ht="44.25" customHeight="1">
      <c r="A454" s="313" t="s">
        <v>1537</v>
      </c>
      <c r="B454" s="313" t="s">
        <v>384</v>
      </c>
      <c r="C454" s="314" t="s">
        <v>1016</v>
      </c>
      <c r="D454" s="314" t="s">
        <v>1450</v>
      </c>
      <c r="E454" s="314" t="s">
        <v>1540</v>
      </c>
      <c r="F454" s="315"/>
      <c r="G454" s="315"/>
      <c r="H454" s="315"/>
      <c r="I454" s="315"/>
      <c r="J454" s="315"/>
      <c r="K454" s="315"/>
      <c r="L454" s="315"/>
      <c r="M454" s="315"/>
      <c r="N454" s="315"/>
      <c r="O454" s="315"/>
      <c r="P454" s="315"/>
      <c r="Q454" s="315"/>
      <c r="R454" s="315"/>
      <c r="S454" s="315"/>
      <c r="T454" s="315"/>
      <c r="U454" s="315"/>
      <c r="V454" s="315"/>
      <c r="W454" s="315"/>
      <c r="X454" s="315"/>
      <c r="Y454" s="315"/>
      <c r="Z454" s="315"/>
      <c r="AA454" s="315"/>
      <c r="AB454" s="315"/>
      <c r="AC454" s="315"/>
      <c r="AD454" s="315"/>
      <c r="AE454" s="315"/>
      <c r="AF454" s="315"/>
      <c r="AG454" s="315"/>
      <c r="AH454" s="315"/>
      <c r="AI454" s="315"/>
      <c r="AJ454" s="315"/>
      <c r="AK454" s="315"/>
      <c r="AL454" s="315">
        <v>1</v>
      </c>
      <c r="AM454" s="315">
        <v>1</v>
      </c>
      <c r="AN454" s="315"/>
      <c r="AO454" s="315"/>
      <c r="AP454" s="315"/>
      <c r="AQ454" s="317"/>
    </row>
    <row r="455" spans="1:43" s="378" customFormat="1" ht="44.25" customHeight="1">
      <c r="A455" s="313" t="s">
        <v>1537</v>
      </c>
      <c r="B455" s="313" t="s">
        <v>384</v>
      </c>
      <c r="C455" s="314" t="s">
        <v>1017</v>
      </c>
      <c r="D455" s="314" t="s">
        <v>1424</v>
      </c>
      <c r="E455" s="314" t="s">
        <v>1541</v>
      </c>
      <c r="F455" s="315"/>
      <c r="G455" s="315"/>
      <c r="H455" s="315"/>
      <c r="I455" s="315"/>
      <c r="J455" s="315"/>
      <c r="K455" s="315"/>
      <c r="L455" s="315">
        <v>1</v>
      </c>
      <c r="M455" s="315">
        <v>1</v>
      </c>
      <c r="N455" s="315"/>
      <c r="O455" s="315"/>
      <c r="P455" s="315"/>
      <c r="Q455" s="315"/>
      <c r="R455" s="315"/>
      <c r="S455" s="315"/>
      <c r="T455" s="315">
        <v>1</v>
      </c>
      <c r="U455" s="315"/>
      <c r="V455" s="315"/>
      <c r="W455" s="315"/>
      <c r="X455" s="315"/>
      <c r="Y455" s="315"/>
      <c r="Z455" s="315"/>
      <c r="AA455" s="315"/>
      <c r="AB455" s="315"/>
      <c r="AC455" s="315">
        <v>1</v>
      </c>
      <c r="AD455" s="315"/>
      <c r="AE455" s="315"/>
      <c r="AF455" s="315"/>
      <c r="AG455" s="315"/>
      <c r="AH455" s="315"/>
      <c r="AI455" s="315"/>
      <c r="AJ455" s="315"/>
      <c r="AK455" s="315"/>
      <c r="AL455" s="315">
        <v>1</v>
      </c>
      <c r="AM455" s="315">
        <v>1</v>
      </c>
      <c r="AN455" s="315">
        <v>1</v>
      </c>
      <c r="AO455" s="315">
        <v>1</v>
      </c>
      <c r="AP455" s="315">
        <v>1</v>
      </c>
      <c r="AQ455" s="317">
        <v>1</v>
      </c>
    </row>
    <row r="456" spans="1:43" s="378" customFormat="1" ht="44.25" customHeight="1">
      <c r="A456" s="313" t="s">
        <v>1537</v>
      </c>
      <c r="B456" s="313" t="s">
        <v>384</v>
      </c>
      <c r="C456" s="314" t="s">
        <v>1018</v>
      </c>
      <c r="D456" s="314" t="s">
        <v>1424</v>
      </c>
      <c r="E456" s="314" t="s">
        <v>1535</v>
      </c>
      <c r="F456" s="315"/>
      <c r="G456" s="315"/>
      <c r="H456" s="315"/>
      <c r="I456" s="315"/>
      <c r="J456" s="315"/>
      <c r="K456" s="315"/>
      <c r="L456" s="315">
        <v>1</v>
      </c>
      <c r="M456" s="315">
        <v>1</v>
      </c>
      <c r="N456" s="315"/>
      <c r="O456" s="315"/>
      <c r="P456" s="315"/>
      <c r="Q456" s="315"/>
      <c r="R456" s="315"/>
      <c r="S456" s="315"/>
      <c r="T456" s="315">
        <v>1</v>
      </c>
      <c r="U456" s="315">
        <v>1</v>
      </c>
      <c r="V456" s="315"/>
      <c r="W456" s="315"/>
      <c r="X456" s="315"/>
      <c r="Y456" s="315"/>
      <c r="Z456" s="315"/>
      <c r="AA456" s="315"/>
      <c r="AB456" s="315"/>
      <c r="AC456" s="315"/>
      <c r="AD456" s="315"/>
      <c r="AE456" s="315"/>
      <c r="AF456" s="315"/>
      <c r="AG456" s="315"/>
      <c r="AH456" s="315"/>
      <c r="AI456" s="315"/>
      <c r="AJ456" s="315"/>
      <c r="AK456" s="315"/>
      <c r="AL456" s="315">
        <v>1</v>
      </c>
      <c r="AM456" s="315">
        <v>1</v>
      </c>
      <c r="AN456" s="315">
        <v>1</v>
      </c>
      <c r="AO456" s="315">
        <v>1</v>
      </c>
      <c r="AP456" s="315">
        <v>1</v>
      </c>
      <c r="AQ456" s="317">
        <v>1</v>
      </c>
    </row>
    <row r="457" spans="1:43" s="378" customFormat="1" ht="44.25" customHeight="1">
      <c r="A457" s="313" t="s">
        <v>1537</v>
      </c>
      <c r="B457" s="313" t="s">
        <v>386</v>
      </c>
      <c r="C457" s="314" t="s">
        <v>1019</v>
      </c>
      <c r="D457" s="314" t="s">
        <v>1424</v>
      </c>
      <c r="E457" s="314" t="s">
        <v>1542</v>
      </c>
      <c r="F457" s="315"/>
      <c r="G457" s="315"/>
      <c r="H457" s="315"/>
      <c r="I457" s="315"/>
      <c r="J457" s="315"/>
      <c r="K457" s="315"/>
      <c r="L457" s="315">
        <v>1</v>
      </c>
      <c r="M457" s="315">
        <v>1</v>
      </c>
      <c r="N457" s="315"/>
      <c r="O457" s="315"/>
      <c r="P457" s="315"/>
      <c r="Q457" s="315"/>
      <c r="R457" s="315"/>
      <c r="S457" s="315"/>
      <c r="T457" s="315">
        <v>1</v>
      </c>
      <c r="U457" s="315"/>
      <c r="V457" s="315"/>
      <c r="W457" s="315"/>
      <c r="X457" s="315"/>
      <c r="Y457" s="315"/>
      <c r="Z457" s="315"/>
      <c r="AA457" s="315"/>
      <c r="AB457" s="315"/>
      <c r="AC457" s="315"/>
      <c r="AD457" s="315"/>
      <c r="AE457" s="315"/>
      <c r="AF457" s="315"/>
      <c r="AG457" s="315"/>
      <c r="AH457" s="315"/>
      <c r="AI457" s="315"/>
      <c r="AJ457" s="315"/>
      <c r="AK457" s="315"/>
      <c r="AL457" s="315">
        <v>1</v>
      </c>
      <c r="AM457" s="315">
        <v>1</v>
      </c>
      <c r="AN457" s="315">
        <v>1</v>
      </c>
      <c r="AO457" s="315">
        <v>1</v>
      </c>
      <c r="AP457" s="315">
        <v>1</v>
      </c>
      <c r="AQ457" s="317">
        <v>1</v>
      </c>
    </row>
    <row r="458" spans="1:43" s="378" customFormat="1" ht="44.25" customHeight="1">
      <c r="A458" s="313" t="s">
        <v>1537</v>
      </c>
      <c r="B458" s="313" t="s">
        <v>386</v>
      </c>
      <c r="C458" s="314" t="s">
        <v>1020</v>
      </c>
      <c r="D458" s="314" t="s">
        <v>1424</v>
      </c>
      <c r="E458" s="314" t="s">
        <v>1543</v>
      </c>
      <c r="F458" s="315"/>
      <c r="G458" s="315"/>
      <c r="H458" s="315"/>
      <c r="I458" s="315"/>
      <c r="J458" s="315"/>
      <c r="K458" s="315"/>
      <c r="L458" s="315">
        <v>1</v>
      </c>
      <c r="M458" s="315">
        <v>1</v>
      </c>
      <c r="N458" s="315"/>
      <c r="O458" s="315"/>
      <c r="P458" s="315"/>
      <c r="Q458" s="315"/>
      <c r="R458" s="315"/>
      <c r="S458" s="315"/>
      <c r="T458" s="315">
        <v>1</v>
      </c>
      <c r="U458" s="315">
        <v>1</v>
      </c>
      <c r="V458" s="315"/>
      <c r="W458" s="315"/>
      <c r="X458" s="315"/>
      <c r="Y458" s="315"/>
      <c r="Z458" s="315"/>
      <c r="AA458" s="315"/>
      <c r="AB458" s="315"/>
      <c r="AC458" s="315">
        <v>1</v>
      </c>
      <c r="AD458" s="315"/>
      <c r="AE458" s="315"/>
      <c r="AF458" s="315"/>
      <c r="AG458" s="315"/>
      <c r="AH458" s="315"/>
      <c r="AI458" s="315"/>
      <c r="AJ458" s="315"/>
      <c r="AK458" s="315"/>
      <c r="AL458" s="315">
        <v>1</v>
      </c>
      <c r="AM458" s="315">
        <v>1</v>
      </c>
      <c r="AN458" s="315">
        <v>1</v>
      </c>
      <c r="AO458" s="315"/>
      <c r="AP458" s="315"/>
      <c r="AQ458" s="317"/>
    </row>
    <row r="459" spans="1:43" s="378" customFormat="1" ht="44.25" customHeight="1">
      <c r="A459" s="313" t="s">
        <v>1537</v>
      </c>
      <c r="B459" s="313" t="s">
        <v>384</v>
      </c>
      <c r="C459" s="314" t="s">
        <v>1021</v>
      </c>
      <c r="D459" s="314" t="s">
        <v>1424</v>
      </c>
      <c r="E459" s="314" t="s">
        <v>1544</v>
      </c>
      <c r="F459" s="315"/>
      <c r="G459" s="315"/>
      <c r="H459" s="315"/>
      <c r="I459" s="315"/>
      <c r="J459" s="315"/>
      <c r="K459" s="315"/>
      <c r="L459" s="315">
        <v>1</v>
      </c>
      <c r="M459" s="315">
        <v>1</v>
      </c>
      <c r="N459" s="315"/>
      <c r="O459" s="315"/>
      <c r="P459" s="315"/>
      <c r="Q459" s="315"/>
      <c r="R459" s="315"/>
      <c r="S459" s="315"/>
      <c r="T459" s="315">
        <v>1</v>
      </c>
      <c r="U459" s="315">
        <v>1</v>
      </c>
      <c r="V459" s="315"/>
      <c r="W459" s="315"/>
      <c r="X459" s="315"/>
      <c r="Y459" s="315"/>
      <c r="Z459" s="315"/>
      <c r="AA459" s="315"/>
      <c r="AB459" s="315"/>
      <c r="AC459" s="315"/>
      <c r="AD459" s="315"/>
      <c r="AE459" s="315"/>
      <c r="AF459" s="315"/>
      <c r="AG459" s="315"/>
      <c r="AH459" s="315"/>
      <c r="AI459" s="315"/>
      <c r="AJ459" s="315"/>
      <c r="AK459" s="315"/>
      <c r="AL459" s="315">
        <v>1</v>
      </c>
      <c r="AM459" s="315">
        <v>1</v>
      </c>
      <c r="AN459" s="315">
        <v>1</v>
      </c>
      <c r="AO459" s="315">
        <v>1</v>
      </c>
      <c r="AP459" s="315">
        <v>1</v>
      </c>
      <c r="AQ459" s="317">
        <v>1</v>
      </c>
    </row>
    <row r="460" spans="1:43" s="378" customFormat="1" ht="44.25" customHeight="1">
      <c r="A460" s="313" t="s">
        <v>1537</v>
      </c>
      <c r="B460" s="313" t="s">
        <v>386</v>
      </c>
      <c r="C460" s="314" t="s">
        <v>1022</v>
      </c>
      <c r="D460" s="314" t="s">
        <v>1424</v>
      </c>
      <c r="E460" s="314" t="s">
        <v>1545</v>
      </c>
      <c r="F460" s="315"/>
      <c r="G460" s="315"/>
      <c r="H460" s="315"/>
      <c r="I460" s="315"/>
      <c r="J460" s="315"/>
      <c r="K460" s="315"/>
      <c r="L460" s="315">
        <v>1</v>
      </c>
      <c r="M460" s="315">
        <v>1</v>
      </c>
      <c r="N460" s="315"/>
      <c r="O460" s="315"/>
      <c r="P460" s="315"/>
      <c r="Q460" s="315"/>
      <c r="R460" s="315"/>
      <c r="S460" s="315"/>
      <c r="T460" s="315"/>
      <c r="U460" s="315"/>
      <c r="V460" s="315"/>
      <c r="W460" s="315"/>
      <c r="X460" s="315"/>
      <c r="Y460" s="315"/>
      <c r="Z460" s="315"/>
      <c r="AA460" s="315"/>
      <c r="AB460" s="315"/>
      <c r="AC460" s="315">
        <v>1</v>
      </c>
      <c r="AD460" s="315"/>
      <c r="AE460" s="315"/>
      <c r="AF460" s="315"/>
      <c r="AG460" s="315"/>
      <c r="AH460" s="315"/>
      <c r="AI460" s="315"/>
      <c r="AJ460" s="315"/>
      <c r="AK460" s="315"/>
      <c r="AL460" s="315">
        <v>1</v>
      </c>
      <c r="AM460" s="315">
        <v>1</v>
      </c>
      <c r="AN460" s="315"/>
      <c r="AO460" s="315">
        <v>1</v>
      </c>
      <c r="AP460" s="315">
        <v>1</v>
      </c>
      <c r="AQ460" s="316">
        <v>1</v>
      </c>
    </row>
    <row r="461" spans="1:43" s="378" customFormat="1" ht="44.25" customHeight="1">
      <c r="A461" s="313" t="s">
        <v>1537</v>
      </c>
      <c r="B461" s="313" t="s">
        <v>386</v>
      </c>
      <c r="C461" s="314" t="s">
        <v>1023</v>
      </c>
      <c r="D461" s="314" t="s">
        <v>1424</v>
      </c>
      <c r="E461" s="314" t="s">
        <v>1546</v>
      </c>
      <c r="F461" s="315"/>
      <c r="G461" s="315"/>
      <c r="H461" s="315"/>
      <c r="I461" s="315"/>
      <c r="J461" s="315"/>
      <c r="K461" s="315"/>
      <c r="L461" s="315">
        <v>1</v>
      </c>
      <c r="M461" s="315">
        <v>1</v>
      </c>
      <c r="N461" s="315"/>
      <c r="O461" s="315"/>
      <c r="P461" s="315"/>
      <c r="Q461" s="315"/>
      <c r="R461" s="315"/>
      <c r="S461" s="315"/>
      <c r="T461" s="315">
        <v>1</v>
      </c>
      <c r="U461" s="315">
        <v>1</v>
      </c>
      <c r="V461" s="315"/>
      <c r="W461" s="315"/>
      <c r="X461" s="315"/>
      <c r="Y461" s="315"/>
      <c r="Z461" s="315"/>
      <c r="AA461" s="315"/>
      <c r="AB461" s="315"/>
      <c r="AC461" s="315"/>
      <c r="AD461" s="315"/>
      <c r="AE461" s="315"/>
      <c r="AF461" s="315"/>
      <c r="AG461" s="315"/>
      <c r="AH461" s="315"/>
      <c r="AI461" s="315"/>
      <c r="AJ461" s="315"/>
      <c r="AK461" s="315"/>
      <c r="AL461" s="315">
        <v>1</v>
      </c>
      <c r="AM461" s="315">
        <v>1</v>
      </c>
      <c r="AN461" s="315">
        <v>1</v>
      </c>
      <c r="AO461" s="315">
        <v>1</v>
      </c>
      <c r="AP461" s="315"/>
      <c r="AQ461" s="316"/>
    </row>
    <row r="462" spans="1:43" s="378" customFormat="1" ht="44.25" customHeight="1">
      <c r="A462" s="313" t="s">
        <v>1537</v>
      </c>
      <c r="B462" s="313" t="s">
        <v>384</v>
      </c>
      <c r="C462" s="314" t="s">
        <v>1024</v>
      </c>
      <c r="D462" s="314" t="s">
        <v>1424</v>
      </c>
      <c r="E462" s="314" t="s">
        <v>1547</v>
      </c>
      <c r="F462" s="315"/>
      <c r="G462" s="315"/>
      <c r="H462" s="315"/>
      <c r="I462" s="315"/>
      <c r="J462" s="315"/>
      <c r="K462" s="315"/>
      <c r="L462" s="315">
        <v>1</v>
      </c>
      <c r="M462" s="315">
        <v>1</v>
      </c>
      <c r="N462" s="315"/>
      <c r="O462" s="315"/>
      <c r="P462" s="315"/>
      <c r="Q462" s="315"/>
      <c r="R462" s="315"/>
      <c r="S462" s="315"/>
      <c r="T462" s="315">
        <v>1</v>
      </c>
      <c r="U462" s="315">
        <v>1</v>
      </c>
      <c r="V462" s="315"/>
      <c r="W462" s="315"/>
      <c r="X462" s="315"/>
      <c r="Y462" s="315"/>
      <c r="Z462" s="315"/>
      <c r="AA462" s="315"/>
      <c r="AB462" s="315"/>
      <c r="AC462" s="315"/>
      <c r="AD462" s="315"/>
      <c r="AE462" s="315"/>
      <c r="AF462" s="315"/>
      <c r="AG462" s="315"/>
      <c r="AH462" s="315"/>
      <c r="AI462" s="315"/>
      <c r="AJ462" s="315"/>
      <c r="AK462" s="315"/>
      <c r="AL462" s="315">
        <v>1</v>
      </c>
      <c r="AM462" s="315">
        <v>1</v>
      </c>
      <c r="AN462" s="315">
        <v>1</v>
      </c>
      <c r="AO462" s="315">
        <v>1</v>
      </c>
      <c r="AP462" s="315">
        <v>1</v>
      </c>
      <c r="AQ462" s="316">
        <v>1</v>
      </c>
    </row>
    <row r="463" spans="1:43" s="378" customFormat="1" ht="44.25" customHeight="1">
      <c r="A463" s="313" t="s">
        <v>1537</v>
      </c>
      <c r="B463" s="313" t="s">
        <v>384</v>
      </c>
      <c r="C463" s="314" t="s">
        <v>1025</v>
      </c>
      <c r="D463" s="314" t="s">
        <v>1424</v>
      </c>
      <c r="E463" s="314" t="s">
        <v>1548</v>
      </c>
      <c r="F463" s="315"/>
      <c r="G463" s="315"/>
      <c r="H463" s="315"/>
      <c r="I463" s="315"/>
      <c r="J463" s="315"/>
      <c r="K463" s="315"/>
      <c r="L463" s="315">
        <v>1</v>
      </c>
      <c r="M463" s="315">
        <v>1</v>
      </c>
      <c r="N463" s="315"/>
      <c r="O463" s="315"/>
      <c r="P463" s="315"/>
      <c r="Q463" s="315"/>
      <c r="R463" s="315"/>
      <c r="S463" s="315"/>
      <c r="T463" s="315">
        <v>1</v>
      </c>
      <c r="U463" s="315"/>
      <c r="V463" s="315"/>
      <c r="W463" s="315"/>
      <c r="X463" s="315"/>
      <c r="Y463" s="315"/>
      <c r="Z463" s="315"/>
      <c r="AA463" s="315"/>
      <c r="AB463" s="315"/>
      <c r="AC463" s="315"/>
      <c r="AD463" s="315"/>
      <c r="AE463" s="315"/>
      <c r="AF463" s="315"/>
      <c r="AG463" s="315"/>
      <c r="AH463" s="315"/>
      <c r="AI463" s="315"/>
      <c r="AJ463" s="315"/>
      <c r="AK463" s="315"/>
      <c r="AL463" s="315">
        <v>1</v>
      </c>
      <c r="AM463" s="315">
        <v>1</v>
      </c>
      <c r="AN463" s="315">
        <v>1</v>
      </c>
      <c r="AO463" s="315">
        <v>1</v>
      </c>
      <c r="AP463" s="315">
        <v>1</v>
      </c>
      <c r="AQ463" s="316">
        <v>1</v>
      </c>
    </row>
    <row r="464" spans="1:43" s="378" customFormat="1" ht="44.25" customHeight="1">
      <c r="A464" s="313" t="s">
        <v>1537</v>
      </c>
      <c r="B464" s="313" t="s">
        <v>384</v>
      </c>
      <c r="C464" s="314" t="s">
        <v>1026</v>
      </c>
      <c r="D464" s="314" t="s">
        <v>1424</v>
      </c>
      <c r="E464" s="314" t="s">
        <v>1549</v>
      </c>
      <c r="F464" s="315"/>
      <c r="G464" s="315"/>
      <c r="H464" s="315"/>
      <c r="I464" s="315"/>
      <c r="J464" s="315"/>
      <c r="K464" s="315"/>
      <c r="L464" s="315">
        <v>1</v>
      </c>
      <c r="M464" s="315">
        <v>1</v>
      </c>
      <c r="N464" s="315"/>
      <c r="O464" s="315"/>
      <c r="P464" s="315"/>
      <c r="Q464" s="315"/>
      <c r="R464" s="315"/>
      <c r="S464" s="315"/>
      <c r="T464" s="315">
        <v>1</v>
      </c>
      <c r="U464" s="315">
        <v>1</v>
      </c>
      <c r="V464" s="315"/>
      <c r="W464" s="315"/>
      <c r="X464" s="315"/>
      <c r="Y464" s="315"/>
      <c r="Z464" s="315"/>
      <c r="AA464" s="315"/>
      <c r="AB464" s="315"/>
      <c r="AC464" s="315">
        <v>1</v>
      </c>
      <c r="AD464" s="315"/>
      <c r="AE464" s="315"/>
      <c r="AF464" s="315"/>
      <c r="AG464" s="315"/>
      <c r="AH464" s="315"/>
      <c r="AI464" s="315"/>
      <c r="AJ464" s="315"/>
      <c r="AK464" s="315"/>
      <c r="AL464" s="315">
        <v>1</v>
      </c>
      <c r="AM464" s="315">
        <v>1</v>
      </c>
      <c r="AN464" s="315">
        <v>1</v>
      </c>
      <c r="AO464" s="315">
        <v>1</v>
      </c>
      <c r="AP464" s="315">
        <v>1</v>
      </c>
      <c r="AQ464" s="316">
        <v>1</v>
      </c>
    </row>
    <row r="465" spans="1:43" s="378" customFormat="1" ht="44.25" customHeight="1">
      <c r="A465" s="313" t="s">
        <v>1537</v>
      </c>
      <c r="B465" s="313" t="s">
        <v>384</v>
      </c>
      <c r="C465" s="314" t="s">
        <v>1027</v>
      </c>
      <c r="D465" s="314" t="s">
        <v>1424</v>
      </c>
      <c r="E465" s="314" t="s">
        <v>1550</v>
      </c>
      <c r="F465" s="315"/>
      <c r="G465" s="315"/>
      <c r="H465" s="315"/>
      <c r="I465" s="315"/>
      <c r="J465" s="315"/>
      <c r="K465" s="315"/>
      <c r="L465" s="315">
        <v>1</v>
      </c>
      <c r="M465" s="315">
        <v>1</v>
      </c>
      <c r="N465" s="315"/>
      <c r="O465" s="315"/>
      <c r="P465" s="315"/>
      <c r="Q465" s="315"/>
      <c r="R465" s="315"/>
      <c r="S465" s="315"/>
      <c r="T465" s="315">
        <v>1</v>
      </c>
      <c r="U465" s="315"/>
      <c r="V465" s="315"/>
      <c r="W465" s="315"/>
      <c r="X465" s="315"/>
      <c r="Y465" s="315"/>
      <c r="Z465" s="315"/>
      <c r="AA465" s="315"/>
      <c r="AB465" s="315"/>
      <c r="AC465" s="315"/>
      <c r="AD465" s="315"/>
      <c r="AE465" s="315"/>
      <c r="AF465" s="315"/>
      <c r="AG465" s="315"/>
      <c r="AH465" s="315"/>
      <c r="AI465" s="315"/>
      <c r="AJ465" s="315"/>
      <c r="AK465" s="315"/>
      <c r="AL465" s="315">
        <v>1</v>
      </c>
      <c r="AM465" s="315">
        <v>1</v>
      </c>
      <c r="AN465" s="315"/>
      <c r="AO465" s="315"/>
      <c r="AP465" s="315">
        <v>1</v>
      </c>
      <c r="AQ465" s="316">
        <v>1</v>
      </c>
    </row>
    <row r="466" spans="1:43" s="378" customFormat="1" ht="44.25" customHeight="1">
      <c r="A466" s="313" t="s">
        <v>1537</v>
      </c>
      <c r="B466" s="313" t="s">
        <v>384</v>
      </c>
      <c r="C466" s="314" t="s">
        <v>1028</v>
      </c>
      <c r="D466" s="314" t="s">
        <v>1424</v>
      </c>
      <c r="E466" s="314" t="s">
        <v>1551</v>
      </c>
      <c r="F466" s="315"/>
      <c r="G466" s="315"/>
      <c r="H466" s="315"/>
      <c r="I466" s="315"/>
      <c r="J466" s="315"/>
      <c r="K466" s="315"/>
      <c r="L466" s="315">
        <v>1</v>
      </c>
      <c r="M466" s="315">
        <v>1</v>
      </c>
      <c r="N466" s="315"/>
      <c r="O466" s="315"/>
      <c r="P466" s="315"/>
      <c r="Q466" s="315"/>
      <c r="R466" s="315"/>
      <c r="S466" s="315"/>
      <c r="T466" s="315">
        <v>1</v>
      </c>
      <c r="U466" s="315">
        <v>1</v>
      </c>
      <c r="V466" s="315"/>
      <c r="W466" s="315"/>
      <c r="X466" s="315"/>
      <c r="Y466" s="315"/>
      <c r="Z466" s="315"/>
      <c r="AA466" s="315"/>
      <c r="AB466" s="315"/>
      <c r="AC466" s="315">
        <v>1</v>
      </c>
      <c r="AD466" s="315"/>
      <c r="AE466" s="315"/>
      <c r="AF466" s="315"/>
      <c r="AG466" s="315"/>
      <c r="AH466" s="315"/>
      <c r="AI466" s="315"/>
      <c r="AJ466" s="315"/>
      <c r="AK466" s="315"/>
      <c r="AL466" s="315"/>
      <c r="AM466" s="315">
        <v>1</v>
      </c>
      <c r="AN466" s="315">
        <v>1</v>
      </c>
      <c r="AO466" s="315">
        <v>1</v>
      </c>
      <c r="AP466" s="315">
        <v>1</v>
      </c>
      <c r="AQ466" s="316">
        <v>1</v>
      </c>
    </row>
    <row r="467" spans="1:43" s="378" customFormat="1" ht="44.25" customHeight="1">
      <c r="A467" s="313" t="s">
        <v>1537</v>
      </c>
      <c r="B467" s="313" t="s">
        <v>384</v>
      </c>
      <c r="C467" s="314" t="s">
        <v>1029</v>
      </c>
      <c r="D467" s="314" t="s">
        <v>1424</v>
      </c>
      <c r="E467" s="314" t="s">
        <v>1552</v>
      </c>
      <c r="F467" s="315"/>
      <c r="G467" s="315"/>
      <c r="H467" s="315"/>
      <c r="I467" s="315"/>
      <c r="J467" s="315"/>
      <c r="K467" s="315"/>
      <c r="L467" s="315">
        <v>1</v>
      </c>
      <c r="M467" s="315"/>
      <c r="N467" s="315"/>
      <c r="O467" s="315"/>
      <c r="P467" s="315"/>
      <c r="Q467" s="315"/>
      <c r="R467" s="315"/>
      <c r="S467" s="315"/>
      <c r="T467" s="315"/>
      <c r="U467" s="315">
        <v>1</v>
      </c>
      <c r="V467" s="315"/>
      <c r="W467" s="315"/>
      <c r="X467" s="315"/>
      <c r="Y467" s="315"/>
      <c r="Z467" s="315"/>
      <c r="AA467" s="315"/>
      <c r="AB467" s="315"/>
      <c r="AC467" s="315">
        <v>1</v>
      </c>
      <c r="AD467" s="315"/>
      <c r="AE467" s="315"/>
      <c r="AF467" s="315"/>
      <c r="AG467" s="315"/>
      <c r="AH467" s="315"/>
      <c r="AI467" s="315"/>
      <c r="AJ467" s="315"/>
      <c r="AK467" s="315"/>
      <c r="AL467" s="315">
        <v>1</v>
      </c>
      <c r="AM467" s="315">
        <v>1</v>
      </c>
      <c r="AN467" s="315">
        <v>1</v>
      </c>
      <c r="AO467" s="315">
        <v>1</v>
      </c>
      <c r="AP467" s="315"/>
      <c r="AQ467" s="316"/>
    </row>
    <row r="468" spans="1:43" s="378" customFormat="1" ht="44.25" customHeight="1">
      <c r="A468" s="313" t="s">
        <v>1537</v>
      </c>
      <c r="B468" s="313" t="s">
        <v>384</v>
      </c>
      <c r="C468" s="314" t="s">
        <v>1030</v>
      </c>
      <c r="D468" s="314" t="s">
        <v>1456</v>
      </c>
      <c r="E468" s="314" t="s">
        <v>1553</v>
      </c>
      <c r="F468" s="315"/>
      <c r="G468" s="315"/>
      <c r="H468" s="315"/>
      <c r="I468" s="315"/>
      <c r="J468" s="315"/>
      <c r="K468" s="315"/>
      <c r="L468" s="315">
        <v>1</v>
      </c>
      <c r="M468" s="315">
        <v>1</v>
      </c>
      <c r="N468" s="315"/>
      <c r="O468" s="315"/>
      <c r="P468" s="315"/>
      <c r="Q468" s="315"/>
      <c r="R468" s="315"/>
      <c r="S468" s="315"/>
      <c r="T468" s="315">
        <v>1</v>
      </c>
      <c r="U468" s="315">
        <v>1</v>
      </c>
      <c r="V468" s="315"/>
      <c r="W468" s="315"/>
      <c r="X468" s="315"/>
      <c r="Y468" s="315"/>
      <c r="Z468" s="315"/>
      <c r="AA468" s="315"/>
      <c r="AB468" s="315"/>
      <c r="AC468" s="315"/>
      <c r="AD468" s="315"/>
      <c r="AE468" s="315"/>
      <c r="AF468" s="315"/>
      <c r="AG468" s="315"/>
      <c r="AH468" s="315"/>
      <c r="AI468" s="315"/>
      <c r="AJ468" s="315"/>
      <c r="AK468" s="315"/>
      <c r="AL468" s="315">
        <v>1</v>
      </c>
      <c r="AM468" s="315">
        <v>1</v>
      </c>
      <c r="AN468" s="315">
        <v>1</v>
      </c>
      <c r="AO468" s="315">
        <v>1</v>
      </c>
      <c r="AP468" s="315">
        <v>1</v>
      </c>
      <c r="AQ468" s="316">
        <v>1</v>
      </c>
    </row>
    <row r="469" spans="1:43" s="378" customFormat="1" ht="44.25" customHeight="1">
      <c r="A469" s="313" t="s">
        <v>1537</v>
      </c>
      <c r="B469" s="313" t="s">
        <v>384</v>
      </c>
      <c r="C469" s="314" t="s">
        <v>1031</v>
      </c>
      <c r="D469" s="314" t="s">
        <v>1432</v>
      </c>
      <c r="E469" s="314" t="s">
        <v>1554</v>
      </c>
      <c r="F469" s="315"/>
      <c r="G469" s="315"/>
      <c r="H469" s="315"/>
      <c r="I469" s="315"/>
      <c r="J469" s="315"/>
      <c r="K469" s="315"/>
      <c r="L469" s="315">
        <v>1</v>
      </c>
      <c r="M469" s="315">
        <v>1</v>
      </c>
      <c r="N469" s="315"/>
      <c r="O469" s="315"/>
      <c r="P469" s="315"/>
      <c r="Q469" s="315"/>
      <c r="R469" s="315"/>
      <c r="S469" s="315"/>
      <c r="T469" s="315">
        <v>1</v>
      </c>
      <c r="U469" s="315"/>
      <c r="V469" s="315"/>
      <c r="W469" s="315"/>
      <c r="X469" s="315"/>
      <c r="Y469" s="315"/>
      <c r="Z469" s="315"/>
      <c r="AA469" s="315"/>
      <c r="AB469" s="315">
        <v>1</v>
      </c>
      <c r="AC469" s="315">
        <v>1</v>
      </c>
      <c r="AD469" s="315"/>
      <c r="AE469" s="315"/>
      <c r="AF469" s="315"/>
      <c r="AG469" s="315"/>
      <c r="AH469" s="315"/>
      <c r="AI469" s="315"/>
      <c r="AJ469" s="315"/>
      <c r="AK469" s="315"/>
      <c r="AL469" s="315">
        <v>1</v>
      </c>
      <c r="AM469" s="315">
        <v>1</v>
      </c>
      <c r="AN469" s="315"/>
      <c r="AO469" s="315">
        <v>1</v>
      </c>
      <c r="AP469" s="315">
        <v>1</v>
      </c>
      <c r="AQ469" s="316">
        <v>1</v>
      </c>
    </row>
    <row r="470" spans="1:43" s="378" customFormat="1" ht="44.25" customHeight="1">
      <c r="A470" s="313" t="s">
        <v>1537</v>
      </c>
      <c r="B470" s="313" t="s">
        <v>386</v>
      </c>
      <c r="C470" s="314" t="s">
        <v>1032</v>
      </c>
      <c r="D470" s="314" t="s">
        <v>1452</v>
      </c>
      <c r="E470" s="314" t="s">
        <v>1555</v>
      </c>
      <c r="F470" s="315"/>
      <c r="G470" s="315"/>
      <c r="H470" s="315"/>
      <c r="I470" s="315"/>
      <c r="J470" s="315"/>
      <c r="K470" s="315"/>
      <c r="L470" s="315">
        <v>1</v>
      </c>
      <c r="M470" s="315">
        <v>1</v>
      </c>
      <c r="N470" s="315"/>
      <c r="O470" s="315"/>
      <c r="P470" s="315"/>
      <c r="Q470" s="315"/>
      <c r="R470" s="315"/>
      <c r="S470" s="315"/>
      <c r="T470" s="315">
        <v>1</v>
      </c>
      <c r="U470" s="315">
        <v>1</v>
      </c>
      <c r="V470" s="315"/>
      <c r="W470" s="315"/>
      <c r="X470" s="315"/>
      <c r="Y470" s="315"/>
      <c r="Z470" s="315"/>
      <c r="AA470" s="315"/>
      <c r="AB470" s="315">
        <v>1</v>
      </c>
      <c r="AC470" s="315">
        <v>1</v>
      </c>
      <c r="AD470" s="315"/>
      <c r="AE470" s="315"/>
      <c r="AF470" s="315"/>
      <c r="AG470" s="315"/>
      <c r="AH470" s="315"/>
      <c r="AI470" s="315"/>
      <c r="AJ470" s="315"/>
      <c r="AK470" s="315"/>
      <c r="AL470" s="315">
        <v>1</v>
      </c>
      <c r="AM470" s="315">
        <v>1</v>
      </c>
      <c r="AN470" s="315">
        <v>1</v>
      </c>
      <c r="AO470" s="315">
        <v>1</v>
      </c>
      <c r="AP470" s="315">
        <v>1</v>
      </c>
      <c r="AQ470" s="316">
        <v>1</v>
      </c>
    </row>
    <row r="471" spans="1:43" s="378" customFormat="1" ht="44.25" customHeight="1">
      <c r="A471" s="313" t="s">
        <v>1537</v>
      </c>
      <c r="B471" s="313" t="s">
        <v>384</v>
      </c>
      <c r="C471" s="314" t="s">
        <v>1033</v>
      </c>
      <c r="D471" s="314" t="s">
        <v>1424</v>
      </c>
      <c r="E471" s="314" t="s">
        <v>1556</v>
      </c>
      <c r="F471" s="315"/>
      <c r="G471" s="315"/>
      <c r="H471" s="315"/>
      <c r="I471" s="315"/>
      <c r="J471" s="315"/>
      <c r="K471" s="315"/>
      <c r="L471" s="315">
        <v>1</v>
      </c>
      <c r="M471" s="315">
        <v>1</v>
      </c>
      <c r="N471" s="315"/>
      <c r="O471" s="315"/>
      <c r="P471" s="315"/>
      <c r="Q471" s="315"/>
      <c r="R471" s="315"/>
      <c r="S471" s="315"/>
      <c r="T471" s="315"/>
      <c r="U471" s="315">
        <v>1</v>
      </c>
      <c r="V471" s="315"/>
      <c r="W471" s="315"/>
      <c r="X471" s="315"/>
      <c r="Y471" s="315"/>
      <c r="Z471" s="315"/>
      <c r="AA471" s="315"/>
      <c r="AB471" s="315">
        <v>1</v>
      </c>
      <c r="AC471" s="315">
        <v>1</v>
      </c>
      <c r="AD471" s="315"/>
      <c r="AE471" s="315"/>
      <c r="AF471" s="315"/>
      <c r="AG471" s="315"/>
      <c r="AH471" s="315"/>
      <c r="AI471" s="315"/>
      <c r="AJ471" s="315"/>
      <c r="AK471" s="315"/>
      <c r="AL471" s="315">
        <v>1</v>
      </c>
      <c r="AM471" s="315">
        <v>1</v>
      </c>
      <c r="AN471" s="315">
        <v>1</v>
      </c>
      <c r="AO471" s="315">
        <v>1</v>
      </c>
      <c r="AP471" s="315">
        <v>1</v>
      </c>
      <c r="AQ471" s="317">
        <v>1</v>
      </c>
    </row>
    <row r="472" spans="1:43" s="378" customFormat="1" ht="44.25" customHeight="1">
      <c r="A472" s="313" t="s">
        <v>1537</v>
      </c>
      <c r="B472" s="313" t="s">
        <v>386</v>
      </c>
      <c r="C472" s="314" t="s">
        <v>1034</v>
      </c>
      <c r="D472" s="314" t="s">
        <v>1424</v>
      </c>
      <c r="E472" s="314" t="s">
        <v>1557</v>
      </c>
      <c r="F472" s="315"/>
      <c r="G472" s="315"/>
      <c r="H472" s="315"/>
      <c r="I472" s="315"/>
      <c r="J472" s="315"/>
      <c r="K472" s="315"/>
      <c r="L472" s="315"/>
      <c r="M472" s="315"/>
      <c r="N472" s="315"/>
      <c r="O472" s="315"/>
      <c r="P472" s="315"/>
      <c r="Q472" s="315"/>
      <c r="R472" s="315"/>
      <c r="S472" s="315"/>
      <c r="T472" s="315"/>
      <c r="U472" s="315"/>
      <c r="V472" s="315"/>
      <c r="W472" s="315"/>
      <c r="X472" s="315"/>
      <c r="Y472" s="315"/>
      <c r="Z472" s="315"/>
      <c r="AA472" s="315"/>
      <c r="AB472" s="315"/>
      <c r="AC472" s="315"/>
      <c r="AD472" s="315"/>
      <c r="AE472" s="315"/>
      <c r="AF472" s="315"/>
      <c r="AG472" s="315"/>
      <c r="AH472" s="315"/>
      <c r="AI472" s="315"/>
      <c r="AJ472" s="315"/>
      <c r="AK472" s="315"/>
      <c r="AL472" s="315">
        <v>1</v>
      </c>
      <c r="AM472" s="315"/>
      <c r="AN472" s="315"/>
      <c r="AO472" s="315"/>
      <c r="AP472" s="315"/>
      <c r="AQ472" s="317"/>
    </row>
    <row r="473" spans="1:43" s="378" customFormat="1" ht="44.25" customHeight="1">
      <c r="A473" s="313" t="s">
        <v>1537</v>
      </c>
      <c r="B473" s="313" t="s">
        <v>384</v>
      </c>
      <c r="C473" s="314" t="s">
        <v>1035</v>
      </c>
      <c r="D473" s="314" t="s">
        <v>1424</v>
      </c>
      <c r="E473" s="314" t="s">
        <v>1558</v>
      </c>
      <c r="F473" s="315"/>
      <c r="G473" s="315"/>
      <c r="H473" s="315"/>
      <c r="I473" s="315"/>
      <c r="J473" s="315"/>
      <c r="K473" s="315"/>
      <c r="L473" s="315">
        <v>1</v>
      </c>
      <c r="M473" s="315">
        <v>1</v>
      </c>
      <c r="N473" s="315"/>
      <c r="O473" s="315"/>
      <c r="P473" s="315"/>
      <c r="Q473" s="315"/>
      <c r="R473" s="315"/>
      <c r="S473" s="315"/>
      <c r="T473" s="315">
        <v>1</v>
      </c>
      <c r="U473" s="315">
        <v>1</v>
      </c>
      <c r="V473" s="315"/>
      <c r="W473" s="315"/>
      <c r="X473" s="315"/>
      <c r="Y473" s="315"/>
      <c r="Z473" s="315"/>
      <c r="AA473" s="315"/>
      <c r="AB473" s="315"/>
      <c r="AC473" s="315"/>
      <c r="AD473" s="315"/>
      <c r="AE473" s="315"/>
      <c r="AF473" s="315"/>
      <c r="AG473" s="315"/>
      <c r="AH473" s="315"/>
      <c r="AI473" s="315"/>
      <c r="AJ473" s="315"/>
      <c r="AK473" s="315"/>
      <c r="AL473" s="315">
        <v>1</v>
      </c>
      <c r="AM473" s="315">
        <v>1</v>
      </c>
      <c r="AN473" s="315">
        <v>1</v>
      </c>
      <c r="AO473" s="315">
        <v>1</v>
      </c>
      <c r="AP473" s="315">
        <v>1</v>
      </c>
      <c r="AQ473" s="316">
        <v>1</v>
      </c>
    </row>
    <row r="474" spans="1:43" s="378" customFormat="1" ht="44.25" customHeight="1">
      <c r="A474" s="313" t="s">
        <v>1537</v>
      </c>
      <c r="B474" s="313" t="s">
        <v>386</v>
      </c>
      <c r="C474" s="314" t="s">
        <v>1036</v>
      </c>
      <c r="D474" s="314" t="s">
        <v>1424</v>
      </c>
      <c r="E474" s="314" t="s">
        <v>1559</v>
      </c>
      <c r="F474" s="315"/>
      <c r="G474" s="315"/>
      <c r="H474" s="315"/>
      <c r="I474" s="315"/>
      <c r="J474" s="315"/>
      <c r="K474" s="315"/>
      <c r="L474" s="315">
        <v>1</v>
      </c>
      <c r="M474" s="315">
        <v>1</v>
      </c>
      <c r="N474" s="315"/>
      <c r="O474" s="315"/>
      <c r="P474" s="315"/>
      <c r="Q474" s="315"/>
      <c r="R474" s="315"/>
      <c r="S474" s="315"/>
      <c r="T474" s="315">
        <v>1</v>
      </c>
      <c r="U474" s="315">
        <v>1</v>
      </c>
      <c r="V474" s="315"/>
      <c r="W474" s="315"/>
      <c r="X474" s="315"/>
      <c r="Y474" s="315"/>
      <c r="Z474" s="315"/>
      <c r="AA474" s="315"/>
      <c r="AB474" s="315"/>
      <c r="AC474" s="315"/>
      <c r="AD474" s="315"/>
      <c r="AE474" s="315"/>
      <c r="AF474" s="315"/>
      <c r="AG474" s="315"/>
      <c r="AH474" s="315"/>
      <c r="AI474" s="315"/>
      <c r="AJ474" s="315"/>
      <c r="AK474" s="315"/>
      <c r="AL474" s="315">
        <v>1</v>
      </c>
      <c r="AM474" s="315">
        <v>1</v>
      </c>
      <c r="AN474" s="315">
        <v>1</v>
      </c>
      <c r="AO474" s="315">
        <v>1</v>
      </c>
      <c r="AP474" s="315">
        <v>1</v>
      </c>
      <c r="AQ474" s="316">
        <v>1</v>
      </c>
    </row>
    <row r="475" spans="1:43" s="378" customFormat="1" ht="44.25" customHeight="1">
      <c r="A475" s="313" t="s">
        <v>1537</v>
      </c>
      <c r="B475" s="313" t="s">
        <v>386</v>
      </c>
      <c r="C475" s="314" t="s">
        <v>1037</v>
      </c>
      <c r="D475" s="314" t="s">
        <v>1424</v>
      </c>
      <c r="E475" s="314" t="s">
        <v>1560</v>
      </c>
      <c r="F475" s="315"/>
      <c r="G475" s="315"/>
      <c r="H475" s="315"/>
      <c r="I475" s="315"/>
      <c r="J475" s="315"/>
      <c r="K475" s="315"/>
      <c r="L475" s="315">
        <v>1</v>
      </c>
      <c r="M475" s="315">
        <v>1</v>
      </c>
      <c r="N475" s="315"/>
      <c r="O475" s="315"/>
      <c r="P475" s="315"/>
      <c r="Q475" s="315"/>
      <c r="R475" s="315"/>
      <c r="S475" s="315"/>
      <c r="T475" s="315"/>
      <c r="U475" s="315">
        <v>1</v>
      </c>
      <c r="V475" s="315"/>
      <c r="W475" s="315"/>
      <c r="X475" s="315"/>
      <c r="Y475" s="315"/>
      <c r="Z475" s="315"/>
      <c r="AA475" s="315"/>
      <c r="AB475" s="315"/>
      <c r="AC475" s="315"/>
      <c r="AD475" s="315"/>
      <c r="AE475" s="315"/>
      <c r="AF475" s="315"/>
      <c r="AG475" s="315"/>
      <c r="AH475" s="315"/>
      <c r="AI475" s="315"/>
      <c r="AJ475" s="315"/>
      <c r="AK475" s="315"/>
      <c r="AL475" s="315">
        <v>1</v>
      </c>
      <c r="AM475" s="315">
        <v>1</v>
      </c>
      <c r="AN475" s="315">
        <v>1</v>
      </c>
      <c r="AO475" s="315">
        <v>1</v>
      </c>
      <c r="AP475" s="315">
        <v>1</v>
      </c>
      <c r="AQ475" s="316">
        <v>1</v>
      </c>
    </row>
    <row r="476" spans="1:43" s="378" customFormat="1" ht="44.25" customHeight="1">
      <c r="A476" s="313" t="s">
        <v>1537</v>
      </c>
      <c r="B476" s="313" t="s">
        <v>384</v>
      </c>
      <c r="C476" s="314" t="s">
        <v>1038</v>
      </c>
      <c r="D476" s="314" t="s">
        <v>1426</v>
      </c>
      <c r="E476" s="314" t="s">
        <v>1561</v>
      </c>
      <c r="F476" s="315"/>
      <c r="G476" s="315"/>
      <c r="H476" s="315"/>
      <c r="I476" s="315"/>
      <c r="J476" s="315"/>
      <c r="K476" s="315"/>
      <c r="L476" s="315">
        <v>1</v>
      </c>
      <c r="M476" s="315">
        <v>1</v>
      </c>
      <c r="N476" s="315"/>
      <c r="O476" s="315"/>
      <c r="P476" s="315"/>
      <c r="Q476" s="315"/>
      <c r="R476" s="315"/>
      <c r="S476" s="315"/>
      <c r="T476" s="315">
        <v>1</v>
      </c>
      <c r="U476" s="315">
        <v>1</v>
      </c>
      <c r="V476" s="315"/>
      <c r="W476" s="315"/>
      <c r="X476" s="315"/>
      <c r="Y476" s="315"/>
      <c r="Z476" s="315"/>
      <c r="AA476" s="315"/>
      <c r="AB476" s="315"/>
      <c r="AC476" s="315">
        <v>1</v>
      </c>
      <c r="AD476" s="315"/>
      <c r="AE476" s="315"/>
      <c r="AF476" s="315"/>
      <c r="AG476" s="315"/>
      <c r="AH476" s="315"/>
      <c r="AI476" s="315"/>
      <c r="AJ476" s="315"/>
      <c r="AK476" s="315"/>
      <c r="AL476" s="315">
        <v>1</v>
      </c>
      <c r="AM476" s="315">
        <v>1</v>
      </c>
      <c r="AN476" s="315">
        <v>1</v>
      </c>
      <c r="AO476" s="315">
        <v>1</v>
      </c>
      <c r="AP476" s="315">
        <v>1</v>
      </c>
      <c r="AQ476" s="316">
        <v>1</v>
      </c>
    </row>
    <row r="477" spans="1:43" s="378" customFormat="1" ht="44.25" customHeight="1">
      <c r="A477" s="313" t="s">
        <v>1537</v>
      </c>
      <c r="B477" s="313" t="s">
        <v>384</v>
      </c>
      <c r="C477" s="314" t="s">
        <v>1039</v>
      </c>
      <c r="D477" s="314" t="s">
        <v>1424</v>
      </c>
      <c r="E477" s="314" t="s">
        <v>1562</v>
      </c>
      <c r="F477" s="315"/>
      <c r="G477" s="315"/>
      <c r="H477" s="315"/>
      <c r="I477" s="315"/>
      <c r="J477" s="315"/>
      <c r="K477" s="315"/>
      <c r="L477" s="315">
        <v>1</v>
      </c>
      <c r="M477" s="315">
        <v>1</v>
      </c>
      <c r="N477" s="315"/>
      <c r="O477" s="315"/>
      <c r="P477" s="315"/>
      <c r="Q477" s="315"/>
      <c r="R477" s="315"/>
      <c r="S477" s="315"/>
      <c r="T477" s="315">
        <v>1</v>
      </c>
      <c r="U477" s="315">
        <v>1</v>
      </c>
      <c r="V477" s="315"/>
      <c r="W477" s="315"/>
      <c r="X477" s="315"/>
      <c r="Y477" s="315"/>
      <c r="Z477" s="315"/>
      <c r="AA477" s="315"/>
      <c r="AB477" s="315"/>
      <c r="AC477" s="315"/>
      <c r="AD477" s="315"/>
      <c r="AE477" s="315"/>
      <c r="AF477" s="315"/>
      <c r="AG477" s="315"/>
      <c r="AH477" s="315"/>
      <c r="AI477" s="315"/>
      <c r="AJ477" s="315"/>
      <c r="AK477" s="315"/>
      <c r="AL477" s="315">
        <v>1</v>
      </c>
      <c r="AM477" s="315">
        <v>1</v>
      </c>
      <c r="AN477" s="315">
        <v>1</v>
      </c>
      <c r="AO477" s="315">
        <v>1</v>
      </c>
      <c r="AP477" s="315">
        <v>1</v>
      </c>
      <c r="AQ477" s="316">
        <v>1</v>
      </c>
    </row>
    <row r="478" spans="1:43" s="378" customFormat="1" ht="44.25" customHeight="1">
      <c r="A478" s="313" t="s">
        <v>1537</v>
      </c>
      <c r="B478" s="313" t="s">
        <v>384</v>
      </c>
      <c r="C478" s="314" t="s">
        <v>1040</v>
      </c>
      <c r="D478" s="314" t="s">
        <v>1432</v>
      </c>
      <c r="E478" s="314" t="s">
        <v>1563</v>
      </c>
      <c r="F478" s="315"/>
      <c r="G478" s="315"/>
      <c r="H478" s="315"/>
      <c r="I478" s="315"/>
      <c r="J478" s="315"/>
      <c r="K478" s="315"/>
      <c r="L478" s="315">
        <v>1</v>
      </c>
      <c r="M478" s="315">
        <v>1</v>
      </c>
      <c r="N478" s="315"/>
      <c r="O478" s="315"/>
      <c r="P478" s="315"/>
      <c r="Q478" s="315"/>
      <c r="R478" s="315"/>
      <c r="S478" s="315"/>
      <c r="T478" s="315">
        <v>1</v>
      </c>
      <c r="U478" s="315">
        <v>1</v>
      </c>
      <c r="V478" s="315"/>
      <c r="W478" s="315"/>
      <c r="X478" s="315"/>
      <c r="Y478" s="315"/>
      <c r="Z478" s="315"/>
      <c r="AA478" s="315"/>
      <c r="AB478" s="315"/>
      <c r="AC478" s="315">
        <v>1</v>
      </c>
      <c r="AD478" s="315"/>
      <c r="AE478" s="315"/>
      <c r="AF478" s="315"/>
      <c r="AG478" s="315"/>
      <c r="AH478" s="315"/>
      <c r="AI478" s="315"/>
      <c r="AJ478" s="315"/>
      <c r="AK478" s="315"/>
      <c r="AL478" s="315">
        <v>1</v>
      </c>
      <c r="AM478" s="315">
        <v>1</v>
      </c>
      <c r="AN478" s="315">
        <v>1</v>
      </c>
      <c r="AO478" s="315">
        <v>1</v>
      </c>
      <c r="AP478" s="315">
        <v>1</v>
      </c>
      <c r="AQ478" s="316">
        <v>1</v>
      </c>
    </row>
    <row r="479" spans="1:43" s="378" customFormat="1" ht="44.25" customHeight="1">
      <c r="A479" s="313" t="s">
        <v>1537</v>
      </c>
      <c r="B479" s="313" t="s">
        <v>386</v>
      </c>
      <c r="C479" s="314" t="s">
        <v>1041</v>
      </c>
      <c r="D479" s="314" t="s">
        <v>1424</v>
      </c>
      <c r="E479" s="314" t="s">
        <v>1564</v>
      </c>
      <c r="F479" s="315"/>
      <c r="G479" s="315"/>
      <c r="H479" s="315"/>
      <c r="I479" s="315"/>
      <c r="J479" s="315"/>
      <c r="K479" s="315"/>
      <c r="L479" s="315">
        <v>1</v>
      </c>
      <c r="M479" s="315">
        <v>1</v>
      </c>
      <c r="N479" s="315"/>
      <c r="O479" s="315"/>
      <c r="P479" s="315"/>
      <c r="Q479" s="315"/>
      <c r="R479" s="315"/>
      <c r="S479" s="315"/>
      <c r="T479" s="315">
        <v>1</v>
      </c>
      <c r="U479" s="315">
        <v>1</v>
      </c>
      <c r="V479" s="315"/>
      <c r="W479" s="315"/>
      <c r="X479" s="315"/>
      <c r="Y479" s="315"/>
      <c r="Z479" s="315"/>
      <c r="AA479" s="315"/>
      <c r="AB479" s="315"/>
      <c r="AC479" s="315"/>
      <c r="AD479" s="315"/>
      <c r="AE479" s="315"/>
      <c r="AF479" s="315"/>
      <c r="AG479" s="315"/>
      <c r="AH479" s="315"/>
      <c r="AI479" s="315"/>
      <c r="AJ479" s="315"/>
      <c r="AK479" s="315"/>
      <c r="AL479" s="315">
        <v>1</v>
      </c>
      <c r="AM479" s="315">
        <v>1</v>
      </c>
      <c r="AN479" s="315">
        <v>1</v>
      </c>
      <c r="AO479" s="315">
        <v>1</v>
      </c>
      <c r="AP479" s="315">
        <v>1</v>
      </c>
      <c r="AQ479" s="316">
        <v>1</v>
      </c>
    </row>
    <row r="480" spans="1:43" s="378" customFormat="1" ht="44.25" customHeight="1">
      <c r="A480" s="313" t="s">
        <v>1537</v>
      </c>
      <c r="B480" s="313" t="s">
        <v>386</v>
      </c>
      <c r="C480" s="314" t="s">
        <v>1042</v>
      </c>
      <c r="D480" s="314" t="s">
        <v>1424</v>
      </c>
      <c r="E480" s="314" t="s">
        <v>1565</v>
      </c>
      <c r="F480" s="315"/>
      <c r="G480" s="315"/>
      <c r="H480" s="315"/>
      <c r="I480" s="315"/>
      <c r="J480" s="315"/>
      <c r="K480" s="315"/>
      <c r="L480" s="315">
        <v>1</v>
      </c>
      <c r="M480" s="315">
        <v>1</v>
      </c>
      <c r="N480" s="315"/>
      <c r="O480" s="315"/>
      <c r="P480" s="315"/>
      <c r="Q480" s="315"/>
      <c r="R480" s="315"/>
      <c r="S480" s="315"/>
      <c r="T480" s="315">
        <v>1</v>
      </c>
      <c r="U480" s="315">
        <v>1</v>
      </c>
      <c r="V480" s="315"/>
      <c r="W480" s="315"/>
      <c r="X480" s="315"/>
      <c r="Y480" s="315"/>
      <c r="Z480" s="315"/>
      <c r="AA480" s="315"/>
      <c r="AB480" s="315"/>
      <c r="AC480" s="315">
        <v>1</v>
      </c>
      <c r="AD480" s="315"/>
      <c r="AE480" s="315"/>
      <c r="AF480" s="315"/>
      <c r="AG480" s="315"/>
      <c r="AH480" s="315"/>
      <c r="AI480" s="315"/>
      <c r="AJ480" s="315"/>
      <c r="AK480" s="315"/>
      <c r="AL480" s="315">
        <v>1</v>
      </c>
      <c r="AM480" s="315">
        <v>1</v>
      </c>
      <c r="AN480" s="315">
        <v>1</v>
      </c>
      <c r="AO480" s="315">
        <v>1</v>
      </c>
      <c r="AP480" s="315">
        <v>1</v>
      </c>
      <c r="AQ480" s="316">
        <v>1</v>
      </c>
    </row>
    <row r="481" spans="1:43" s="378" customFormat="1" ht="44.25" customHeight="1">
      <c r="A481" s="313" t="s">
        <v>1537</v>
      </c>
      <c r="B481" s="313" t="s">
        <v>384</v>
      </c>
      <c r="C481" s="314" t="s">
        <v>1043</v>
      </c>
      <c r="D481" s="314" t="s">
        <v>1424</v>
      </c>
      <c r="E481" s="314" t="s">
        <v>1566</v>
      </c>
      <c r="F481" s="315"/>
      <c r="G481" s="315"/>
      <c r="H481" s="315"/>
      <c r="I481" s="315"/>
      <c r="J481" s="315"/>
      <c r="K481" s="315"/>
      <c r="L481" s="315">
        <v>1</v>
      </c>
      <c r="M481" s="315">
        <v>1</v>
      </c>
      <c r="N481" s="315"/>
      <c r="O481" s="315"/>
      <c r="P481" s="315"/>
      <c r="Q481" s="315"/>
      <c r="R481" s="315"/>
      <c r="S481" s="315"/>
      <c r="T481" s="315"/>
      <c r="U481" s="315">
        <v>1</v>
      </c>
      <c r="V481" s="315"/>
      <c r="W481" s="315"/>
      <c r="X481" s="315"/>
      <c r="Y481" s="315"/>
      <c r="Z481" s="315"/>
      <c r="AA481" s="315"/>
      <c r="AB481" s="315"/>
      <c r="AC481" s="315"/>
      <c r="AD481" s="315"/>
      <c r="AE481" s="315"/>
      <c r="AF481" s="315"/>
      <c r="AG481" s="315"/>
      <c r="AH481" s="315"/>
      <c r="AI481" s="315"/>
      <c r="AJ481" s="315"/>
      <c r="AK481" s="315"/>
      <c r="AL481" s="315">
        <v>1</v>
      </c>
      <c r="AM481" s="315">
        <v>1</v>
      </c>
      <c r="AN481" s="315">
        <v>1</v>
      </c>
      <c r="AO481" s="315">
        <v>1</v>
      </c>
      <c r="AP481" s="315">
        <v>1</v>
      </c>
      <c r="AQ481" s="316">
        <v>1</v>
      </c>
    </row>
    <row r="482" spans="1:43" s="378" customFormat="1" ht="44.25" customHeight="1">
      <c r="A482" s="313" t="s">
        <v>1537</v>
      </c>
      <c r="B482" s="313" t="s">
        <v>386</v>
      </c>
      <c r="C482" s="314" t="s">
        <v>1044</v>
      </c>
      <c r="D482" s="314" t="s">
        <v>1424</v>
      </c>
      <c r="E482" s="314" t="s">
        <v>1567</v>
      </c>
      <c r="F482" s="315"/>
      <c r="G482" s="315"/>
      <c r="H482" s="315"/>
      <c r="I482" s="315"/>
      <c r="J482" s="315"/>
      <c r="K482" s="315"/>
      <c r="L482" s="315">
        <v>1</v>
      </c>
      <c r="M482" s="315">
        <v>1</v>
      </c>
      <c r="N482" s="315"/>
      <c r="O482" s="315"/>
      <c r="P482" s="315"/>
      <c r="Q482" s="315"/>
      <c r="R482" s="315"/>
      <c r="S482" s="315"/>
      <c r="T482" s="315"/>
      <c r="U482" s="315"/>
      <c r="V482" s="315"/>
      <c r="W482" s="315"/>
      <c r="X482" s="315"/>
      <c r="Y482" s="315"/>
      <c r="Z482" s="315"/>
      <c r="AA482" s="315"/>
      <c r="AB482" s="315"/>
      <c r="AC482" s="315"/>
      <c r="AD482" s="315"/>
      <c r="AE482" s="315"/>
      <c r="AF482" s="315"/>
      <c r="AG482" s="315"/>
      <c r="AH482" s="315"/>
      <c r="AI482" s="315"/>
      <c r="AJ482" s="315"/>
      <c r="AK482" s="315"/>
      <c r="AL482" s="315">
        <v>1</v>
      </c>
      <c r="AM482" s="315">
        <v>1</v>
      </c>
      <c r="AN482" s="315">
        <v>1</v>
      </c>
      <c r="AO482" s="315">
        <v>1</v>
      </c>
      <c r="AP482" s="315">
        <v>1</v>
      </c>
      <c r="AQ482" s="317">
        <v>1</v>
      </c>
    </row>
    <row r="483" spans="1:43" s="378" customFormat="1" ht="44.25" customHeight="1">
      <c r="A483" s="313" t="s">
        <v>1537</v>
      </c>
      <c r="B483" s="313" t="s">
        <v>384</v>
      </c>
      <c r="C483" s="314" t="s">
        <v>1045</v>
      </c>
      <c r="D483" s="314" t="s">
        <v>1424</v>
      </c>
      <c r="E483" s="314" t="s">
        <v>1568</v>
      </c>
      <c r="F483" s="315"/>
      <c r="G483" s="315"/>
      <c r="H483" s="315"/>
      <c r="I483" s="315"/>
      <c r="J483" s="315"/>
      <c r="K483" s="315"/>
      <c r="L483" s="315">
        <v>1</v>
      </c>
      <c r="M483" s="315">
        <v>1</v>
      </c>
      <c r="N483" s="315"/>
      <c r="O483" s="315"/>
      <c r="P483" s="315"/>
      <c r="Q483" s="315"/>
      <c r="R483" s="315"/>
      <c r="S483" s="315"/>
      <c r="T483" s="315">
        <v>1</v>
      </c>
      <c r="U483" s="315">
        <v>1</v>
      </c>
      <c r="V483" s="315"/>
      <c r="W483" s="315"/>
      <c r="X483" s="315"/>
      <c r="Y483" s="315"/>
      <c r="Z483" s="315"/>
      <c r="AA483" s="315"/>
      <c r="AB483" s="315">
        <v>1</v>
      </c>
      <c r="AC483" s="315">
        <v>1</v>
      </c>
      <c r="AD483" s="315"/>
      <c r="AE483" s="315"/>
      <c r="AF483" s="315"/>
      <c r="AG483" s="315"/>
      <c r="AH483" s="315"/>
      <c r="AI483" s="315"/>
      <c r="AJ483" s="315"/>
      <c r="AK483" s="315"/>
      <c r="AL483" s="315">
        <v>1</v>
      </c>
      <c r="AM483" s="315">
        <v>1</v>
      </c>
      <c r="AN483" s="315">
        <v>1</v>
      </c>
      <c r="AO483" s="315">
        <v>1</v>
      </c>
      <c r="AP483" s="315">
        <v>1</v>
      </c>
      <c r="AQ483" s="317">
        <v>1</v>
      </c>
    </row>
    <row r="484" spans="1:43" s="378" customFormat="1" ht="44.25" customHeight="1">
      <c r="A484" s="313" t="s">
        <v>1537</v>
      </c>
      <c r="B484" s="313" t="s">
        <v>386</v>
      </c>
      <c r="C484" s="314" t="s">
        <v>1046</v>
      </c>
      <c r="D484" s="314" t="s">
        <v>1424</v>
      </c>
      <c r="E484" s="314"/>
      <c r="F484" s="315"/>
      <c r="G484" s="315"/>
      <c r="H484" s="315"/>
      <c r="I484" s="315"/>
      <c r="J484" s="315"/>
      <c r="K484" s="315"/>
      <c r="L484" s="315">
        <v>1</v>
      </c>
      <c r="M484" s="315">
        <v>1</v>
      </c>
      <c r="N484" s="315"/>
      <c r="O484" s="315"/>
      <c r="P484" s="315"/>
      <c r="Q484" s="315"/>
      <c r="R484" s="315"/>
      <c r="S484" s="315"/>
      <c r="T484" s="315">
        <v>1</v>
      </c>
      <c r="U484" s="315">
        <v>1</v>
      </c>
      <c r="V484" s="315"/>
      <c r="W484" s="315"/>
      <c r="X484" s="315"/>
      <c r="Y484" s="315"/>
      <c r="Z484" s="315"/>
      <c r="AA484" s="315"/>
      <c r="AB484" s="315"/>
      <c r="AC484" s="315"/>
      <c r="AD484" s="315"/>
      <c r="AE484" s="315"/>
      <c r="AF484" s="315"/>
      <c r="AG484" s="315"/>
      <c r="AH484" s="315"/>
      <c r="AI484" s="315"/>
      <c r="AJ484" s="315"/>
      <c r="AK484" s="315"/>
      <c r="AL484" s="315">
        <v>1</v>
      </c>
      <c r="AM484" s="315">
        <v>1</v>
      </c>
      <c r="AN484" s="315">
        <v>1</v>
      </c>
      <c r="AO484" s="315">
        <v>1</v>
      </c>
      <c r="AP484" s="315">
        <v>1</v>
      </c>
      <c r="AQ484" s="316">
        <v>1</v>
      </c>
    </row>
    <row r="485" spans="1:43" s="378" customFormat="1" ht="44.25" customHeight="1">
      <c r="A485" s="313" t="s">
        <v>1537</v>
      </c>
      <c r="B485" s="313" t="s">
        <v>390</v>
      </c>
      <c r="C485" s="314" t="s">
        <v>1047</v>
      </c>
      <c r="D485" s="314" t="s">
        <v>1450</v>
      </c>
      <c r="E485" s="314" t="s">
        <v>1569</v>
      </c>
      <c r="F485" s="315"/>
      <c r="G485" s="315"/>
      <c r="H485" s="315"/>
      <c r="I485" s="315"/>
      <c r="J485" s="315"/>
      <c r="K485" s="315"/>
      <c r="L485" s="315">
        <v>1</v>
      </c>
      <c r="M485" s="315">
        <v>1</v>
      </c>
      <c r="N485" s="315"/>
      <c r="O485" s="315"/>
      <c r="P485" s="315"/>
      <c r="Q485" s="315"/>
      <c r="R485" s="315"/>
      <c r="S485" s="315"/>
      <c r="T485" s="315">
        <v>1</v>
      </c>
      <c r="U485" s="315">
        <v>1</v>
      </c>
      <c r="V485" s="315"/>
      <c r="W485" s="315"/>
      <c r="X485" s="315"/>
      <c r="Y485" s="315"/>
      <c r="Z485" s="315"/>
      <c r="AA485" s="315"/>
      <c r="AB485" s="315"/>
      <c r="AC485" s="315"/>
      <c r="AD485" s="315"/>
      <c r="AE485" s="315"/>
      <c r="AF485" s="315"/>
      <c r="AG485" s="315"/>
      <c r="AH485" s="315"/>
      <c r="AI485" s="315"/>
      <c r="AJ485" s="315"/>
      <c r="AK485" s="315"/>
      <c r="AL485" s="315"/>
      <c r="AM485" s="315"/>
      <c r="AN485" s="315"/>
      <c r="AO485" s="315"/>
      <c r="AP485" s="315"/>
      <c r="AQ485" s="316"/>
    </row>
    <row r="486" spans="1:43" s="378" customFormat="1" ht="44.25" customHeight="1">
      <c r="A486" s="313" t="s">
        <v>1537</v>
      </c>
      <c r="B486" s="313" t="s">
        <v>384</v>
      </c>
      <c r="C486" s="314" t="s">
        <v>1048</v>
      </c>
      <c r="D486" s="314" t="s">
        <v>1450</v>
      </c>
      <c r="E486" s="314" t="s">
        <v>1570</v>
      </c>
      <c r="F486" s="315"/>
      <c r="G486" s="315"/>
      <c r="H486" s="315"/>
      <c r="I486" s="315"/>
      <c r="J486" s="315"/>
      <c r="K486" s="315"/>
      <c r="L486" s="315">
        <v>1</v>
      </c>
      <c r="M486" s="315">
        <v>1</v>
      </c>
      <c r="N486" s="315"/>
      <c r="O486" s="315"/>
      <c r="P486" s="315"/>
      <c r="Q486" s="315"/>
      <c r="R486" s="315"/>
      <c r="S486" s="315"/>
      <c r="T486" s="315">
        <v>1</v>
      </c>
      <c r="U486" s="315">
        <v>1</v>
      </c>
      <c r="V486" s="315"/>
      <c r="W486" s="315"/>
      <c r="X486" s="315"/>
      <c r="Y486" s="315"/>
      <c r="Z486" s="315"/>
      <c r="AA486" s="315"/>
      <c r="AB486" s="315"/>
      <c r="AC486" s="315"/>
      <c r="AD486" s="315"/>
      <c r="AE486" s="315"/>
      <c r="AF486" s="315"/>
      <c r="AG486" s="315"/>
      <c r="AH486" s="315"/>
      <c r="AI486" s="315"/>
      <c r="AJ486" s="315"/>
      <c r="AK486" s="315"/>
      <c r="AL486" s="315">
        <v>1</v>
      </c>
      <c r="AM486" s="315">
        <v>1</v>
      </c>
      <c r="AN486" s="315">
        <v>1</v>
      </c>
      <c r="AO486" s="315">
        <v>1</v>
      </c>
      <c r="AP486" s="315"/>
      <c r="AQ486" s="316"/>
    </row>
    <row r="487" spans="1:43" s="378" customFormat="1" ht="44.25" customHeight="1">
      <c r="A487" s="313" t="s">
        <v>1537</v>
      </c>
      <c r="B487" s="313" t="s">
        <v>386</v>
      </c>
      <c r="C487" s="314" t="s">
        <v>1049</v>
      </c>
      <c r="D487" s="314" t="s">
        <v>1424</v>
      </c>
      <c r="E487" s="314" t="s">
        <v>1571</v>
      </c>
      <c r="F487" s="315"/>
      <c r="G487" s="315"/>
      <c r="H487" s="315"/>
      <c r="I487" s="315"/>
      <c r="J487" s="315"/>
      <c r="K487" s="315"/>
      <c r="L487" s="315">
        <v>1</v>
      </c>
      <c r="M487" s="315">
        <v>1</v>
      </c>
      <c r="N487" s="315"/>
      <c r="O487" s="315"/>
      <c r="P487" s="315"/>
      <c r="Q487" s="315"/>
      <c r="R487" s="315"/>
      <c r="S487" s="315"/>
      <c r="T487" s="315">
        <v>1</v>
      </c>
      <c r="U487" s="315">
        <v>1</v>
      </c>
      <c r="V487" s="315"/>
      <c r="W487" s="315"/>
      <c r="X487" s="315"/>
      <c r="Y487" s="315"/>
      <c r="Z487" s="315"/>
      <c r="AA487" s="315"/>
      <c r="AB487" s="315"/>
      <c r="AC487" s="315">
        <v>1</v>
      </c>
      <c r="AD487" s="315"/>
      <c r="AE487" s="315"/>
      <c r="AF487" s="315"/>
      <c r="AG487" s="315"/>
      <c r="AH487" s="315"/>
      <c r="AI487" s="315"/>
      <c r="AJ487" s="315"/>
      <c r="AK487" s="315"/>
      <c r="AL487" s="315">
        <v>1</v>
      </c>
      <c r="AM487" s="315">
        <v>1</v>
      </c>
      <c r="AN487" s="315">
        <v>1</v>
      </c>
      <c r="AO487" s="315">
        <v>1</v>
      </c>
      <c r="AP487" s="315">
        <v>1</v>
      </c>
      <c r="AQ487" s="316">
        <v>1</v>
      </c>
    </row>
    <row r="488" spans="1:43" s="378" customFormat="1" ht="44.25" customHeight="1">
      <c r="A488" s="313" t="s">
        <v>1537</v>
      </c>
      <c r="B488" s="313" t="s">
        <v>384</v>
      </c>
      <c r="C488" s="314" t="s">
        <v>1050</v>
      </c>
      <c r="D488" s="314" t="s">
        <v>1424</v>
      </c>
      <c r="E488" s="314" t="s">
        <v>1572</v>
      </c>
      <c r="F488" s="315"/>
      <c r="G488" s="315"/>
      <c r="H488" s="315"/>
      <c r="I488" s="315"/>
      <c r="J488" s="315"/>
      <c r="K488" s="315"/>
      <c r="L488" s="315">
        <v>1</v>
      </c>
      <c r="M488" s="315">
        <v>1</v>
      </c>
      <c r="N488" s="315"/>
      <c r="O488" s="315"/>
      <c r="P488" s="315"/>
      <c r="Q488" s="315"/>
      <c r="R488" s="315"/>
      <c r="S488" s="315"/>
      <c r="T488" s="315">
        <v>1</v>
      </c>
      <c r="U488" s="315">
        <v>1</v>
      </c>
      <c r="V488" s="315"/>
      <c r="W488" s="315"/>
      <c r="X488" s="315"/>
      <c r="Y488" s="315"/>
      <c r="Z488" s="315"/>
      <c r="AA488" s="315"/>
      <c r="AB488" s="315"/>
      <c r="AC488" s="315">
        <v>1</v>
      </c>
      <c r="AD488" s="315"/>
      <c r="AE488" s="315"/>
      <c r="AF488" s="315"/>
      <c r="AG488" s="315"/>
      <c r="AH488" s="315"/>
      <c r="AI488" s="315"/>
      <c r="AJ488" s="315"/>
      <c r="AK488" s="315"/>
      <c r="AL488" s="315">
        <v>1</v>
      </c>
      <c r="AM488" s="315">
        <v>1</v>
      </c>
      <c r="AN488" s="315">
        <v>1</v>
      </c>
      <c r="AO488" s="315">
        <v>1</v>
      </c>
      <c r="AP488" s="315">
        <v>1</v>
      </c>
      <c r="AQ488" s="316">
        <v>1</v>
      </c>
    </row>
    <row r="489" spans="1:43" s="378" customFormat="1" ht="44.25" customHeight="1">
      <c r="A489" s="313" t="s">
        <v>1537</v>
      </c>
      <c r="B489" s="313" t="s">
        <v>384</v>
      </c>
      <c r="C489" s="314" t="s">
        <v>1051</v>
      </c>
      <c r="D489" s="314" t="s">
        <v>1432</v>
      </c>
      <c r="E489" s="314" t="s">
        <v>1573</v>
      </c>
      <c r="F489" s="315"/>
      <c r="G489" s="315"/>
      <c r="H489" s="315"/>
      <c r="I489" s="315"/>
      <c r="J489" s="315"/>
      <c r="K489" s="315"/>
      <c r="L489" s="315">
        <v>1</v>
      </c>
      <c r="M489" s="315">
        <v>1</v>
      </c>
      <c r="N489" s="315"/>
      <c r="O489" s="315"/>
      <c r="P489" s="315"/>
      <c r="Q489" s="315"/>
      <c r="R489" s="315"/>
      <c r="S489" s="315"/>
      <c r="T489" s="315">
        <v>1</v>
      </c>
      <c r="U489" s="315">
        <v>1</v>
      </c>
      <c r="V489" s="315"/>
      <c r="W489" s="315"/>
      <c r="X489" s="315"/>
      <c r="Y489" s="315"/>
      <c r="Z489" s="315"/>
      <c r="AA489" s="315"/>
      <c r="AB489" s="315"/>
      <c r="AC489" s="315"/>
      <c r="AD489" s="315"/>
      <c r="AE489" s="315"/>
      <c r="AF489" s="315"/>
      <c r="AG489" s="315"/>
      <c r="AH489" s="315"/>
      <c r="AI489" s="315"/>
      <c r="AJ489" s="315"/>
      <c r="AK489" s="315"/>
      <c r="AL489" s="315">
        <v>1</v>
      </c>
      <c r="AM489" s="315">
        <v>1</v>
      </c>
      <c r="AN489" s="315">
        <v>1</v>
      </c>
      <c r="AO489" s="315">
        <v>1</v>
      </c>
      <c r="AP489" s="315">
        <v>1</v>
      </c>
      <c r="AQ489" s="316">
        <v>1</v>
      </c>
    </row>
    <row r="490" spans="1:43" s="378" customFormat="1" ht="44.25" customHeight="1">
      <c r="A490" s="313" t="s">
        <v>1537</v>
      </c>
      <c r="B490" s="313" t="s">
        <v>384</v>
      </c>
      <c r="C490" s="314" t="s">
        <v>1052</v>
      </c>
      <c r="D490" s="314" t="s">
        <v>1438</v>
      </c>
      <c r="E490" s="314" t="s">
        <v>1574</v>
      </c>
      <c r="F490" s="315"/>
      <c r="G490" s="315"/>
      <c r="H490" s="315"/>
      <c r="I490" s="315"/>
      <c r="J490" s="315"/>
      <c r="K490" s="315"/>
      <c r="L490" s="315">
        <v>1</v>
      </c>
      <c r="M490" s="315">
        <v>1</v>
      </c>
      <c r="N490" s="315"/>
      <c r="O490" s="315"/>
      <c r="P490" s="315"/>
      <c r="Q490" s="315"/>
      <c r="R490" s="315"/>
      <c r="S490" s="315"/>
      <c r="T490" s="315"/>
      <c r="U490" s="315">
        <v>1</v>
      </c>
      <c r="V490" s="315"/>
      <c r="W490" s="315"/>
      <c r="X490" s="315"/>
      <c r="Y490" s="315"/>
      <c r="Z490" s="315"/>
      <c r="AA490" s="315"/>
      <c r="AB490" s="315"/>
      <c r="AC490" s="315"/>
      <c r="AD490" s="315"/>
      <c r="AE490" s="315"/>
      <c r="AF490" s="315"/>
      <c r="AG490" s="315"/>
      <c r="AH490" s="315"/>
      <c r="AI490" s="315"/>
      <c r="AJ490" s="315"/>
      <c r="AK490" s="315"/>
      <c r="AL490" s="315">
        <v>1</v>
      </c>
      <c r="AM490" s="315">
        <v>1</v>
      </c>
      <c r="AN490" s="315"/>
      <c r="AO490" s="315">
        <v>1</v>
      </c>
      <c r="AP490" s="315">
        <v>1</v>
      </c>
      <c r="AQ490" s="316">
        <v>1</v>
      </c>
    </row>
    <row r="491" spans="1:43" s="378" customFormat="1" ht="44.25" customHeight="1">
      <c r="A491" s="313" t="s">
        <v>1537</v>
      </c>
      <c r="B491" s="313" t="s">
        <v>384</v>
      </c>
      <c r="C491" s="314" t="s">
        <v>1053</v>
      </c>
      <c r="D491" s="314" t="s">
        <v>1424</v>
      </c>
      <c r="E491" s="314" t="s">
        <v>1575</v>
      </c>
      <c r="F491" s="315"/>
      <c r="G491" s="315"/>
      <c r="H491" s="315"/>
      <c r="I491" s="315"/>
      <c r="J491" s="315"/>
      <c r="K491" s="315"/>
      <c r="L491" s="315">
        <v>1</v>
      </c>
      <c r="M491" s="315">
        <v>1</v>
      </c>
      <c r="N491" s="315"/>
      <c r="O491" s="315"/>
      <c r="P491" s="315"/>
      <c r="Q491" s="315"/>
      <c r="R491" s="315"/>
      <c r="S491" s="315"/>
      <c r="T491" s="315">
        <v>1</v>
      </c>
      <c r="U491" s="315">
        <v>1</v>
      </c>
      <c r="V491" s="315"/>
      <c r="W491" s="315"/>
      <c r="X491" s="315"/>
      <c r="Y491" s="315"/>
      <c r="Z491" s="315"/>
      <c r="AA491" s="315"/>
      <c r="AB491" s="315"/>
      <c r="AC491" s="315"/>
      <c r="AD491" s="315"/>
      <c r="AE491" s="315"/>
      <c r="AF491" s="315"/>
      <c r="AG491" s="315"/>
      <c r="AH491" s="315"/>
      <c r="AI491" s="315"/>
      <c r="AJ491" s="315"/>
      <c r="AK491" s="315"/>
      <c r="AL491" s="315">
        <v>1</v>
      </c>
      <c r="AM491" s="315">
        <v>1</v>
      </c>
      <c r="AN491" s="315">
        <v>1</v>
      </c>
      <c r="AO491" s="315">
        <v>1</v>
      </c>
      <c r="AP491" s="315">
        <v>1</v>
      </c>
      <c r="AQ491" s="316">
        <v>1</v>
      </c>
    </row>
    <row r="492" spans="1:43" s="378" customFormat="1" ht="44.25" customHeight="1">
      <c r="A492" s="313" t="s">
        <v>1537</v>
      </c>
      <c r="B492" s="313" t="s">
        <v>384</v>
      </c>
      <c r="C492" s="314" t="s">
        <v>1054</v>
      </c>
      <c r="D492" s="314" t="s">
        <v>1424</v>
      </c>
      <c r="E492" s="314" t="s">
        <v>1576</v>
      </c>
      <c r="F492" s="315"/>
      <c r="G492" s="315"/>
      <c r="H492" s="315"/>
      <c r="I492" s="315"/>
      <c r="J492" s="315"/>
      <c r="K492" s="315"/>
      <c r="L492" s="315">
        <v>1</v>
      </c>
      <c r="M492" s="315">
        <v>1</v>
      </c>
      <c r="N492" s="315"/>
      <c r="O492" s="315"/>
      <c r="P492" s="315"/>
      <c r="Q492" s="315"/>
      <c r="R492" s="315"/>
      <c r="S492" s="315"/>
      <c r="T492" s="315">
        <v>1</v>
      </c>
      <c r="U492" s="315">
        <v>1</v>
      </c>
      <c r="V492" s="315"/>
      <c r="W492" s="315"/>
      <c r="X492" s="315"/>
      <c r="Y492" s="315"/>
      <c r="Z492" s="315"/>
      <c r="AA492" s="315"/>
      <c r="AB492" s="315"/>
      <c r="AC492" s="315">
        <v>1</v>
      </c>
      <c r="AD492" s="315"/>
      <c r="AE492" s="315"/>
      <c r="AF492" s="315"/>
      <c r="AG492" s="315"/>
      <c r="AH492" s="315"/>
      <c r="AI492" s="315"/>
      <c r="AJ492" s="315"/>
      <c r="AK492" s="315"/>
      <c r="AL492" s="315"/>
      <c r="AM492" s="315">
        <v>1</v>
      </c>
      <c r="AN492" s="315">
        <v>1</v>
      </c>
      <c r="AO492" s="315">
        <v>1</v>
      </c>
      <c r="AP492" s="315">
        <v>1</v>
      </c>
      <c r="AQ492" s="316">
        <v>1</v>
      </c>
    </row>
    <row r="493" spans="1:43" s="378" customFormat="1" ht="44.25" customHeight="1">
      <c r="A493" s="313" t="s">
        <v>1537</v>
      </c>
      <c r="B493" s="313" t="s">
        <v>384</v>
      </c>
      <c r="C493" s="314" t="s">
        <v>1055</v>
      </c>
      <c r="D493" s="314" t="s">
        <v>1424</v>
      </c>
      <c r="E493" s="314" t="s">
        <v>1577</v>
      </c>
      <c r="F493" s="315"/>
      <c r="G493" s="315"/>
      <c r="H493" s="315"/>
      <c r="I493" s="315"/>
      <c r="J493" s="315"/>
      <c r="K493" s="315"/>
      <c r="L493" s="315">
        <v>1</v>
      </c>
      <c r="M493" s="315">
        <v>1</v>
      </c>
      <c r="N493" s="315"/>
      <c r="O493" s="315"/>
      <c r="P493" s="315"/>
      <c r="Q493" s="315"/>
      <c r="R493" s="315"/>
      <c r="S493" s="315"/>
      <c r="T493" s="315">
        <v>1</v>
      </c>
      <c r="U493" s="315">
        <v>1</v>
      </c>
      <c r="V493" s="315"/>
      <c r="W493" s="315"/>
      <c r="X493" s="315"/>
      <c r="Y493" s="315"/>
      <c r="Z493" s="315"/>
      <c r="AA493" s="315"/>
      <c r="AB493" s="315"/>
      <c r="AC493" s="315"/>
      <c r="AD493" s="315"/>
      <c r="AE493" s="315"/>
      <c r="AF493" s="315"/>
      <c r="AG493" s="315"/>
      <c r="AH493" s="315"/>
      <c r="AI493" s="315"/>
      <c r="AJ493" s="315"/>
      <c r="AK493" s="315"/>
      <c r="AL493" s="315">
        <v>1</v>
      </c>
      <c r="AM493" s="315">
        <v>1</v>
      </c>
      <c r="AN493" s="315"/>
      <c r="AO493" s="315">
        <v>1</v>
      </c>
      <c r="AP493" s="315">
        <v>1</v>
      </c>
      <c r="AQ493" s="316">
        <v>1</v>
      </c>
    </row>
    <row r="494" spans="1:43" s="378" customFormat="1" ht="44.25" customHeight="1">
      <c r="A494" s="313" t="s">
        <v>1537</v>
      </c>
      <c r="B494" s="313" t="s">
        <v>386</v>
      </c>
      <c r="C494" s="314" t="s">
        <v>1056</v>
      </c>
      <c r="D494" s="314" t="s">
        <v>1426</v>
      </c>
      <c r="E494" s="314" t="s">
        <v>1578</v>
      </c>
      <c r="F494" s="315"/>
      <c r="G494" s="315"/>
      <c r="H494" s="315"/>
      <c r="I494" s="315"/>
      <c r="J494" s="315"/>
      <c r="K494" s="315"/>
      <c r="L494" s="315">
        <v>1</v>
      </c>
      <c r="M494" s="315">
        <v>1</v>
      </c>
      <c r="N494" s="315"/>
      <c r="O494" s="315"/>
      <c r="P494" s="315"/>
      <c r="Q494" s="315"/>
      <c r="R494" s="315"/>
      <c r="S494" s="315"/>
      <c r="T494" s="315">
        <v>1</v>
      </c>
      <c r="U494" s="315">
        <v>1</v>
      </c>
      <c r="V494" s="315"/>
      <c r="W494" s="315"/>
      <c r="X494" s="315"/>
      <c r="Y494" s="315"/>
      <c r="Z494" s="315"/>
      <c r="AA494" s="315"/>
      <c r="AB494" s="315"/>
      <c r="AC494" s="315"/>
      <c r="AD494" s="315"/>
      <c r="AE494" s="315"/>
      <c r="AF494" s="315"/>
      <c r="AG494" s="315"/>
      <c r="AH494" s="315"/>
      <c r="AI494" s="315"/>
      <c r="AJ494" s="315"/>
      <c r="AK494" s="315"/>
      <c r="AL494" s="315">
        <v>1</v>
      </c>
      <c r="AM494" s="315">
        <v>1</v>
      </c>
      <c r="AN494" s="315">
        <v>1</v>
      </c>
      <c r="AO494" s="315">
        <v>1</v>
      </c>
      <c r="AP494" s="315">
        <v>1</v>
      </c>
      <c r="AQ494" s="316">
        <v>1</v>
      </c>
    </row>
    <row r="495" spans="1:43" s="378" customFormat="1" ht="44.25" customHeight="1">
      <c r="A495" s="313" t="s">
        <v>1537</v>
      </c>
      <c r="B495" s="313" t="s">
        <v>384</v>
      </c>
      <c r="C495" s="314" t="s">
        <v>1057</v>
      </c>
      <c r="D495" s="314" t="s">
        <v>1432</v>
      </c>
      <c r="E495" s="314" t="s">
        <v>1579</v>
      </c>
      <c r="F495" s="315"/>
      <c r="G495" s="315"/>
      <c r="H495" s="315"/>
      <c r="I495" s="315"/>
      <c r="J495" s="315"/>
      <c r="K495" s="315"/>
      <c r="L495" s="315">
        <v>1</v>
      </c>
      <c r="M495" s="315">
        <v>1</v>
      </c>
      <c r="N495" s="315"/>
      <c r="O495" s="315"/>
      <c r="P495" s="315"/>
      <c r="Q495" s="315"/>
      <c r="R495" s="315"/>
      <c r="S495" s="315"/>
      <c r="T495" s="315">
        <v>1</v>
      </c>
      <c r="U495" s="315">
        <v>1</v>
      </c>
      <c r="V495" s="315"/>
      <c r="W495" s="315"/>
      <c r="X495" s="315"/>
      <c r="Y495" s="315"/>
      <c r="Z495" s="315"/>
      <c r="AA495" s="315"/>
      <c r="AB495" s="315"/>
      <c r="AC495" s="315">
        <v>1</v>
      </c>
      <c r="AD495" s="315"/>
      <c r="AE495" s="315"/>
      <c r="AF495" s="315"/>
      <c r="AG495" s="315"/>
      <c r="AH495" s="315"/>
      <c r="AI495" s="315"/>
      <c r="AJ495" s="315"/>
      <c r="AK495" s="315"/>
      <c r="AL495" s="315">
        <v>1</v>
      </c>
      <c r="AM495" s="315">
        <v>1</v>
      </c>
      <c r="AN495" s="315">
        <v>1</v>
      </c>
      <c r="AO495" s="315">
        <v>1</v>
      </c>
      <c r="AP495" s="315">
        <v>1</v>
      </c>
      <c r="AQ495" s="316">
        <v>1</v>
      </c>
    </row>
    <row r="496" spans="1:43" s="378" customFormat="1" ht="44.25" customHeight="1">
      <c r="A496" s="313" t="s">
        <v>1537</v>
      </c>
      <c r="B496" s="313" t="s">
        <v>386</v>
      </c>
      <c r="C496" s="314" t="s">
        <v>1058</v>
      </c>
      <c r="D496" s="314" t="s">
        <v>1424</v>
      </c>
      <c r="E496" s="314" t="s">
        <v>1580</v>
      </c>
      <c r="F496" s="315"/>
      <c r="G496" s="315"/>
      <c r="H496" s="315"/>
      <c r="I496" s="315"/>
      <c r="J496" s="315"/>
      <c r="K496" s="315"/>
      <c r="L496" s="315">
        <v>1</v>
      </c>
      <c r="M496" s="315">
        <v>1</v>
      </c>
      <c r="N496" s="315"/>
      <c r="O496" s="315"/>
      <c r="P496" s="315"/>
      <c r="Q496" s="315"/>
      <c r="R496" s="315"/>
      <c r="S496" s="315"/>
      <c r="T496" s="315">
        <v>1</v>
      </c>
      <c r="U496" s="315">
        <v>1</v>
      </c>
      <c r="V496" s="315"/>
      <c r="W496" s="315"/>
      <c r="X496" s="315"/>
      <c r="Y496" s="315"/>
      <c r="Z496" s="315"/>
      <c r="AA496" s="315"/>
      <c r="AB496" s="315"/>
      <c r="AC496" s="315"/>
      <c r="AD496" s="315"/>
      <c r="AE496" s="315"/>
      <c r="AF496" s="315"/>
      <c r="AG496" s="315"/>
      <c r="AH496" s="315"/>
      <c r="AI496" s="315"/>
      <c r="AJ496" s="315"/>
      <c r="AK496" s="315"/>
      <c r="AL496" s="315">
        <v>1</v>
      </c>
      <c r="AM496" s="315">
        <v>1</v>
      </c>
      <c r="AN496" s="315">
        <v>1</v>
      </c>
      <c r="AO496" s="315">
        <v>1</v>
      </c>
      <c r="AP496" s="315"/>
      <c r="AQ496" s="316"/>
    </row>
    <row r="497" spans="1:43" s="378" customFormat="1" ht="44.25" customHeight="1">
      <c r="A497" s="313" t="s">
        <v>1537</v>
      </c>
      <c r="B497" s="313" t="s">
        <v>386</v>
      </c>
      <c r="C497" s="314" t="s">
        <v>1059</v>
      </c>
      <c r="D497" s="314" t="s">
        <v>1446</v>
      </c>
      <c r="E497" s="314" t="s">
        <v>1581</v>
      </c>
      <c r="F497" s="315"/>
      <c r="G497" s="315"/>
      <c r="H497" s="315"/>
      <c r="I497" s="315"/>
      <c r="J497" s="315"/>
      <c r="K497" s="315"/>
      <c r="L497" s="315">
        <v>1</v>
      </c>
      <c r="M497" s="315">
        <v>1</v>
      </c>
      <c r="N497" s="315"/>
      <c r="O497" s="315"/>
      <c r="P497" s="315"/>
      <c r="Q497" s="315"/>
      <c r="R497" s="315"/>
      <c r="S497" s="315"/>
      <c r="T497" s="315">
        <v>1</v>
      </c>
      <c r="U497" s="315">
        <v>1</v>
      </c>
      <c r="V497" s="315"/>
      <c r="W497" s="315"/>
      <c r="X497" s="315"/>
      <c r="Y497" s="315"/>
      <c r="Z497" s="315"/>
      <c r="AA497" s="315"/>
      <c r="AB497" s="315"/>
      <c r="AC497" s="315"/>
      <c r="AD497" s="315"/>
      <c r="AE497" s="315"/>
      <c r="AF497" s="315"/>
      <c r="AG497" s="315"/>
      <c r="AH497" s="315"/>
      <c r="AI497" s="315"/>
      <c r="AJ497" s="315"/>
      <c r="AK497" s="315"/>
      <c r="AL497" s="315">
        <v>1</v>
      </c>
      <c r="AM497" s="315">
        <v>1</v>
      </c>
      <c r="AN497" s="315">
        <v>1</v>
      </c>
      <c r="AO497" s="315">
        <v>1</v>
      </c>
      <c r="AP497" s="315">
        <v>1</v>
      </c>
      <c r="AQ497" s="316">
        <v>1</v>
      </c>
    </row>
    <row r="498" spans="1:43" s="378" customFormat="1" ht="44.25" customHeight="1">
      <c r="A498" s="313" t="s">
        <v>1537</v>
      </c>
      <c r="B498" s="313" t="s">
        <v>384</v>
      </c>
      <c r="C498" s="314" t="s">
        <v>1060</v>
      </c>
      <c r="D498" s="314" t="s">
        <v>1432</v>
      </c>
      <c r="E498" s="314" t="s">
        <v>1582</v>
      </c>
      <c r="F498" s="315"/>
      <c r="G498" s="315"/>
      <c r="H498" s="315"/>
      <c r="I498" s="315"/>
      <c r="J498" s="315"/>
      <c r="K498" s="315"/>
      <c r="L498" s="315">
        <v>1</v>
      </c>
      <c r="M498" s="315">
        <v>1</v>
      </c>
      <c r="N498" s="315"/>
      <c r="O498" s="315"/>
      <c r="P498" s="315"/>
      <c r="Q498" s="315"/>
      <c r="R498" s="315"/>
      <c r="S498" s="315"/>
      <c r="T498" s="315">
        <v>1</v>
      </c>
      <c r="U498" s="315">
        <v>1</v>
      </c>
      <c r="V498" s="315"/>
      <c r="W498" s="315"/>
      <c r="X498" s="315"/>
      <c r="Y498" s="315"/>
      <c r="Z498" s="315"/>
      <c r="AA498" s="315"/>
      <c r="AB498" s="315"/>
      <c r="AC498" s="315">
        <v>1</v>
      </c>
      <c r="AD498" s="315"/>
      <c r="AE498" s="315"/>
      <c r="AF498" s="315"/>
      <c r="AG498" s="315"/>
      <c r="AH498" s="315"/>
      <c r="AI498" s="315"/>
      <c r="AJ498" s="315"/>
      <c r="AK498" s="315"/>
      <c r="AL498" s="315">
        <v>1</v>
      </c>
      <c r="AM498" s="315">
        <v>1</v>
      </c>
      <c r="AN498" s="315">
        <v>1</v>
      </c>
      <c r="AO498" s="315">
        <v>1</v>
      </c>
      <c r="AP498" s="315">
        <v>1</v>
      </c>
      <c r="AQ498" s="316">
        <v>1</v>
      </c>
    </row>
    <row r="499" spans="1:43" s="378" customFormat="1" ht="44.25" customHeight="1">
      <c r="A499" s="313" t="s">
        <v>1537</v>
      </c>
      <c r="B499" s="313" t="s">
        <v>384</v>
      </c>
      <c r="C499" s="314" t="s">
        <v>1061</v>
      </c>
      <c r="D499" s="314" t="s">
        <v>1424</v>
      </c>
      <c r="E499" s="314" t="s">
        <v>1583</v>
      </c>
      <c r="F499" s="315"/>
      <c r="G499" s="315"/>
      <c r="H499" s="315"/>
      <c r="I499" s="315"/>
      <c r="J499" s="315"/>
      <c r="K499" s="315"/>
      <c r="L499" s="315">
        <v>1</v>
      </c>
      <c r="M499" s="315">
        <v>1</v>
      </c>
      <c r="N499" s="315"/>
      <c r="O499" s="315"/>
      <c r="P499" s="315"/>
      <c r="Q499" s="315"/>
      <c r="R499" s="315"/>
      <c r="S499" s="315"/>
      <c r="T499" s="315">
        <v>1</v>
      </c>
      <c r="U499" s="315">
        <v>1</v>
      </c>
      <c r="V499" s="315"/>
      <c r="W499" s="315"/>
      <c r="X499" s="315"/>
      <c r="Y499" s="315"/>
      <c r="Z499" s="315"/>
      <c r="AA499" s="315"/>
      <c r="AB499" s="315"/>
      <c r="AC499" s="315">
        <v>1</v>
      </c>
      <c r="AD499" s="315"/>
      <c r="AE499" s="315"/>
      <c r="AF499" s="315"/>
      <c r="AG499" s="315"/>
      <c r="AH499" s="315"/>
      <c r="AI499" s="315"/>
      <c r="AJ499" s="315"/>
      <c r="AK499" s="315"/>
      <c r="AL499" s="315">
        <v>1</v>
      </c>
      <c r="AM499" s="315">
        <v>1</v>
      </c>
      <c r="AN499" s="315">
        <v>1</v>
      </c>
      <c r="AO499" s="315">
        <v>1</v>
      </c>
      <c r="AP499" s="315">
        <v>1</v>
      </c>
      <c r="AQ499" s="316">
        <v>1</v>
      </c>
    </row>
    <row r="500" spans="1:43" s="378" customFormat="1" ht="44.25" customHeight="1">
      <c r="A500" s="313" t="s">
        <v>1537</v>
      </c>
      <c r="B500" s="313" t="s">
        <v>384</v>
      </c>
      <c r="C500" s="314" t="s">
        <v>1062</v>
      </c>
      <c r="D500" s="314" t="s">
        <v>1424</v>
      </c>
      <c r="E500" s="314" t="s">
        <v>1584</v>
      </c>
      <c r="F500" s="315"/>
      <c r="G500" s="315"/>
      <c r="H500" s="315"/>
      <c r="I500" s="315"/>
      <c r="J500" s="315"/>
      <c r="K500" s="315"/>
      <c r="L500" s="315">
        <v>1</v>
      </c>
      <c r="M500" s="315">
        <v>1</v>
      </c>
      <c r="N500" s="315"/>
      <c r="O500" s="315"/>
      <c r="P500" s="315"/>
      <c r="Q500" s="315"/>
      <c r="R500" s="315"/>
      <c r="S500" s="315"/>
      <c r="T500" s="315">
        <v>1</v>
      </c>
      <c r="U500" s="315">
        <v>1</v>
      </c>
      <c r="V500" s="315"/>
      <c r="W500" s="315"/>
      <c r="X500" s="315"/>
      <c r="Y500" s="315"/>
      <c r="Z500" s="315"/>
      <c r="AA500" s="315"/>
      <c r="AB500" s="315"/>
      <c r="AC500" s="315"/>
      <c r="AD500" s="315"/>
      <c r="AE500" s="315"/>
      <c r="AF500" s="315"/>
      <c r="AG500" s="315"/>
      <c r="AH500" s="315"/>
      <c r="AI500" s="315"/>
      <c r="AJ500" s="315"/>
      <c r="AK500" s="315"/>
      <c r="AL500" s="315">
        <v>1</v>
      </c>
      <c r="AM500" s="315">
        <v>1</v>
      </c>
      <c r="AN500" s="315">
        <v>1</v>
      </c>
      <c r="AO500" s="315">
        <v>1</v>
      </c>
      <c r="AP500" s="315">
        <v>1</v>
      </c>
      <c r="AQ500" s="316">
        <v>1</v>
      </c>
    </row>
    <row r="501" spans="1:43" s="378" customFormat="1" ht="44.25" customHeight="1">
      <c r="A501" s="313" t="s">
        <v>1537</v>
      </c>
      <c r="B501" s="313" t="s">
        <v>384</v>
      </c>
      <c r="C501" s="314" t="s">
        <v>1063</v>
      </c>
      <c r="D501" s="314" t="s">
        <v>1432</v>
      </c>
      <c r="E501" s="314" t="s">
        <v>1585</v>
      </c>
      <c r="F501" s="315"/>
      <c r="G501" s="315"/>
      <c r="H501" s="315"/>
      <c r="I501" s="315"/>
      <c r="J501" s="315"/>
      <c r="K501" s="315"/>
      <c r="L501" s="315">
        <v>1</v>
      </c>
      <c r="M501" s="315">
        <v>1</v>
      </c>
      <c r="N501" s="315"/>
      <c r="O501" s="315"/>
      <c r="P501" s="315"/>
      <c r="Q501" s="315"/>
      <c r="R501" s="315"/>
      <c r="S501" s="315"/>
      <c r="T501" s="315">
        <v>1</v>
      </c>
      <c r="U501" s="315">
        <v>1</v>
      </c>
      <c r="V501" s="315"/>
      <c r="W501" s="315"/>
      <c r="X501" s="315"/>
      <c r="Y501" s="315"/>
      <c r="Z501" s="315"/>
      <c r="AA501" s="315"/>
      <c r="AB501" s="315"/>
      <c r="AC501" s="315"/>
      <c r="AD501" s="315"/>
      <c r="AE501" s="315"/>
      <c r="AF501" s="315"/>
      <c r="AG501" s="315"/>
      <c r="AH501" s="315"/>
      <c r="AI501" s="315"/>
      <c r="AJ501" s="315"/>
      <c r="AK501" s="315"/>
      <c r="AL501" s="315"/>
      <c r="AM501" s="315">
        <v>1</v>
      </c>
      <c r="AN501" s="315">
        <v>1</v>
      </c>
      <c r="AO501" s="315">
        <v>1</v>
      </c>
      <c r="AP501" s="315">
        <v>1</v>
      </c>
      <c r="AQ501" s="316">
        <v>1</v>
      </c>
    </row>
    <row r="502" spans="1:43" s="378" customFormat="1" ht="44.25" customHeight="1">
      <c r="A502" s="313" t="s">
        <v>1537</v>
      </c>
      <c r="B502" s="313" t="s">
        <v>384</v>
      </c>
      <c r="C502" s="314" t="s">
        <v>1064</v>
      </c>
      <c r="D502" s="314" t="s">
        <v>1424</v>
      </c>
      <c r="E502" s="314" t="s">
        <v>1586</v>
      </c>
      <c r="F502" s="315"/>
      <c r="G502" s="315"/>
      <c r="H502" s="315"/>
      <c r="I502" s="315"/>
      <c r="J502" s="315"/>
      <c r="K502" s="315"/>
      <c r="L502" s="315">
        <v>1</v>
      </c>
      <c r="M502" s="315">
        <v>1</v>
      </c>
      <c r="N502" s="315"/>
      <c r="O502" s="315"/>
      <c r="P502" s="315"/>
      <c r="Q502" s="315"/>
      <c r="R502" s="315"/>
      <c r="S502" s="315"/>
      <c r="T502" s="315">
        <v>1</v>
      </c>
      <c r="U502" s="315">
        <v>1</v>
      </c>
      <c r="V502" s="315"/>
      <c r="W502" s="315"/>
      <c r="X502" s="315"/>
      <c r="Y502" s="315"/>
      <c r="Z502" s="315"/>
      <c r="AA502" s="315"/>
      <c r="AB502" s="315"/>
      <c r="AC502" s="315"/>
      <c r="AD502" s="315"/>
      <c r="AE502" s="315"/>
      <c r="AF502" s="315"/>
      <c r="AG502" s="315"/>
      <c r="AH502" s="315"/>
      <c r="AI502" s="315"/>
      <c r="AJ502" s="315"/>
      <c r="AK502" s="315"/>
      <c r="AL502" s="315">
        <v>1</v>
      </c>
      <c r="AM502" s="315">
        <v>1</v>
      </c>
      <c r="AN502" s="315">
        <v>1</v>
      </c>
      <c r="AO502" s="315">
        <v>1</v>
      </c>
      <c r="AP502" s="315">
        <v>1</v>
      </c>
      <c r="AQ502" s="316">
        <v>1</v>
      </c>
    </row>
    <row r="503" spans="1:43" s="378" customFormat="1" ht="44.25" customHeight="1">
      <c r="A503" s="313" t="s">
        <v>1537</v>
      </c>
      <c r="B503" s="313" t="s">
        <v>384</v>
      </c>
      <c r="C503" s="314" t="s">
        <v>1065</v>
      </c>
      <c r="D503" s="314" t="s">
        <v>1424</v>
      </c>
      <c r="E503" s="314" t="s">
        <v>1587</v>
      </c>
      <c r="F503" s="315"/>
      <c r="G503" s="315"/>
      <c r="H503" s="315"/>
      <c r="I503" s="315"/>
      <c r="J503" s="315"/>
      <c r="K503" s="315"/>
      <c r="L503" s="315">
        <v>1</v>
      </c>
      <c r="M503" s="315">
        <v>1</v>
      </c>
      <c r="N503" s="315"/>
      <c r="O503" s="315"/>
      <c r="P503" s="315"/>
      <c r="Q503" s="315"/>
      <c r="R503" s="315"/>
      <c r="S503" s="315"/>
      <c r="T503" s="315">
        <v>1</v>
      </c>
      <c r="U503" s="315">
        <v>1</v>
      </c>
      <c r="V503" s="315"/>
      <c r="W503" s="315"/>
      <c r="X503" s="315"/>
      <c r="Y503" s="315"/>
      <c r="Z503" s="315"/>
      <c r="AA503" s="315"/>
      <c r="AB503" s="315"/>
      <c r="AC503" s="315">
        <v>1</v>
      </c>
      <c r="AD503" s="315"/>
      <c r="AE503" s="315"/>
      <c r="AF503" s="315"/>
      <c r="AG503" s="315"/>
      <c r="AH503" s="315"/>
      <c r="AI503" s="315"/>
      <c r="AJ503" s="315"/>
      <c r="AK503" s="315"/>
      <c r="AL503" s="315">
        <v>1</v>
      </c>
      <c r="AM503" s="315">
        <v>1</v>
      </c>
      <c r="AN503" s="315">
        <v>1</v>
      </c>
      <c r="AO503" s="315">
        <v>1</v>
      </c>
      <c r="AP503" s="315">
        <v>1</v>
      </c>
      <c r="AQ503" s="316">
        <v>1</v>
      </c>
    </row>
    <row r="504" spans="1:43" s="378" customFormat="1" ht="44.25" customHeight="1">
      <c r="A504" s="313" t="s">
        <v>1537</v>
      </c>
      <c r="B504" s="313" t="s">
        <v>386</v>
      </c>
      <c r="C504" s="314" t="s">
        <v>1066</v>
      </c>
      <c r="D504" s="314" t="s">
        <v>1424</v>
      </c>
      <c r="E504" s="314" t="s">
        <v>1588</v>
      </c>
      <c r="F504" s="315"/>
      <c r="G504" s="315"/>
      <c r="H504" s="315"/>
      <c r="I504" s="315"/>
      <c r="J504" s="315"/>
      <c r="K504" s="315"/>
      <c r="L504" s="315">
        <v>1</v>
      </c>
      <c r="M504" s="315">
        <v>1</v>
      </c>
      <c r="N504" s="315"/>
      <c r="O504" s="315"/>
      <c r="P504" s="315"/>
      <c r="Q504" s="315"/>
      <c r="R504" s="315"/>
      <c r="S504" s="315"/>
      <c r="T504" s="315">
        <v>1</v>
      </c>
      <c r="U504" s="315">
        <v>1</v>
      </c>
      <c r="V504" s="315"/>
      <c r="W504" s="315"/>
      <c r="X504" s="315"/>
      <c r="Y504" s="315"/>
      <c r="Z504" s="315"/>
      <c r="AA504" s="315"/>
      <c r="AB504" s="315"/>
      <c r="AC504" s="315">
        <v>1</v>
      </c>
      <c r="AD504" s="315"/>
      <c r="AE504" s="315"/>
      <c r="AF504" s="315"/>
      <c r="AG504" s="315"/>
      <c r="AH504" s="315"/>
      <c r="AI504" s="315"/>
      <c r="AJ504" s="315"/>
      <c r="AK504" s="315"/>
      <c r="AL504" s="315">
        <v>1</v>
      </c>
      <c r="AM504" s="315">
        <v>1</v>
      </c>
      <c r="AN504" s="315">
        <v>1</v>
      </c>
      <c r="AO504" s="315">
        <v>1</v>
      </c>
      <c r="AP504" s="315">
        <v>1</v>
      </c>
      <c r="AQ504" s="316">
        <v>1</v>
      </c>
    </row>
    <row r="505" spans="1:43" s="378" customFormat="1" ht="44.25" customHeight="1">
      <c r="A505" s="313" t="s">
        <v>1537</v>
      </c>
      <c r="B505" s="313" t="s">
        <v>384</v>
      </c>
      <c r="C505" s="314" t="s">
        <v>1067</v>
      </c>
      <c r="D505" s="314" t="s">
        <v>1424</v>
      </c>
      <c r="E505" s="314" t="s">
        <v>1589</v>
      </c>
      <c r="F505" s="315"/>
      <c r="G505" s="315"/>
      <c r="H505" s="315"/>
      <c r="I505" s="315"/>
      <c r="J505" s="315"/>
      <c r="K505" s="315"/>
      <c r="L505" s="315">
        <v>1</v>
      </c>
      <c r="M505" s="315">
        <v>1</v>
      </c>
      <c r="N505" s="315"/>
      <c r="O505" s="315"/>
      <c r="P505" s="315"/>
      <c r="Q505" s="315"/>
      <c r="R505" s="315"/>
      <c r="S505" s="315"/>
      <c r="T505" s="315">
        <v>1</v>
      </c>
      <c r="U505" s="315">
        <v>1</v>
      </c>
      <c r="V505" s="315"/>
      <c r="W505" s="315"/>
      <c r="X505" s="315"/>
      <c r="Y505" s="315"/>
      <c r="Z505" s="315"/>
      <c r="AA505" s="315"/>
      <c r="AB505" s="315"/>
      <c r="AC505" s="315"/>
      <c r="AD505" s="315"/>
      <c r="AE505" s="315"/>
      <c r="AF505" s="315"/>
      <c r="AG505" s="315"/>
      <c r="AH505" s="315"/>
      <c r="AI505" s="315"/>
      <c r="AJ505" s="315"/>
      <c r="AK505" s="315"/>
      <c r="AL505" s="315">
        <v>1</v>
      </c>
      <c r="AM505" s="315">
        <v>1</v>
      </c>
      <c r="AN505" s="315">
        <v>1</v>
      </c>
      <c r="AO505" s="315">
        <v>1</v>
      </c>
      <c r="AP505" s="315">
        <v>1</v>
      </c>
      <c r="AQ505" s="317">
        <v>1</v>
      </c>
    </row>
    <row r="506" spans="1:43" s="378" customFormat="1" ht="44.25" customHeight="1">
      <c r="A506" s="313" t="s">
        <v>1537</v>
      </c>
      <c r="B506" s="313" t="s">
        <v>384</v>
      </c>
      <c r="C506" s="314" t="s">
        <v>1068</v>
      </c>
      <c r="D506" s="314" t="s">
        <v>1426</v>
      </c>
      <c r="E506" s="314" t="s">
        <v>1590</v>
      </c>
      <c r="F506" s="315"/>
      <c r="G506" s="315"/>
      <c r="H506" s="315"/>
      <c r="I506" s="315"/>
      <c r="J506" s="315"/>
      <c r="K506" s="315"/>
      <c r="L506" s="315">
        <v>1</v>
      </c>
      <c r="M506" s="315">
        <v>1</v>
      </c>
      <c r="N506" s="315"/>
      <c r="O506" s="315"/>
      <c r="P506" s="315"/>
      <c r="Q506" s="315"/>
      <c r="R506" s="315"/>
      <c r="S506" s="315"/>
      <c r="T506" s="315">
        <v>1</v>
      </c>
      <c r="U506" s="315">
        <v>1</v>
      </c>
      <c r="V506" s="315"/>
      <c r="W506" s="315"/>
      <c r="X506" s="315"/>
      <c r="Y506" s="315"/>
      <c r="Z506" s="315"/>
      <c r="AA506" s="315"/>
      <c r="AB506" s="315"/>
      <c r="AC506" s="315">
        <v>1</v>
      </c>
      <c r="AD506" s="315"/>
      <c r="AE506" s="315"/>
      <c r="AF506" s="315"/>
      <c r="AG506" s="315"/>
      <c r="AH506" s="315"/>
      <c r="AI506" s="315"/>
      <c r="AJ506" s="315"/>
      <c r="AK506" s="315"/>
      <c r="AL506" s="315">
        <v>1</v>
      </c>
      <c r="AM506" s="315">
        <v>1</v>
      </c>
      <c r="AN506" s="315">
        <v>1</v>
      </c>
      <c r="AO506" s="315">
        <v>1</v>
      </c>
      <c r="AP506" s="315">
        <v>1</v>
      </c>
      <c r="AQ506" s="316">
        <v>1</v>
      </c>
    </row>
    <row r="507" spans="1:43" s="378" customFormat="1" ht="44.25" customHeight="1">
      <c r="A507" s="313" t="s">
        <v>1537</v>
      </c>
      <c r="B507" s="313" t="s">
        <v>384</v>
      </c>
      <c r="C507" s="314" t="s">
        <v>1069</v>
      </c>
      <c r="D507" s="314" t="s">
        <v>1432</v>
      </c>
      <c r="E507" s="314" t="s">
        <v>1591</v>
      </c>
      <c r="F507" s="315"/>
      <c r="G507" s="315"/>
      <c r="H507" s="315"/>
      <c r="I507" s="315"/>
      <c r="J507" s="315"/>
      <c r="K507" s="315"/>
      <c r="L507" s="315"/>
      <c r="M507" s="315">
        <v>1</v>
      </c>
      <c r="N507" s="315"/>
      <c r="O507" s="315"/>
      <c r="P507" s="315"/>
      <c r="Q507" s="315"/>
      <c r="R507" s="315"/>
      <c r="S507" s="315"/>
      <c r="T507" s="315"/>
      <c r="U507" s="315"/>
      <c r="V507" s="315"/>
      <c r="W507" s="315"/>
      <c r="X507" s="315"/>
      <c r="Y507" s="315"/>
      <c r="Z507" s="315"/>
      <c r="AA507" s="315"/>
      <c r="AB507" s="315"/>
      <c r="AC507" s="315"/>
      <c r="AD507" s="315"/>
      <c r="AE507" s="315"/>
      <c r="AF507" s="315"/>
      <c r="AG507" s="315"/>
      <c r="AH507" s="315"/>
      <c r="AI507" s="315"/>
      <c r="AJ507" s="315"/>
      <c r="AK507" s="315"/>
      <c r="AL507" s="315"/>
      <c r="AM507" s="315">
        <v>1</v>
      </c>
      <c r="AN507" s="315"/>
      <c r="AO507" s="315"/>
      <c r="AP507" s="315"/>
      <c r="AQ507" s="316"/>
    </row>
    <row r="508" spans="1:43" s="378" customFormat="1" ht="44.25" customHeight="1">
      <c r="A508" s="313" t="s">
        <v>1537</v>
      </c>
      <c r="B508" s="313" t="s">
        <v>384</v>
      </c>
      <c r="C508" s="314" t="s">
        <v>1070</v>
      </c>
      <c r="D508" s="314" t="s">
        <v>1424</v>
      </c>
      <c r="E508" s="314" t="s">
        <v>1592</v>
      </c>
      <c r="F508" s="315"/>
      <c r="G508" s="315"/>
      <c r="H508" s="315"/>
      <c r="I508" s="315"/>
      <c r="J508" s="315"/>
      <c r="K508" s="315"/>
      <c r="L508" s="315">
        <v>1</v>
      </c>
      <c r="M508" s="315">
        <v>1</v>
      </c>
      <c r="N508" s="315"/>
      <c r="O508" s="315"/>
      <c r="P508" s="315"/>
      <c r="Q508" s="315"/>
      <c r="R508" s="315"/>
      <c r="S508" s="315"/>
      <c r="T508" s="315"/>
      <c r="U508" s="315"/>
      <c r="V508" s="315"/>
      <c r="W508" s="315"/>
      <c r="X508" s="315"/>
      <c r="Y508" s="315"/>
      <c r="Z508" s="315"/>
      <c r="AA508" s="315"/>
      <c r="AB508" s="315"/>
      <c r="AC508" s="315"/>
      <c r="AD508" s="315"/>
      <c r="AE508" s="315"/>
      <c r="AF508" s="315"/>
      <c r="AG508" s="315"/>
      <c r="AH508" s="315"/>
      <c r="AI508" s="315"/>
      <c r="AJ508" s="315"/>
      <c r="AK508" s="315"/>
      <c r="AL508" s="315">
        <v>1</v>
      </c>
      <c r="AM508" s="315">
        <v>1</v>
      </c>
      <c r="AN508" s="315">
        <v>1</v>
      </c>
      <c r="AO508" s="315">
        <v>1</v>
      </c>
      <c r="AP508" s="315">
        <v>1</v>
      </c>
      <c r="AQ508" s="316">
        <v>1</v>
      </c>
    </row>
    <row r="509" spans="1:43" s="378" customFormat="1" ht="44.25" customHeight="1">
      <c r="A509" s="313" t="s">
        <v>1537</v>
      </c>
      <c r="B509" s="313" t="s">
        <v>384</v>
      </c>
      <c r="C509" s="314" t="s">
        <v>1071</v>
      </c>
      <c r="D509" s="314" t="s">
        <v>1424</v>
      </c>
      <c r="E509" s="314" t="s">
        <v>1593</v>
      </c>
      <c r="F509" s="315"/>
      <c r="G509" s="315"/>
      <c r="H509" s="315"/>
      <c r="I509" s="315"/>
      <c r="J509" s="315"/>
      <c r="K509" s="315"/>
      <c r="L509" s="315">
        <v>1</v>
      </c>
      <c r="M509" s="315">
        <v>1</v>
      </c>
      <c r="N509" s="315"/>
      <c r="O509" s="315"/>
      <c r="P509" s="315"/>
      <c r="Q509" s="315"/>
      <c r="R509" s="315"/>
      <c r="S509" s="315"/>
      <c r="T509" s="315">
        <v>1</v>
      </c>
      <c r="U509" s="315">
        <v>1</v>
      </c>
      <c r="V509" s="315"/>
      <c r="W509" s="315"/>
      <c r="X509" s="315"/>
      <c r="Y509" s="315"/>
      <c r="Z509" s="315"/>
      <c r="AA509" s="315"/>
      <c r="AB509" s="315"/>
      <c r="AC509" s="315">
        <v>1</v>
      </c>
      <c r="AD509" s="315"/>
      <c r="AE509" s="315"/>
      <c r="AF509" s="315"/>
      <c r="AG509" s="315"/>
      <c r="AH509" s="315"/>
      <c r="AI509" s="315"/>
      <c r="AJ509" s="315"/>
      <c r="AK509" s="315"/>
      <c r="AL509" s="315">
        <v>1</v>
      </c>
      <c r="AM509" s="315">
        <v>1</v>
      </c>
      <c r="AN509" s="315">
        <v>1</v>
      </c>
      <c r="AO509" s="315">
        <v>1</v>
      </c>
      <c r="AP509" s="315">
        <v>1</v>
      </c>
      <c r="AQ509" s="316">
        <v>1</v>
      </c>
    </row>
    <row r="510" spans="1:43" s="378" customFormat="1" ht="44.25" customHeight="1">
      <c r="A510" s="313" t="s">
        <v>1537</v>
      </c>
      <c r="B510" s="313" t="s">
        <v>384</v>
      </c>
      <c r="C510" s="314" t="s">
        <v>1072</v>
      </c>
      <c r="D510" s="314" t="s">
        <v>1426</v>
      </c>
      <c r="E510" s="314" t="s">
        <v>1594</v>
      </c>
      <c r="F510" s="315"/>
      <c r="G510" s="315"/>
      <c r="H510" s="315"/>
      <c r="I510" s="315"/>
      <c r="J510" s="315"/>
      <c r="K510" s="315"/>
      <c r="L510" s="315">
        <v>1</v>
      </c>
      <c r="M510" s="315">
        <v>1</v>
      </c>
      <c r="N510" s="315"/>
      <c r="O510" s="315"/>
      <c r="P510" s="315"/>
      <c r="Q510" s="315"/>
      <c r="R510" s="315"/>
      <c r="S510" s="315"/>
      <c r="T510" s="315">
        <v>1</v>
      </c>
      <c r="U510" s="315">
        <v>1</v>
      </c>
      <c r="V510" s="315"/>
      <c r="W510" s="315"/>
      <c r="X510" s="315"/>
      <c r="Y510" s="315"/>
      <c r="Z510" s="315"/>
      <c r="AA510" s="315"/>
      <c r="AB510" s="315"/>
      <c r="AC510" s="315"/>
      <c r="AD510" s="315"/>
      <c r="AE510" s="315"/>
      <c r="AF510" s="315"/>
      <c r="AG510" s="315"/>
      <c r="AH510" s="315"/>
      <c r="AI510" s="315"/>
      <c r="AJ510" s="315"/>
      <c r="AK510" s="315"/>
      <c r="AL510" s="315">
        <v>1</v>
      </c>
      <c r="AM510" s="315">
        <v>1</v>
      </c>
      <c r="AN510" s="315">
        <v>1</v>
      </c>
      <c r="AO510" s="315">
        <v>1</v>
      </c>
      <c r="AP510" s="315">
        <v>1</v>
      </c>
      <c r="AQ510" s="316">
        <v>1</v>
      </c>
    </row>
    <row r="511" spans="1:43" s="378" customFormat="1" ht="44.25" customHeight="1">
      <c r="A511" s="313" t="s">
        <v>1537</v>
      </c>
      <c r="B511" s="313" t="s">
        <v>384</v>
      </c>
      <c r="C511" s="314" t="s">
        <v>1073</v>
      </c>
      <c r="D511" s="314" t="s">
        <v>1424</v>
      </c>
      <c r="E511" s="314" t="s">
        <v>1595</v>
      </c>
      <c r="F511" s="315"/>
      <c r="G511" s="315"/>
      <c r="H511" s="315"/>
      <c r="I511" s="315"/>
      <c r="J511" s="315"/>
      <c r="K511" s="315"/>
      <c r="L511" s="315"/>
      <c r="M511" s="315">
        <v>1</v>
      </c>
      <c r="N511" s="315"/>
      <c r="O511" s="315"/>
      <c r="P511" s="315"/>
      <c r="Q511" s="315"/>
      <c r="R511" s="315"/>
      <c r="S511" s="315"/>
      <c r="T511" s="315">
        <v>1</v>
      </c>
      <c r="U511" s="315"/>
      <c r="V511" s="315"/>
      <c r="W511" s="315"/>
      <c r="X511" s="315"/>
      <c r="Y511" s="315"/>
      <c r="Z511" s="315"/>
      <c r="AA511" s="315"/>
      <c r="AB511" s="315"/>
      <c r="AC511" s="315"/>
      <c r="AD511" s="315"/>
      <c r="AE511" s="315"/>
      <c r="AF511" s="315"/>
      <c r="AG511" s="315"/>
      <c r="AH511" s="315"/>
      <c r="AI511" s="315"/>
      <c r="AJ511" s="315"/>
      <c r="AK511" s="315"/>
      <c r="AL511" s="315">
        <v>1</v>
      </c>
      <c r="AM511" s="315">
        <v>1</v>
      </c>
      <c r="AN511" s="315">
        <v>1</v>
      </c>
      <c r="AO511" s="315"/>
      <c r="AP511" s="315"/>
      <c r="AQ511" s="316"/>
    </row>
    <row r="512" spans="1:43" s="378" customFormat="1" ht="44.25" customHeight="1">
      <c r="A512" s="313" t="s">
        <v>1537</v>
      </c>
      <c r="B512" s="313" t="s">
        <v>389</v>
      </c>
      <c r="C512" s="314" t="s">
        <v>1074</v>
      </c>
      <c r="D512" s="314" t="s">
        <v>1436</v>
      </c>
      <c r="E512" s="314" t="s">
        <v>1596</v>
      </c>
      <c r="F512" s="315"/>
      <c r="G512" s="315"/>
      <c r="H512" s="315"/>
      <c r="I512" s="315"/>
      <c r="J512" s="315"/>
      <c r="K512" s="315"/>
      <c r="L512" s="315">
        <v>1</v>
      </c>
      <c r="M512" s="315"/>
      <c r="N512" s="315"/>
      <c r="O512" s="315"/>
      <c r="P512" s="315"/>
      <c r="Q512" s="315"/>
      <c r="R512" s="315"/>
      <c r="S512" s="315"/>
      <c r="T512" s="315">
        <v>1</v>
      </c>
      <c r="U512" s="315">
        <v>1</v>
      </c>
      <c r="V512" s="315"/>
      <c r="W512" s="315"/>
      <c r="X512" s="315"/>
      <c r="Y512" s="315"/>
      <c r="Z512" s="315"/>
      <c r="AA512" s="315"/>
      <c r="AB512" s="315">
        <v>1</v>
      </c>
      <c r="AC512" s="315">
        <v>1</v>
      </c>
      <c r="AD512" s="315"/>
      <c r="AE512" s="315"/>
      <c r="AF512" s="315"/>
      <c r="AG512" s="315"/>
      <c r="AH512" s="315"/>
      <c r="AI512" s="315"/>
      <c r="AJ512" s="315">
        <v>1</v>
      </c>
      <c r="AK512" s="315"/>
      <c r="AL512" s="315">
        <v>1</v>
      </c>
      <c r="AM512" s="315"/>
      <c r="AN512" s="315">
        <v>1</v>
      </c>
      <c r="AO512" s="315">
        <v>1</v>
      </c>
      <c r="AP512" s="315">
        <v>1</v>
      </c>
      <c r="AQ512" s="316">
        <v>1</v>
      </c>
    </row>
    <row r="513" spans="1:43" s="378" customFormat="1" ht="44.25" customHeight="1">
      <c r="A513" s="313" t="s">
        <v>1537</v>
      </c>
      <c r="B513" s="313" t="s">
        <v>384</v>
      </c>
      <c r="C513" s="314" t="s">
        <v>1075</v>
      </c>
      <c r="D513" s="314" t="s">
        <v>1424</v>
      </c>
      <c r="E513" s="314" t="s">
        <v>1597</v>
      </c>
      <c r="F513" s="315"/>
      <c r="G513" s="315"/>
      <c r="H513" s="315"/>
      <c r="I513" s="315"/>
      <c r="J513" s="315"/>
      <c r="K513" s="315"/>
      <c r="L513" s="315">
        <v>1</v>
      </c>
      <c r="M513" s="315">
        <v>1</v>
      </c>
      <c r="N513" s="315"/>
      <c r="O513" s="315"/>
      <c r="P513" s="315"/>
      <c r="Q513" s="315"/>
      <c r="R513" s="315"/>
      <c r="S513" s="315"/>
      <c r="T513" s="315">
        <v>1</v>
      </c>
      <c r="U513" s="315">
        <v>1</v>
      </c>
      <c r="V513" s="315"/>
      <c r="W513" s="315"/>
      <c r="X513" s="315"/>
      <c r="Y513" s="315"/>
      <c r="Z513" s="315"/>
      <c r="AA513" s="315"/>
      <c r="AB513" s="315"/>
      <c r="AC513" s="315"/>
      <c r="AD513" s="315"/>
      <c r="AE513" s="315"/>
      <c r="AF513" s="315"/>
      <c r="AG513" s="315"/>
      <c r="AH513" s="315"/>
      <c r="AI513" s="315"/>
      <c r="AJ513" s="315"/>
      <c r="AK513" s="315"/>
      <c r="AL513" s="315">
        <v>1</v>
      </c>
      <c r="AM513" s="315">
        <v>1</v>
      </c>
      <c r="AN513" s="315">
        <v>1</v>
      </c>
      <c r="AO513" s="315">
        <v>1</v>
      </c>
      <c r="AP513" s="315">
        <v>1</v>
      </c>
      <c r="AQ513" s="316">
        <v>1</v>
      </c>
    </row>
    <row r="514" spans="1:43" s="378" customFormat="1" ht="44.25" customHeight="1">
      <c r="A514" s="313" t="s">
        <v>1537</v>
      </c>
      <c r="B514" s="313" t="s">
        <v>389</v>
      </c>
      <c r="C514" s="314" t="s">
        <v>1076</v>
      </c>
      <c r="D514" s="314" t="s">
        <v>1436</v>
      </c>
      <c r="E514" s="314" t="s">
        <v>1598</v>
      </c>
      <c r="F514" s="315"/>
      <c r="G514" s="315"/>
      <c r="H514" s="315"/>
      <c r="I514" s="315"/>
      <c r="J514" s="315"/>
      <c r="K514" s="315"/>
      <c r="L514" s="315">
        <v>1</v>
      </c>
      <c r="M514" s="315">
        <v>1</v>
      </c>
      <c r="N514" s="315"/>
      <c r="O514" s="315"/>
      <c r="P514" s="315"/>
      <c r="Q514" s="315"/>
      <c r="R514" s="315"/>
      <c r="S514" s="315"/>
      <c r="T514" s="315">
        <v>1</v>
      </c>
      <c r="U514" s="315">
        <v>1</v>
      </c>
      <c r="V514" s="315"/>
      <c r="W514" s="315"/>
      <c r="X514" s="315"/>
      <c r="Y514" s="315"/>
      <c r="Z514" s="315"/>
      <c r="AA514" s="315"/>
      <c r="AB514" s="315">
        <v>1</v>
      </c>
      <c r="AC514" s="315">
        <v>1</v>
      </c>
      <c r="AD514" s="315"/>
      <c r="AE514" s="315"/>
      <c r="AF514" s="315"/>
      <c r="AG514" s="315"/>
      <c r="AH514" s="315"/>
      <c r="AI514" s="315"/>
      <c r="AJ514" s="315">
        <v>1</v>
      </c>
      <c r="AK514" s="315"/>
      <c r="AL514" s="315">
        <v>1</v>
      </c>
      <c r="AM514" s="315"/>
      <c r="AN514" s="315">
        <v>1</v>
      </c>
      <c r="AO514" s="315">
        <v>1</v>
      </c>
      <c r="AP514" s="315">
        <v>1</v>
      </c>
      <c r="AQ514" s="316">
        <v>1</v>
      </c>
    </row>
    <row r="515" spans="1:43" s="378" customFormat="1" ht="44.25" customHeight="1">
      <c r="A515" s="313" t="s">
        <v>1537</v>
      </c>
      <c r="B515" s="313" t="s">
        <v>386</v>
      </c>
      <c r="C515" s="314" t="s">
        <v>1077</v>
      </c>
      <c r="D515" s="314" t="s">
        <v>1424</v>
      </c>
      <c r="E515" s="314" t="s">
        <v>1599</v>
      </c>
      <c r="F515" s="315"/>
      <c r="G515" s="315"/>
      <c r="H515" s="315"/>
      <c r="I515" s="315"/>
      <c r="J515" s="315"/>
      <c r="K515" s="315"/>
      <c r="L515" s="315">
        <v>1</v>
      </c>
      <c r="M515" s="315">
        <v>1</v>
      </c>
      <c r="N515" s="315"/>
      <c r="O515" s="315"/>
      <c r="P515" s="315"/>
      <c r="Q515" s="315"/>
      <c r="R515" s="315"/>
      <c r="S515" s="315"/>
      <c r="T515" s="315">
        <v>1</v>
      </c>
      <c r="U515" s="315"/>
      <c r="V515" s="315"/>
      <c r="W515" s="315"/>
      <c r="X515" s="315"/>
      <c r="Y515" s="315"/>
      <c r="Z515" s="315"/>
      <c r="AA515" s="315"/>
      <c r="AB515" s="315"/>
      <c r="AC515" s="315">
        <v>1</v>
      </c>
      <c r="AD515" s="315"/>
      <c r="AE515" s="315"/>
      <c r="AF515" s="315"/>
      <c r="AG515" s="315"/>
      <c r="AH515" s="315"/>
      <c r="AI515" s="315"/>
      <c r="AJ515" s="315"/>
      <c r="AK515" s="315"/>
      <c r="AL515" s="315">
        <v>1</v>
      </c>
      <c r="AM515" s="315">
        <v>1</v>
      </c>
      <c r="AN515" s="315">
        <v>1</v>
      </c>
      <c r="AO515" s="315">
        <v>1</v>
      </c>
      <c r="AP515" s="315">
        <v>1</v>
      </c>
      <c r="AQ515" s="316">
        <v>1</v>
      </c>
    </row>
    <row r="516" spans="1:43" s="378" customFormat="1" ht="44.25" customHeight="1">
      <c r="A516" s="313" t="s">
        <v>1537</v>
      </c>
      <c r="B516" s="313" t="s">
        <v>386</v>
      </c>
      <c r="C516" s="314" t="s">
        <v>1078</v>
      </c>
      <c r="D516" s="314" t="s">
        <v>1424</v>
      </c>
      <c r="E516" s="314" t="s">
        <v>1600</v>
      </c>
      <c r="F516" s="315"/>
      <c r="G516" s="315"/>
      <c r="H516" s="315"/>
      <c r="I516" s="315"/>
      <c r="J516" s="315"/>
      <c r="K516" s="315"/>
      <c r="L516" s="315">
        <v>1</v>
      </c>
      <c r="M516" s="315">
        <v>1</v>
      </c>
      <c r="N516" s="315"/>
      <c r="O516" s="315"/>
      <c r="P516" s="315"/>
      <c r="Q516" s="315"/>
      <c r="R516" s="315"/>
      <c r="S516" s="315"/>
      <c r="T516" s="315">
        <v>1</v>
      </c>
      <c r="U516" s="315">
        <v>1</v>
      </c>
      <c r="V516" s="315"/>
      <c r="W516" s="315"/>
      <c r="X516" s="315"/>
      <c r="Y516" s="315"/>
      <c r="Z516" s="315"/>
      <c r="AA516" s="315"/>
      <c r="AB516" s="315"/>
      <c r="AC516" s="315"/>
      <c r="AD516" s="315"/>
      <c r="AE516" s="315"/>
      <c r="AF516" s="315"/>
      <c r="AG516" s="315"/>
      <c r="AH516" s="315"/>
      <c r="AI516" s="315"/>
      <c r="AJ516" s="315"/>
      <c r="AK516" s="315"/>
      <c r="AL516" s="315">
        <v>1</v>
      </c>
      <c r="AM516" s="315">
        <v>1</v>
      </c>
      <c r="AN516" s="315">
        <v>1</v>
      </c>
      <c r="AO516" s="315">
        <v>1</v>
      </c>
      <c r="AP516" s="315">
        <v>1</v>
      </c>
      <c r="AQ516" s="316">
        <v>1</v>
      </c>
    </row>
    <row r="517" spans="1:43" s="378" customFormat="1" ht="44.25" customHeight="1">
      <c r="A517" s="313" t="s">
        <v>1537</v>
      </c>
      <c r="B517" s="313" t="s">
        <v>389</v>
      </c>
      <c r="C517" s="314" t="s">
        <v>1079</v>
      </c>
      <c r="D517" s="314" t="s">
        <v>1436</v>
      </c>
      <c r="E517" s="314" t="s">
        <v>1601</v>
      </c>
      <c r="F517" s="315"/>
      <c r="G517" s="315"/>
      <c r="H517" s="315"/>
      <c r="I517" s="315"/>
      <c r="J517" s="315"/>
      <c r="K517" s="315"/>
      <c r="L517" s="315">
        <v>1</v>
      </c>
      <c r="M517" s="315"/>
      <c r="N517" s="315"/>
      <c r="O517" s="315"/>
      <c r="P517" s="315"/>
      <c r="Q517" s="315"/>
      <c r="R517" s="315"/>
      <c r="S517" s="315"/>
      <c r="T517" s="315">
        <v>1</v>
      </c>
      <c r="U517" s="315"/>
      <c r="V517" s="315"/>
      <c r="W517" s="315"/>
      <c r="X517" s="315"/>
      <c r="Y517" s="315"/>
      <c r="Z517" s="315"/>
      <c r="AA517" s="315"/>
      <c r="AB517" s="315"/>
      <c r="AC517" s="315"/>
      <c r="AD517" s="315"/>
      <c r="AE517" s="315"/>
      <c r="AF517" s="315"/>
      <c r="AG517" s="315"/>
      <c r="AH517" s="315"/>
      <c r="AI517" s="315"/>
      <c r="AJ517" s="315"/>
      <c r="AK517" s="315"/>
      <c r="AL517" s="315">
        <v>1</v>
      </c>
      <c r="AM517" s="315"/>
      <c r="AN517" s="315">
        <v>1</v>
      </c>
      <c r="AO517" s="315"/>
      <c r="AP517" s="315"/>
      <c r="AQ517" s="316"/>
    </row>
    <row r="518" spans="1:43" s="378" customFormat="1" ht="44.25" customHeight="1">
      <c r="A518" s="313" t="s">
        <v>1537</v>
      </c>
      <c r="B518" s="313" t="s">
        <v>389</v>
      </c>
      <c r="C518" s="314" t="s">
        <v>1080</v>
      </c>
      <c r="D518" s="314" t="s">
        <v>1436</v>
      </c>
      <c r="E518" s="314" t="s">
        <v>1602</v>
      </c>
      <c r="F518" s="315"/>
      <c r="G518" s="315"/>
      <c r="H518" s="315"/>
      <c r="I518" s="315"/>
      <c r="J518" s="315"/>
      <c r="K518" s="315"/>
      <c r="L518" s="315"/>
      <c r="M518" s="315"/>
      <c r="N518" s="315"/>
      <c r="O518" s="315"/>
      <c r="P518" s="315"/>
      <c r="Q518" s="315"/>
      <c r="R518" s="315"/>
      <c r="S518" s="315"/>
      <c r="T518" s="315"/>
      <c r="U518" s="315"/>
      <c r="V518" s="315"/>
      <c r="W518" s="315"/>
      <c r="X518" s="315"/>
      <c r="Y518" s="315"/>
      <c r="Z518" s="315"/>
      <c r="AA518" s="315"/>
      <c r="AB518" s="315"/>
      <c r="AC518" s="315"/>
      <c r="AD518" s="315"/>
      <c r="AE518" s="315"/>
      <c r="AF518" s="315"/>
      <c r="AG518" s="315"/>
      <c r="AH518" s="315"/>
      <c r="AI518" s="315"/>
      <c r="AJ518" s="315"/>
      <c r="AK518" s="315"/>
      <c r="AL518" s="315"/>
      <c r="AM518" s="315"/>
      <c r="AN518" s="315"/>
      <c r="AO518" s="315"/>
      <c r="AP518" s="315"/>
      <c r="AQ518" s="316"/>
    </row>
    <row r="519" spans="1:43" s="378" customFormat="1" ht="44.25" customHeight="1">
      <c r="A519" s="313" t="s">
        <v>1537</v>
      </c>
      <c r="B519" s="313" t="s">
        <v>389</v>
      </c>
      <c r="C519" s="314" t="s">
        <v>1081</v>
      </c>
      <c r="D519" s="314" t="s">
        <v>1436</v>
      </c>
      <c r="E519" s="314" t="s">
        <v>1603</v>
      </c>
      <c r="F519" s="315"/>
      <c r="G519" s="315"/>
      <c r="H519" s="315"/>
      <c r="I519" s="315"/>
      <c r="J519" s="315"/>
      <c r="K519" s="315"/>
      <c r="L519" s="315"/>
      <c r="M519" s="315"/>
      <c r="N519" s="315"/>
      <c r="O519" s="315"/>
      <c r="P519" s="315"/>
      <c r="Q519" s="315"/>
      <c r="R519" s="315"/>
      <c r="S519" s="315"/>
      <c r="T519" s="315"/>
      <c r="U519" s="315"/>
      <c r="V519" s="315"/>
      <c r="W519" s="315"/>
      <c r="X519" s="315"/>
      <c r="Y519" s="315"/>
      <c r="Z519" s="315"/>
      <c r="AA519" s="315"/>
      <c r="AB519" s="315"/>
      <c r="AC519" s="315"/>
      <c r="AD519" s="315"/>
      <c r="AE519" s="315"/>
      <c r="AF519" s="315"/>
      <c r="AG519" s="315"/>
      <c r="AH519" s="315"/>
      <c r="AI519" s="315"/>
      <c r="AJ519" s="315"/>
      <c r="AK519" s="315"/>
      <c r="AL519" s="315"/>
      <c r="AM519" s="315"/>
      <c r="AN519" s="315">
        <v>1</v>
      </c>
      <c r="AO519" s="315"/>
      <c r="AP519" s="315"/>
      <c r="AQ519" s="316"/>
    </row>
    <row r="520" spans="1:43" s="378" customFormat="1" ht="44.25" customHeight="1">
      <c r="A520" s="313" t="s">
        <v>1604</v>
      </c>
      <c r="B520" s="313" t="s">
        <v>384</v>
      </c>
      <c r="C520" s="314" t="s">
        <v>1082</v>
      </c>
      <c r="D520" s="314" t="s">
        <v>1426</v>
      </c>
      <c r="E520" s="314" t="s">
        <v>1605</v>
      </c>
      <c r="F520" s="315"/>
      <c r="G520" s="315"/>
      <c r="H520" s="315"/>
      <c r="I520" s="315"/>
      <c r="J520" s="315"/>
      <c r="K520" s="315"/>
      <c r="L520" s="315">
        <v>1</v>
      </c>
      <c r="M520" s="315">
        <v>1</v>
      </c>
      <c r="N520" s="315"/>
      <c r="O520" s="315"/>
      <c r="P520" s="315"/>
      <c r="Q520" s="315"/>
      <c r="R520" s="315"/>
      <c r="S520" s="315"/>
      <c r="T520" s="315">
        <v>1</v>
      </c>
      <c r="U520" s="315">
        <v>1</v>
      </c>
      <c r="V520" s="315"/>
      <c r="W520" s="315"/>
      <c r="X520" s="315"/>
      <c r="Y520" s="315"/>
      <c r="Z520" s="315"/>
      <c r="AA520" s="315"/>
      <c r="AB520" s="315"/>
      <c r="AC520" s="315"/>
      <c r="AD520" s="315"/>
      <c r="AE520" s="315"/>
      <c r="AF520" s="315"/>
      <c r="AG520" s="315"/>
      <c r="AH520" s="315"/>
      <c r="AI520" s="315"/>
      <c r="AJ520" s="315"/>
      <c r="AK520" s="315"/>
      <c r="AL520" s="315">
        <v>1</v>
      </c>
      <c r="AM520" s="315">
        <v>1</v>
      </c>
      <c r="AN520" s="315">
        <v>1</v>
      </c>
      <c r="AO520" s="315">
        <v>1</v>
      </c>
      <c r="AP520" s="315">
        <v>1</v>
      </c>
      <c r="AQ520" s="316">
        <v>1</v>
      </c>
    </row>
    <row r="521" spans="1:43" s="378" customFormat="1" ht="44.25" customHeight="1">
      <c r="A521" s="313" t="s">
        <v>1604</v>
      </c>
      <c r="B521" s="313" t="s">
        <v>395</v>
      </c>
      <c r="C521" s="314" t="s">
        <v>1083</v>
      </c>
      <c r="D521" s="314" t="s">
        <v>1428</v>
      </c>
      <c r="E521" s="314" t="s">
        <v>1606</v>
      </c>
      <c r="F521" s="315"/>
      <c r="G521" s="315"/>
      <c r="H521" s="315"/>
      <c r="I521" s="315"/>
      <c r="J521" s="315"/>
      <c r="K521" s="315"/>
      <c r="L521" s="315">
        <v>1</v>
      </c>
      <c r="M521" s="315">
        <v>1</v>
      </c>
      <c r="N521" s="315"/>
      <c r="O521" s="315"/>
      <c r="P521" s="315"/>
      <c r="Q521" s="315"/>
      <c r="R521" s="315"/>
      <c r="S521" s="315"/>
      <c r="T521" s="315">
        <v>1</v>
      </c>
      <c r="U521" s="315">
        <v>1</v>
      </c>
      <c r="V521" s="315"/>
      <c r="W521" s="315"/>
      <c r="X521" s="315"/>
      <c r="Y521" s="315"/>
      <c r="Z521" s="315"/>
      <c r="AA521" s="315"/>
      <c r="AB521" s="315"/>
      <c r="AC521" s="315">
        <v>1</v>
      </c>
      <c r="AD521" s="315"/>
      <c r="AE521" s="315"/>
      <c r="AF521" s="315"/>
      <c r="AG521" s="315"/>
      <c r="AH521" s="315"/>
      <c r="AI521" s="315"/>
      <c r="AJ521" s="315"/>
      <c r="AK521" s="315"/>
      <c r="AL521" s="315">
        <v>1</v>
      </c>
      <c r="AM521" s="315">
        <v>1</v>
      </c>
      <c r="AN521" s="315">
        <v>1</v>
      </c>
      <c r="AO521" s="315">
        <v>1</v>
      </c>
      <c r="AP521" s="315">
        <v>1</v>
      </c>
      <c r="AQ521" s="317">
        <v>1</v>
      </c>
    </row>
    <row r="522" spans="1:43" s="378" customFormat="1" ht="44.25" customHeight="1">
      <c r="A522" s="313" t="s">
        <v>1604</v>
      </c>
      <c r="B522" s="313" t="s">
        <v>386</v>
      </c>
      <c r="C522" s="314" t="s">
        <v>1084</v>
      </c>
      <c r="D522" s="314" t="s">
        <v>1424</v>
      </c>
      <c r="E522" s="314" t="s">
        <v>1607</v>
      </c>
      <c r="F522" s="315"/>
      <c r="G522" s="315"/>
      <c r="H522" s="315"/>
      <c r="I522" s="315"/>
      <c r="J522" s="315"/>
      <c r="K522" s="315"/>
      <c r="L522" s="315">
        <v>1</v>
      </c>
      <c r="M522" s="315">
        <v>1</v>
      </c>
      <c r="N522" s="315"/>
      <c r="O522" s="315"/>
      <c r="P522" s="315"/>
      <c r="Q522" s="315"/>
      <c r="R522" s="315"/>
      <c r="S522" s="315"/>
      <c r="T522" s="315">
        <v>1</v>
      </c>
      <c r="U522" s="315">
        <v>1</v>
      </c>
      <c r="V522" s="315"/>
      <c r="W522" s="315"/>
      <c r="X522" s="315"/>
      <c r="Y522" s="315"/>
      <c r="Z522" s="315"/>
      <c r="AA522" s="315"/>
      <c r="AB522" s="315"/>
      <c r="AC522" s="315">
        <v>1</v>
      </c>
      <c r="AD522" s="315"/>
      <c r="AE522" s="315"/>
      <c r="AF522" s="315"/>
      <c r="AG522" s="315"/>
      <c r="AH522" s="315"/>
      <c r="AI522" s="315"/>
      <c r="AJ522" s="315"/>
      <c r="AK522" s="315"/>
      <c r="AL522" s="315">
        <v>1</v>
      </c>
      <c r="AM522" s="315">
        <v>1</v>
      </c>
      <c r="AN522" s="315">
        <v>1</v>
      </c>
      <c r="AO522" s="315">
        <v>1</v>
      </c>
      <c r="AP522" s="315">
        <v>1</v>
      </c>
      <c r="AQ522" s="317">
        <v>1</v>
      </c>
    </row>
    <row r="523" spans="1:43" s="378" customFormat="1" ht="44.25" customHeight="1">
      <c r="A523" s="313" t="s">
        <v>1604</v>
      </c>
      <c r="B523" s="313" t="s">
        <v>386</v>
      </c>
      <c r="C523" s="314" t="s">
        <v>1085</v>
      </c>
      <c r="D523" s="314" t="s">
        <v>1424</v>
      </c>
      <c r="E523" s="314" t="s">
        <v>1608</v>
      </c>
      <c r="F523" s="315"/>
      <c r="G523" s="315"/>
      <c r="H523" s="315"/>
      <c r="I523" s="315"/>
      <c r="J523" s="315"/>
      <c r="K523" s="315"/>
      <c r="L523" s="315">
        <v>1</v>
      </c>
      <c r="M523" s="315">
        <v>1</v>
      </c>
      <c r="N523" s="315"/>
      <c r="O523" s="315"/>
      <c r="P523" s="315"/>
      <c r="Q523" s="315"/>
      <c r="R523" s="315"/>
      <c r="S523" s="315"/>
      <c r="T523" s="315">
        <v>1</v>
      </c>
      <c r="U523" s="315">
        <v>1</v>
      </c>
      <c r="V523" s="315"/>
      <c r="W523" s="315"/>
      <c r="X523" s="315"/>
      <c r="Y523" s="315"/>
      <c r="Z523" s="315"/>
      <c r="AA523" s="315"/>
      <c r="AB523" s="315"/>
      <c r="AC523" s="315"/>
      <c r="AD523" s="315"/>
      <c r="AE523" s="315"/>
      <c r="AF523" s="315"/>
      <c r="AG523" s="315"/>
      <c r="AH523" s="315"/>
      <c r="AI523" s="315"/>
      <c r="AJ523" s="315"/>
      <c r="AK523" s="315"/>
      <c r="AL523" s="315">
        <v>1</v>
      </c>
      <c r="AM523" s="315">
        <v>1</v>
      </c>
      <c r="AN523" s="315">
        <v>1</v>
      </c>
      <c r="AO523" s="315">
        <v>1</v>
      </c>
      <c r="AP523" s="315">
        <v>1</v>
      </c>
      <c r="AQ523" s="316">
        <v>1</v>
      </c>
    </row>
    <row r="524" spans="1:43" s="378" customFormat="1" ht="44.25" customHeight="1">
      <c r="A524" s="313" t="s">
        <v>1604</v>
      </c>
      <c r="B524" s="313" t="s">
        <v>386</v>
      </c>
      <c r="C524" s="314" t="s">
        <v>1086</v>
      </c>
      <c r="D524" s="314" t="s">
        <v>1424</v>
      </c>
      <c r="E524" s="314" t="s">
        <v>1609</v>
      </c>
      <c r="F524" s="315"/>
      <c r="G524" s="315"/>
      <c r="H524" s="315"/>
      <c r="I524" s="315"/>
      <c r="J524" s="315"/>
      <c r="K524" s="315"/>
      <c r="L524" s="315">
        <v>1</v>
      </c>
      <c r="M524" s="315">
        <v>1</v>
      </c>
      <c r="N524" s="315"/>
      <c r="O524" s="315"/>
      <c r="P524" s="315"/>
      <c r="Q524" s="315"/>
      <c r="R524" s="315"/>
      <c r="S524" s="315"/>
      <c r="T524" s="315">
        <v>1</v>
      </c>
      <c r="U524" s="315">
        <v>1</v>
      </c>
      <c r="V524" s="315"/>
      <c r="W524" s="315"/>
      <c r="X524" s="315"/>
      <c r="Y524" s="315"/>
      <c r="Z524" s="315"/>
      <c r="AA524" s="315"/>
      <c r="AB524" s="315"/>
      <c r="AC524" s="315">
        <v>1</v>
      </c>
      <c r="AD524" s="315"/>
      <c r="AE524" s="315"/>
      <c r="AF524" s="315"/>
      <c r="AG524" s="315"/>
      <c r="AH524" s="315"/>
      <c r="AI524" s="315"/>
      <c r="AJ524" s="315"/>
      <c r="AK524" s="315"/>
      <c r="AL524" s="315">
        <v>1</v>
      </c>
      <c r="AM524" s="315">
        <v>1</v>
      </c>
      <c r="AN524" s="315">
        <v>1</v>
      </c>
      <c r="AO524" s="315">
        <v>1</v>
      </c>
      <c r="AP524" s="315">
        <v>1</v>
      </c>
      <c r="AQ524" s="316">
        <v>1</v>
      </c>
    </row>
    <row r="525" spans="1:43" s="378" customFormat="1" ht="44.25" customHeight="1">
      <c r="A525" s="313" t="s">
        <v>1604</v>
      </c>
      <c r="B525" s="313" t="s">
        <v>384</v>
      </c>
      <c r="C525" s="314" t="s">
        <v>1087</v>
      </c>
      <c r="D525" s="314" t="s">
        <v>1424</v>
      </c>
      <c r="E525" s="314" t="s">
        <v>1610</v>
      </c>
      <c r="F525" s="315"/>
      <c r="G525" s="315"/>
      <c r="H525" s="315"/>
      <c r="I525" s="315"/>
      <c r="J525" s="315"/>
      <c r="K525" s="315"/>
      <c r="L525" s="315">
        <v>1</v>
      </c>
      <c r="M525" s="315">
        <v>1</v>
      </c>
      <c r="N525" s="315"/>
      <c r="O525" s="315"/>
      <c r="P525" s="315"/>
      <c r="Q525" s="315"/>
      <c r="R525" s="315"/>
      <c r="S525" s="315"/>
      <c r="T525" s="315">
        <v>1</v>
      </c>
      <c r="U525" s="315">
        <v>1</v>
      </c>
      <c r="V525" s="315"/>
      <c r="W525" s="315"/>
      <c r="X525" s="315"/>
      <c r="Y525" s="315"/>
      <c r="Z525" s="315"/>
      <c r="AA525" s="315"/>
      <c r="AB525" s="315"/>
      <c r="AC525" s="315"/>
      <c r="AD525" s="315"/>
      <c r="AE525" s="315"/>
      <c r="AF525" s="315"/>
      <c r="AG525" s="315"/>
      <c r="AH525" s="315"/>
      <c r="AI525" s="315"/>
      <c r="AJ525" s="315"/>
      <c r="AK525" s="315"/>
      <c r="AL525" s="315">
        <v>1</v>
      </c>
      <c r="AM525" s="315">
        <v>1</v>
      </c>
      <c r="AN525" s="315">
        <v>1</v>
      </c>
      <c r="AO525" s="315">
        <v>1</v>
      </c>
      <c r="AP525" s="315">
        <v>1</v>
      </c>
      <c r="AQ525" s="316">
        <v>1</v>
      </c>
    </row>
    <row r="526" spans="1:43" s="378" customFormat="1" ht="44.25" customHeight="1">
      <c r="A526" s="313" t="s">
        <v>1604</v>
      </c>
      <c r="B526" s="313" t="s">
        <v>386</v>
      </c>
      <c r="C526" s="314" t="s">
        <v>1088</v>
      </c>
      <c r="D526" s="314" t="s">
        <v>1436</v>
      </c>
      <c r="E526" s="314" t="s">
        <v>1611</v>
      </c>
      <c r="F526" s="315"/>
      <c r="G526" s="315"/>
      <c r="H526" s="315"/>
      <c r="I526" s="315"/>
      <c r="J526" s="315"/>
      <c r="K526" s="315"/>
      <c r="L526" s="315">
        <v>1</v>
      </c>
      <c r="M526" s="315">
        <v>1</v>
      </c>
      <c r="N526" s="315"/>
      <c r="O526" s="315"/>
      <c r="P526" s="315"/>
      <c r="Q526" s="315"/>
      <c r="R526" s="315"/>
      <c r="S526" s="315"/>
      <c r="T526" s="315">
        <v>1</v>
      </c>
      <c r="U526" s="315">
        <v>1</v>
      </c>
      <c r="V526" s="315"/>
      <c r="W526" s="315"/>
      <c r="X526" s="315"/>
      <c r="Y526" s="315"/>
      <c r="Z526" s="315"/>
      <c r="AA526" s="315"/>
      <c r="AB526" s="315"/>
      <c r="AC526" s="315">
        <v>1</v>
      </c>
      <c r="AD526" s="315"/>
      <c r="AE526" s="315"/>
      <c r="AF526" s="315"/>
      <c r="AG526" s="315"/>
      <c r="AH526" s="315"/>
      <c r="AI526" s="315"/>
      <c r="AJ526" s="315"/>
      <c r="AK526" s="315"/>
      <c r="AL526" s="315">
        <v>1</v>
      </c>
      <c r="AM526" s="315">
        <v>1</v>
      </c>
      <c r="AN526" s="315">
        <v>1</v>
      </c>
      <c r="AO526" s="315">
        <v>1</v>
      </c>
      <c r="AP526" s="315">
        <v>1</v>
      </c>
      <c r="AQ526" s="316">
        <v>1</v>
      </c>
    </row>
    <row r="527" spans="1:43" s="378" customFormat="1" ht="44.25" customHeight="1">
      <c r="A527" s="313" t="s">
        <v>1604</v>
      </c>
      <c r="B527" s="313" t="s">
        <v>386</v>
      </c>
      <c r="C527" s="314" t="s">
        <v>1089</v>
      </c>
      <c r="D527" s="314" t="s">
        <v>1424</v>
      </c>
      <c r="E527" s="314" t="s">
        <v>1612</v>
      </c>
      <c r="F527" s="315"/>
      <c r="G527" s="315"/>
      <c r="H527" s="315"/>
      <c r="I527" s="315"/>
      <c r="J527" s="315"/>
      <c r="K527" s="315"/>
      <c r="L527" s="315"/>
      <c r="M527" s="315"/>
      <c r="N527" s="315"/>
      <c r="O527" s="315"/>
      <c r="P527" s="315"/>
      <c r="Q527" s="315"/>
      <c r="R527" s="315"/>
      <c r="S527" s="315"/>
      <c r="T527" s="315"/>
      <c r="U527" s="315"/>
      <c r="V527" s="315"/>
      <c r="W527" s="315"/>
      <c r="X527" s="315"/>
      <c r="Y527" s="315"/>
      <c r="Z527" s="315"/>
      <c r="AA527" s="315"/>
      <c r="AB527" s="315"/>
      <c r="AC527" s="315"/>
      <c r="AD527" s="315"/>
      <c r="AE527" s="315"/>
      <c r="AF527" s="315"/>
      <c r="AG527" s="315"/>
      <c r="AH527" s="315"/>
      <c r="AI527" s="315"/>
      <c r="AJ527" s="315"/>
      <c r="AK527" s="315"/>
      <c r="AL527" s="315"/>
      <c r="AM527" s="315"/>
      <c r="AN527" s="315"/>
      <c r="AO527" s="315"/>
      <c r="AP527" s="315"/>
      <c r="AQ527" s="316"/>
    </row>
    <row r="528" spans="1:43" s="378" customFormat="1" ht="44.25" customHeight="1">
      <c r="A528" s="313" t="s">
        <v>1604</v>
      </c>
      <c r="B528" s="313" t="s">
        <v>386</v>
      </c>
      <c r="C528" s="314" t="s">
        <v>1090</v>
      </c>
      <c r="D528" s="314" t="s">
        <v>1424</v>
      </c>
      <c r="E528" s="314" t="s">
        <v>1613</v>
      </c>
      <c r="F528" s="315"/>
      <c r="G528" s="315"/>
      <c r="H528" s="315"/>
      <c r="I528" s="315"/>
      <c r="J528" s="315"/>
      <c r="K528" s="315"/>
      <c r="L528" s="315"/>
      <c r="M528" s="315"/>
      <c r="N528" s="315"/>
      <c r="O528" s="315"/>
      <c r="P528" s="315"/>
      <c r="Q528" s="315"/>
      <c r="R528" s="315"/>
      <c r="S528" s="315"/>
      <c r="T528" s="315"/>
      <c r="U528" s="315"/>
      <c r="V528" s="315"/>
      <c r="W528" s="315"/>
      <c r="X528" s="315"/>
      <c r="Y528" s="315"/>
      <c r="Z528" s="315"/>
      <c r="AA528" s="315"/>
      <c r="AB528" s="315"/>
      <c r="AC528" s="315"/>
      <c r="AD528" s="315"/>
      <c r="AE528" s="315"/>
      <c r="AF528" s="315"/>
      <c r="AG528" s="315"/>
      <c r="AH528" s="315"/>
      <c r="AI528" s="315"/>
      <c r="AJ528" s="315"/>
      <c r="AK528" s="315"/>
      <c r="AL528" s="315"/>
      <c r="AM528" s="315"/>
      <c r="AN528" s="315"/>
      <c r="AO528" s="315"/>
      <c r="AP528" s="315"/>
      <c r="AQ528" s="317"/>
    </row>
    <row r="529" spans="1:43" s="378" customFormat="1" ht="44.25" customHeight="1">
      <c r="A529" s="313" t="s">
        <v>1604</v>
      </c>
      <c r="B529" s="313" t="s">
        <v>386</v>
      </c>
      <c r="C529" s="314" t="s">
        <v>1091</v>
      </c>
      <c r="D529" s="314" t="s">
        <v>1432</v>
      </c>
      <c r="E529" s="314" t="s">
        <v>1614</v>
      </c>
      <c r="F529" s="315"/>
      <c r="G529" s="315"/>
      <c r="H529" s="315"/>
      <c r="I529" s="315"/>
      <c r="J529" s="315"/>
      <c r="K529" s="315"/>
      <c r="L529" s="315">
        <v>1</v>
      </c>
      <c r="M529" s="315"/>
      <c r="N529" s="315"/>
      <c r="O529" s="315"/>
      <c r="P529" s="315"/>
      <c r="Q529" s="315"/>
      <c r="R529" s="315"/>
      <c r="S529" s="315"/>
      <c r="T529" s="315"/>
      <c r="U529" s="315"/>
      <c r="V529" s="315"/>
      <c r="W529" s="315"/>
      <c r="X529" s="315"/>
      <c r="Y529" s="315"/>
      <c r="Z529" s="315"/>
      <c r="AA529" s="315"/>
      <c r="AB529" s="315"/>
      <c r="AC529" s="315"/>
      <c r="AD529" s="315"/>
      <c r="AE529" s="315"/>
      <c r="AF529" s="315"/>
      <c r="AG529" s="315"/>
      <c r="AH529" s="315"/>
      <c r="AI529" s="315"/>
      <c r="AJ529" s="315"/>
      <c r="AK529" s="315"/>
      <c r="AL529" s="315"/>
      <c r="AM529" s="315"/>
      <c r="AN529" s="315"/>
      <c r="AO529" s="315"/>
      <c r="AP529" s="315">
        <v>1</v>
      </c>
      <c r="AQ529" s="317">
        <v>1</v>
      </c>
    </row>
    <row r="530" spans="1:43" s="378" customFormat="1" ht="44.25" customHeight="1">
      <c r="A530" s="313" t="s">
        <v>1604</v>
      </c>
      <c r="B530" s="313" t="s">
        <v>386</v>
      </c>
      <c r="C530" s="314" t="s">
        <v>1092</v>
      </c>
      <c r="D530" s="314" t="s">
        <v>1432</v>
      </c>
      <c r="E530" s="314" t="s">
        <v>1615</v>
      </c>
      <c r="F530" s="315"/>
      <c r="G530" s="315"/>
      <c r="H530" s="315"/>
      <c r="I530" s="315"/>
      <c r="J530" s="315"/>
      <c r="K530" s="315"/>
      <c r="L530" s="315"/>
      <c r="M530" s="315"/>
      <c r="N530" s="315"/>
      <c r="O530" s="315"/>
      <c r="P530" s="315"/>
      <c r="Q530" s="315"/>
      <c r="R530" s="315"/>
      <c r="S530" s="315"/>
      <c r="T530" s="315"/>
      <c r="U530" s="315"/>
      <c r="V530" s="315"/>
      <c r="W530" s="315"/>
      <c r="X530" s="315"/>
      <c r="Y530" s="315"/>
      <c r="Z530" s="315"/>
      <c r="AA530" s="315"/>
      <c r="AB530" s="315"/>
      <c r="AC530" s="315"/>
      <c r="AD530" s="315"/>
      <c r="AE530" s="315"/>
      <c r="AF530" s="315"/>
      <c r="AG530" s="315"/>
      <c r="AH530" s="315"/>
      <c r="AI530" s="315"/>
      <c r="AJ530" s="315"/>
      <c r="AK530" s="315"/>
      <c r="AL530" s="315"/>
      <c r="AM530" s="315">
        <v>1</v>
      </c>
      <c r="AN530" s="315"/>
      <c r="AO530" s="315"/>
      <c r="AP530" s="315"/>
      <c r="AQ530" s="317"/>
    </row>
    <row r="531" spans="1:43" s="378" customFormat="1" ht="44.25" customHeight="1">
      <c r="A531" s="313" t="s">
        <v>1604</v>
      </c>
      <c r="B531" s="313" t="s">
        <v>386</v>
      </c>
      <c r="C531" s="314" t="s">
        <v>1093</v>
      </c>
      <c r="D531" s="314" t="s">
        <v>1424</v>
      </c>
      <c r="E531" s="314" t="s">
        <v>1616</v>
      </c>
      <c r="F531" s="315"/>
      <c r="G531" s="315"/>
      <c r="H531" s="315"/>
      <c r="I531" s="315"/>
      <c r="J531" s="315"/>
      <c r="K531" s="315"/>
      <c r="L531" s="315"/>
      <c r="M531" s="315">
        <v>1</v>
      </c>
      <c r="N531" s="315"/>
      <c r="O531" s="315"/>
      <c r="P531" s="315"/>
      <c r="Q531" s="315"/>
      <c r="R531" s="315"/>
      <c r="S531" s="315"/>
      <c r="T531" s="315"/>
      <c r="U531" s="315"/>
      <c r="V531" s="315"/>
      <c r="W531" s="315"/>
      <c r="X531" s="315"/>
      <c r="Y531" s="315"/>
      <c r="Z531" s="315"/>
      <c r="AA531" s="315"/>
      <c r="AB531" s="315"/>
      <c r="AC531" s="315"/>
      <c r="AD531" s="315"/>
      <c r="AE531" s="315"/>
      <c r="AF531" s="315"/>
      <c r="AG531" s="315"/>
      <c r="AH531" s="315"/>
      <c r="AI531" s="315"/>
      <c r="AJ531" s="315"/>
      <c r="AK531" s="315"/>
      <c r="AL531" s="315"/>
      <c r="AM531" s="315">
        <v>1</v>
      </c>
      <c r="AN531" s="315"/>
      <c r="AO531" s="315">
        <v>1</v>
      </c>
      <c r="AP531" s="315"/>
      <c r="AQ531" s="317"/>
    </row>
    <row r="532" spans="1:43" s="378" customFormat="1" ht="44.25" customHeight="1">
      <c r="A532" s="313" t="s">
        <v>1604</v>
      </c>
      <c r="B532" s="313" t="s">
        <v>395</v>
      </c>
      <c r="C532" s="314" t="s">
        <v>1094</v>
      </c>
      <c r="D532" s="314" t="s">
        <v>1438</v>
      </c>
      <c r="E532" s="314" t="s">
        <v>1617</v>
      </c>
      <c r="F532" s="315"/>
      <c r="G532" s="315"/>
      <c r="H532" s="315"/>
      <c r="I532" s="315"/>
      <c r="J532" s="315"/>
      <c r="K532" s="315"/>
      <c r="L532" s="315">
        <v>1</v>
      </c>
      <c r="M532" s="315"/>
      <c r="N532" s="315"/>
      <c r="O532" s="315"/>
      <c r="P532" s="315"/>
      <c r="Q532" s="315"/>
      <c r="R532" s="315"/>
      <c r="S532" s="315"/>
      <c r="T532" s="315"/>
      <c r="U532" s="315"/>
      <c r="V532" s="315"/>
      <c r="W532" s="315"/>
      <c r="X532" s="315"/>
      <c r="Y532" s="315"/>
      <c r="Z532" s="315"/>
      <c r="AA532" s="315"/>
      <c r="AB532" s="315"/>
      <c r="AC532" s="315"/>
      <c r="AD532" s="315"/>
      <c r="AE532" s="315"/>
      <c r="AF532" s="315"/>
      <c r="AG532" s="315"/>
      <c r="AH532" s="315"/>
      <c r="AI532" s="315"/>
      <c r="AJ532" s="315"/>
      <c r="AK532" s="315"/>
      <c r="AL532" s="315">
        <v>1</v>
      </c>
      <c r="AM532" s="315">
        <v>1</v>
      </c>
      <c r="AN532" s="315"/>
      <c r="AO532" s="315"/>
      <c r="AP532" s="315"/>
      <c r="AQ532" s="317"/>
    </row>
    <row r="533" spans="1:43" s="378" customFormat="1" ht="44.25" customHeight="1">
      <c r="A533" s="313" t="s">
        <v>1604</v>
      </c>
      <c r="B533" s="313" t="s">
        <v>395</v>
      </c>
      <c r="C533" s="314" t="s">
        <v>1095</v>
      </c>
      <c r="D533" s="314" t="s">
        <v>1452</v>
      </c>
      <c r="E533" s="314" t="s">
        <v>1618</v>
      </c>
      <c r="F533" s="315"/>
      <c r="G533" s="315"/>
      <c r="H533" s="315"/>
      <c r="I533" s="315"/>
      <c r="J533" s="315"/>
      <c r="K533" s="315"/>
      <c r="L533" s="315"/>
      <c r="M533" s="315"/>
      <c r="N533" s="315"/>
      <c r="O533" s="315"/>
      <c r="P533" s="315"/>
      <c r="Q533" s="315"/>
      <c r="R533" s="315"/>
      <c r="S533" s="315"/>
      <c r="T533" s="315"/>
      <c r="U533" s="315"/>
      <c r="V533" s="315"/>
      <c r="W533" s="315"/>
      <c r="X533" s="315"/>
      <c r="Y533" s="315"/>
      <c r="Z533" s="315"/>
      <c r="AA533" s="315"/>
      <c r="AB533" s="315"/>
      <c r="AC533" s="315"/>
      <c r="AD533" s="315"/>
      <c r="AE533" s="315"/>
      <c r="AF533" s="315"/>
      <c r="AG533" s="315"/>
      <c r="AH533" s="315"/>
      <c r="AI533" s="315"/>
      <c r="AJ533" s="315"/>
      <c r="AK533" s="315"/>
      <c r="AL533" s="315"/>
      <c r="AM533" s="315"/>
      <c r="AN533" s="315"/>
      <c r="AO533" s="315"/>
      <c r="AP533" s="315"/>
      <c r="AQ533" s="317"/>
    </row>
    <row r="534" spans="1:43" s="378" customFormat="1" ht="44.25" customHeight="1">
      <c r="A534" s="313" t="s">
        <v>1604</v>
      </c>
      <c r="B534" s="313" t="s">
        <v>386</v>
      </c>
      <c r="C534" s="314" t="s">
        <v>1096</v>
      </c>
      <c r="D534" s="314" t="s">
        <v>1424</v>
      </c>
      <c r="E534" s="314" t="s">
        <v>1619</v>
      </c>
      <c r="F534" s="315"/>
      <c r="G534" s="315"/>
      <c r="H534" s="315"/>
      <c r="I534" s="315"/>
      <c r="J534" s="315"/>
      <c r="K534" s="315"/>
      <c r="L534" s="315"/>
      <c r="M534" s="315"/>
      <c r="N534" s="315"/>
      <c r="O534" s="315"/>
      <c r="P534" s="315"/>
      <c r="Q534" s="315"/>
      <c r="R534" s="315"/>
      <c r="S534" s="315"/>
      <c r="T534" s="315"/>
      <c r="U534" s="315"/>
      <c r="V534" s="315"/>
      <c r="W534" s="315"/>
      <c r="X534" s="315"/>
      <c r="Y534" s="315"/>
      <c r="Z534" s="315"/>
      <c r="AA534" s="315"/>
      <c r="AB534" s="315"/>
      <c r="AC534" s="315"/>
      <c r="AD534" s="315"/>
      <c r="AE534" s="315"/>
      <c r="AF534" s="315"/>
      <c r="AG534" s="315"/>
      <c r="AH534" s="315"/>
      <c r="AI534" s="315"/>
      <c r="AJ534" s="315"/>
      <c r="AK534" s="315"/>
      <c r="AL534" s="315"/>
      <c r="AM534" s="315">
        <v>1</v>
      </c>
      <c r="AN534" s="315"/>
      <c r="AO534" s="315"/>
      <c r="AP534" s="315"/>
      <c r="AQ534" s="317"/>
    </row>
    <row r="535" spans="1:43" s="378" customFormat="1" ht="44.25" customHeight="1">
      <c r="A535" s="313" t="s">
        <v>1604</v>
      </c>
      <c r="B535" s="313" t="s">
        <v>386</v>
      </c>
      <c r="C535" s="318" t="s">
        <v>2474</v>
      </c>
      <c r="D535" s="314" t="s">
        <v>1438</v>
      </c>
      <c r="E535" s="314" t="s">
        <v>1620</v>
      </c>
      <c r="F535" s="315"/>
      <c r="G535" s="315"/>
      <c r="H535" s="315"/>
      <c r="I535" s="315"/>
      <c r="J535" s="315"/>
      <c r="K535" s="315"/>
      <c r="L535" s="315"/>
      <c r="M535" s="315"/>
      <c r="N535" s="315"/>
      <c r="O535" s="315"/>
      <c r="P535" s="315"/>
      <c r="Q535" s="315"/>
      <c r="R535" s="315"/>
      <c r="S535" s="315"/>
      <c r="T535" s="315"/>
      <c r="U535" s="315"/>
      <c r="V535" s="315"/>
      <c r="W535" s="315"/>
      <c r="X535" s="315"/>
      <c r="Y535" s="315"/>
      <c r="Z535" s="315"/>
      <c r="AA535" s="315"/>
      <c r="AB535" s="315"/>
      <c r="AC535" s="315"/>
      <c r="AD535" s="315"/>
      <c r="AE535" s="315"/>
      <c r="AF535" s="315"/>
      <c r="AG535" s="315"/>
      <c r="AH535" s="315"/>
      <c r="AI535" s="315"/>
      <c r="AJ535" s="315"/>
      <c r="AK535" s="315"/>
      <c r="AL535" s="315"/>
      <c r="AM535" s="315"/>
      <c r="AN535" s="315"/>
      <c r="AO535" s="315"/>
      <c r="AP535" s="315"/>
      <c r="AQ535" s="317"/>
    </row>
    <row r="536" spans="1:43" s="378" customFormat="1" ht="44.25" customHeight="1">
      <c r="A536" s="313" t="s">
        <v>1604</v>
      </c>
      <c r="B536" s="313" t="s">
        <v>388</v>
      </c>
      <c r="C536" s="314" t="s">
        <v>1118</v>
      </c>
      <c r="D536" s="314" t="s">
        <v>1446</v>
      </c>
      <c r="E536" s="314" t="s">
        <v>1621</v>
      </c>
      <c r="F536" s="315"/>
      <c r="G536" s="315"/>
      <c r="H536" s="315"/>
      <c r="I536" s="315"/>
      <c r="J536" s="315"/>
      <c r="K536" s="315"/>
      <c r="L536" s="315">
        <v>1</v>
      </c>
      <c r="M536" s="315">
        <v>1</v>
      </c>
      <c r="N536" s="315"/>
      <c r="O536" s="315"/>
      <c r="P536" s="315"/>
      <c r="Q536" s="315"/>
      <c r="R536" s="315"/>
      <c r="S536" s="315"/>
      <c r="T536" s="315">
        <v>1</v>
      </c>
      <c r="U536" s="315">
        <v>1</v>
      </c>
      <c r="V536" s="315"/>
      <c r="W536" s="315"/>
      <c r="X536" s="315"/>
      <c r="Y536" s="315"/>
      <c r="Z536" s="315"/>
      <c r="AA536" s="315"/>
      <c r="AB536" s="315">
        <v>1</v>
      </c>
      <c r="AC536" s="315">
        <v>1</v>
      </c>
      <c r="AD536" s="315"/>
      <c r="AE536" s="315"/>
      <c r="AF536" s="315"/>
      <c r="AG536" s="315"/>
      <c r="AH536" s="315"/>
      <c r="AI536" s="315"/>
      <c r="AJ536" s="315"/>
      <c r="AK536" s="315"/>
      <c r="AL536" s="315">
        <v>1</v>
      </c>
      <c r="AM536" s="315">
        <v>1</v>
      </c>
      <c r="AN536" s="315">
        <v>1</v>
      </c>
      <c r="AO536" s="315">
        <v>1</v>
      </c>
      <c r="AP536" s="315">
        <v>1</v>
      </c>
      <c r="AQ536" s="317">
        <v>1</v>
      </c>
    </row>
    <row r="537" spans="1:43" s="378" customFormat="1" ht="44.25" customHeight="1">
      <c r="A537" s="313" t="s">
        <v>1604</v>
      </c>
      <c r="B537" s="313" t="s">
        <v>395</v>
      </c>
      <c r="C537" s="314" t="s">
        <v>1119</v>
      </c>
      <c r="D537" s="314" t="s">
        <v>1440</v>
      </c>
      <c r="E537" s="314" t="s">
        <v>1622</v>
      </c>
      <c r="F537" s="315"/>
      <c r="G537" s="315"/>
      <c r="H537" s="315"/>
      <c r="I537" s="315"/>
      <c r="J537" s="315"/>
      <c r="K537" s="315"/>
      <c r="L537" s="315"/>
      <c r="M537" s="315"/>
      <c r="N537" s="315"/>
      <c r="O537" s="315"/>
      <c r="P537" s="315"/>
      <c r="Q537" s="315"/>
      <c r="R537" s="315"/>
      <c r="S537" s="315"/>
      <c r="T537" s="315"/>
      <c r="U537" s="315"/>
      <c r="V537" s="315"/>
      <c r="W537" s="315"/>
      <c r="X537" s="315"/>
      <c r="Y537" s="315"/>
      <c r="Z537" s="315"/>
      <c r="AA537" s="315"/>
      <c r="AB537" s="315"/>
      <c r="AC537" s="315"/>
      <c r="AD537" s="315"/>
      <c r="AE537" s="315"/>
      <c r="AF537" s="315"/>
      <c r="AG537" s="315"/>
      <c r="AH537" s="315"/>
      <c r="AI537" s="315"/>
      <c r="AJ537" s="315"/>
      <c r="AK537" s="315"/>
      <c r="AL537" s="315"/>
      <c r="AM537" s="315"/>
      <c r="AN537" s="315"/>
      <c r="AO537" s="315"/>
      <c r="AP537" s="315"/>
      <c r="AQ537" s="317"/>
    </row>
    <row r="538" spans="1:43" s="378" customFormat="1" ht="44.25" customHeight="1">
      <c r="A538" s="313" t="s">
        <v>1604</v>
      </c>
      <c r="B538" s="313" t="s">
        <v>388</v>
      </c>
      <c r="C538" s="314" t="s">
        <v>1120</v>
      </c>
      <c r="D538" s="314" t="s">
        <v>1446</v>
      </c>
      <c r="E538" s="314" t="s">
        <v>1623</v>
      </c>
      <c r="F538" s="315"/>
      <c r="G538" s="315"/>
      <c r="H538" s="315"/>
      <c r="I538" s="315"/>
      <c r="J538" s="315"/>
      <c r="K538" s="315"/>
      <c r="L538" s="315"/>
      <c r="M538" s="315"/>
      <c r="N538" s="315"/>
      <c r="O538" s="315"/>
      <c r="P538" s="315"/>
      <c r="Q538" s="315"/>
      <c r="R538" s="315"/>
      <c r="S538" s="315"/>
      <c r="T538" s="315"/>
      <c r="U538" s="315"/>
      <c r="V538" s="315"/>
      <c r="W538" s="315"/>
      <c r="X538" s="315"/>
      <c r="Y538" s="315"/>
      <c r="Z538" s="315"/>
      <c r="AA538" s="315"/>
      <c r="AB538" s="315"/>
      <c r="AC538" s="315"/>
      <c r="AD538" s="315"/>
      <c r="AE538" s="315"/>
      <c r="AF538" s="315"/>
      <c r="AG538" s="315"/>
      <c r="AH538" s="315"/>
      <c r="AI538" s="315"/>
      <c r="AJ538" s="315"/>
      <c r="AK538" s="315"/>
      <c r="AL538" s="315">
        <v>1</v>
      </c>
      <c r="AM538" s="315"/>
      <c r="AN538" s="315"/>
      <c r="AO538" s="315"/>
      <c r="AP538" s="315"/>
      <c r="AQ538" s="317"/>
    </row>
    <row r="539" spans="1:43" s="378" customFormat="1" ht="44.25" customHeight="1">
      <c r="A539" s="313" t="s">
        <v>1604</v>
      </c>
      <c r="B539" s="313" t="s">
        <v>388</v>
      </c>
      <c r="C539" s="314" t="s">
        <v>1121</v>
      </c>
      <c r="D539" s="314" t="s">
        <v>1452</v>
      </c>
      <c r="E539" s="314" t="s">
        <v>1624</v>
      </c>
      <c r="F539" s="315"/>
      <c r="G539" s="315"/>
      <c r="H539" s="315"/>
      <c r="I539" s="315"/>
      <c r="J539" s="315"/>
      <c r="K539" s="315"/>
      <c r="L539" s="315"/>
      <c r="M539" s="315"/>
      <c r="N539" s="315"/>
      <c r="O539" s="315"/>
      <c r="P539" s="315"/>
      <c r="Q539" s="315"/>
      <c r="R539" s="315"/>
      <c r="S539" s="315"/>
      <c r="T539" s="315"/>
      <c r="U539" s="315"/>
      <c r="V539" s="315"/>
      <c r="W539" s="315"/>
      <c r="X539" s="315"/>
      <c r="Y539" s="315"/>
      <c r="Z539" s="315"/>
      <c r="AA539" s="315"/>
      <c r="AB539" s="315">
        <v>1</v>
      </c>
      <c r="AC539" s="315">
        <v>1</v>
      </c>
      <c r="AD539" s="315"/>
      <c r="AE539" s="315"/>
      <c r="AF539" s="315"/>
      <c r="AG539" s="315"/>
      <c r="AH539" s="315"/>
      <c r="AI539" s="315"/>
      <c r="AJ539" s="315"/>
      <c r="AK539" s="315"/>
      <c r="AL539" s="315">
        <v>1</v>
      </c>
      <c r="AM539" s="315">
        <v>1</v>
      </c>
      <c r="AN539" s="315"/>
      <c r="AO539" s="315"/>
      <c r="AP539" s="315"/>
      <c r="AQ539" s="317"/>
    </row>
    <row r="540" spans="1:43" s="378" customFormat="1" ht="44.25" customHeight="1">
      <c r="A540" s="313" t="s">
        <v>1604</v>
      </c>
      <c r="B540" s="313" t="s">
        <v>388</v>
      </c>
      <c r="C540" s="314" t="s">
        <v>1122</v>
      </c>
      <c r="D540" s="314" t="s">
        <v>1446</v>
      </c>
      <c r="E540" s="314" t="s">
        <v>1625</v>
      </c>
      <c r="F540" s="315"/>
      <c r="G540" s="315"/>
      <c r="H540" s="315"/>
      <c r="I540" s="315"/>
      <c r="J540" s="315"/>
      <c r="K540" s="315"/>
      <c r="L540" s="315"/>
      <c r="M540" s="315"/>
      <c r="N540" s="315"/>
      <c r="O540" s="315"/>
      <c r="P540" s="315"/>
      <c r="Q540" s="315"/>
      <c r="R540" s="315"/>
      <c r="S540" s="315"/>
      <c r="T540" s="315"/>
      <c r="U540" s="315"/>
      <c r="V540" s="315"/>
      <c r="W540" s="315"/>
      <c r="X540" s="315"/>
      <c r="Y540" s="315"/>
      <c r="Z540" s="315"/>
      <c r="AA540" s="315"/>
      <c r="AB540" s="315"/>
      <c r="AC540" s="315"/>
      <c r="AD540" s="315"/>
      <c r="AE540" s="315"/>
      <c r="AF540" s="315"/>
      <c r="AG540" s="315"/>
      <c r="AH540" s="315"/>
      <c r="AI540" s="315"/>
      <c r="AJ540" s="315"/>
      <c r="AK540" s="315"/>
      <c r="AL540" s="315"/>
      <c r="AM540" s="315"/>
      <c r="AN540" s="315"/>
      <c r="AO540" s="315"/>
      <c r="AP540" s="315"/>
      <c r="AQ540" s="317"/>
    </row>
    <row r="541" spans="1:43" s="378" customFormat="1" ht="44.25" customHeight="1">
      <c r="A541" s="313" t="s">
        <v>1604</v>
      </c>
      <c r="B541" s="313" t="s">
        <v>388</v>
      </c>
      <c r="C541" s="314" t="s">
        <v>1123</v>
      </c>
      <c r="D541" s="314" t="s">
        <v>1446</v>
      </c>
      <c r="E541" s="314" t="s">
        <v>1626</v>
      </c>
      <c r="F541" s="315"/>
      <c r="G541" s="315"/>
      <c r="H541" s="315"/>
      <c r="I541" s="315"/>
      <c r="J541" s="315"/>
      <c r="K541" s="315"/>
      <c r="L541" s="315"/>
      <c r="M541" s="315">
        <v>1</v>
      </c>
      <c r="N541" s="315"/>
      <c r="O541" s="315"/>
      <c r="P541" s="315"/>
      <c r="Q541" s="315"/>
      <c r="R541" s="315"/>
      <c r="S541" s="315"/>
      <c r="T541" s="315">
        <v>1</v>
      </c>
      <c r="U541" s="315"/>
      <c r="V541" s="315"/>
      <c r="W541" s="315"/>
      <c r="X541" s="315"/>
      <c r="Y541" s="315"/>
      <c r="Z541" s="315"/>
      <c r="AA541" s="315"/>
      <c r="AB541" s="315">
        <v>1</v>
      </c>
      <c r="AC541" s="315">
        <v>1</v>
      </c>
      <c r="AD541" s="315"/>
      <c r="AE541" s="315"/>
      <c r="AF541" s="315"/>
      <c r="AG541" s="315"/>
      <c r="AH541" s="315"/>
      <c r="AI541" s="315"/>
      <c r="AJ541" s="315"/>
      <c r="AK541" s="315"/>
      <c r="AL541" s="315">
        <v>1</v>
      </c>
      <c r="AM541" s="315">
        <v>1</v>
      </c>
      <c r="AN541" s="315">
        <v>1</v>
      </c>
      <c r="AO541" s="315">
        <v>1</v>
      </c>
      <c r="AP541" s="315"/>
      <c r="AQ541" s="317"/>
    </row>
    <row r="542" spans="1:43" s="378" customFormat="1" ht="44.25" customHeight="1">
      <c r="A542" s="313" t="s">
        <v>1604</v>
      </c>
      <c r="B542" s="313" t="s">
        <v>388</v>
      </c>
      <c r="C542" s="314" t="s">
        <v>1124</v>
      </c>
      <c r="D542" s="314" t="s">
        <v>1446</v>
      </c>
      <c r="E542" s="314" t="s">
        <v>1627</v>
      </c>
      <c r="F542" s="315"/>
      <c r="G542" s="315"/>
      <c r="H542" s="315"/>
      <c r="I542" s="315"/>
      <c r="J542" s="315"/>
      <c r="K542" s="315"/>
      <c r="L542" s="315"/>
      <c r="M542" s="315"/>
      <c r="N542" s="315"/>
      <c r="O542" s="315"/>
      <c r="P542" s="315"/>
      <c r="Q542" s="315"/>
      <c r="R542" s="315"/>
      <c r="S542" s="315"/>
      <c r="T542" s="315"/>
      <c r="U542" s="315"/>
      <c r="V542" s="315"/>
      <c r="W542" s="315"/>
      <c r="X542" s="315"/>
      <c r="Y542" s="315"/>
      <c r="Z542" s="315"/>
      <c r="AA542" s="315"/>
      <c r="AB542" s="315"/>
      <c r="AC542" s="315"/>
      <c r="AD542" s="315"/>
      <c r="AE542" s="315"/>
      <c r="AF542" s="315"/>
      <c r="AG542" s="315"/>
      <c r="AH542" s="315"/>
      <c r="AI542" s="315"/>
      <c r="AJ542" s="315"/>
      <c r="AK542" s="315"/>
      <c r="AL542" s="315">
        <v>1</v>
      </c>
      <c r="AM542" s="315"/>
      <c r="AN542" s="315"/>
      <c r="AO542" s="315"/>
      <c r="AP542" s="315"/>
      <c r="AQ542" s="317"/>
    </row>
    <row r="543" spans="1:43" s="378" customFormat="1" ht="44.25" customHeight="1">
      <c r="A543" s="313" t="s">
        <v>1604</v>
      </c>
      <c r="B543" s="313" t="s">
        <v>395</v>
      </c>
      <c r="C543" s="314" t="s">
        <v>1125</v>
      </c>
      <c r="D543" s="314" t="s">
        <v>1444</v>
      </c>
      <c r="E543" s="314" t="s">
        <v>1628</v>
      </c>
      <c r="F543" s="315"/>
      <c r="G543" s="315"/>
      <c r="H543" s="315"/>
      <c r="I543" s="315"/>
      <c r="J543" s="315"/>
      <c r="K543" s="315"/>
      <c r="L543" s="315"/>
      <c r="M543" s="315"/>
      <c r="N543" s="315"/>
      <c r="O543" s="315"/>
      <c r="P543" s="315"/>
      <c r="Q543" s="315"/>
      <c r="R543" s="315"/>
      <c r="S543" s="315"/>
      <c r="T543" s="315"/>
      <c r="U543" s="315"/>
      <c r="V543" s="315"/>
      <c r="W543" s="315"/>
      <c r="X543" s="315"/>
      <c r="Y543" s="315"/>
      <c r="Z543" s="315"/>
      <c r="AA543" s="315"/>
      <c r="AB543" s="315"/>
      <c r="AC543" s="315"/>
      <c r="AD543" s="315"/>
      <c r="AE543" s="315"/>
      <c r="AF543" s="315"/>
      <c r="AG543" s="315"/>
      <c r="AH543" s="315"/>
      <c r="AI543" s="315"/>
      <c r="AJ543" s="315"/>
      <c r="AK543" s="315"/>
      <c r="AL543" s="315"/>
      <c r="AM543" s="315"/>
      <c r="AN543" s="315"/>
      <c r="AO543" s="315"/>
      <c r="AP543" s="315"/>
      <c r="AQ543" s="317"/>
    </row>
    <row r="544" spans="1:43" s="378" customFormat="1" ht="44.25" customHeight="1">
      <c r="A544" s="313" t="s">
        <v>1604</v>
      </c>
      <c r="B544" s="313" t="s">
        <v>393</v>
      </c>
      <c r="C544" s="314" t="s">
        <v>1126</v>
      </c>
      <c r="D544" s="314" t="s">
        <v>1452</v>
      </c>
      <c r="E544" s="314" t="s">
        <v>1629</v>
      </c>
      <c r="F544" s="315"/>
      <c r="G544" s="315"/>
      <c r="H544" s="315"/>
      <c r="I544" s="315"/>
      <c r="J544" s="315"/>
      <c r="K544" s="315"/>
      <c r="L544" s="315"/>
      <c r="M544" s="315"/>
      <c r="N544" s="315"/>
      <c r="O544" s="315"/>
      <c r="P544" s="315"/>
      <c r="Q544" s="315"/>
      <c r="R544" s="315"/>
      <c r="S544" s="315"/>
      <c r="T544" s="315"/>
      <c r="U544" s="315"/>
      <c r="V544" s="315"/>
      <c r="W544" s="315"/>
      <c r="X544" s="315"/>
      <c r="Y544" s="315"/>
      <c r="Z544" s="315"/>
      <c r="AA544" s="315"/>
      <c r="AB544" s="315"/>
      <c r="AC544" s="315"/>
      <c r="AD544" s="315"/>
      <c r="AE544" s="315"/>
      <c r="AF544" s="315"/>
      <c r="AG544" s="315"/>
      <c r="AH544" s="315"/>
      <c r="AI544" s="315"/>
      <c r="AJ544" s="315"/>
      <c r="AK544" s="315"/>
      <c r="AL544" s="315"/>
      <c r="AM544" s="315"/>
      <c r="AN544" s="315"/>
      <c r="AO544" s="315"/>
      <c r="AP544" s="315"/>
      <c r="AQ544" s="317"/>
    </row>
    <row r="545" spans="1:43" s="378" customFormat="1" ht="44.25" customHeight="1">
      <c r="A545" s="313" t="s">
        <v>1604</v>
      </c>
      <c r="B545" s="313" t="s">
        <v>395</v>
      </c>
      <c r="C545" s="314" t="s">
        <v>1127</v>
      </c>
      <c r="D545" s="314" t="s">
        <v>1428</v>
      </c>
      <c r="E545" s="314" t="s">
        <v>1630</v>
      </c>
      <c r="F545" s="315"/>
      <c r="G545" s="315"/>
      <c r="H545" s="315"/>
      <c r="I545" s="315"/>
      <c r="J545" s="315"/>
      <c r="K545" s="315"/>
      <c r="L545" s="315"/>
      <c r="M545" s="315"/>
      <c r="N545" s="315"/>
      <c r="O545" s="315"/>
      <c r="P545" s="315"/>
      <c r="Q545" s="315"/>
      <c r="R545" s="315"/>
      <c r="S545" s="315"/>
      <c r="T545" s="315"/>
      <c r="U545" s="315"/>
      <c r="V545" s="315"/>
      <c r="W545" s="315"/>
      <c r="X545" s="315"/>
      <c r="Y545" s="315"/>
      <c r="Z545" s="315"/>
      <c r="AA545" s="315"/>
      <c r="AB545" s="315"/>
      <c r="AC545" s="315"/>
      <c r="AD545" s="315"/>
      <c r="AE545" s="315"/>
      <c r="AF545" s="315"/>
      <c r="AG545" s="315"/>
      <c r="AH545" s="315"/>
      <c r="AI545" s="315"/>
      <c r="AJ545" s="315"/>
      <c r="AK545" s="315"/>
      <c r="AL545" s="315"/>
      <c r="AM545" s="315"/>
      <c r="AN545" s="315"/>
      <c r="AO545" s="315"/>
      <c r="AP545" s="315"/>
      <c r="AQ545" s="317"/>
    </row>
    <row r="546" spans="1:43" s="378" customFormat="1" ht="44.25" customHeight="1">
      <c r="A546" s="313" t="s">
        <v>1604</v>
      </c>
      <c r="B546" s="313" t="s">
        <v>395</v>
      </c>
      <c r="C546" s="314" t="s">
        <v>1128</v>
      </c>
      <c r="D546" s="314" t="s">
        <v>1450</v>
      </c>
      <c r="E546" s="314" t="s">
        <v>1631</v>
      </c>
      <c r="F546" s="315"/>
      <c r="G546" s="315"/>
      <c r="H546" s="315"/>
      <c r="I546" s="315"/>
      <c r="J546" s="315"/>
      <c r="K546" s="315"/>
      <c r="L546" s="315"/>
      <c r="M546" s="315"/>
      <c r="N546" s="315"/>
      <c r="O546" s="315"/>
      <c r="P546" s="315"/>
      <c r="Q546" s="315"/>
      <c r="R546" s="315"/>
      <c r="S546" s="315"/>
      <c r="T546" s="315"/>
      <c r="U546" s="315"/>
      <c r="V546" s="315"/>
      <c r="W546" s="315"/>
      <c r="X546" s="315"/>
      <c r="Y546" s="315"/>
      <c r="Z546" s="315"/>
      <c r="AA546" s="315"/>
      <c r="AB546" s="315">
        <v>1</v>
      </c>
      <c r="AC546" s="315">
        <v>1</v>
      </c>
      <c r="AD546" s="315"/>
      <c r="AE546" s="315"/>
      <c r="AF546" s="315"/>
      <c r="AG546" s="315"/>
      <c r="AH546" s="315"/>
      <c r="AI546" s="315"/>
      <c r="AJ546" s="315"/>
      <c r="AK546" s="315"/>
      <c r="AL546" s="315">
        <v>1</v>
      </c>
      <c r="AM546" s="315">
        <v>1</v>
      </c>
      <c r="AN546" s="315"/>
      <c r="AO546" s="315"/>
      <c r="AP546" s="315"/>
      <c r="AQ546" s="317"/>
    </row>
    <row r="547" spans="1:43" s="378" customFormat="1" ht="44.25" customHeight="1">
      <c r="A547" s="313" t="s">
        <v>1604</v>
      </c>
      <c r="B547" s="313" t="s">
        <v>386</v>
      </c>
      <c r="C547" s="314" t="s">
        <v>1129</v>
      </c>
      <c r="D547" s="314" t="s">
        <v>1424</v>
      </c>
      <c r="E547" s="314" t="s">
        <v>1632</v>
      </c>
      <c r="F547" s="315"/>
      <c r="G547" s="315"/>
      <c r="H547" s="315"/>
      <c r="I547" s="315"/>
      <c r="J547" s="315"/>
      <c r="K547" s="315"/>
      <c r="L547" s="315"/>
      <c r="M547" s="315"/>
      <c r="N547" s="315"/>
      <c r="O547" s="315"/>
      <c r="P547" s="315"/>
      <c r="Q547" s="315"/>
      <c r="R547" s="315"/>
      <c r="S547" s="315"/>
      <c r="T547" s="315"/>
      <c r="U547" s="315"/>
      <c r="V547" s="315"/>
      <c r="W547" s="315"/>
      <c r="X547" s="315"/>
      <c r="Y547" s="315"/>
      <c r="Z547" s="315"/>
      <c r="AA547" s="315"/>
      <c r="AB547" s="315"/>
      <c r="AC547" s="315"/>
      <c r="AD547" s="315"/>
      <c r="AE547" s="315"/>
      <c r="AF547" s="315"/>
      <c r="AG547" s="315"/>
      <c r="AH547" s="315"/>
      <c r="AI547" s="315"/>
      <c r="AJ547" s="315"/>
      <c r="AK547" s="315"/>
      <c r="AL547" s="315"/>
      <c r="AM547" s="315"/>
      <c r="AN547" s="315"/>
      <c r="AO547" s="315"/>
      <c r="AP547" s="315"/>
      <c r="AQ547" s="317"/>
    </row>
    <row r="548" spans="1:43" s="378" customFormat="1" ht="44.25" customHeight="1">
      <c r="A548" s="313" t="s">
        <v>1604</v>
      </c>
      <c r="B548" s="313" t="s">
        <v>388</v>
      </c>
      <c r="C548" s="314" t="s">
        <v>1130</v>
      </c>
      <c r="D548" s="314" t="s">
        <v>1446</v>
      </c>
      <c r="E548" s="314" t="s">
        <v>1633</v>
      </c>
      <c r="F548" s="315"/>
      <c r="G548" s="315"/>
      <c r="H548" s="315"/>
      <c r="I548" s="315"/>
      <c r="J548" s="315"/>
      <c r="K548" s="315"/>
      <c r="L548" s="315"/>
      <c r="M548" s="315"/>
      <c r="N548" s="315"/>
      <c r="O548" s="315"/>
      <c r="P548" s="315"/>
      <c r="Q548" s="315"/>
      <c r="R548" s="315"/>
      <c r="S548" s="315"/>
      <c r="T548" s="315"/>
      <c r="U548" s="315"/>
      <c r="V548" s="315"/>
      <c r="W548" s="315"/>
      <c r="X548" s="315"/>
      <c r="Y548" s="315"/>
      <c r="Z548" s="315"/>
      <c r="AA548" s="315"/>
      <c r="AB548" s="315"/>
      <c r="AC548" s="315"/>
      <c r="AD548" s="315"/>
      <c r="AE548" s="315"/>
      <c r="AF548" s="315"/>
      <c r="AG548" s="315"/>
      <c r="AH548" s="315"/>
      <c r="AI548" s="315"/>
      <c r="AJ548" s="315"/>
      <c r="AK548" s="315"/>
      <c r="AL548" s="315">
        <v>1</v>
      </c>
      <c r="AM548" s="315">
        <v>1</v>
      </c>
      <c r="AN548" s="315"/>
      <c r="AO548" s="315"/>
      <c r="AP548" s="315"/>
      <c r="AQ548" s="317"/>
    </row>
    <row r="549" spans="1:43" s="378" customFormat="1" ht="44.25" customHeight="1">
      <c r="A549" s="313" t="s">
        <v>1604</v>
      </c>
      <c r="B549" s="313" t="s">
        <v>388</v>
      </c>
      <c r="C549" s="318" t="s">
        <v>1634</v>
      </c>
      <c r="D549" s="314" t="s">
        <v>1430</v>
      </c>
      <c r="E549" s="318" t="s">
        <v>2857</v>
      </c>
      <c r="F549" s="315"/>
      <c r="G549" s="315"/>
      <c r="H549" s="315"/>
      <c r="I549" s="315"/>
      <c r="J549" s="315"/>
      <c r="K549" s="315"/>
      <c r="L549" s="315">
        <v>1</v>
      </c>
      <c r="M549" s="315">
        <v>1</v>
      </c>
      <c r="N549" s="315"/>
      <c r="O549" s="315"/>
      <c r="P549" s="315"/>
      <c r="Q549" s="315"/>
      <c r="R549" s="315"/>
      <c r="S549" s="315"/>
      <c r="T549" s="315">
        <v>1</v>
      </c>
      <c r="U549" s="315">
        <v>1</v>
      </c>
      <c r="V549" s="315"/>
      <c r="W549" s="315"/>
      <c r="X549" s="315"/>
      <c r="Y549" s="315"/>
      <c r="Z549" s="315"/>
      <c r="AA549" s="315"/>
      <c r="AB549" s="315"/>
      <c r="AC549" s="315"/>
      <c r="AD549" s="315"/>
      <c r="AE549" s="315"/>
      <c r="AF549" s="315"/>
      <c r="AG549" s="315"/>
      <c r="AH549" s="315"/>
      <c r="AI549" s="315"/>
      <c r="AJ549" s="315"/>
      <c r="AK549" s="315"/>
      <c r="AL549" s="315"/>
      <c r="AM549" s="315"/>
      <c r="AN549" s="315">
        <v>1</v>
      </c>
      <c r="AO549" s="315">
        <v>1</v>
      </c>
      <c r="AP549" s="315"/>
      <c r="AQ549" s="317"/>
    </row>
    <row r="550" spans="1:43" s="377" customFormat="1" ht="44.25" customHeight="1">
      <c r="A550" s="319" t="s">
        <v>1604</v>
      </c>
      <c r="B550" s="319" t="s">
        <v>388</v>
      </c>
      <c r="C550" s="320" t="s">
        <v>1635</v>
      </c>
      <c r="D550" s="321"/>
      <c r="E550" s="320" t="s">
        <v>2858</v>
      </c>
      <c r="F550" s="316"/>
      <c r="G550" s="316"/>
      <c r="H550" s="316"/>
      <c r="I550" s="316"/>
      <c r="J550" s="316"/>
      <c r="K550" s="316"/>
      <c r="L550" s="316"/>
      <c r="M550" s="316"/>
      <c r="N550" s="316"/>
      <c r="O550" s="316"/>
      <c r="P550" s="316"/>
      <c r="Q550" s="316"/>
      <c r="R550" s="316"/>
      <c r="S550" s="316"/>
      <c r="T550" s="316"/>
      <c r="U550" s="316"/>
      <c r="V550" s="316"/>
      <c r="W550" s="316"/>
      <c r="X550" s="316"/>
      <c r="Y550" s="316"/>
      <c r="Z550" s="316"/>
      <c r="AA550" s="316"/>
      <c r="AB550" s="316"/>
      <c r="AC550" s="316"/>
      <c r="AD550" s="316"/>
      <c r="AE550" s="316"/>
      <c r="AF550" s="316"/>
      <c r="AG550" s="316"/>
      <c r="AH550" s="316"/>
      <c r="AI550" s="316"/>
      <c r="AJ550" s="316"/>
      <c r="AK550" s="316"/>
      <c r="AL550" s="316"/>
      <c r="AM550" s="316"/>
      <c r="AN550" s="316"/>
      <c r="AO550" s="316"/>
      <c r="AP550" s="316"/>
      <c r="AQ550" s="317"/>
    </row>
    <row r="551" spans="1:43" s="378" customFormat="1" ht="44.25" customHeight="1">
      <c r="A551" s="313" t="s">
        <v>1604</v>
      </c>
      <c r="B551" s="313" t="s">
        <v>392</v>
      </c>
      <c r="C551" s="314" t="s">
        <v>1636</v>
      </c>
      <c r="D551" s="314" t="s">
        <v>1444</v>
      </c>
      <c r="E551" s="314"/>
      <c r="F551" s="315"/>
      <c r="G551" s="315"/>
      <c r="H551" s="315"/>
      <c r="I551" s="315"/>
      <c r="J551" s="315"/>
      <c r="K551" s="315"/>
      <c r="L551" s="315"/>
      <c r="M551" s="315"/>
      <c r="N551" s="315"/>
      <c r="O551" s="315"/>
      <c r="P551" s="315"/>
      <c r="Q551" s="315"/>
      <c r="R551" s="315"/>
      <c r="S551" s="315"/>
      <c r="T551" s="315"/>
      <c r="U551" s="315"/>
      <c r="V551" s="315"/>
      <c r="W551" s="315"/>
      <c r="X551" s="315"/>
      <c r="Y551" s="315"/>
      <c r="Z551" s="315"/>
      <c r="AA551" s="315"/>
      <c r="AB551" s="315"/>
      <c r="AC551" s="315"/>
      <c r="AD551" s="315"/>
      <c r="AE551" s="315"/>
      <c r="AF551" s="315"/>
      <c r="AG551" s="315"/>
      <c r="AH551" s="315"/>
      <c r="AI551" s="315"/>
      <c r="AJ551" s="315"/>
      <c r="AK551" s="315"/>
      <c r="AL551" s="315"/>
      <c r="AM551" s="315"/>
      <c r="AN551" s="315"/>
      <c r="AO551" s="315"/>
      <c r="AP551" s="315"/>
      <c r="AQ551" s="317"/>
    </row>
    <row r="552" spans="1:43" s="378" customFormat="1" ht="44.25" customHeight="1">
      <c r="A552" s="313" t="s">
        <v>1637</v>
      </c>
      <c r="B552" s="313" t="s">
        <v>1638</v>
      </c>
      <c r="C552" s="314" t="s">
        <v>1639</v>
      </c>
      <c r="D552" s="314" t="s">
        <v>1426</v>
      </c>
      <c r="E552" s="314"/>
      <c r="F552" s="315"/>
      <c r="G552" s="315"/>
      <c r="H552" s="315"/>
      <c r="I552" s="315"/>
      <c r="J552" s="315"/>
      <c r="K552" s="315"/>
      <c r="L552" s="315"/>
      <c r="M552" s="315"/>
      <c r="N552" s="315"/>
      <c r="O552" s="315"/>
      <c r="P552" s="315"/>
      <c r="Q552" s="315"/>
      <c r="R552" s="315"/>
      <c r="S552" s="315"/>
      <c r="T552" s="315"/>
      <c r="U552" s="315"/>
      <c r="V552" s="315"/>
      <c r="W552" s="315"/>
      <c r="X552" s="315"/>
      <c r="Y552" s="315"/>
      <c r="Z552" s="315"/>
      <c r="AA552" s="315"/>
      <c r="AB552" s="315"/>
      <c r="AC552" s="315"/>
      <c r="AD552" s="315"/>
      <c r="AE552" s="315"/>
      <c r="AF552" s="315"/>
      <c r="AG552" s="315"/>
      <c r="AH552" s="315"/>
      <c r="AI552" s="315"/>
      <c r="AJ552" s="315"/>
      <c r="AK552" s="315"/>
      <c r="AL552" s="315"/>
      <c r="AM552" s="315"/>
      <c r="AN552" s="315"/>
      <c r="AO552" s="315"/>
      <c r="AP552" s="315"/>
      <c r="AQ552" s="317"/>
    </row>
    <row r="553" spans="1:43" s="378" customFormat="1" ht="44.25" customHeight="1">
      <c r="A553" s="313" t="s">
        <v>1637</v>
      </c>
      <c r="B553" s="313" t="s">
        <v>1638</v>
      </c>
      <c r="C553" s="314" t="s">
        <v>1640</v>
      </c>
      <c r="D553" s="314" t="s">
        <v>1426</v>
      </c>
      <c r="E553" s="314"/>
      <c r="F553" s="315"/>
      <c r="G553" s="315"/>
      <c r="H553" s="315"/>
      <c r="I553" s="315"/>
      <c r="J553" s="315"/>
      <c r="K553" s="315"/>
      <c r="L553" s="315"/>
      <c r="M553" s="315"/>
      <c r="N553" s="315"/>
      <c r="O553" s="315"/>
      <c r="P553" s="315"/>
      <c r="Q553" s="315"/>
      <c r="R553" s="315"/>
      <c r="S553" s="315"/>
      <c r="T553" s="315"/>
      <c r="U553" s="315"/>
      <c r="V553" s="315"/>
      <c r="W553" s="315"/>
      <c r="X553" s="315"/>
      <c r="Y553" s="315"/>
      <c r="Z553" s="315"/>
      <c r="AA553" s="315"/>
      <c r="AB553" s="315"/>
      <c r="AC553" s="315"/>
      <c r="AD553" s="315"/>
      <c r="AE553" s="315"/>
      <c r="AF553" s="315"/>
      <c r="AG553" s="315"/>
      <c r="AH553" s="315"/>
      <c r="AI553" s="315"/>
      <c r="AJ553" s="315"/>
      <c r="AK553" s="315"/>
      <c r="AL553" s="315"/>
      <c r="AM553" s="315"/>
      <c r="AN553" s="315"/>
      <c r="AO553" s="315"/>
      <c r="AP553" s="315"/>
      <c r="AQ553" s="317"/>
    </row>
    <row r="554" spans="1:43" s="378" customFormat="1" ht="44.25" customHeight="1">
      <c r="A554" s="313" t="s">
        <v>1637</v>
      </c>
      <c r="B554" s="313" t="s">
        <v>1638</v>
      </c>
      <c r="C554" s="314" t="s">
        <v>1641</v>
      </c>
      <c r="D554" s="314" t="s">
        <v>1430</v>
      </c>
      <c r="E554" s="314"/>
      <c r="F554" s="315"/>
      <c r="G554" s="315"/>
      <c r="H554" s="315"/>
      <c r="I554" s="315"/>
      <c r="J554" s="315"/>
      <c r="K554" s="315"/>
      <c r="L554" s="315"/>
      <c r="M554" s="315"/>
      <c r="N554" s="315"/>
      <c r="O554" s="315"/>
      <c r="P554" s="315"/>
      <c r="Q554" s="315"/>
      <c r="R554" s="315"/>
      <c r="S554" s="315"/>
      <c r="T554" s="315"/>
      <c r="U554" s="315"/>
      <c r="V554" s="315"/>
      <c r="W554" s="315"/>
      <c r="X554" s="315"/>
      <c r="Y554" s="315"/>
      <c r="Z554" s="315"/>
      <c r="AA554" s="315"/>
      <c r="AB554" s="315"/>
      <c r="AC554" s="315"/>
      <c r="AD554" s="315"/>
      <c r="AE554" s="315"/>
      <c r="AF554" s="315"/>
      <c r="AG554" s="315"/>
      <c r="AH554" s="315"/>
      <c r="AI554" s="315"/>
      <c r="AJ554" s="315"/>
      <c r="AK554" s="315"/>
      <c r="AL554" s="315"/>
      <c r="AM554" s="315"/>
      <c r="AN554" s="315"/>
      <c r="AO554" s="315"/>
      <c r="AP554" s="315"/>
      <c r="AQ554" s="317"/>
    </row>
    <row r="555" spans="1:43" s="378" customFormat="1" ht="44.25" customHeight="1">
      <c r="A555" s="313" t="s">
        <v>1637</v>
      </c>
      <c r="B555" s="313" t="s">
        <v>1642</v>
      </c>
      <c r="C555" s="314" t="s">
        <v>1643</v>
      </c>
      <c r="D555" s="314" t="s">
        <v>1434</v>
      </c>
      <c r="E555" s="314"/>
      <c r="F555" s="315"/>
      <c r="G555" s="315"/>
      <c r="H555" s="315"/>
      <c r="I555" s="315"/>
      <c r="J555" s="315"/>
      <c r="K555" s="315"/>
      <c r="L555" s="315"/>
      <c r="M555" s="315"/>
      <c r="N555" s="315"/>
      <c r="O555" s="315"/>
      <c r="P555" s="315"/>
      <c r="Q555" s="315"/>
      <c r="R555" s="315"/>
      <c r="S555" s="315"/>
      <c r="T555" s="315"/>
      <c r="U555" s="315"/>
      <c r="V555" s="315"/>
      <c r="W555" s="315"/>
      <c r="X555" s="315"/>
      <c r="Y555" s="315"/>
      <c r="Z555" s="315"/>
      <c r="AA555" s="315"/>
      <c r="AB555" s="315"/>
      <c r="AC555" s="315"/>
      <c r="AD555" s="315"/>
      <c r="AE555" s="315"/>
      <c r="AF555" s="315"/>
      <c r="AG555" s="315"/>
      <c r="AH555" s="315"/>
      <c r="AI555" s="315"/>
      <c r="AJ555" s="315"/>
      <c r="AK555" s="315"/>
      <c r="AL555" s="315"/>
      <c r="AM555" s="315"/>
      <c r="AN555" s="315"/>
      <c r="AO555" s="315"/>
      <c r="AP555" s="315"/>
      <c r="AQ555" s="317"/>
    </row>
    <row r="556" spans="1:43" s="378" customFormat="1" ht="44.25" customHeight="1">
      <c r="A556" s="313" t="s">
        <v>1637</v>
      </c>
      <c r="B556" s="313" t="s">
        <v>1642</v>
      </c>
      <c r="C556" s="314" t="s">
        <v>1644</v>
      </c>
      <c r="D556" s="314" t="s">
        <v>1432</v>
      </c>
      <c r="E556" s="314"/>
      <c r="F556" s="315"/>
      <c r="G556" s="315"/>
      <c r="H556" s="315"/>
      <c r="I556" s="315"/>
      <c r="J556" s="315"/>
      <c r="K556" s="315"/>
      <c r="L556" s="315"/>
      <c r="M556" s="315"/>
      <c r="N556" s="315"/>
      <c r="O556" s="315"/>
      <c r="P556" s="315"/>
      <c r="Q556" s="315"/>
      <c r="R556" s="315"/>
      <c r="S556" s="315"/>
      <c r="T556" s="315"/>
      <c r="U556" s="315"/>
      <c r="V556" s="315"/>
      <c r="W556" s="315"/>
      <c r="X556" s="315"/>
      <c r="Y556" s="315"/>
      <c r="Z556" s="315"/>
      <c r="AA556" s="315"/>
      <c r="AB556" s="315"/>
      <c r="AC556" s="315"/>
      <c r="AD556" s="315"/>
      <c r="AE556" s="315"/>
      <c r="AF556" s="315"/>
      <c r="AG556" s="315"/>
      <c r="AH556" s="315"/>
      <c r="AI556" s="315"/>
      <c r="AJ556" s="315"/>
      <c r="AK556" s="315"/>
      <c r="AL556" s="315"/>
      <c r="AM556" s="315"/>
      <c r="AN556" s="315"/>
      <c r="AO556" s="315"/>
      <c r="AP556" s="315"/>
      <c r="AQ556" s="317"/>
    </row>
    <row r="557" spans="1:43" s="378" customFormat="1" ht="44.25" customHeight="1">
      <c r="A557" s="313" t="s">
        <v>1637</v>
      </c>
      <c r="B557" s="313" t="s">
        <v>1642</v>
      </c>
      <c r="C557" s="314" t="s">
        <v>1645</v>
      </c>
      <c r="D557" s="314" t="s">
        <v>1432</v>
      </c>
      <c r="E557" s="314"/>
      <c r="F557" s="315"/>
      <c r="G557" s="315"/>
      <c r="H557" s="315"/>
      <c r="I557" s="315"/>
      <c r="J557" s="315"/>
      <c r="K557" s="315"/>
      <c r="L557" s="315"/>
      <c r="M557" s="315"/>
      <c r="N557" s="315"/>
      <c r="O557" s="315"/>
      <c r="P557" s="315"/>
      <c r="Q557" s="315"/>
      <c r="R557" s="315"/>
      <c r="S557" s="315"/>
      <c r="T557" s="315"/>
      <c r="U557" s="315"/>
      <c r="V557" s="315"/>
      <c r="W557" s="315"/>
      <c r="X557" s="315"/>
      <c r="Y557" s="315"/>
      <c r="Z557" s="315"/>
      <c r="AA557" s="315"/>
      <c r="AB557" s="315"/>
      <c r="AC557" s="315"/>
      <c r="AD557" s="315"/>
      <c r="AE557" s="315"/>
      <c r="AF557" s="315"/>
      <c r="AG557" s="315"/>
      <c r="AH557" s="315"/>
      <c r="AI557" s="315"/>
      <c r="AJ557" s="315"/>
      <c r="AK557" s="315"/>
      <c r="AL557" s="315"/>
      <c r="AM557" s="315"/>
      <c r="AN557" s="315"/>
      <c r="AO557" s="315"/>
      <c r="AP557" s="315"/>
      <c r="AQ557" s="317"/>
    </row>
    <row r="558" spans="1:43" s="378" customFormat="1" ht="44.25" customHeight="1">
      <c r="A558" s="313" t="s">
        <v>1637</v>
      </c>
      <c r="B558" s="313" t="s">
        <v>1642</v>
      </c>
      <c r="C558" s="314" t="s">
        <v>1646</v>
      </c>
      <c r="D558" s="314" t="s">
        <v>1438</v>
      </c>
      <c r="E558" s="314"/>
      <c r="F558" s="315"/>
      <c r="G558" s="315"/>
      <c r="H558" s="315"/>
      <c r="I558" s="315"/>
      <c r="J558" s="315"/>
      <c r="K558" s="315"/>
      <c r="L558" s="315"/>
      <c r="M558" s="315"/>
      <c r="N558" s="315"/>
      <c r="O558" s="315"/>
      <c r="P558" s="315"/>
      <c r="Q558" s="315"/>
      <c r="R558" s="315"/>
      <c r="S558" s="315"/>
      <c r="T558" s="315"/>
      <c r="U558" s="315"/>
      <c r="V558" s="315"/>
      <c r="W558" s="315"/>
      <c r="X558" s="315"/>
      <c r="Y558" s="315"/>
      <c r="Z558" s="315"/>
      <c r="AA558" s="315"/>
      <c r="AB558" s="315"/>
      <c r="AC558" s="315"/>
      <c r="AD558" s="315"/>
      <c r="AE558" s="315"/>
      <c r="AF558" s="315"/>
      <c r="AG558" s="315"/>
      <c r="AH558" s="315"/>
      <c r="AI558" s="315"/>
      <c r="AJ558" s="315"/>
      <c r="AK558" s="315"/>
      <c r="AL558" s="315"/>
      <c r="AM558" s="315"/>
      <c r="AN558" s="315"/>
      <c r="AO558" s="315"/>
      <c r="AP558" s="315"/>
      <c r="AQ558" s="317"/>
    </row>
    <row r="559" spans="1:43" s="378" customFormat="1" ht="44.25" customHeight="1">
      <c r="A559" s="313" t="s">
        <v>1637</v>
      </c>
      <c r="B559" s="313" t="s">
        <v>1642</v>
      </c>
      <c r="C559" s="314" t="s">
        <v>1647</v>
      </c>
      <c r="D559" s="314" t="s">
        <v>1456</v>
      </c>
      <c r="E559" s="314"/>
      <c r="F559" s="315"/>
      <c r="G559" s="315"/>
      <c r="H559" s="315"/>
      <c r="I559" s="315"/>
      <c r="J559" s="315"/>
      <c r="K559" s="315"/>
      <c r="L559" s="315"/>
      <c r="M559" s="315"/>
      <c r="N559" s="315"/>
      <c r="O559" s="315"/>
      <c r="P559" s="315"/>
      <c r="Q559" s="315"/>
      <c r="R559" s="315"/>
      <c r="S559" s="315"/>
      <c r="T559" s="315"/>
      <c r="U559" s="315"/>
      <c r="V559" s="315"/>
      <c r="W559" s="315"/>
      <c r="X559" s="315"/>
      <c r="Y559" s="315"/>
      <c r="Z559" s="315"/>
      <c r="AA559" s="315"/>
      <c r="AB559" s="315"/>
      <c r="AC559" s="315"/>
      <c r="AD559" s="315"/>
      <c r="AE559" s="315"/>
      <c r="AF559" s="315"/>
      <c r="AG559" s="315"/>
      <c r="AH559" s="315"/>
      <c r="AI559" s="315"/>
      <c r="AJ559" s="315"/>
      <c r="AK559" s="315"/>
      <c r="AL559" s="315"/>
      <c r="AM559" s="315"/>
      <c r="AN559" s="315"/>
      <c r="AO559" s="315"/>
      <c r="AP559" s="315"/>
      <c r="AQ559" s="317"/>
    </row>
    <row r="560" spans="1:43" s="378" customFormat="1" ht="44.25" customHeight="1">
      <c r="A560" s="313" t="s">
        <v>1637</v>
      </c>
      <c r="B560" s="313" t="s">
        <v>1642</v>
      </c>
      <c r="C560" s="314" t="s">
        <v>1648</v>
      </c>
      <c r="D560" s="314" t="s">
        <v>1446</v>
      </c>
      <c r="E560" s="314"/>
      <c r="F560" s="315"/>
      <c r="G560" s="315"/>
      <c r="H560" s="315"/>
      <c r="I560" s="315"/>
      <c r="J560" s="315"/>
      <c r="K560" s="315"/>
      <c r="L560" s="315"/>
      <c r="M560" s="315"/>
      <c r="N560" s="315"/>
      <c r="O560" s="315"/>
      <c r="P560" s="315"/>
      <c r="Q560" s="315"/>
      <c r="R560" s="315"/>
      <c r="S560" s="315"/>
      <c r="T560" s="315"/>
      <c r="U560" s="315"/>
      <c r="V560" s="315"/>
      <c r="W560" s="315"/>
      <c r="X560" s="315"/>
      <c r="Y560" s="315"/>
      <c r="Z560" s="315"/>
      <c r="AA560" s="315"/>
      <c r="AB560" s="315"/>
      <c r="AC560" s="315"/>
      <c r="AD560" s="315"/>
      <c r="AE560" s="315"/>
      <c r="AF560" s="315"/>
      <c r="AG560" s="315"/>
      <c r="AH560" s="315"/>
      <c r="AI560" s="315"/>
      <c r="AJ560" s="315"/>
      <c r="AK560" s="315"/>
      <c r="AL560" s="315"/>
      <c r="AM560" s="315"/>
      <c r="AN560" s="315"/>
      <c r="AO560" s="315"/>
      <c r="AP560" s="315"/>
      <c r="AQ560" s="317"/>
    </row>
    <row r="561" spans="1:43" s="378" customFormat="1" ht="44.25" customHeight="1">
      <c r="A561" s="313" t="s">
        <v>1637</v>
      </c>
      <c r="B561" s="313" t="s">
        <v>1649</v>
      </c>
      <c r="C561" s="314" t="s">
        <v>1650</v>
      </c>
      <c r="D561" s="314" t="s">
        <v>1424</v>
      </c>
      <c r="E561" s="314"/>
      <c r="F561" s="315"/>
      <c r="G561" s="315"/>
      <c r="H561" s="315"/>
      <c r="I561" s="315"/>
      <c r="J561" s="315"/>
      <c r="K561" s="315"/>
      <c r="L561" s="315"/>
      <c r="M561" s="315"/>
      <c r="N561" s="315"/>
      <c r="O561" s="315"/>
      <c r="P561" s="315"/>
      <c r="Q561" s="315"/>
      <c r="R561" s="315"/>
      <c r="S561" s="315"/>
      <c r="T561" s="315"/>
      <c r="U561" s="315"/>
      <c r="V561" s="315"/>
      <c r="W561" s="315"/>
      <c r="X561" s="315"/>
      <c r="Y561" s="315"/>
      <c r="Z561" s="315"/>
      <c r="AA561" s="315"/>
      <c r="AB561" s="315"/>
      <c r="AC561" s="315"/>
      <c r="AD561" s="315"/>
      <c r="AE561" s="315"/>
      <c r="AF561" s="315"/>
      <c r="AG561" s="315"/>
      <c r="AH561" s="315"/>
      <c r="AI561" s="315"/>
      <c r="AJ561" s="315"/>
      <c r="AK561" s="315"/>
      <c r="AL561" s="315"/>
      <c r="AM561" s="315"/>
      <c r="AN561" s="315"/>
      <c r="AO561" s="315"/>
      <c r="AP561" s="315"/>
      <c r="AQ561" s="317"/>
    </row>
    <row r="562" spans="1:43" s="378" customFormat="1" ht="44.25" customHeight="1">
      <c r="A562" s="313" t="s">
        <v>1637</v>
      </c>
      <c r="B562" s="313" t="s">
        <v>1649</v>
      </c>
      <c r="C562" s="314" t="s">
        <v>1651</v>
      </c>
      <c r="D562" s="314" t="s">
        <v>1438</v>
      </c>
      <c r="E562" s="314"/>
      <c r="F562" s="315"/>
      <c r="G562" s="315"/>
      <c r="H562" s="315"/>
      <c r="I562" s="315"/>
      <c r="J562" s="315"/>
      <c r="K562" s="315"/>
      <c r="L562" s="315"/>
      <c r="M562" s="315"/>
      <c r="N562" s="315"/>
      <c r="O562" s="315"/>
      <c r="P562" s="315"/>
      <c r="Q562" s="315"/>
      <c r="R562" s="315"/>
      <c r="S562" s="315"/>
      <c r="T562" s="315"/>
      <c r="U562" s="315"/>
      <c r="V562" s="315"/>
      <c r="W562" s="315"/>
      <c r="X562" s="315"/>
      <c r="Y562" s="315"/>
      <c r="Z562" s="315"/>
      <c r="AA562" s="315"/>
      <c r="AB562" s="315"/>
      <c r="AC562" s="315"/>
      <c r="AD562" s="315"/>
      <c r="AE562" s="315"/>
      <c r="AF562" s="315"/>
      <c r="AG562" s="315"/>
      <c r="AH562" s="315"/>
      <c r="AI562" s="315"/>
      <c r="AJ562" s="315"/>
      <c r="AK562" s="315"/>
      <c r="AL562" s="315"/>
      <c r="AM562" s="315"/>
      <c r="AN562" s="315"/>
      <c r="AO562" s="315"/>
      <c r="AP562" s="315"/>
      <c r="AQ562" s="317"/>
    </row>
    <row r="563" spans="1:43" s="378" customFormat="1" ht="44.25" customHeight="1">
      <c r="A563" s="313" t="s">
        <v>1637</v>
      </c>
      <c r="B563" s="313" t="s">
        <v>1649</v>
      </c>
      <c r="C563" s="314" t="s">
        <v>1652</v>
      </c>
      <c r="D563" s="314" t="s">
        <v>1424</v>
      </c>
      <c r="E563" s="314"/>
      <c r="F563" s="315"/>
      <c r="G563" s="315"/>
      <c r="H563" s="315"/>
      <c r="I563" s="315"/>
      <c r="J563" s="315"/>
      <c r="K563" s="315"/>
      <c r="L563" s="315"/>
      <c r="M563" s="315"/>
      <c r="N563" s="315"/>
      <c r="O563" s="315"/>
      <c r="P563" s="315"/>
      <c r="Q563" s="315"/>
      <c r="R563" s="315"/>
      <c r="S563" s="315"/>
      <c r="T563" s="315"/>
      <c r="U563" s="315"/>
      <c r="V563" s="315"/>
      <c r="W563" s="315"/>
      <c r="X563" s="315"/>
      <c r="Y563" s="315"/>
      <c r="Z563" s="315"/>
      <c r="AA563" s="315"/>
      <c r="AB563" s="315"/>
      <c r="AC563" s="315"/>
      <c r="AD563" s="315"/>
      <c r="AE563" s="315"/>
      <c r="AF563" s="315"/>
      <c r="AG563" s="315"/>
      <c r="AH563" s="315"/>
      <c r="AI563" s="315"/>
      <c r="AJ563" s="315"/>
      <c r="AK563" s="315"/>
      <c r="AL563" s="315"/>
      <c r="AM563" s="315"/>
      <c r="AN563" s="315"/>
      <c r="AO563" s="315"/>
      <c r="AP563" s="315"/>
      <c r="AQ563" s="317"/>
    </row>
    <row r="564" spans="1:43" s="378" customFormat="1" ht="44.25" customHeight="1">
      <c r="A564" s="313" t="s">
        <v>1637</v>
      </c>
      <c r="B564" s="313" t="s">
        <v>1638</v>
      </c>
      <c r="C564" s="314" t="s">
        <v>1653</v>
      </c>
      <c r="D564" s="314" t="s">
        <v>1426</v>
      </c>
      <c r="E564" s="314"/>
      <c r="F564" s="315"/>
      <c r="G564" s="315"/>
      <c r="H564" s="315"/>
      <c r="I564" s="315"/>
      <c r="J564" s="315"/>
      <c r="K564" s="315"/>
      <c r="L564" s="315"/>
      <c r="M564" s="315"/>
      <c r="N564" s="315"/>
      <c r="O564" s="315"/>
      <c r="P564" s="315"/>
      <c r="Q564" s="315"/>
      <c r="R564" s="315"/>
      <c r="S564" s="315"/>
      <c r="T564" s="315"/>
      <c r="U564" s="315"/>
      <c r="V564" s="315"/>
      <c r="W564" s="315"/>
      <c r="X564" s="315"/>
      <c r="Y564" s="315"/>
      <c r="Z564" s="315"/>
      <c r="AA564" s="315"/>
      <c r="AB564" s="315"/>
      <c r="AC564" s="315"/>
      <c r="AD564" s="315"/>
      <c r="AE564" s="315"/>
      <c r="AF564" s="315"/>
      <c r="AG564" s="315"/>
      <c r="AH564" s="315"/>
      <c r="AI564" s="315"/>
      <c r="AJ564" s="315"/>
      <c r="AK564" s="315"/>
      <c r="AL564" s="315"/>
      <c r="AM564" s="315"/>
      <c r="AN564" s="315"/>
      <c r="AO564" s="315"/>
      <c r="AP564" s="315"/>
      <c r="AQ564" s="317"/>
    </row>
    <row r="565" spans="1:43" s="378" customFormat="1" ht="44.25" customHeight="1">
      <c r="A565" s="313" t="s">
        <v>1637</v>
      </c>
      <c r="B565" s="313" t="s">
        <v>1638</v>
      </c>
      <c r="C565" s="314" t="s">
        <v>1654</v>
      </c>
      <c r="D565" s="314" t="s">
        <v>1426</v>
      </c>
      <c r="E565" s="314"/>
      <c r="F565" s="315"/>
      <c r="G565" s="315"/>
      <c r="H565" s="315"/>
      <c r="I565" s="315"/>
      <c r="J565" s="315"/>
      <c r="K565" s="315"/>
      <c r="L565" s="315"/>
      <c r="M565" s="315"/>
      <c r="N565" s="315"/>
      <c r="O565" s="315"/>
      <c r="P565" s="315"/>
      <c r="Q565" s="315"/>
      <c r="R565" s="315"/>
      <c r="S565" s="315"/>
      <c r="T565" s="315"/>
      <c r="U565" s="315"/>
      <c r="V565" s="315"/>
      <c r="W565" s="315"/>
      <c r="X565" s="315"/>
      <c r="Y565" s="315"/>
      <c r="Z565" s="315"/>
      <c r="AA565" s="315"/>
      <c r="AB565" s="315"/>
      <c r="AC565" s="315"/>
      <c r="AD565" s="315"/>
      <c r="AE565" s="315"/>
      <c r="AF565" s="315"/>
      <c r="AG565" s="315"/>
      <c r="AH565" s="315"/>
      <c r="AI565" s="315"/>
      <c r="AJ565" s="315"/>
      <c r="AK565" s="315"/>
      <c r="AL565" s="315"/>
      <c r="AM565" s="315"/>
      <c r="AN565" s="315"/>
      <c r="AO565" s="315"/>
      <c r="AP565" s="315"/>
      <c r="AQ565" s="317"/>
    </row>
    <row r="566" spans="1:43" s="378" customFormat="1" ht="44.25" customHeight="1">
      <c r="A566" s="313" t="s">
        <v>1637</v>
      </c>
      <c r="B566" s="313" t="s">
        <v>1638</v>
      </c>
      <c r="C566" s="314" t="s">
        <v>1655</v>
      </c>
      <c r="D566" s="314" t="s">
        <v>1430</v>
      </c>
      <c r="E566" s="314"/>
      <c r="F566" s="315"/>
      <c r="G566" s="315"/>
      <c r="H566" s="315"/>
      <c r="I566" s="315"/>
      <c r="J566" s="315"/>
      <c r="K566" s="315"/>
      <c r="L566" s="315"/>
      <c r="M566" s="315"/>
      <c r="N566" s="315"/>
      <c r="O566" s="315"/>
      <c r="P566" s="315"/>
      <c r="Q566" s="315"/>
      <c r="R566" s="315"/>
      <c r="S566" s="315"/>
      <c r="T566" s="315"/>
      <c r="U566" s="315"/>
      <c r="V566" s="315"/>
      <c r="W566" s="315"/>
      <c r="X566" s="315"/>
      <c r="Y566" s="315"/>
      <c r="Z566" s="315"/>
      <c r="AA566" s="315"/>
      <c r="AB566" s="315"/>
      <c r="AC566" s="315"/>
      <c r="AD566" s="315"/>
      <c r="AE566" s="315"/>
      <c r="AF566" s="315"/>
      <c r="AG566" s="315"/>
      <c r="AH566" s="315"/>
      <c r="AI566" s="315"/>
      <c r="AJ566" s="315"/>
      <c r="AK566" s="315"/>
      <c r="AL566" s="315"/>
      <c r="AM566" s="315"/>
      <c r="AN566" s="315"/>
      <c r="AO566" s="315"/>
      <c r="AP566" s="315"/>
      <c r="AQ566" s="317"/>
    </row>
    <row r="567" spans="1:43" s="378" customFormat="1" ht="44.25" customHeight="1">
      <c r="A567" s="313" t="s">
        <v>1637</v>
      </c>
      <c r="B567" s="313" t="s">
        <v>1642</v>
      </c>
      <c r="C567" s="314" t="s">
        <v>1656</v>
      </c>
      <c r="D567" s="314" t="s">
        <v>1436</v>
      </c>
      <c r="E567" s="314"/>
      <c r="F567" s="315"/>
      <c r="G567" s="315"/>
      <c r="H567" s="315"/>
      <c r="I567" s="315"/>
      <c r="J567" s="315"/>
      <c r="K567" s="315"/>
      <c r="L567" s="315"/>
      <c r="M567" s="315"/>
      <c r="N567" s="315"/>
      <c r="O567" s="315"/>
      <c r="P567" s="315"/>
      <c r="Q567" s="315"/>
      <c r="R567" s="315"/>
      <c r="S567" s="315"/>
      <c r="T567" s="315"/>
      <c r="U567" s="315"/>
      <c r="V567" s="315"/>
      <c r="W567" s="315"/>
      <c r="X567" s="315"/>
      <c r="Y567" s="315"/>
      <c r="Z567" s="315"/>
      <c r="AA567" s="315"/>
      <c r="AB567" s="315"/>
      <c r="AC567" s="315"/>
      <c r="AD567" s="315"/>
      <c r="AE567" s="315"/>
      <c r="AF567" s="315"/>
      <c r="AG567" s="315"/>
      <c r="AH567" s="315"/>
      <c r="AI567" s="315"/>
      <c r="AJ567" s="315"/>
      <c r="AK567" s="315"/>
      <c r="AL567" s="315"/>
      <c r="AM567" s="315"/>
      <c r="AN567" s="315"/>
      <c r="AO567" s="315"/>
      <c r="AP567" s="315"/>
      <c r="AQ567" s="317"/>
    </row>
    <row r="568" spans="1:43" s="378" customFormat="1" ht="44.25" customHeight="1">
      <c r="A568" s="313" t="s">
        <v>1637</v>
      </c>
      <c r="B568" s="313" t="s">
        <v>1642</v>
      </c>
      <c r="C568" s="314" t="s">
        <v>1657</v>
      </c>
      <c r="D568" s="314" t="s">
        <v>1432</v>
      </c>
      <c r="E568" s="314"/>
      <c r="F568" s="315"/>
      <c r="G568" s="315"/>
      <c r="H568" s="315"/>
      <c r="I568" s="315"/>
      <c r="J568" s="315"/>
      <c r="K568" s="315"/>
      <c r="L568" s="315"/>
      <c r="M568" s="315"/>
      <c r="N568" s="315"/>
      <c r="O568" s="315"/>
      <c r="P568" s="315"/>
      <c r="Q568" s="315"/>
      <c r="R568" s="315"/>
      <c r="S568" s="315"/>
      <c r="T568" s="315"/>
      <c r="U568" s="315"/>
      <c r="V568" s="315"/>
      <c r="W568" s="315"/>
      <c r="X568" s="315"/>
      <c r="Y568" s="315"/>
      <c r="Z568" s="315"/>
      <c r="AA568" s="315"/>
      <c r="AB568" s="315"/>
      <c r="AC568" s="315"/>
      <c r="AD568" s="315"/>
      <c r="AE568" s="315"/>
      <c r="AF568" s="315"/>
      <c r="AG568" s="315"/>
      <c r="AH568" s="315"/>
      <c r="AI568" s="315"/>
      <c r="AJ568" s="315"/>
      <c r="AK568" s="315"/>
      <c r="AL568" s="315"/>
      <c r="AM568" s="315"/>
      <c r="AN568" s="315"/>
      <c r="AO568" s="315"/>
      <c r="AP568" s="315"/>
      <c r="AQ568" s="317"/>
    </row>
    <row r="569" spans="1:43" s="378" customFormat="1" ht="44.25" customHeight="1">
      <c r="A569" s="313" t="s">
        <v>1637</v>
      </c>
      <c r="B569" s="313" t="s">
        <v>1642</v>
      </c>
      <c r="C569" s="314" t="s">
        <v>1658</v>
      </c>
      <c r="D569" s="314" t="s">
        <v>1432</v>
      </c>
      <c r="E569" s="314"/>
      <c r="F569" s="315"/>
      <c r="G569" s="315"/>
      <c r="H569" s="315"/>
      <c r="I569" s="315"/>
      <c r="J569" s="315"/>
      <c r="K569" s="315"/>
      <c r="L569" s="315"/>
      <c r="M569" s="315"/>
      <c r="N569" s="315"/>
      <c r="O569" s="315"/>
      <c r="P569" s="315"/>
      <c r="Q569" s="315"/>
      <c r="R569" s="315"/>
      <c r="S569" s="315"/>
      <c r="T569" s="315"/>
      <c r="U569" s="315"/>
      <c r="V569" s="315"/>
      <c r="W569" s="315"/>
      <c r="X569" s="315"/>
      <c r="Y569" s="315"/>
      <c r="Z569" s="315"/>
      <c r="AA569" s="315"/>
      <c r="AB569" s="315"/>
      <c r="AC569" s="315"/>
      <c r="AD569" s="315"/>
      <c r="AE569" s="315"/>
      <c r="AF569" s="315"/>
      <c r="AG569" s="315"/>
      <c r="AH569" s="315"/>
      <c r="AI569" s="315"/>
      <c r="AJ569" s="315"/>
      <c r="AK569" s="315"/>
      <c r="AL569" s="315"/>
      <c r="AM569" s="315"/>
      <c r="AN569" s="315"/>
      <c r="AO569" s="315"/>
      <c r="AP569" s="315"/>
      <c r="AQ569" s="317"/>
    </row>
    <row r="570" spans="1:43" s="378" customFormat="1" ht="44.25" customHeight="1">
      <c r="A570" s="313" t="s">
        <v>1637</v>
      </c>
      <c r="B570" s="313" t="s">
        <v>1642</v>
      </c>
      <c r="C570" s="314" t="s">
        <v>1659</v>
      </c>
      <c r="D570" s="314" t="s">
        <v>1438</v>
      </c>
      <c r="E570" s="314"/>
      <c r="F570" s="315"/>
      <c r="G570" s="315"/>
      <c r="H570" s="315"/>
      <c r="I570" s="315"/>
      <c r="J570" s="315"/>
      <c r="K570" s="315"/>
      <c r="L570" s="315"/>
      <c r="M570" s="315"/>
      <c r="N570" s="315"/>
      <c r="O570" s="315"/>
      <c r="P570" s="315"/>
      <c r="Q570" s="315"/>
      <c r="R570" s="315"/>
      <c r="S570" s="315"/>
      <c r="T570" s="315"/>
      <c r="U570" s="315"/>
      <c r="V570" s="315"/>
      <c r="W570" s="315"/>
      <c r="X570" s="315"/>
      <c r="Y570" s="315"/>
      <c r="Z570" s="315"/>
      <c r="AA570" s="315"/>
      <c r="AB570" s="315"/>
      <c r="AC570" s="315"/>
      <c r="AD570" s="315"/>
      <c r="AE570" s="315"/>
      <c r="AF570" s="315"/>
      <c r="AG570" s="315"/>
      <c r="AH570" s="315"/>
      <c r="AI570" s="315"/>
      <c r="AJ570" s="315"/>
      <c r="AK570" s="315"/>
      <c r="AL570" s="315"/>
      <c r="AM570" s="315"/>
      <c r="AN570" s="315"/>
      <c r="AO570" s="315"/>
      <c r="AP570" s="315"/>
      <c r="AQ570" s="317"/>
    </row>
    <row r="571" spans="1:43" s="378" customFormat="1" ht="44.25" customHeight="1">
      <c r="A571" s="313" t="s">
        <v>1637</v>
      </c>
      <c r="B571" s="313" t="s">
        <v>1642</v>
      </c>
      <c r="C571" s="314" t="s">
        <v>1660</v>
      </c>
      <c r="D571" s="314" t="s">
        <v>1456</v>
      </c>
      <c r="E571" s="314"/>
      <c r="F571" s="315"/>
      <c r="G571" s="315"/>
      <c r="H571" s="315"/>
      <c r="I571" s="315"/>
      <c r="J571" s="315"/>
      <c r="K571" s="315"/>
      <c r="L571" s="315"/>
      <c r="M571" s="315"/>
      <c r="N571" s="315"/>
      <c r="O571" s="315"/>
      <c r="P571" s="315"/>
      <c r="Q571" s="315"/>
      <c r="R571" s="315"/>
      <c r="S571" s="315"/>
      <c r="T571" s="315"/>
      <c r="U571" s="315"/>
      <c r="V571" s="315"/>
      <c r="W571" s="315"/>
      <c r="X571" s="315"/>
      <c r="Y571" s="315"/>
      <c r="Z571" s="315"/>
      <c r="AA571" s="315"/>
      <c r="AB571" s="315"/>
      <c r="AC571" s="315"/>
      <c r="AD571" s="315"/>
      <c r="AE571" s="315"/>
      <c r="AF571" s="315"/>
      <c r="AG571" s="315"/>
      <c r="AH571" s="315"/>
      <c r="AI571" s="315"/>
      <c r="AJ571" s="315"/>
      <c r="AK571" s="315"/>
      <c r="AL571" s="315"/>
      <c r="AM571" s="315"/>
      <c r="AN571" s="315"/>
      <c r="AO571" s="315"/>
      <c r="AP571" s="315"/>
      <c r="AQ571" s="317"/>
    </row>
    <row r="572" spans="1:43" s="378" customFormat="1" ht="44.25" customHeight="1">
      <c r="A572" s="313" t="s">
        <v>1637</v>
      </c>
      <c r="B572" s="313" t="s">
        <v>1642</v>
      </c>
      <c r="C572" s="314" t="s">
        <v>1661</v>
      </c>
      <c r="D572" s="314" t="s">
        <v>1432</v>
      </c>
      <c r="E572" s="314"/>
      <c r="F572" s="315"/>
      <c r="G572" s="315"/>
      <c r="H572" s="315"/>
      <c r="I572" s="315"/>
      <c r="J572" s="315"/>
      <c r="K572" s="315"/>
      <c r="L572" s="315"/>
      <c r="M572" s="315"/>
      <c r="N572" s="315"/>
      <c r="O572" s="315"/>
      <c r="P572" s="315"/>
      <c r="Q572" s="315"/>
      <c r="R572" s="315"/>
      <c r="S572" s="315"/>
      <c r="T572" s="315"/>
      <c r="U572" s="315"/>
      <c r="V572" s="315"/>
      <c r="W572" s="315"/>
      <c r="X572" s="315"/>
      <c r="Y572" s="315"/>
      <c r="Z572" s="315"/>
      <c r="AA572" s="315"/>
      <c r="AB572" s="315"/>
      <c r="AC572" s="315"/>
      <c r="AD572" s="315"/>
      <c r="AE572" s="315"/>
      <c r="AF572" s="315"/>
      <c r="AG572" s="315"/>
      <c r="AH572" s="315"/>
      <c r="AI572" s="315"/>
      <c r="AJ572" s="315"/>
      <c r="AK572" s="315"/>
      <c r="AL572" s="315"/>
      <c r="AM572" s="315"/>
      <c r="AN572" s="315"/>
      <c r="AO572" s="315"/>
      <c r="AP572" s="315"/>
      <c r="AQ572" s="317"/>
    </row>
    <row r="573" spans="1:43" s="378" customFormat="1" ht="44.25" customHeight="1">
      <c r="A573" s="313" t="s">
        <v>1637</v>
      </c>
      <c r="B573" s="313" t="s">
        <v>1649</v>
      </c>
      <c r="C573" s="314" t="s">
        <v>1662</v>
      </c>
      <c r="D573" s="314" t="s">
        <v>1424</v>
      </c>
      <c r="E573" s="314"/>
      <c r="F573" s="315"/>
      <c r="G573" s="315"/>
      <c r="H573" s="315"/>
      <c r="I573" s="315"/>
      <c r="J573" s="315"/>
      <c r="K573" s="315"/>
      <c r="L573" s="315"/>
      <c r="M573" s="315"/>
      <c r="N573" s="315"/>
      <c r="O573" s="315"/>
      <c r="P573" s="315"/>
      <c r="Q573" s="315"/>
      <c r="R573" s="315"/>
      <c r="S573" s="315"/>
      <c r="T573" s="315"/>
      <c r="U573" s="315"/>
      <c r="V573" s="315"/>
      <c r="W573" s="315"/>
      <c r="X573" s="315"/>
      <c r="Y573" s="315"/>
      <c r="Z573" s="315"/>
      <c r="AA573" s="315"/>
      <c r="AB573" s="315"/>
      <c r="AC573" s="315"/>
      <c r="AD573" s="315"/>
      <c r="AE573" s="315"/>
      <c r="AF573" s="315"/>
      <c r="AG573" s="315"/>
      <c r="AH573" s="315"/>
      <c r="AI573" s="315"/>
      <c r="AJ573" s="315"/>
      <c r="AK573" s="315"/>
      <c r="AL573" s="315"/>
      <c r="AM573" s="315"/>
      <c r="AN573" s="315"/>
      <c r="AO573" s="315"/>
      <c r="AP573" s="315"/>
      <c r="AQ573" s="317"/>
    </row>
    <row r="574" spans="1:43" s="378" customFormat="1" ht="44.25" customHeight="1">
      <c r="A574" s="313" t="s">
        <v>1637</v>
      </c>
      <c r="B574" s="313" t="s">
        <v>1649</v>
      </c>
      <c r="C574" s="314" t="s">
        <v>1663</v>
      </c>
      <c r="D574" s="314" t="s">
        <v>1432</v>
      </c>
      <c r="E574" s="314"/>
      <c r="F574" s="315"/>
      <c r="G574" s="315"/>
      <c r="H574" s="315"/>
      <c r="I574" s="315"/>
      <c r="J574" s="315"/>
      <c r="K574" s="315"/>
      <c r="L574" s="315"/>
      <c r="M574" s="315"/>
      <c r="N574" s="315"/>
      <c r="O574" s="315"/>
      <c r="P574" s="315"/>
      <c r="Q574" s="315"/>
      <c r="R574" s="315"/>
      <c r="S574" s="315"/>
      <c r="T574" s="315"/>
      <c r="U574" s="315"/>
      <c r="V574" s="315"/>
      <c r="W574" s="315"/>
      <c r="X574" s="315"/>
      <c r="Y574" s="315"/>
      <c r="Z574" s="315"/>
      <c r="AA574" s="315"/>
      <c r="AB574" s="315"/>
      <c r="AC574" s="315"/>
      <c r="AD574" s="315"/>
      <c r="AE574" s="315"/>
      <c r="AF574" s="315"/>
      <c r="AG574" s="315"/>
      <c r="AH574" s="315"/>
      <c r="AI574" s="315"/>
      <c r="AJ574" s="315"/>
      <c r="AK574" s="315"/>
      <c r="AL574" s="315"/>
      <c r="AM574" s="315"/>
      <c r="AN574" s="315"/>
      <c r="AO574" s="315"/>
      <c r="AP574" s="315"/>
      <c r="AQ574" s="317"/>
    </row>
    <row r="575" spans="1:43" s="378" customFormat="1" ht="44.25" customHeight="1">
      <c r="A575" s="313" t="s">
        <v>1637</v>
      </c>
      <c r="B575" s="313" t="s">
        <v>1649</v>
      </c>
      <c r="C575" s="314" t="s">
        <v>1664</v>
      </c>
      <c r="D575" s="314" t="s">
        <v>1432</v>
      </c>
      <c r="E575" s="314"/>
      <c r="F575" s="315"/>
      <c r="G575" s="315"/>
      <c r="H575" s="315"/>
      <c r="I575" s="315"/>
      <c r="J575" s="315"/>
      <c r="K575" s="315"/>
      <c r="L575" s="315"/>
      <c r="M575" s="315"/>
      <c r="N575" s="315"/>
      <c r="O575" s="315"/>
      <c r="P575" s="315"/>
      <c r="Q575" s="315"/>
      <c r="R575" s="315"/>
      <c r="S575" s="315"/>
      <c r="T575" s="315"/>
      <c r="U575" s="315"/>
      <c r="V575" s="315"/>
      <c r="W575" s="315"/>
      <c r="X575" s="315"/>
      <c r="Y575" s="315"/>
      <c r="Z575" s="315"/>
      <c r="AA575" s="315"/>
      <c r="AB575" s="315"/>
      <c r="AC575" s="315"/>
      <c r="AD575" s="315"/>
      <c r="AE575" s="315"/>
      <c r="AF575" s="315"/>
      <c r="AG575" s="315"/>
      <c r="AH575" s="315"/>
      <c r="AI575" s="315"/>
      <c r="AJ575" s="315"/>
      <c r="AK575" s="315"/>
      <c r="AL575" s="315"/>
      <c r="AM575" s="315"/>
      <c r="AN575" s="315"/>
      <c r="AO575" s="315"/>
      <c r="AP575" s="315"/>
      <c r="AQ575" s="317"/>
    </row>
    <row r="576" spans="1:43" s="378" customFormat="1" ht="44.25" customHeight="1">
      <c r="A576" s="313" t="s">
        <v>1637</v>
      </c>
      <c r="B576" s="313" t="s">
        <v>1638</v>
      </c>
      <c r="C576" s="314" t="s">
        <v>1665</v>
      </c>
      <c r="D576" s="314" t="s">
        <v>1426</v>
      </c>
      <c r="E576" s="314"/>
      <c r="F576" s="315"/>
      <c r="G576" s="315"/>
      <c r="H576" s="315"/>
      <c r="I576" s="315"/>
      <c r="J576" s="315"/>
      <c r="K576" s="315"/>
      <c r="L576" s="315"/>
      <c r="M576" s="315"/>
      <c r="N576" s="315"/>
      <c r="O576" s="315"/>
      <c r="P576" s="315"/>
      <c r="Q576" s="315"/>
      <c r="R576" s="315"/>
      <c r="S576" s="315"/>
      <c r="T576" s="315"/>
      <c r="U576" s="315"/>
      <c r="V576" s="315"/>
      <c r="W576" s="315"/>
      <c r="X576" s="315"/>
      <c r="Y576" s="315"/>
      <c r="Z576" s="315"/>
      <c r="AA576" s="315"/>
      <c r="AB576" s="315"/>
      <c r="AC576" s="315"/>
      <c r="AD576" s="315"/>
      <c r="AE576" s="315"/>
      <c r="AF576" s="315"/>
      <c r="AG576" s="315"/>
      <c r="AH576" s="315"/>
      <c r="AI576" s="315"/>
      <c r="AJ576" s="315"/>
      <c r="AK576" s="315"/>
      <c r="AL576" s="315"/>
      <c r="AM576" s="315"/>
      <c r="AN576" s="315"/>
      <c r="AO576" s="315"/>
      <c r="AP576" s="315"/>
      <c r="AQ576" s="317"/>
    </row>
    <row r="577" spans="1:43" s="378" customFormat="1" ht="44.25" customHeight="1">
      <c r="A577" s="313" t="s">
        <v>1637</v>
      </c>
      <c r="B577" s="313" t="s">
        <v>1638</v>
      </c>
      <c r="C577" s="314" t="s">
        <v>1666</v>
      </c>
      <c r="D577" s="314" t="s">
        <v>1426</v>
      </c>
      <c r="E577" s="314"/>
      <c r="F577" s="315"/>
      <c r="G577" s="315"/>
      <c r="H577" s="315"/>
      <c r="I577" s="315"/>
      <c r="J577" s="315"/>
      <c r="K577" s="315"/>
      <c r="L577" s="315"/>
      <c r="M577" s="315"/>
      <c r="N577" s="315"/>
      <c r="O577" s="315"/>
      <c r="P577" s="315"/>
      <c r="Q577" s="315"/>
      <c r="R577" s="315"/>
      <c r="S577" s="315"/>
      <c r="T577" s="315"/>
      <c r="U577" s="315"/>
      <c r="V577" s="315"/>
      <c r="W577" s="315"/>
      <c r="X577" s="315"/>
      <c r="Y577" s="315"/>
      <c r="Z577" s="315"/>
      <c r="AA577" s="315"/>
      <c r="AB577" s="315"/>
      <c r="AC577" s="315"/>
      <c r="AD577" s="315"/>
      <c r="AE577" s="315"/>
      <c r="AF577" s="315"/>
      <c r="AG577" s="315"/>
      <c r="AH577" s="315"/>
      <c r="AI577" s="315"/>
      <c r="AJ577" s="315"/>
      <c r="AK577" s="315"/>
      <c r="AL577" s="315"/>
      <c r="AM577" s="315"/>
      <c r="AN577" s="315"/>
      <c r="AO577" s="315"/>
      <c r="AP577" s="315"/>
      <c r="AQ577" s="317"/>
    </row>
    <row r="578" spans="1:43" s="378" customFormat="1" ht="44.25" customHeight="1">
      <c r="A578" s="313" t="s">
        <v>1637</v>
      </c>
      <c r="B578" s="313" t="s">
        <v>1638</v>
      </c>
      <c r="C578" s="314" t="s">
        <v>1667</v>
      </c>
      <c r="D578" s="314" t="s">
        <v>1430</v>
      </c>
      <c r="E578" s="314"/>
      <c r="F578" s="315"/>
      <c r="G578" s="315"/>
      <c r="H578" s="315"/>
      <c r="I578" s="315"/>
      <c r="J578" s="315"/>
      <c r="K578" s="315"/>
      <c r="L578" s="315"/>
      <c r="M578" s="315"/>
      <c r="N578" s="315"/>
      <c r="O578" s="315"/>
      <c r="P578" s="315"/>
      <c r="Q578" s="315"/>
      <c r="R578" s="315"/>
      <c r="S578" s="315"/>
      <c r="T578" s="315"/>
      <c r="U578" s="315"/>
      <c r="V578" s="315"/>
      <c r="W578" s="315"/>
      <c r="X578" s="315"/>
      <c r="Y578" s="315"/>
      <c r="Z578" s="315"/>
      <c r="AA578" s="315"/>
      <c r="AB578" s="315"/>
      <c r="AC578" s="315"/>
      <c r="AD578" s="315"/>
      <c r="AE578" s="315"/>
      <c r="AF578" s="315"/>
      <c r="AG578" s="315"/>
      <c r="AH578" s="315"/>
      <c r="AI578" s="315"/>
      <c r="AJ578" s="315"/>
      <c r="AK578" s="315"/>
      <c r="AL578" s="315"/>
      <c r="AM578" s="315"/>
      <c r="AN578" s="315"/>
      <c r="AO578" s="315"/>
      <c r="AP578" s="315"/>
      <c r="AQ578" s="317"/>
    </row>
    <row r="579" spans="1:43" s="378" customFormat="1" ht="44.25" customHeight="1">
      <c r="A579" s="313" t="s">
        <v>1637</v>
      </c>
      <c r="B579" s="313" t="s">
        <v>1642</v>
      </c>
      <c r="C579" s="314" t="s">
        <v>1668</v>
      </c>
      <c r="D579" s="314" t="s">
        <v>1434</v>
      </c>
      <c r="E579" s="314"/>
      <c r="F579" s="315"/>
      <c r="G579" s="315"/>
      <c r="H579" s="315"/>
      <c r="I579" s="315"/>
      <c r="J579" s="315"/>
      <c r="K579" s="315"/>
      <c r="L579" s="315"/>
      <c r="M579" s="315"/>
      <c r="N579" s="315"/>
      <c r="O579" s="315"/>
      <c r="P579" s="315"/>
      <c r="Q579" s="315"/>
      <c r="R579" s="315"/>
      <c r="S579" s="315"/>
      <c r="T579" s="315"/>
      <c r="U579" s="315"/>
      <c r="V579" s="315"/>
      <c r="W579" s="315"/>
      <c r="X579" s="315"/>
      <c r="Y579" s="315"/>
      <c r="Z579" s="315"/>
      <c r="AA579" s="315"/>
      <c r="AB579" s="315"/>
      <c r="AC579" s="315"/>
      <c r="AD579" s="315"/>
      <c r="AE579" s="315"/>
      <c r="AF579" s="315"/>
      <c r="AG579" s="315"/>
      <c r="AH579" s="315"/>
      <c r="AI579" s="315"/>
      <c r="AJ579" s="315"/>
      <c r="AK579" s="315"/>
      <c r="AL579" s="315"/>
      <c r="AM579" s="315"/>
      <c r="AN579" s="315"/>
      <c r="AO579" s="315"/>
      <c r="AP579" s="315"/>
      <c r="AQ579" s="317"/>
    </row>
    <row r="580" spans="1:43" s="378" customFormat="1" ht="44.25" customHeight="1">
      <c r="A580" s="313" t="s">
        <v>1637</v>
      </c>
      <c r="B580" s="313" t="s">
        <v>1642</v>
      </c>
      <c r="C580" s="314" t="s">
        <v>1669</v>
      </c>
      <c r="D580" s="314" t="s">
        <v>1432</v>
      </c>
      <c r="E580" s="314"/>
      <c r="F580" s="315"/>
      <c r="G580" s="315"/>
      <c r="H580" s="315"/>
      <c r="I580" s="315"/>
      <c r="J580" s="315"/>
      <c r="K580" s="315"/>
      <c r="L580" s="315"/>
      <c r="M580" s="315"/>
      <c r="N580" s="315"/>
      <c r="O580" s="315"/>
      <c r="P580" s="315"/>
      <c r="Q580" s="315"/>
      <c r="R580" s="315"/>
      <c r="S580" s="315"/>
      <c r="T580" s="315"/>
      <c r="U580" s="315"/>
      <c r="V580" s="315"/>
      <c r="W580" s="315"/>
      <c r="X580" s="315"/>
      <c r="Y580" s="315"/>
      <c r="Z580" s="315"/>
      <c r="AA580" s="315"/>
      <c r="AB580" s="315"/>
      <c r="AC580" s="315"/>
      <c r="AD580" s="315"/>
      <c r="AE580" s="315"/>
      <c r="AF580" s="315"/>
      <c r="AG580" s="315"/>
      <c r="AH580" s="315"/>
      <c r="AI580" s="315"/>
      <c r="AJ580" s="315"/>
      <c r="AK580" s="315"/>
      <c r="AL580" s="315"/>
      <c r="AM580" s="315"/>
      <c r="AN580" s="315"/>
      <c r="AO580" s="315"/>
      <c r="AP580" s="315"/>
      <c r="AQ580" s="317"/>
    </row>
    <row r="581" spans="1:43" s="378" customFormat="1" ht="44.25" customHeight="1">
      <c r="A581" s="313" t="s">
        <v>1637</v>
      </c>
      <c r="B581" s="313" t="s">
        <v>1642</v>
      </c>
      <c r="C581" s="314" t="s">
        <v>1670</v>
      </c>
      <c r="D581" s="314" t="s">
        <v>1432</v>
      </c>
      <c r="E581" s="314"/>
      <c r="F581" s="315"/>
      <c r="G581" s="315"/>
      <c r="H581" s="315"/>
      <c r="I581" s="315"/>
      <c r="J581" s="315"/>
      <c r="K581" s="315"/>
      <c r="L581" s="315"/>
      <c r="M581" s="315"/>
      <c r="N581" s="315"/>
      <c r="O581" s="315"/>
      <c r="P581" s="315"/>
      <c r="Q581" s="315"/>
      <c r="R581" s="315"/>
      <c r="S581" s="315"/>
      <c r="T581" s="315"/>
      <c r="U581" s="315"/>
      <c r="V581" s="315"/>
      <c r="W581" s="315"/>
      <c r="X581" s="315"/>
      <c r="Y581" s="315"/>
      <c r="Z581" s="315"/>
      <c r="AA581" s="315"/>
      <c r="AB581" s="315"/>
      <c r="AC581" s="315"/>
      <c r="AD581" s="315"/>
      <c r="AE581" s="315"/>
      <c r="AF581" s="315"/>
      <c r="AG581" s="315"/>
      <c r="AH581" s="315"/>
      <c r="AI581" s="315"/>
      <c r="AJ581" s="315"/>
      <c r="AK581" s="315"/>
      <c r="AL581" s="315"/>
      <c r="AM581" s="315"/>
      <c r="AN581" s="315"/>
      <c r="AO581" s="315"/>
      <c r="AP581" s="315"/>
      <c r="AQ581" s="317"/>
    </row>
    <row r="582" spans="1:43" s="378" customFormat="1" ht="44.25" customHeight="1">
      <c r="A582" s="313" t="s">
        <v>1637</v>
      </c>
      <c r="B582" s="313" t="s">
        <v>1642</v>
      </c>
      <c r="C582" s="314" t="s">
        <v>1671</v>
      </c>
      <c r="D582" s="314" t="s">
        <v>1438</v>
      </c>
      <c r="E582" s="314"/>
      <c r="F582" s="315"/>
      <c r="G582" s="315"/>
      <c r="H582" s="315"/>
      <c r="I582" s="315"/>
      <c r="J582" s="315"/>
      <c r="K582" s="315"/>
      <c r="L582" s="315"/>
      <c r="M582" s="315"/>
      <c r="N582" s="315"/>
      <c r="O582" s="315"/>
      <c r="P582" s="315"/>
      <c r="Q582" s="315"/>
      <c r="R582" s="315"/>
      <c r="S582" s="315"/>
      <c r="T582" s="315"/>
      <c r="U582" s="315"/>
      <c r="V582" s="315"/>
      <c r="W582" s="315"/>
      <c r="X582" s="315"/>
      <c r="Y582" s="315"/>
      <c r="Z582" s="315"/>
      <c r="AA582" s="315"/>
      <c r="AB582" s="315"/>
      <c r="AC582" s="315"/>
      <c r="AD582" s="315"/>
      <c r="AE582" s="315"/>
      <c r="AF582" s="315"/>
      <c r="AG582" s="315"/>
      <c r="AH582" s="315"/>
      <c r="AI582" s="315"/>
      <c r="AJ582" s="315"/>
      <c r="AK582" s="315"/>
      <c r="AL582" s="315"/>
      <c r="AM582" s="315"/>
      <c r="AN582" s="315"/>
      <c r="AO582" s="315"/>
      <c r="AP582" s="315"/>
      <c r="AQ582" s="317"/>
    </row>
    <row r="583" spans="1:43" s="378" customFormat="1" ht="44.25" customHeight="1">
      <c r="A583" s="313" t="s">
        <v>1637</v>
      </c>
      <c r="B583" s="313" t="s">
        <v>1642</v>
      </c>
      <c r="C583" s="314" t="s">
        <v>1672</v>
      </c>
      <c r="D583" s="314" t="s">
        <v>1456</v>
      </c>
      <c r="E583" s="314"/>
      <c r="F583" s="315"/>
      <c r="G583" s="315"/>
      <c r="H583" s="315"/>
      <c r="I583" s="315"/>
      <c r="J583" s="315"/>
      <c r="K583" s="315"/>
      <c r="L583" s="315"/>
      <c r="M583" s="315"/>
      <c r="N583" s="315"/>
      <c r="O583" s="315"/>
      <c r="P583" s="315"/>
      <c r="Q583" s="315"/>
      <c r="R583" s="315"/>
      <c r="S583" s="315"/>
      <c r="T583" s="315"/>
      <c r="U583" s="315"/>
      <c r="V583" s="315"/>
      <c r="W583" s="315"/>
      <c r="X583" s="315"/>
      <c r="Y583" s="315"/>
      <c r="Z583" s="315"/>
      <c r="AA583" s="315"/>
      <c r="AB583" s="315"/>
      <c r="AC583" s="315"/>
      <c r="AD583" s="315"/>
      <c r="AE583" s="315"/>
      <c r="AF583" s="315"/>
      <c r="AG583" s="315"/>
      <c r="AH583" s="315"/>
      <c r="AI583" s="315"/>
      <c r="AJ583" s="315"/>
      <c r="AK583" s="315"/>
      <c r="AL583" s="315"/>
      <c r="AM583" s="315"/>
      <c r="AN583" s="315"/>
      <c r="AO583" s="315"/>
      <c r="AP583" s="315"/>
      <c r="AQ583" s="317"/>
    </row>
    <row r="584" spans="1:43" s="378" customFormat="1" ht="44.25" customHeight="1">
      <c r="A584" s="313" t="s">
        <v>1637</v>
      </c>
      <c r="B584" s="313" t="s">
        <v>1642</v>
      </c>
      <c r="C584" s="314" t="s">
        <v>1673</v>
      </c>
      <c r="D584" s="314" t="s">
        <v>1434</v>
      </c>
      <c r="E584" s="314"/>
      <c r="F584" s="315"/>
      <c r="G584" s="315"/>
      <c r="H584" s="315"/>
      <c r="I584" s="315"/>
      <c r="J584" s="315"/>
      <c r="K584" s="315"/>
      <c r="L584" s="315"/>
      <c r="M584" s="315"/>
      <c r="N584" s="315"/>
      <c r="O584" s="315"/>
      <c r="P584" s="315"/>
      <c r="Q584" s="315"/>
      <c r="R584" s="315"/>
      <c r="S584" s="315"/>
      <c r="T584" s="315"/>
      <c r="U584" s="315"/>
      <c r="V584" s="315"/>
      <c r="W584" s="315"/>
      <c r="X584" s="315"/>
      <c r="Y584" s="315"/>
      <c r="Z584" s="315"/>
      <c r="AA584" s="315"/>
      <c r="AB584" s="315"/>
      <c r="AC584" s="315"/>
      <c r="AD584" s="315"/>
      <c r="AE584" s="315"/>
      <c r="AF584" s="315"/>
      <c r="AG584" s="315"/>
      <c r="AH584" s="315"/>
      <c r="AI584" s="315"/>
      <c r="AJ584" s="315"/>
      <c r="AK584" s="315"/>
      <c r="AL584" s="315"/>
      <c r="AM584" s="315"/>
      <c r="AN584" s="315"/>
      <c r="AO584" s="315"/>
      <c r="AP584" s="315"/>
      <c r="AQ584" s="317"/>
    </row>
    <row r="585" spans="1:43" s="378" customFormat="1" ht="44.25" customHeight="1">
      <c r="A585" s="313" t="s">
        <v>1637</v>
      </c>
      <c r="B585" s="313" t="s">
        <v>1649</v>
      </c>
      <c r="C585" s="314" t="s">
        <v>1674</v>
      </c>
      <c r="D585" s="314" t="s">
        <v>1424</v>
      </c>
      <c r="E585" s="314"/>
      <c r="F585" s="315"/>
      <c r="G585" s="315"/>
      <c r="H585" s="315"/>
      <c r="I585" s="315"/>
      <c r="J585" s="315"/>
      <c r="K585" s="315"/>
      <c r="L585" s="315"/>
      <c r="M585" s="315"/>
      <c r="N585" s="315"/>
      <c r="O585" s="315"/>
      <c r="P585" s="315"/>
      <c r="Q585" s="315"/>
      <c r="R585" s="315"/>
      <c r="S585" s="315"/>
      <c r="T585" s="315"/>
      <c r="U585" s="315"/>
      <c r="V585" s="315"/>
      <c r="W585" s="315"/>
      <c r="X585" s="315"/>
      <c r="Y585" s="315"/>
      <c r="Z585" s="315"/>
      <c r="AA585" s="315"/>
      <c r="AB585" s="315"/>
      <c r="AC585" s="315"/>
      <c r="AD585" s="315"/>
      <c r="AE585" s="315"/>
      <c r="AF585" s="315"/>
      <c r="AG585" s="315"/>
      <c r="AH585" s="315"/>
      <c r="AI585" s="315"/>
      <c r="AJ585" s="315"/>
      <c r="AK585" s="315"/>
      <c r="AL585" s="315"/>
      <c r="AM585" s="315"/>
      <c r="AN585" s="315"/>
      <c r="AO585" s="315"/>
      <c r="AP585" s="315"/>
      <c r="AQ585" s="317"/>
    </row>
    <row r="586" spans="1:43" s="378" customFormat="1" ht="44.25" customHeight="1">
      <c r="A586" s="313" t="s">
        <v>1637</v>
      </c>
      <c r="B586" s="313" t="s">
        <v>1649</v>
      </c>
      <c r="C586" s="314" t="s">
        <v>1675</v>
      </c>
      <c r="D586" s="314" t="s">
        <v>1438</v>
      </c>
      <c r="E586" s="314"/>
      <c r="F586" s="315"/>
      <c r="G586" s="315"/>
      <c r="H586" s="315"/>
      <c r="I586" s="315"/>
      <c r="J586" s="315"/>
      <c r="K586" s="315"/>
      <c r="L586" s="315"/>
      <c r="M586" s="315"/>
      <c r="N586" s="315"/>
      <c r="O586" s="315"/>
      <c r="P586" s="315"/>
      <c r="Q586" s="315"/>
      <c r="R586" s="315"/>
      <c r="S586" s="315"/>
      <c r="T586" s="315"/>
      <c r="U586" s="315"/>
      <c r="V586" s="315"/>
      <c r="W586" s="315"/>
      <c r="X586" s="315"/>
      <c r="Y586" s="315"/>
      <c r="Z586" s="315"/>
      <c r="AA586" s="315"/>
      <c r="AB586" s="315"/>
      <c r="AC586" s="315"/>
      <c r="AD586" s="315"/>
      <c r="AE586" s="315"/>
      <c r="AF586" s="315"/>
      <c r="AG586" s="315"/>
      <c r="AH586" s="315"/>
      <c r="AI586" s="315"/>
      <c r="AJ586" s="315"/>
      <c r="AK586" s="315"/>
      <c r="AL586" s="315"/>
      <c r="AM586" s="315"/>
      <c r="AN586" s="315"/>
      <c r="AO586" s="315"/>
      <c r="AP586" s="315"/>
      <c r="AQ586" s="317"/>
    </row>
    <row r="587" spans="1:43" s="378" customFormat="1" ht="44.25" customHeight="1">
      <c r="A587" s="313" t="s">
        <v>1637</v>
      </c>
      <c r="B587" s="313" t="s">
        <v>1649</v>
      </c>
      <c r="C587" s="314" t="s">
        <v>1676</v>
      </c>
      <c r="D587" s="314" t="s">
        <v>1424</v>
      </c>
      <c r="E587" s="314"/>
      <c r="F587" s="315"/>
      <c r="G587" s="315"/>
      <c r="H587" s="315"/>
      <c r="I587" s="315"/>
      <c r="J587" s="315"/>
      <c r="K587" s="315"/>
      <c r="L587" s="315"/>
      <c r="M587" s="315"/>
      <c r="N587" s="315"/>
      <c r="O587" s="315"/>
      <c r="P587" s="315"/>
      <c r="Q587" s="315"/>
      <c r="R587" s="315"/>
      <c r="S587" s="315"/>
      <c r="T587" s="315"/>
      <c r="U587" s="315"/>
      <c r="V587" s="315"/>
      <c r="W587" s="315"/>
      <c r="X587" s="315"/>
      <c r="Y587" s="315"/>
      <c r="Z587" s="315"/>
      <c r="AA587" s="315"/>
      <c r="AB587" s="315"/>
      <c r="AC587" s="315"/>
      <c r="AD587" s="315"/>
      <c r="AE587" s="315"/>
      <c r="AF587" s="315"/>
      <c r="AG587" s="315"/>
      <c r="AH587" s="315"/>
      <c r="AI587" s="315"/>
      <c r="AJ587" s="315"/>
      <c r="AK587" s="315"/>
      <c r="AL587" s="315"/>
      <c r="AM587" s="315"/>
      <c r="AN587" s="315"/>
      <c r="AO587" s="315"/>
      <c r="AP587" s="315"/>
      <c r="AQ587" s="317"/>
    </row>
    <row r="588" spans="1:43" s="378" customFormat="1" ht="44.25" customHeight="1">
      <c r="A588" s="313" t="s">
        <v>1637</v>
      </c>
      <c r="B588" s="313" t="s">
        <v>1638</v>
      </c>
      <c r="C588" s="314" t="s">
        <v>1677</v>
      </c>
      <c r="D588" s="314" t="s">
        <v>1426</v>
      </c>
      <c r="E588" s="314"/>
      <c r="F588" s="315"/>
      <c r="G588" s="315"/>
      <c r="H588" s="315"/>
      <c r="I588" s="315"/>
      <c r="J588" s="315"/>
      <c r="K588" s="315"/>
      <c r="L588" s="315"/>
      <c r="M588" s="315"/>
      <c r="N588" s="315"/>
      <c r="O588" s="315"/>
      <c r="P588" s="315"/>
      <c r="Q588" s="315"/>
      <c r="R588" s="315"/>
      <c r="S588" s="315"/>
      <c r="T588" s="315"/>
      <c r="U588" s="315"/>
      <c r="V588" s="315"/>
      <c r="W588" s="315"/>
      <c r="X588" s="315"/>
      <c r="Y588" s="315"/>
      <c r="Z588" s="315"/>
      <c r="AA588" s="315"/>
      <c r="AB588" s="315"/>
      <c r="AC588" s="315"/>
      <c r="AD588" s="315"/>
      <c r="AE588" s="315"/>
      <c r="AF588" s="315"/>
      <c r="AG588" s="315"/>
      <c r="AH588" s="315"/>
      <c r="AI588" s="315"/>
      <c r="AJ588" s="315"/>
      <c r="AK588" s="315"/>
      <c r="AL588" s="315"/>
      <c r="AM588" s="315"/>
      <c r="AN588" s="315"/>
      <c r="AO588" s="315"/>
      <c r="AP588" s="315"/>
      <c r="AQ588" s="317"/>
    </row>
    <row r="589" spans="1:43" s="378" customFormat="1" ht="44.25" customHeight="1">
      <c r="A589" s="313" t="s">
        <v>1637</v>
      </c>
      <c r="B589" s="313" t="s">
        <v>1638</v>
      </c>
      <c r="C589" s="314" t="s">
        <v>1678</v>
      </c>
      <c r="D589" s="314" t="s">
        <v>1426</v>
      </c>
      <c r="E589" s="314"/>
      <c r="F589" s="315"/>
      <c r="G589" s="315"/>
      <c r="H589" s="315"/>
      <c r="I589" s="315"/>
      <c r="J589" s="315"/>
      <c r="K589" s="315"/>
      <c r="L589" s="315"/>
      <c r="M589" s="315"/>
      <c r="N589" s="315"/>
      <c r="O589" s="315"/>
      <c r="P589" s="315"/>
      <c r="Q589" s="315"/>
      <c r="R589" s="315"/>
      <c r="S589" s="315"/>
      <c r="T589" s="315"/>
      <c r="U589" s="315"/>
      <c r="V589" s="315"/>
      <c r="W589" s="315"/>
      <c r="X589" s="315"/>
      <c r="Y589" s="315"/>
      <c r="Z589" s="315"/>
      <c r="AA589" s="315"/>
      <c r="AB589" s="315"/>
      <c r="AC589" s="315"/>
      <c r="AD589" s="315"/>
      <c r="AE589" s="315"/>
      <c r="AF589" s="315"/>
      <c r="AG589" s="315"/>
      <c r="AH589" s="315"/>
      <c r="AI589" s="315"/>
      <c r="AJ589" s="315"/>
      <c r="AK589" s="315"/>
      <c r="AL589" s="315"/>
      <c r="AM589" s="315"/>
      <c r="AN589" s="315"/>
      <c r="AO589" s="315"/>
      <c r="AP589" s="315"/>
      <c r="AQ589" s="317"/>
    </row>
    <row r="590" spans="1:43" s="378" customFormat="1" ht="44.25" customHeight="1">
      <c r="A590" s="313" t="s">
        <v>1637</v>
      </c>
      <c r="B590" s="313" t="s">
        <v>1638</v>
      </c>
      <c r="C590" s="314" t="s">
        <v>1679</v>
      </c>
      <c r="D590" s="314" t="s">
        <v>1430</v>
      </c>
      <c r="E590" s="314"/>
      <c r="F590" s="315"/>
      <c r="G590" s="315"/>
      <c r="H590" s="315"/>
      <c r="I590" s="315"/>
      <c r="J590" s="315"/>
      <c r="K590" s="315"/>
      <c r="L590" s="315"/>
      <c r="M590" s="315"/>
      <c r="N590" s="315"/>
      <c r="O590" s="315"/>
      <c r="P590" s="315"/>
      <c r="Q590" s="315"/>
      <c r="R590" s="315"/>
      <c r="S590" s="315"/>
      <c r="T590" s="315"/>
      <c r="U590" s="315"/>
      <c r="V590" s="315"/>
      <c r="W590" s="315"/>
      <c r="X590" s="315"/>
      <c r="Y590" s="315"/>
      <c r="Z590" s="315"/>
      <c r="AA590" s="315"/>
      <c r="AB590" s="315"/>
      <c r="AC590" s="315"/>
      <c r="AD590" s="315"/>
      <c r="AE590" s="315"/>
      <c r="AF590" s="315"/>
      <c r="AG590" s="315"/>
      <c r="AH590" s="315"/>
      <c r="AI590" s="315"/>
      <c r="AJ590" s="315"/>
      <c r="AK590" s="315"/>
      <c r="AL590" s="315"/>
      <c r="AM590" s="315"/>
      <c r="AN590" s="315"/>
      <c r="AO590" s="315"/>
      <c r="AP590" s="315"/>
      <c r="AQ590" s="317"/>
    </row>
    <row r="591" spans="1:43" s="378" customFormat="1" ht="44.25" customHeight="1">
      <c r="A591" s="313" t="s">
        <v>1637</v>
      </c>
      <c r="B591" s="313" t="s">
        <v>1642</v>
      </c>
      <c r="C591" s="314" t="s">
        <v>1680</v>
      </c>
      <c r="D591" s="314" t="s">
        <v>1434</v>
      </c>
      <c r="E591" s="314"/>
      <c r="F591" s="315"/>
      <c r="G591" s="315"/>
      <c r="H591" s="315"/>
      <c r="I591" s="315"/>
      <c r="J591" s="315"/>
      <c r="K591" s="315"/>
      <c r="L591" s="315"/>
      <c r="M591" s="315"/>
      <c r="N591" s="315"/>
      <c r="O591" s="315"/>
      <c r="P591" s="315"/>
      <c r="Q591" s="315"/>
      <c r="R591" s="315"/>
      <c r="S591" s="315"/>
      <c r="T591" s="315"/>
      <c r="U591" s="315"/>
      <c r="V591" s="315"/>
      <c r="W591" s="315"/>
      <c r="X591" s="315"/>
      <c r="Y591" s="315"/>
      <c r="Z591" s="315"/>
      <c r="AA591" s="315"/>
      <c r="AB591" s="315"/>
      <c r="AC591" s="315"/>
      <c r="AD591" s="315"/>
      <c r="AE591" s="315"/>
      <c r="AF591" s="315"/>
      <c r="AG591" s="315"/>
      <c r="AH591" s="315"/>
      <c r="AI591" s="315"/>
      <c r="AJ591" s="315"/>
      <c r="AK591" s="315"/>
      <c r="AL591" s="315"/>
      <c r="AM591" s="315"/>
      <c r="AN591" s="315"/>
      <c r="AO591" s="315"/>
      <c r="AP591" s="315"/>
      <c r="AQ591" s="317"/>
    </row>
    <row r="592" spans="1:43" s="378" customFormat="1" ht="44.25" customHeight="1">
      <c r="A592" s="313" t="s">
        <v>1637</v>
      </c>
      <c r="B592" s="313" t="s">
        <v>1642</v>
      </c>
      <c r="C592" s="314" t="s">
        <v>1681</v>
      </c>
      <c r="D592" s="314" t="s">
        <v>1432</v>
      </c>
      <c r="E592" s="314"/>
      <c r="F592" s="315"/>
      <c r="G592" s="315"/>
      <c r="H592" s="315"/>
      <c r="I592" s="315"/>
      <c r="J592" s="315"/>
      <c r="K592" s="315"/>
      <c r="L592" s="315"/>
      <c r="M592" s="315"/>
      <c r="N592" s="315"/>
      <c r="O592" s="315"/>
      <c r="P592" s="315"/>
      <c r="Q592" s="315"/>
      <c r="R592" s="315"/>
      <c r="S592" s="315"/>
      <c r="T592" s="315"/>
      <c r="U592" s="315"/>
      <c r="V592" s="315"/>
      <c r="W592" s="315"/>
      <c r="X592" s="315"/>
      <c r="Y592" s="315"/>
      <c r="Z592" s="315"/>
      <c r="AA592" s="315"/>
      <c r="AB592" s="315"/>
      <c r="AC592" s="315"/>
      <c r="AD592" s="315"/>
      <c r="AE592" s="315"/>
      <c r="AF592" s="315"/>
      <c r="AG592" s="315"/>
      <c r="AH592" s="315"/>
      <c r="AI592" s="315"/>
      <c r="AJ592" s="315"/>
      <c r="AK592" s="315"/>
      <c r="AL592" s="315"/>
      <c r="AM592" s="315"/>
      <c r="AN592" s="315"/>
      <c r="AO592" s="315"/>
      <c r="AP592" s="315"/>
      <c r="AQ592" s="317"/>
    </row>
    <row r="593" spans="1:43" s="378" customFormat="1" ht="44.25" customHeight="1">
      <c r="A593" s="313" t="s">
        <v>1637</v>
      </c>
      <c r="B593" s="313" t="s">
        <v>1642</v>
      </c>
      <c r="C593" s="314" t="s">
        <v>1682</v>
      </c>
      <c r="D593" s="314" t="s">
        <v>1432</v>
      </c>
      <c r="E593" s="314"/>
      <c r="F593" s="315"/>
      <c r="G593" s="315"/>
      <c r="H593" s="315"/>
      <c r="I593" s="315"/>
      <c r="J593" s="315"/>
      <c r="K593" s="315"/>
      <c r="L593" s="315"/>
      <c r="M593" s="315"/>
      <c r="N593" s="315"/>
      <c r="O593" s="315"/>
      <c r="P593" s="315"/>
      <c r="Q593" s="315"/>
      <c r="R593" s="315"/>
      <c r="S593" s="315"/>
      <c r="T593" s="315"/>
      <c r="U593" s="315"/>
      <c r="V593" s="315"/>
      <c r="W593" s="315"/>
      <c r="X593" s="315"/>
      <c r="Y593" s="315"/>
      <c r="Z593" s="315"/>
      <c r="AA593" s="315"/>
      <c r="AB593" s="315"/>
      <c r="AC593" s="315"/>
      <c r="AD593" s="315"/>
      <c r="AE593" s="315"/>
      <c r="AF593" s="315"/>
      <c r="AG593" s="315"/>
      <c r="AH593" s="315"/>
      <c r="AI593" s="315"/>
      <c r="AJ593" s="315"/>
      <c r="AK593" s="315"/>
      <c r="AL593" s="315"/>
      <c r="AM593" s="315"/>
      <c r="AN593" s="315"/>
      <c r="AO593" s="315"/>
      <c r="AP593" s="315"/>
      <c r="AQ593" s="317"/>
    </row>
    <row r="594" spans="1:43" s="378" customFormat="1" ht="44.25" customHeight="1">
      <c r="A594" s="313" t="s">
        <v>1637</v>
      </c>
      <c r="B594" s="313" t="s">
        <v>1642</v>
      </c>
      <c r="C594" s="314" t="s">
        <v>1683</v>
      </c>
      <c r="D594" s="314" t="s">
        <v>1438</v>
      </c>
      <c r="E594" s="314"/>
      <c r="F594" s="315"/>
      <c r="G594" s="315"/>
      <c r="H594" s="315"/>
      <c r="I594" s="315"/>
      <c r="J594" s="315"/>
      <c r="K594" s="315"/>
      <c r="L594" s="315"/>
      <c r="M594" s="315"/>
      <c r="N594" s="315"/>
      <c r="O594" s="315"/>
      <c r="P594" s="315"/>
      <c r="Q594" s="315"/>
      <c r="R594" s="315"/>
      <c r="S594" s="315"/>
      <c r="T594" s="315"/>
      <c r="U594" s="315"/>
      <c r="V594" s="315"/>
      <c r="W594" s="315"/>
      <c r="X594" s="315"/>
      <c r="Y594" s="315"/>
      <c r="Z594" s="315"/>
      <c r="AA594" s="315"/>
      <c r="AB594" s="315"/>
      <c r="AC594" s="315"/>
      <c r="AD594" s="315"/>
      <c r="AE594" s="315"/>
      <c r="AF594" s="315"/>
      <c r="AG594" s="315"/>
      <c r="AH594" s="315"/>
      <c r="AI594" s="315"/>
      <c r="AJ594" s="315"/>
      <c r="AK594" s="315"/>
      <c r="AL594" s="315"/>
      <c r="AM594" s="315"/>
      <c r="AN594" s="315"/>
      <c r="AO594" s="315"/>
      <c r="AP594" s="315"/>
      <c r="AQ594" s="317"/>
    </row>
    <row r="595" spans="1:43" s="378" customFormat="1" ht="44.25" customHeight="1">
      <c r="A595" s="313" t="s">
        <v>1637</v>
      </c>
      <c r="B595" s="313" t="s">
        <v>1642</v>
      </c>
      <c r="C595" s="314" t="s">
        <v>1684</v>
      </c>
      <c r="D595" s="314" t="s">
        <v>1434</v>
      </c>
      <c r="E595" s="314"/>
      <c r="F595" s="315"/>
      <c r="G595" s="315"/>
      <c r="H595" s="315"/>
      <c r="I595" s="315"/>
      <c r="J595" s="315"/>
      <c r="K595" s="315"/>
      <c r="L595" s="315"/>
      <c r="M595" s="315"/>
      <c r="N595" s="315"/>
      <c r="O595" s="315"/>
      <c r="P595" s="315"/>
      <c r="Q595" s="315"/>
      <c r="R595" s="315"/>
      <c r="S595" s="315"/>
      <c r="T595" s="315"/>
      <c r="U595" s="315"/>
      <c r="V595" s="315"/>
      <c r="W595" s="315"/>
      <c r="X595" s="315"/>
      <c r="Y595" s="315"/>
      <c r="Z595" s="315"/>
      <c r="AA595" s="315"/>
      <c r="AB595" s="315"/>
      <c r="AC595" s="315"/>
      <c r="AD595" s="315"/>
      <c r="AE595" s="315"/>
      <c r="AF595" s="315"/>
      <c r="AG595" s="315"/>
      <c r="AH595" s="315"/>
      <c r="AI595" s="315"/>
      <c r="AJ595" s="315"/>
      <c r="AK595" s="315"/>
      <c r="AL595" s="315"/>
      <c r="AM595" s="315"/>
      <c r="AN595" s="315"/>
      <c r="AO595" s="315"/>
      <c r="AP595" s="315"/>
      <c r="AQ595" s="317"/>
    </row>
    <row r="596" spans="1:43" s="378" customFormat="1" ht="44.25" customHeight="1">
      <c r="A596" s="313" t="s">
        <v>1637</v>
      </c>
      <c r="B596" s="313" t="s">
        <v>1649</v>
      </c>
      <c r="C596" s="314" t="s">
        <v>1685</v>
      </c>
      <c r="D596" s="314" t="s">
        <v>1424</v>
      </c>
      <c r="E596" s="314"/>
      <c r="F596" s="315"/>
      <c r="G596" s="315"/>
      <c r="H596" s="315"/>
      <c r="I596" s="315"/>
      <c r="J596" s="315"/>
      <c r="K596" s="315"/>
      <c r="L596" s="315"/>
      <c r="M596" s="315"/>
      <c r="N596" s="315"/>
      <c r="O596" s="315"/>
      <c r="P596" s="315"/>
      <c r="Q596" s="315"/>
      <c r="R596" s="315"/>
      <c r="S596" s="315"/>
      <c r="T596" s="315"/>
      <c r="U596" s="315"/>
      <c r="V596" s="315"/>
      <c r="W596" s="315"/>
      <c r="X596" s="315"/>
      <c r="Y596" s="315"/>
      <c r="Z596" s="315"/>
      <c r="AA596" s="315"/>
      <c r="AB596" s="315"/>
      <c r="AC596" s="315"/>
      <c r="AD596" s="315"/>
      <c r="AE596" s="315"/>
      <c r="AF596" s="315"/>
      <c r="AG596" s="315"/>
      <c r="AH596" s="315"/>
      <c r="AI596" s="315"/>
      <c r="AJ596" s="315"/>
      <c r="AK596" s="315"/>
      <c r="AL596" s="315"/>
      <c r="AM596" s="315"/>
      <c r="AN596" s="315"/>
      <c r="AO596" s="315"/>
      <c r="AP596" s="315"/>
      <c r="AQ596" s="317"/>
    </row>
    <row r="597" spans="1:43" s="378" customFormat="1" ht="44.25" customHeight="1">
      <c r="A597" s="313" t="s">
        <v>1637</v>
      </c>
      <c r="B597" s="313" t="s">
        <v>1649</v>
      </c>
      <c r="C597" s="314" t="s">
        <v>1686</v>
      </c>
      <c r="D597" s="314" t="s">
        <v>1432</v>
      </c>
      <c r="E597" s="314"/>
      <c r="F597" s="315"/>
      <c r="G597" s="315"/>
      <c r="H597" s="315"/>
      <c r="I597" s="315"/>
      <c r="J597" s="315"/>
      <c r="K597" s="315"/>
      <c r="L597" s="315"/>
      <c r="M597" s="315"/>
      <c r="N597" s="315"/>
      <c r="O597" s="315"/>
      <c r="P597" s="315"/>
      <c r="Q597" s="315"/>
      <c r="R597" s="315"/>
      <c r="S597" s="315"/>
      <c r="T597" s="315"/>
      <c r="U597" s="315"/>
      <c r="V597" s="315"/>
      <c r="W597" s="315"/>
      <c r="X597" s="315"/>
      <c r="Y597" s="315"/>
      <c r="Z597" s="315"/>
      <c r="AA597" s="315"/>
      <c r="AB597" s="315"/>
      <c r="AC597" s="315"/>
      <c r="AD597" s="315"/>
      <c r="AE597" s="315"/>
      <c r="AF597" s="315"/>
      <c r="AG597" s="315"/>
      <c r="AH597" s="315"/>
      <c r="AI597" s="315"/>
      <c r="AJ597" s="315"/>
      <c r="AK597" s="315"/>
      <c r="AL597" s="315"/>
      <c r="AM597" s="315"/>
      <c r="AN597" s="315"/>
      <c r="AO597" s="315"/>
      <c r="AP597" s="315"/>
      <c r="AQ597" s="316"/>
    </row>
    <row r="598" spans="1:43" s="378" customFormat="1" ht="44.25" customHeight="1">
      <c r="A598" s="313" t="s">
        <v>1637</v>
      </c>
      <c r="B598" s="313" t="s">
        <v>1638</v>
      </c>
      <c r="C598" s="314" t="s">
        <v>1687</v>
      </c>
      <c r="D598" s="314" t="s">
        <v>1426</v>
      </c>
      <c r="E598" s="314"/>
      <c r="F598" s="315"/>
      <c r="G598" s="315"/>
      <c r="H598" s="315"/>
      <c r="I598" s="315"/>
      <c r="J598" s="315"/>
      <c r="K598" s="315"/>
      <c r="L598" s="315"/>
      <c r="M598" s="315"/>
      <c r="N598" s="315"/>
      <c r="O598" s="315"/>
      <c r="P598" s="315"/>
      <c r="Q598" s="315"/>
      <c r="R598" s="315"/>
      <c r="S598" s="315"/>
      <c r="T598" s="315"/>
      <c r="U598" s="315"/>
      <c r="V598" s="315"/>
      <c r="W598" s="315"/>
      <c r="X598" s="315"/>
      <c r="Y598" s="315"/>
      <c r="Z598" s="315"/>
      <c r="AA598" s="315"/>
      <c r="AB598" s="315"/>
      <c r="AC598" s="315"/>
      <c r="AD598" s="315"/>
      <c r="AE598" s="315"/>
      <c r="AF598" s="315"/>
      <c r="AG598" s="315"/>
      <c r="AH598" s="315"/>
      <c r="AI598" s="315"/>
      <c r="AJ598" s="315"/>
      <c r="AK598" s="315"/>
      <c r="AL598" s="315"/>
      <c r="AM598" s="315"/>
      <c r="AN598" s="315"/>
      <c r="AO598" s="315"/>
      <c r="AP598" s="315"/>
      <c r="AQ598" s="317"/>
    </row>
    <row r="599" spans="1:43" s="378" customFormat="1" ht="44.25" customHeight="1">
      <c r="A599" s="313" t="s">
        <v>1637</v>
      </c>
      <c r="B599" s="313" t="s">
        <v>1638</v>
      </c>
      <c r="C599" s="314" t="s">
        <v>1688</v>
      </c>
      <c r="D599" s="314" t="s">
        <v>1426</v>
      </c>
      <c r="E599" s="314"/>
      <c r="F599" s="315"/>
      <c r="G599" s="315"/>
      <c r="H599" s="315"/>
      <c r="I599" s="315"/>
      <c r="J599" s="315"/>
      <c r="K599" s="315"/>
      <c r="L599" s="315"/>
      <c r="M599" s="315"/>
      <c r="N599" s="315"/>
      <c r="O599" s="315"/>
      <c r="P599" s="315"/>
      <c r="Q599" s="315"/>
      <c r="R599" s="315"/>
      <c r="S599" s="315"/>
      <c r="T599" s="315"/>
      <c r="U599" s="315"/>
      <c r="V599" s="315"/>
      <c r="W599" s="315"/>
      <c r="X599" s="315"/>
      <c r="Y599" s="315"/>
      <c r="Z599" s="315"/>
      <c r="AA599" s="315"/>
      <c r="AB599" s="315"/>
      <c r="AC599" s="315"/>
      <c r="AD599" s="315"/>
      <c r="AE599" s="315"/>
      <c r="AF599" s="315"/>
      <c r="AG599" s="315"/>
      <c r="AH599" s="315"/>
      <c r="AI599" s="315"/>
      <c r="AJ599" s="315"/>
      <c r="AK599" s="315"/>
      <c r="AL599" s="315"/>
      <c r="AM599" s="315"/>
      <c r="AN599" s="315"/>
      <c r="AO599" s="315"/>
      <c r="AP599" s="315"/>
      <c r="AQ599" s="317"/>
    </row>
    <row r="600" spans="1:43" s="378" customFormat="1" ht="44.25" customHeight="1">
      <c r="A600" s="313" t="s">
        <v>1637</v>
      </c>
      <c r="B600" s="313" t="s">
        <v>1638</v>
      </c>
      <c r="C600" s="314" t="s">
        <v>1689</v>
      </c>
      <c r="D600" s="314" t="s">
        <v>1430</v>
      </c>
      <c r="E600" s="314"/>
      <c r="F600" s="315"/>
      <c r="G600" s="315"/>
      <c r="H600" s="315"/>
      <c r="I600" s="315"/>
      <c r="J600" s="315"/>
      <c r="K600" s="315"/>
      <c r="L600" s="315"/>
      <c r="M600" s="315"/>
      <c r="N600" s="315"/>
      <c r="O600" s="315"/>
      <c r="P600" s="315"/>
      <c r="Q600" s="315"/>
      <c r="R600" s="315"/>
      <c r="S600" s="315"/>
      <c r="T600" s="315"/>
      <c r="U600" s="315"/>
      <c r="V600" s="315"/>
      <c r="W600" s="315"/>
      <c r="X600" s="315"/>
      <c r="Y600" s="315"/>
      <c r="Z600" s="315"/>
      <c r="AA600" s="315"/>
      <c r="AB600" s="315"/>
      <c r="AC600" s="315"/>
      <c r="AD600" s="315"/>
      <c r="AE600" s="315"/>
      <c r="AF600" s="315"/>
      <c r="AG600" s="315"/>
      <c r="AH600" s="315"/>
      <c r="AI600" s="315"/>
      <c r="AJ600" s="315"/>
      <c r="AK600" s="315"/>
      <c r="AL600" s="315"/>
      <c r="AM600" s="315"/>
      <c r="AN600" s="315"/>
      <c r="AO600" s="315"/>
      <c r="AP600" s="315"/>
      <c r="AQ600" s="317"/>
    </row>
    <row r="601" spans="1:43" s="378" customFormat="1" ht="44.25" customHeight="1">
      <c r="A601" s="313" t="s">
        <v>1637</v>
      </c>
      <c r="B601" s="313" t="s">
        <v>1642</v>
      </c>
      <c r="C601" s="314" t="s">
        <v>1690</v>
      </c>
      <c r="D601" s="314" t="s">
        <v>1434</v>
      </c>
      <c r="E601" s="314"/>
      <c r="F601" s="315"/>
      <c r="G601" s="315"/>
      <c r="H601" s="315"/>
      <c r="I601" s="315"/>
      <c r="J601" s="315"/>
      <c r="K601" s="315"/>
      <c r="L601" s="315"/>
      <c r="M601" s="315"/>
      <c r="N601" s="315"/>
      <c r="O601" s="315"/>
      <c r="P601" s="315"/>
      <c r="Q601" s="315"/>
      <c r="R601" s="315"/>
      <c r="S601" s="315"/>
      <c r="T601" s="315"/>
      <c r="U601" s="315"/>
      <c r="V601" s="315"/>
      <c r="W601" s="315"/>
      <c r="X601" s="315"/>
      <c r="Y601" s="315"/>
      <c r="Z601" s="315"/>
      <c r="AA601" s="315"/>
      <c r="AB601" s="315"/>
      <c r="AC601" s="315"/>
      <c r="AD601" s="315"/>
      <c r="AE601" s="315"/>
      <c r="AF601" s="315"/>
      <c r="AG601" s="315"/>
      <c r="AH601" s="315"/>
      <c r="AI601" s="315"/>
      <c r="AJ601" s="315"/>
      <c r="AK601" s="315"/>
      <c r="AL601" s="315"/>
      <c r="AM601" s="315"/>
      <c r="AN601" s="315"/>
      <c r="AO601" s="315"/>
      <c r="AP601" s="315"/>
      <c r="AQ601" s="317"/>
    </row>
    <row r="602" spans="1:43" s="378" customFormat="1" ht="44.25" customHeight="1">
      <c r="A602" s="313" t="s">
        <v>1637</v>
      </c>
      <c r="B602" s="313" t="s">
        <v>1642</v>
      </c>
      <c r="C602" s="314" t="s">
        <v>1691</v>
      </c>
      <c r="D602" s="314" t="s">
        <v>1432</v>
      </c>
      <c r="E602" s="314"/>
      <c r="F602" s="315"/>
      <c r="G602" s="315"/>
      <c r="H602" s="315"/>
      <c r="I602" s="315"/>
      <c r="J602" s="315"/>
      <c r="K602" s="315"/>
      <c r="L602" s="315"/>
      <c r="M602" s="315"/>
      <c r="N602" s="315"/>
      <c r="O602" s="315"/>
      <c r="P602" s="315"/>
      <c r="Q602" s="315"/>
      <c r="R602" s="315"/>
      <c r="S602" s="315"/>
      <c r="T602" s="315"/>
      <c r="U602" s="315"/>
      <c r="V602" s="315"/>
      <c r="W602" s="315"/>
      <c r="X602" s="315"/>
      <c r="Y602" s="315"/>
      <c r="Z602" s="315"/>
      <c r="AA602" s="315"/>
      <c r="AB602" s="315"/>
      <c r="AC602" s="315"/>
      <c r="AD602" s="315"/>
      <c r="AE602" s="315"/>
      <c r="AF602" s="315"/>
      <c r="AG602" s="315"/>
      <c r="AH602" s="315"/>
      <c r="AI602" s="315"/>
      <c r="AJ602" s="315"/>
      <c r="AK602" s="315"/>
      <c r="AL602" s="315"/>
      <c r="AM602" s="315"/>
      <c r="AN602" s="315"/>
      <c r="AO602" s="315"/>
      <c r="AP602" s="315"/>
      <c r="AQ602" s="317"/>
    </row>
    <row r="603" spans="1:43" s="378" customFormat="1" ht="44.25" customHeight="1">
      <c r="A603" s="313" t="s">
        <v>1637</v>
      </c>
      <c r="B603" s="313" t="s">
        <v>1642</v>
      </c>
      <c r="C603" s="314" t="s">
        <v>1692</v>
      </c>
      <c r="D603" s="314" t="s">
        <v>1432</v>
      </c>
      <c r="E603" s="314"/>
      <c r="F603" s="315"/>
      <c r="G603" s="315"/>
      <c r="H603" s="315"/>
      <c r="I603" s="315"/>
      <c r="J603" s="315"/>
      <c r="K603" s="315"/>
      <c r="L603" s="315"/>
      <c r="M603" s="315"/>
      <c r="N603" s="315"/>
      <c r="O603" s="315"/>
      <c r="P603" s="315"/>
      <c r="Q603" s="315"/>
      <c r="R603" s="315"/>
      <c r="S603" s="315"/>
      <c r="T603" s="315"/>
      <c r="U603" s="315"/>
      <c r="V603" s="315"/>
      <c r="W603" s="315"/>
      <c r="X603" s="315"/>
      <c r="Y603" s="315"/>
      <c r="Z603" s="315"/>
      <c r="AA603" s="315"/>
      <c r="AB603" s="315"/>
      <c r="AC603" s="315"/>
      <c r="AD603" s="315"/>
      <c r="AE603" s="315"/>
      <c r="AF603" s="315"/>
      <c r="AG603" s="315"/>
      <c r="AH603" s="315"/>
      <c r="AI603" s="315"/>
      <c r="AJ603" s="315"/>
      <c r="AK603" s="315"/>
      <c r="AL603" s="315"/>
      <c r="AM603" s="315"/>
      <c r="AN603" s="315"/>
      <c r="AO603" s="315"/>
      <c r="AP603" s="315"/>
      <c r="AQ603" s="317"/>
    </row>
    <row r="604" spans="1:43" s="378" customFormat="1" ht="44.25" customHeight="1">
      <c r="A604" s="313" t="s">
        <v>1637</v>
      </c>
      <c r="B604" s="313" t="s">
        <v>1642</v>
      </c>
      <c r="C604" s="314" t="s">
        <v>1693</v>
      </c>
      <c r="D604" s="314" t="s">
        <v>1438</v>
      </c>
      <c r="E604" s="314"/>
      <c r="F604" s="315"/>
      <c r="G604" s="315"/>
      <c r="H604" s="315"/>
      <c r="I604" s="315"/>
      <c r="J604" s="315"/>
      <c r="K604" s="315"/>
      <c r="L604" s="315"/>
      <c r="M604" s="315"/>
      <c r="N604" s="315"/>
      <c r="O604" s="315"/>
      <c r="P604" s="315"/>
      <c r="Q604" s="315"/>
      <c r="R604" s="315"/>
      <c r="S604" s="315"/>
      <c r="T604" s="315"/>
      <c r="U604" s="315"/>
      <c r="V604" s="315"/>
      <c r="W604" s="315"/>
      <c r="X604" s="315"/>
      <c r="Y604" s="315"/>
      <c r="Z604" s="315"/>
      <c r="AA604" s="315"/>
      <c r="AB604" s="315"/>
      <c r="AC604" s="315"/>
      <c r="AD604" s="315"/>
      <c r="AE604" s="315"/>
      <c r="AF604" s="315"/>
      <c r="AG604" s="315"/>
      <c r="AH604" s="315"/>
      <c r="AI604" s="315"/>
      <c r="AJ604" s="315"/>
      <c r="AK604" s="315"/>
      <c r="AL604" s="315"/>
      <c r="AM604" s="315"/>
      <c r="AN604" s="315"/>
      <c r="AO604" s="315"/>
      <c r="AP604" s="315"/>
      <c r="AQ604" s="317"/>
    </row>
    <row r="605" spans="1:43" s="378" customFormat="1" ht="44.25" customHeight="1">
      <c r="A605" s="313" t="s">
        <v>1637</v>
      </c>
      <c r="B605" s="313" t="s">
        <v>1642</v>
      </c>
      <c r="C605" s="314" t="s">
        <v>1694</v>
      </c>
      <c r="D605" s="314" t="s">
        <v>1434</v>
      </c>
      <c r="E605" s="314"/>
      <c r="F605" s="315"/>
      <c r="G605" s="315"/>
      <c r="H605" s="315"/>
      <c r="I605" s="315"/>
      <c r="J605" s="315"/>
      <c r="K605" s="315"/>
      <c r="L605" s="315"/>
      <c r="M605" s="315"/>
      <c r="N605" s="315"/>
      <c r="O605" s="315"/>
      <c r="P605" s="315"/>
      <c r="Q605" s="315"/>
      <c r="R605" s="315"/>
      <c r="S605" s="315"/>
      <c r="T605" s="315"/>
      <c r="U605" s="315"/>
      <c r="V605" s="315"/>
      <c r="W605" s="315"/>
      <c r="X605" s="315"/>
      <c r="Y605" s="315"/>
      <c r="Z605" s="315"/>
      <c r="AA605" s="315"/>
      <c r="AB605" s="315"/>
      <c r="AC605" s="315"/>
      <c r="AD605" s="315"/>
      <c r="AE605" s="315"/>
      <c r="AF605" s="315"/>
      <c r="AG605" s="315"/>
      <c r="AH605" s="315"/>
      <c r="AI605" s="315"/>
      <c r="AJ605" s="315"/>
      <c r="AK605" s="315"/>
      <c r="AL605" s="315"/>
      <c r="AM605" s="315"/>
      <c r="AN605" s="315"/>
      <c r="AO605" s="315"/>
      <c r="AP605" s="315"/>
      <c r="AQ605" s="317"/>
    </row>
    <row r="606" spans="1:43" s="378" customFormat="1" ht="44.25" customHeight="1">
      <c r="A606" s="313" t="s">
        <v>1637</v>
      </c>
      <c r="B606" s="313" t="s">
        <v>1649</v>
      </c>
      <c r="C606" s="314" t="s">
        <v>1695</v>
      </c>
      <c r="D606" s="314" t="s">
        <v>1424</v>
      </c>
      <c r="E606" s="314"/>
      <c r="F606" s="315"/>
      <c r="G606" s="315"/>
      <c r="H606" s="315"/>
      <c r="I606" s="315"/>
      <c r="J606" s="315"/>
      <c r="K606" s="315"/>
      <c r="L606" s="315"/>
      <c r="M606" s="315"/>
      <c r="N606" s="315"/>
      <c r="O606" s="315"/>
      <c r="P606" s="315"/>
      <c r="Q606" s="315"/>
      <c r="R606" s="315"/>
      <c r="S606" s="315"/>
      <c r="T606" s="315"/>
      <c r="U606" s="315"/>
      <c r="V606" s="315"/>
      <c r="W606" s="315"/>
      <c r="X606" s="315"/>
      <c r="Y606" s="315"/>
      <c r="Z606" s="315"/>
      <c r="AA606" s="315"/>
      <c r="AB606" s="315"/>
      <c r="AC606" s="315"/>
      <c r="AD606" s="315"/>
      <c r="AE606" s="315"/>
      <c r="AF606" s="315"/>
      <c r="AG606" s="315"/>
      <c r="AH606" s="315"/>
      <c r="AI606" s="315"/>
      <c r="AJ606" s="315"/>
      <c r="AK606" s="315"/>
      <c r="AL606" s="315"/>
      <c r="AM606" s="315"/>
      <c r="AN606" s="315"/>
      <c r="AO606" s="315"/>
      <c r="AP606" s="315"/>
      <c r="AQ606" s="317"/>
    </row>
    <row r="607" spans="1:43" s="378" customFormat="1" ht="44.25" customHeight="1">
      <c r="A607" s="313" t="s">
        <v>1637</v>
      </c>
      <c r="B607" s="313" t="s">
        <v>1649</v>
      </c>
      <c r="C607" s="314" t="s">
        <v>1696</v>
      </c>
      <c r="D607" s="314" t="s">
        <v>1432</v>
      </c>
      <c r="E607" s="314"/>
      <c r="F607" s="315"/>
      <c r="G607" s="315"/>
      <c r="H607" s="315"/>
      <c r="I607" s="315"/>
      <c r="J607" s="315"/>
      <c r="K607" s="315"/>
      <c r="L607" s="315"/>
      <c r="M607" s="315"/>
      <c r="N607" s="315"/>
      <c r="O607" s="315"/>
      <c r="P607" s="315"/>
      <c r="Q607" s="315"/>
      <c r="R607" s="315"/>
      <c r="S607" s="315"/>
      <c r="T607" s="315"/>
      <c r="U607" s="315"/>
      <c r="V607" s="315"/>
      <c r="W607" s="315"/>
      <c r="X607" s="315"/>
      <c r="Y607" s="315"/>
      <c r="Z607" s="315"/>
      <c r="AA607" s="315"/>
      <c r="AB607" s="315"/>
      <c r="AC607" s="315"/>
      <c r="AD607" s="315"/>
      <c r="AE607" s="315"/>
      <c r="AF607" s="315"/>
      <c r="AG607" s="315"/>
      <c r="AH607" s="315"/>
      <c r="AI607" s="315"/>
      <c r="AJ607" s="315"/>
      <c r="AK607" s="315"/>
      <c r="AL607" s="315"/>
      <c r="AM607" s="315"/>
      <c r="AN607" s="315"/>
      <c r="AO607" s="315"/>
      <c r="AP607" s="315"/>
      <c r="AQ607" s="317"/>
    </row>
    <row r="608" spans="1:43" s="378" customFormat="1" ht="44.25" customHeight="1">
      <c r="A608" s="313" t="s">
        <v>1637</v>
      </c>
      <c r="B608" s="313" t="s">
        <v>1638</v>
      </c>
      <c r="C608" s="314" t="s">
        <v>1697</v>
      </c>
      <c r="D608" s="314" t="s">
        <v>1426</v>
      </c>
      <c r="E608" s="314"/>
      <c r="F608" s="315"/>
      <c r="G608" s="315"/>
      <c r="H608" s="315"/>
      <c r="I608" s="315"/>
      <c r="J608" s="315"/>
      <c r="K608" s="315"/>
      <c r="L608" s="315"/>
      <c r="M608" s="315"/>
      <c r="N608" s="315"/>
      <c r="O608" s="315"/>
      <c r="P608" s="315"/>
      <c r="Q608" s="315"/>
      <c r="R608" s="315"/>
      <c r="S608" s="315"/>
      <c r="T608" s="315"/>
      <c r="U608" s="315"/>
      <c r="V608" s="315"/>
      <c r="W608" s="315"/>
      <c r="X608" s="315"/>
      <c r="Y608" s="315"/>
      <c r="Z608" s="315"/>
      <c r="AA608" s="315"/>
      <c r="AB608" s="315"/>
      <c r="AC608" s="315"/>
      <c r="AD608" s="315"/>
      <c r="AE608" s="315"/>
      <c r="AF608" s="315"/>
      <c r="AG608" s="315"/>
      <c r="AH608" s="315"/>
      <c r="AI608" s="315"/>
      <c r="AJ608" s="315"/>
      <c r="AK608" s="315"/>
      <c r="AL608" s="315"/>
      <c r="AM608" s="315"/>
      <c r="AN608" s="315"/>
      <c r="AO608" s="315"/>
      <c r="AP608" s="315"/>
      <c r="AQ608" s="317"/>
    </row>
    <row r="609" spans="1:43" s="378" customFormat="1" ht="44.25" customHeight="1">
      <c r="A609" s="313" t="s">
        <v>1637</v>
      </c>
      <c r="B609" s="313" t="s">
        <v>1638</v>
      </c>
      <c r="C609" s="314" t="s">
        <v>1698</v>
      </c>
      <c r="D609" s="314" t="s">
        <v>1426</v>
      </c>
      <c r="E609" s="314"/>
      <c r="F609" s="315"/>
      <c r="G609" s="315"/>
      <c r="H609" s="315"/>
      <c r="I609" s="315"/>
      <c r="J609" s="315"/>
      <c r="K609" s="315"/>
      <c r="L609" s="315"/>
      <c r="M609" s="315"/>
      <c r="N609" s="315"/>
      <c r="O609" s="315"/>
      <c r="P609" s="315"/>
      <c r="Q609" s="315"/>
      <c r="R609" s="315"/>
      <c r="S609" s="315"/>
      <c r="T609" s="315"/>
      <c r="U609" s="315"/>
      <c r="V609" s="315"/>
      <c r="W609" s="315"/>
      <c r="X609" s="315"/>
      <c r="Y609" s="315"/>
      <c r="Z609" s="315"/>
      <c r="AA609" s="315"/>
      <c r="AB609" s="315"/>
      <c r="AC609" s="315"/>
      <c r="AD609" s="315"/>
      <c r="AE609" s="315"/>
      <c r="AF609" s="315"/>
      <c r="AG609" s="315"/>
      <c r="AH609" s="315"/>
      <c r="AI609" s="315"/>
      <c r="AJ609" s="315"/>
      <c r="AK609" s="315"/>
      <c r="AL609" s="315"/>
      <c r="AM609" s="315"/>
      <c r="AN609" s="315"/>
      <c r="AO609" s="315"/>
      <c r="AP609" s="315"/>
      <c r="AQ609" s="317"/>
    </row>
    <row r="610" spans="1:43" s="378" customFormat="1" ht="44.25" customHeight="1">
      <c r="A610" s="313" t="s">
        <v>1637</v>
      </c>
      <c r="B610" s="313" t="s">
        <v>1638</v>
      </c>
      <c r="C610" s="314" t="s">
        <v>1699</v>
      </c>
      <c r="D610" s="314" t="s">
        <v>1430</v>
      </c>
      <c r="E610" s="314"/>
      <c r="F610" s="315"/>
      <c r="G610" s="315"/>
      <c r="H610" s="315"/>
      <c r="I610" s="315"/>
      <c r="J610" s="315"/>
      <c r="K610" s="315"/>
      <c r="L610" s="315"/>
      <c r="M610" s="315"/>
      <c r="N610" s="315"/>
      <c r="O610" s="315"/>
      <c r="P610" s="315"/>
      <c r="Q610" s="315"/>
      <c r="R610" s="315"/>
      <c r="S610" s="315"/>
      <c r="T610" s="315"/>
      <c r="U610" s="315"/>
      <c r="V610" s="315"/>
      <c r="W610" s="315"/>
      <c r="X610" s="315"/>
      <c r="Y610" s="315"/>
      <c r="Z610" s="315"/>
      <c r="AA610" s="315"/>
      <c r="AB610" s="315"/>
      <c r="AC610" s="315"/>
      <c r="AD610" s="315"/>
      <c r="AE610" s="315"/>
      <c r="AF610" s="315"/>
      <c r="AG610" s="315"/>
      <c r="AH610" s="315"/>
      <c r="AI610" s="315"/>
      <c r="AJ610" s="315"/>
      <c r="AK610" s="315"/>
      <c r="AL610" s="315"/>
      <c r="AM610" s="315"/>
      <c r="AN610" s="315"/>
      <c r="AO610" s="315"/>
      <c r="AP610" s="315"/>
      <c r="AQ610" s="317"/>
    </row>
    <row r="611" spans="1:43" s="378" customFormat="1" ht="44.25" customHeight="1">
      <c r="A611" s="313" t="s">
        <v>1637</v>
      </c>
      <c r="B611" s="313" t="s">
        <v>1642</v>
      </c>
      <c r="C611" s="314" t="s">
        <v>1700</v>
      </c>
      <c r="D611" s="314" t="s">
        <v>1434</v>
      </c>
      <c r="E611" s="314"/>
      <c r="F611" s="315"/>
      <c r="G611" s="315"/>
      <c r="H611" s="315"/>
      <c r="I611" s="315"/>
      <c r="J611" s="315"/>
      <c r="K611" s="315"/>
      <c r="L611" s="315"/>
      <c r="M611" s="315"/>
      <c r="N611" s="315"/>
      <c r="O611" s="315"/>
      <c r="P611" s="315"/>
      <c r="Q611" s="315"/>
      <c r="R611" s="315"/>
      <c r="S611" s="315"/>
      <c r="T611" s="315"/>
      <c r="U611" s="315"/>
      <c r="V611" s="315"/>
      <c r="W611" s="315"/>
      <c r="X611" s="315"/>
      <c r="Y611" s="315"/>
      <c r="Z611" s="315"/>
      <c r="AA611" s="315"/>
      <c r="AB611" s="315"/>
      <c r="AC611" s="315"/>
      <c r="AD611" s="315"/>
      <c r="AE611" s="315"/>
      <c r="AF611" s="315"/>
      <c r="AG611" s="315"/>
      <c r="AH611" s="315"/>
      <c r="AI611" s="315"/>
      <c r="AJ611" s="315"/>
      <c r="AK611" s="315"/>
      <c r="AL611" s="315"/>
      <c r="AM611" s="315"/>
      <c r="AN611" s="315"/>
      <c r="AO611" s="315"/>
      <c r="AP611" s="315"/>
      <c r="AQ611" s="317"/>
    </row>
    <row r="612" spans="1:43" s="378" customFormat="1" ht="44.25" customHeight="1">
      <c r="A612" s="313" t="s">
        <v>1637</v>
      </c>
      <c r="B612" s="313" t="s">
        <v>1642</v>
      </c>
      <c r="C612" s="314" t="s">
        <v>1701</v>
      </c>
      <c r="D612" s="314" t="s">
        <v>1432</v>
      </c>
      <c r="E612" s="314"/>
      <c r="F612" s="315"/>
      <c r="G612" s="315"/>
      <c r="H612" s="315"/>
      <c r="I612" s="315"/>
      <c r="J612" s="315"/>
      <c r="K612" s="315"/>
      <c r="L612" s="315"/>
      <c r="M612" s="315"/>
      <c r="N612" s="315"/>
      <c r="O612" s="315"/>
      <c r="P612" s="315"/>
      <c r="Q612" s="315"/>
      <c r="R612" s="315"/>
      <c r="S612" s="315"/>
      <c r="T612" s="315"/>
      <c r="U612" s="315"/>
      <c r="V612" s="315"/>
      <c r="W612" s="315"/>
      <c r="X612" s="315"/>
      <c r="Y612" s="315"/>
      <c r="Z612" s="315"/>
      <c r="AA612" s="315"/>
      <c r="AB612" s="315"/>
      <c r="AC612" s="315"/>
      <c r="AD612" s="315"/>
      <c r="AE612" s="315"/>
      <c r="AF612" s="315"/>
      <c r="AG612" s="315"/>
      <c r="AH612" s="315"/>
      <c r="AI612" s="315"/>
      <c r="AJ612" s="315"/>
      <c r="AK612" s="315"/>
      <c r="AL612" s="315"/>
      <c r="AM612" s="315"/>
      <c r="AN612" s="315"/>
      <c r="AO612" s="315"/>
      <c r="AP612" s="315"/>
      <c r="AQ612" s="317"/>
    </row>
    <row r="613" spans="1:43" s="378" customFormat="1" ht="44.25" customHeight="1">
      <c r="A613" s="313" t="s">
        <v>1637</v>
      </c>
      <c r="B613" s="313" t="s">
        <v>1642</v>
      </c>
      <c r="C613" s="314" t="s">
        <v>1702</v>
      </c>
      <c r="D613" s="314" t="s">
        <v>1432</v>
      </c>
      <c r="E613" s="314"/>
      <c r="F613" s="315"/>
      <c r="G613" s="315"/>
      <c r="H613" s="315"/>
      <c r="I613" s="315"/>
      <c r="J613" s="315"/>
      <c r="K613" s="315"/>
      <c r="L613" s="315"/>
      <c r="M613" s="315"/>
      <c r="N613" s="315"/>
      <c r="O613" s="315"/>
      <c r="P613" s="315"/>
      <c r="Q613" s="315"/>
      <c r="R613" s="315"/>
      <c r="S613" s="315"/>
      <c r="T613" s="315"/>
      <c r="U613" s="315"/>
      <c r="V613" s="315"/>
      <c r="W613" s="315"/>
      <c r="X613" s="315"/>
      <c r="Y613" s="315"/>
      <c r="Z613" s="315"/>
      <c r="AA613" s="315"/>
      <c r="AB613" s="315"/>
      <c r="AC613" s="315"/>
      <c r="AD613" s="315"/>
      <c r="AE613" s="315"/>
      <c r="AF613" s="315"/>
      <c r="AG613" s="315"/>
      <c r="AH613" s="315"/>
      <c r="AI613" s="315"/>
      <c r="AJ613" s="315"/>
      <c r="AK613" s="315"/>
      <c r="AL613" s="315"/>
      <c r="AM613" s="315"/>
      <c r="AN613" s="315"/>
      <c r="AO613" s="315"/>
      <c r="AP613" s="315"/>
      <c r="AQ613" s="317"/>
    </row>
    <row r="614" spans="1:43" s="378" customFormat="1" ht="44.25" customHeight="1">
      <c r="A614" s="313" t="s">
        <v>1637</v>
      </c>
      <c r="B614" s="313" t="s">
        <v>1642</v>
      </c>
      <c r="C614" s="314" t="s">
        <v>1703</v>
      </c>
      <c r="D614" s="314" t="s">
        <v>1438</v>
      </c>
      <c r="E614" s="314"/>
      <c r="F614" s="315"/>
      <c r="G614" s="315"/>
      <c r="H614" s="315"/>
      <c r="I614" s="315"/>
      <c r="J614" s="315"/>
      <c r="K614" s="315"/>
      <c r="L614" s="315"/>
      <c r="M614" s="315"/>
      <c r="N614" s="315"/>
      <c r="O614" s="315"/>
      <c r="P614" s="315"/>
      <c r="Q614" s="315"/>
      <c r="R614" s="315"/>
      <c r="S614" s="315"/>
      <c r="T614" s="315"/>
      <c r="U614" s="315"/>
      <c r="V614" s="315"/>
      <c r="W614" s="315"/>
      <c r="X614" s="315"/>
      <c r="Y614" s="315"/>
      <c r="Z614" s="315"/>
      <c r="AA614" s="315"/>
      <c r="AB614" s="315"/>
      <c r="AC614" s="315"/>
      <c r="AD614" s="315"/>
      <c r="AE614" s="315"/>
      <c r="AF614" s="315"/>
      <c r="AG614" s="315"/>
      <c r="AH614" s="315"/>
      <c r="AI614" s="315"/>
      <c r="AJ614" s="315"/>
      <c r="AK614" s="315"/>
      <c r="AL614" s="315"/>
      <c r="AM614" s="315"/>
      <c r="AN614" s="315"/>
      <c r="AO614" s="315"/>
      <c r="AP614" s="315"/>
      <c r="AQ614" s="317"/>
    </row>
    <row r="615" spans="1:43" s="378" customFormat="1" ht="44.25" customHeight="1">
      <c r="A615" s="313" t="s">
        <v>1637</v>
      </c>
      <c r="B615" s="313" t="s">
        <v>1642</v>
      </c>
      <c r="C615" s="314" t="s">
        <v>1704</v>
      </c>
      <c r="D615" s="314" t="s">
        <v>1446</v>
      </c>
      <c r="E615" s="314"/>
      <c r="F615" s="315"/>
      <c r="G615" s="315"/>
      <c r="H615" s="315"/>
      <c r="I615" s="315"/>
      <c r="J615" s="315"/>
      <c r="K615" s="315"/>
      <c r="L615" s="315"/>
      <c r="M615" s="315"/>
      <c r="N615" s="315"/>
      <c r="O615" s="315"/>
      <c r="P615" s="315"/>
      <c r="Q615" s="315"/>
      <c r="R615" s="315"/>
      <c r="S615" s="315"/>
      <c r="T615" s="315"/>
      <c r="U615" s="315"/>
      <c r="V615" s="315"/>
      <c r="W615" s="315"/>
      <c r="X615" s="315"/>
      <c r="Y615" s="315"/>
      <c r="Z615" s="315"/>
      <c r="AA615" s="315"/>
      <c r="AB615" s="315"/>
      <c r="AC615" s="315"/>
      <c r="AD615" s="315"/>
      <c r="AE615" s="315"/>
      <c r="AF615" s="315"/>
      <c r="AG615" s="315"/>
      <c r="AH615" s="315"/>
      <c r="AI615" s="315"/>
      <c r="AJ615" s="315"/>
      <c r="AK615" s="315"/>
      <c r="AL615" s="315"/>
      <c r="AM615" s="315"/>
      <c r="AN615" s="315"/>
      <c r="AO615" s="315"/>
      <c r="AP615" s="315"/>
      <c r="AQ615" s="317"/>
    </row>
    <row r="616" spans="1:43" s="378" customFormat="1" ht="44.25" customHeight="1">
      <c r="A616" s="313" t="s">
        <v>1637</v>
      </c>
      <c r="B616" s="313" t="s">
        <v>1649</v>
      </c>
      <c r="C616" s="314" t="s">
        <v>1705</v>
      </c>
      <c r="D616" s="314" t="s">
        <v>1424</v>
      </c>
      <c r="E616" s="314"/>
      <c r="F616" s="315"/>
      <c r="G616" s="315"/>
      <c r="H616" s="315"/>
      <c r="I616" s="315"/>
      <c r="J616" s="315"/>
      <c r="K616" s="315"/>
      <c r="L616" s="315"/>
      <c r="M616" s="315"/>
      <c r="N616" s="315"/>
      <c r="O616" s="315"/>
      <c r="P616" s="315"/>
      <c r="Q616" s="315"/>
      <c r="R616" s="315"/>
      <c r="S616" s="315"/>
      <c r="T616" s="315"/>
      <c r="U616" s="315"/>
      <c r="V616" s="315"/>
      <c r="W616" s="315"/>
      <c r="X616" s="315"/>
      <c r="Y616" s="315"/>
      <c r="Z616" s="315"/>
      <c r="AA616" s="315"/>
      <c r="AB616" s="315"/>
      <c r="AC616" s="315"/>
      <c r="AD616" s="315"/>
      <c r="AE616" s="315"/>
      <c r="AF616" s="315"/>
      <c r="AG616" s="315"/>
      <c r="AH616" s="315"/>
      <c r="AI616" s="315"/>
      <c r="AJ616" s="315"/>
      <c r="AK616" s="315"/>
      <c r="AL616" s="315"/>
      <c r="AM616" s="315"/>
      <c r="AN616" s="315"/>
      <c r="AO616" s="315"/>
      <c r="AP616" s="315"/>
      <c r="AQ616" s="317"/>
    </row>
    <row r="617" spans="1:43" s="378" customFormat="1" ht="44.25" customHeight="1">
      <c r="A617" s="313" t="s">
        <v>1637</v>
      </c>
      <c r="B617" s="313" t="s">
        <v>1649</v>
      </c>
      <c r="C617" s="314" t="s">
        <v>1706</v>
      </c>
      <c r="D617" s="314" t="s">
        <v>1432</v>
      </c>
      <c r="E617" s="314"/>
      <c r="F617" s="315"/>
      <c r="G617" s="315"/>
      <c r="H617" s="315"/>
      <c r="I617" s="315"/>
      <c r="J617" s="315"/>
      <c r="K617" s="315"/>
      <c r="L617" s="315"/>
      <c r="M617" s="315"/>
      <c r="N617" s="315"/>
      <c r="O617" s="315"/>
      <c r="P617" s="315"/>
      <c r="Q617" s="315"/>
      <c r="R617" s="315"/>
      <c r="S617" s="315"/>
      <c r="T617" s="315"/>
      <c r="U617" s="315"/>
      <c r="V617" s="315"/>
      <c r="W617" s="315"/>
      <c r="X617" s="315"/>
      <c r="Y617" s="315"/>
      <c r="Z617" s="315"/>
      <c r="AA617" s="315"/>
      <c r="AB617" s="315"/>
      <c r="AC617" s="315"/>
      <c r="AD617" s="315"/>
      <c r="AE617" s="315"/>
      <c r="AF617" s="315"/>
      <c r="AG617" s="315"/>
      <c r="AH617" s="315"/>
      <c r="AI617" s="315"/>
      <c r="AJ617" s="315"/>
      <c r="AK617" s="315"/>
      <c r="AL617" s="315"/>
      <c r="AM617" s="315"/>
      <c r="AN617" s="315"/>
      <c r="AO617" s="315"/>
      <c r="AP617" s="315"/>
      <c r="AQ617" s="317"/>
    </row>
    <row r="618" spans="1:43" s="378" customFormat="1" ht="44.25" customHeight="1">
      <c r="A618" s="313" t="s">
        <v>1637</v>
      </c>
      <c r="B618" s="313" t="s">
        <v>1638</v>
      </c>
      <c r="C618" s="314" t="s">
        <v>1707</v>
      </c>
      <c r="D618" s="314" t="s">
        <v>1426</v>
      </c>
      <c r="E618" s="314"/>
      <c r="F618" s="315"/>
      <c r="G618" s="315"/>
      <c r="H618" s="315"/>
      <c r="I618" s="315"/>
      <c r="J618" s="315"/>
      <c r="K618" s="315"/>
      <c r="L618" s="315"/>
      <c r="M618" s="315"/>
      <c r="N618" s="315"/>
      <c r="O618" s="315"/>
      <c r="P618" s="315"/>
      <c r="Q618" s="315"/>
      <c r="R618" s="315"/>
      <c r="S618" s="315"/>
      <c r="T618" s="315"/>
      <c r="U618" s="315"/>
      <c r="V618" s="315"/>
      <c r="W618" s="315"/>
      <c r="X618" s="315"/>
      <c r="Y618" s="315"/>
      <c r="Z618" s="315"/>
      <c r="AA618" s="315"/>
      <c r="AB618" s="315"/>
      <c r="AC618" s="315"/>
      <c r="AD618" s="315"/>
      <c r="AE618" s="315"/>
      <c r="AF618" s="315"/>
      <c r="AG618" s="315"/>
      <c r="AH618" s="315"/>
      <c r="AI618" s="315"/>
      <c r="AJ618" s="315"/>
      <c r="AK618" s="315"/>
      <c r="AL618" s="315"/>
      <c r="AM618" s="315"/>
      <c r="AN618" s="315"/>
      <c r="AO618" s="315"/>
      <c r="AP618" s="315"/>
      <c r="AQ618" s="317"/>
    </row>
    <row r="619" spans="1:43" s="378" customFormat="1" ht="44.25" customHeight="1">
      <c r="A619" s="313" t="s">
        <v>1637</v>
      </c>
      <c r="B619" s="313" t="s">
        <v>1638</v>
      </c>
      <c r="C619" s="314" t="s">
        <v>1708</v>
      </c>
      <c r="D619" s="314" t="s">
        <v>1426</v>
      </c>
      <c r="E619" s="314"/>
      <c r="F619" s="315"/>
      <c r="G619" s="315"/>
      <c r="H619" s="315"/>
      <c r="I619" s="315"/>
      <c r="J619" s="315"/>
      <c r="K619" s="315"/>
      <c r="L619" s="315"/>
      <c r="M619" s="315"/>
      <c r="N619" s="315"/>
      <c r="O619" s="315"/>
      <c r="P619" s="315"/>
      <c r="Q619" s="315"/>
      <c r="R619" s="315"/>
      <c r="S619" s="315"/>
      <c r="T619" s="315"/>
      <c r="U619" s="315"/>
      <c r="V619" s="315"/>
      <c r="W619" s="315"/>
      <c r="X619" s="315"/>
      <c r="Y619" s="315"/>
      <c r="Z619" s="315"/>
      <c r="AA619" s="315"/>
      <c r="AB619" s="315"/>
      <c r="AC619" s="315"/>
      <c r="AD619" s="315"/>
      <c r="AE619" s="315"/>
      <c r="AF619" s="315"/>
      <c r="AG619" s="315"/>
      <c r="AH619" s="315"/>
      <c r="AI619" s="315"/>
      <c r="AJ619" s="315"/>
      <c r="AK619" s="315"/>
      <c r="AL619" s="315"/>
      <c r="AM619" s="315"/>
      <c r="AN619" s="315"/>
      <c r="AO619" s="315"/>
      <c r="AP619" s="315"/>
      <c r="AQ619" s="317"/>
    </row>
    <row r="620" spans="1:43" s="378" customFormat="1" ht="44.25" customHeight="1">
      <c r="A620" s="313" t="s">
        <v>1637</v>
      </c>
      <c r="B620" s="313" t="s">
        <v>1638</v>
      </c>
      <c r="C620" s="314" t="s">
        <v>1709</v>
      </c>
      <c r="D620" s="314" t="s">
        <v>1430</v>
      </c>
      <c r="E620" s="314"/>
      <c r="F620" s="315"/>
      <c r="G620" s="315"/>
      <c r="H620" s="315"/>
      <c r="I620" s="315"/>
      <c r="J620" s="315"/>
      <c r="K620" s="315"/>
      <c r="L620" s="315"/>
      <c r="M620" s="315"/>
      <c r="N620" s="315"/>
      <c r="O620" s="315"/>
      <c r="P620" s="315"/>
      <c r="Q620" s="315"/>
      <c r="R620" s="315"/>
      <c r="S620" s="315"/>
      <c r="T620" s="315"/>
      <c r="U620" s="315"/>
      <c r="V620" s="315"/>
      <c r="W620" s="315"/>
      <c r="X620" s="315"/>
      <c r="Y620" s="315"/>
      <c r="Z620" s="315"/>
      <c r="AA620" s="315"/>
      <c r="AB620" s="315"/>
      <c r="AC620" s="315"/>
      <c r="AD620" s="315"/>
      <c r="AE620" s="315"/>
      <c r="AF620" s="315"/>
      <c r="AG620" s="315"/>
      <c r="AH620" s="315"/>
      <c r="AI620" s="315"/>
      <c r="AJ620" s="315"/>
      <c r="AK620" s="315"/>
      <c r="AL620" s="315"/>
      <c r="AM620" s="315"/>
      <c r="AN620" s="315"/>
      <c r="AO620" s="315"/>
      <c r="AP620" s="315"/>
      <c r="AQ620" s="317"/>
    </row>
    <row r="621" spans="1:43" s="378" customFormat="1" ht="44.25" customHeight="1">
      <c r="A621" s="313" t="s">
        <v>1637</v>
      </c>
      <c r="B621" s="313" t="s">
        <v>1642</v>
      </c>
      <c r="C621" s="314" t="s">
        <v>1710</v>
      </c>
      <c r="D621" s="314" t="s">
        <v>1434</v>
      </c>
      <c r="E621" s="314"/>
      <c r="F621" s="315"/>
      <c r="G621" s="315"/>
      <c r="H621" s="315"/>
      <c r="I621" s="315"/>
      <c r="J621" s="315"/>
      <c r="K621" s="315"/>
      <c r="L621" s="315"/>
      <c r="M621" s="315"/>
      <c r="N621" s="315"/>
      <c r="O621" s="315"/>
      <c r="P621" s="315"/>
      <c r="Q621" s="315"/>
      <c r="R621" s="315"/>
      <c r="S621" s="315"/>
      <c r="T621" s="315"/>
      <c r="U621" s="315"/>
      <c r="V621" s="315"/>
      <c r="W621" s="315"/>
      <c r="X621" s="315"/>
      <c r="Y621" s="315"/>
      <c r="Z621" s="315"/>
      <c r="AA621" s="315"/>
      <c r="AB621" s="315"/>
      <c r="AC621" s="315"/>
      <c r="AD621" s="315"/>
      <c r="AE621" s="315"/>
      <c r="AF621" s="315"/>
      <c r="AG621" s="315"/>
      <c r="AH621" s="315"/>
      <c r="AI621" s="315"/>
      <c r="AJ621" s="315"/>
      <c r="AK621" s="315"/>
      <c r="AL621" s="315"/>
      <c r="AM621" s="315"/>
      <c r="AN621" s="315"/>
      <c r="AO621" s="315"/>
      <c r="AP621" s="315"/>
      <c r="AQ621" s="317"/>
    </row>
    <row r="622" spans="1:43" s="378" customFormat="1" ht="44.25" customHeight="1">
      <c r="A622" s="313" t="s">
        <v>1637</v>
      </c>
      <c r="B622" s="313" t="s">
        <v>1642</v>
      </c>
      <c r="C622" s="314" t="s">
        <v>1711</v>
      </c>
      <c r="D622" s="314" t="s">
        <v>1432</v>
      </c>
      <c r="E622" s="314"/>
      <c r="F622" s="315"/>
      <c r="G622" s="315"/>
      <c r="H622" s="315"/>
      <c r="I622" s="315"/>
      <c r="J622" s="315"/>
      <c r="K622" s="315"/>
      <c r="L622" s="315"/>
      <c r="M622" s="315"/>
      <c r="N622" s="315"/>
      <c r="O622" s="315"/>
      <c r="P622" s="315"/>
      <c r="Q622" s="315"/>
      <c r="R622" s="315"/>
      <c r="S622" s="315"/>
      <c r="T622" s="315"/>
      <c r="U622" s="315"/>
      <c r="V622" s="315"/>
      <c r="W622" s="315"/>
      <c r="X622" s="315"/>
      <c r="Y622" s="315"/>
      <c r="Z622" s="315"/>
      <c r="AA622" s="315"/>
      <c r="AB622" s="315"/>
      <c r="AC622" s="315"/>
      <c r="AD622" s="315"/>
      <c r="AE622" s="315"/>
      <c r="AF622" s="315"/>
      <c r="AG622" s="315"/>
      <c r="AH622" s="315"/>
      <c r="AI622" s="315"/>
      <c r="AJ622" s="315"/>
      <c r="AK622" s="315"/>
      <c r="AL622" s="315"/>
      <c r="AM622" s="315"/>
      <c r="AN622" s="315"/>
      <c r="AO622" s="315"/>
      <c r="AP622" s="315"/>
      <c r="AQ622" s="317"/>
    </row>
    <row r="623" spans="1:43" s="378" customFormat="1" ht="44.25" customHeight="1">
      <c r="A623" s="313" t="s">
        <v>1637</v>
      </c>
      <c r="B623" s="313" t="s">
        <v>1642</v>
      </c>
      <c r="C623" s="314" t="s">
        <v>1712</v>
      </c>
      <c r="D623" s="314" t="s">
        <v>1432</v>
      </c>
      <c r="E623" s="314"/>
      <c r="F623" s="315"/>
      <c r="G623" s="315"/>
      <c r="H623" s="315"/>
      <c r="I623" s="315"/>
      <c r="J623" s="315"/>
      <c r="K623" s="315"/>
      <c r="L623" s="315"/>
      <c r="M623" s="315"/>
      <c r="N623" s="315"/>
      <c r="O623" s="315"/>
      <c r="P623" s="315"/>
      <c r="Q623" s="315"/>
      <c r="R623" s="315"/>
      <c r="S623" s="315"/>
      <c r="T623" s="315"/>
      <c r="U623" s="315"/>
      <c r="V623" s="315"/>
      <c r="W623" s="315"/>
      <c r="X623" s="315"/>
      <c r="Y623" s="315"/>
      <c r="Z623" s="315"/>
      <c r="AA623" s="315"/>
      <c r="AB623" s="315"/>
      <c r="AC623" s="315"/>
      <c r="AD623" s="315"/>
      <c r="AE623" s="315"/>
      <c r="AF623" s="315"/>
      <c r="AG623" s="315"/>
      <c r="AH623" s="315"/>
      <c r="AI623" s="315"/>
      <c r="AJ623" s="315"/>
      <c r="AK623" s="315"/>
      <c r="AL623" s="315"/>
      <c r="AM623" s="315"/>
      <c r="AN623" s="315"/>
      <c r="AO623" s="315"/>
      <c r="AP623" s="315"/>
      <c r="AQ623" s="317"/>
    </row>
    <row r="624" spans="1:43" s="378" customFormat="1" ht="44.25" customHeight="1">
      <c r="A624" s="313" t="s">
        <v>1637</v>
      </c>
      <c r="B624" s="313" t="s">
        <v>1642</v>
      </c>
      <c r="C624" s="314" t="s">
        <v>1713</v>
      </c>
      <c r="D624" s="314" t="s">
        <v>1438</v>
      </c>
      <c r="E624" s="314"/>
      <c r="F624" s="315"/>
      <c r="G624" s="315"/>
      <c r="H624" s="315"/>
      <c r="I624" s="315"/>
      <c r="J624" s="315"/>
      <c r="K624" s="315"/>
      <c r="L624" s="315"/>
      <c r="M624" s="315"/>
      <c r="N624" s="315"/>
      <c r="O624" s="315"/>
      <c r="P624" s="315"/>
      <c r="Q624" s="315"/>
      <c r="R624" s="315"/>
      <c r="S624" s="315"/>
      <c r="T624" s="315"/>
      <c r="U624" s="315"/>
      <c r="V624" s="315"/>
      <c r="W624" s="315"/>
      <c r="X624" s="315"/>
      <c r="Y624" s="315"/>
      <c r="Z624" s="315"/>
      <c r="AA624" s="315"/>
      <c r="AB624" s="315"/>
      <c r="AC624" s="315"/>
      <c r="AD624" s="315"/>
      <c r="AE624" s="315"/>
      <c r="AF624" s="315"/>
      <c r="AG624" s="315"/>
      <c r="AH624" s="315"/>
      <c r="AI624" s="315"/>
      <c r="AJ624" s="315"/>
      <c r="AK624" s="315"/>
      <c r="AL624" s="315"/>
      <c r="AM624" s="315"/>
      <c r="AN624" s="315"/>
      <c r="AO624" s="315"/>
      <c r="AP624" s="315"/>
      <c r="AQ624" s="317"/>
    </row>
    <row r="625" spans="1:43" s="378" customFormat="1" ht="44.25" customHeight="1">
      <c r="A625" s="313" t="s">
        <v>1637</v>
      </c>
      <c r="B625" s="313" t="s">
        <v>1642</v>
      </c>
      <c r="C625" s="314" t="s">
        <v>1714</v>
      </c>
      <c r="D625" s="314" t="s">
        <v>1434</v>
      </c>
      <c r="E625" s="314"/>
      <c r="F625" s="315"/>
      <c r="G625" s="315"/>
      <c r="H625" s="315"/>
      <c r="I625" s="315"/>
      <c r="J625" s="315"/>
      <c r="K625" s="315"/>
      <c r="L625" s="315"/>
      <c r="M625" s="315"/>
      <c r="N625" s="315"/>
      <c r="O625" s="315"/>
      <c r="P625" s="315"/>
      <c r="Q625" s="315"/>
      <c r="R625" s="315"/>
      <c r="S625" s="315"/>
      <c r="T625" s="315"/>
      <c r="U625" s="315"/>
      <c r="V625" s="315"/>
      <c r="W625" s="315"/>
      <c r="X625" s="315"/>
      <c r="Y625" s="315"/>
      <c r="Z625" s="315"/>
      <c r="AA625" s="315"/>
      <c r="AB625" s="315"/>
      <c r="AC625" s="315"/>
      <c r="AD625" s="315"/>
      <c r="AE625" s="315"/>
      <c r="AF625" s="315"/>
      <c r="AG625" s="315"/>
      <c r="AH625" s="315"/>
      <c r="AI625" s="315"/>
      <c r="AJ625" s="315"/>
      <c r="AK625" s="315"/>
      <c r="AL625" s="315"/>
      <c r="AM625" s="315"/>
      <c r="AN625" s="315"/>
      <c r="AO625" s="315"/>
      <c r="AP625" s="315"/>
      <c r="AQ625" s="317"/>
    </row>
    <row r="626" spans="1:43" s="378" customFormat="1" ht="44.25" customHeight="1">
      <c r="A626" s="313" t="s">
        <v>1637</v>
      </c>
      <c r="B626" s="313" t="s">
        <v>1649</v>
      </c>
      <c r="C626" s="314" t="s">
        <v>1715</v>
      </c>
      <c r="D626" s="314" t="s">
        <v>1424</v>
      </c>
      <c r="E626" s="314"/>
      <c r="F626" s="315"/>
      <c r="G626" s="315"/>
      <c r="H626" s="315"/>
      <c r="I626" s="315"/>
      <c r="J626" s="315"/>
      <c r="K626" s="315"/>
      <c r="L626" s="315"/>
      <c r="M626" s="315"/>
      <c r="N626" s="315"/>
      <c r="O626" s="315"/>
      <c r="P626" s="315"/>
      <c r="Q626" s="315"/>
      <c r="R626" s="315"/>
      <c r="S626" s="315"/>
      <c r="T626" s="315"/>
      <c r="U626" s="315"/>
      <c r="V626" s="315"/>
      <c r="W626" s="315"/>
      <c r="X626" s="315"/>
      <c r="Y626" s="315"/>
      <c r="Z626" s="315"/>
      <c r="AA626" s="315"/>
      <c r="AB626" s="315"/>
      <c r="AC626" s="315"/>
      <c r="AD626" s="315"/>
      <c r="AE626" s="315"/>
      <c r="AF626" s="315"/>
      <c r="AG626" s="315"/>
      <c r="AH626" s="315"/>
      <c r="AI626" s="315"/>
      <c r="AJ626" s="315"/>
      <c r="AK626" s="315"/>
      <c r="AL626" s="315"/>
      <c r="AM626" s="315"/>
      <c r="AN626" s="315"/>
      <c r="AO626" s="315"/>
      <c r="AP626" s="315"/>
      <c r="AQ626" s="317"/>
    </row>
    <row r="627" spans="1:43" s="378" customFormat="1" ht="44.25" customHeight="1">
      <c r="A627" s="313" t="s">
        <v>1637</v>
      </c>
      <c r="B627" s="313" t="s">
        <v>1649</v>
      </c>
      <c r="C627" s="314" t="s">
        <v>1716</v>
      </c>
      <c r="D627" s="314" t="s">
        <v>1432</v>
      </c>
      <c r="E627" s="314"/>
      <c r="F627" s="315"/>
      <c r="G627" s="315"/>
      <c r="H627" s="315"/>
      <c r="I627" s="315"/>
      <c r="J627" s="315"/>
      <c r="K627" s="315"/>
      <c r="L627" s="315"/>
      <c r="M627" s="315"/>
      <c r="N627" s="315"/>
      <c r="O627" s="315"/>
      <c r="P627" s="315"/>
      <c r="Q627" s="315"/>
      <c r="R627" s="315"/>
      <c r="S627" s="315"/>
      <c r="T627" s="315"/>
      <c r="U627" s="315"/>
      <c r="V627" s="315"/>
      <c r="W627" s="315"/>
      <c r="X627" s="315"/>
      <c r="Y627" s="315"/>
      <c r="Z627" s="315"/>
      <c r="AA627" s="315"/>
      <c r="AB627" s="315"/>
      <c r="AC627" s="315"/>
      <c r="AD627" s="315"/>
      <c r="AE627" s="315"/>
      <c r="AF627" s="315"/>
      <c r="AG627" s="315"/>
      <c r="AH627" s="315"/>
      <c r="AI627" s="315"/>
      <c r="AJ627" s="315"/>
      <c r="AK627" s="315"/>
      <c r="AL627" s="315"/>
      <c r="AM627" s="315"/>
      <c r="AN627" s="315"/>
      <c r="AO627" s="315"/>
      <c r="AP627" s="315"/>
      <c r="AQ627" s="317"/>
    </row>
    <row r="628" spans="1:43" s="378" customFormat="1" ht="44.25" customHeight="1">
      <c r="A628" s="313" t="s">
        <v>1637</v>
      </c>
      <c r="B628" s="313" t="s">
        <v>1638</v>
      </c>
      <c r="C628" s="314" t="s">
        <v>1717</v>
      </c>
      <c r="D628" s="314" t="s">
        <v>1426</v>
      </c>
      <c r="E628" s="314"/>
      <c r="F628" s="315"/>
      <c r="G628" s="315"/>
      <c r="H628" s="315"/>
      <c r="I628" s="315"/>
      <c r="J628" s="315"/>
      <c r="K628" s="315"/>
      <c r="L628" s="315"/>
      <c r="M628" s="315"/>
      <c r="N628" s="315"/>
      <c r="O628" s="315"/>
      <c r="P628" s="315"/>
      <c r="Q628" s="315"/>
      <c r="R628" s="315"/>
      <c r="S628" s="315"/>
      <c r="T628" s="315"/>
      <c r="U628" s="315"/>
      <c r="V628" s="315"/>
      <c r="W628" s="315"/>
      <c r="X628" s="315"/>
      <c r="Y628" s="315"/>
      <c r="Z628" s="315"/>
      <c r="AA628" s="315"/>
      <c r="AB628" s="315"/>
      <c r="AC628" s="315"/>
      <c r="AD628" s="315"/>
      <c r="AE628" s="315"/>
      <c r="AF628" s="315"/>
      <c r="AG628" s="315"/>
      <c r="AH628" s="315"/>
      <c r="AI628" s="315"/>
      <c r="AJ628" s="315"/>
      <c r="AK628" s="315"/>
      <c r="AL628" s="315"/>
      <c r="AM628" s="315"/>
      <c r="AN628" s="315"/>
      <c r="AO628" s="315"/>
      <c r="AP628" s="315"/>
      <c r="AQ628" s="316"/>
    </row>
    <row r="629" spans="1:43" s="378" customFormat="1" ht="44.25" customHeight="1">
      <c r="A629" s="313" t="s">
        <v>1637</v>
      </c>
      <c r="B629" s="313" t="s">
        <v>1638</v>
      </c>
      <c r="C629" s="314" t="s">
        <v>1718</v>
      </c>
      <c r="D629" s="314" t="s">
        <v>1426</v>
      </c>
      <c r="E629" s="314"/>
      <c r="F629" s="315"/>
      <c r="G629" s="315"/>
      <c r="H629" s="315"/>
      <c r="I629" s="315"/>
      <c r="J629" s="315"/>
      <c r="K629" s="315"/>
      <c r="L629" s="315"/>
      <c r="M629" s="315"/>
      <c r="N629" s="315"/>
      <c r="O629" s="315"/>
      <c r="P629" s="315"/>
      <c r="Q629" s="315"/>
      <c r="R629" s="315"/>
      <c r="S629" s="315"/>
      <c r="T629" s="315"/>
      <c r="U629" s="315"/>
      <c r="V629" s="315"/>
      <c r="W629" s="315"/>
      <c r="X629" s="315"/>
      <c r="Y629" s="315"/>
      <c r="Z629" s="315"/>
      <c r="AA629" s="315"/>
      <c r="AB629" s="315"/>
      <c r="AC629" s="315"/>
      <c r="AD629" s="315"/>
      <c r="AE629" s="315"/>
      <c r="AF629" s="315"/>
      <c r="AG629" s="315"/>
      <c r="AH629" s="315"/>
      <c r="AI629" s="315"/>
      <c r="AJ629" s="315"/>
      <c r="AK629" s="315"/>
      <c r="AL629" s="315"/>
      <c r="AM629" s="315"/>
      <c r="AN629" s="315"/>
      <c r="AO629" s="315"/>
      <c r="AP629" s="315"/>
      <c r="AQ629" s="316"/>
    </row>
    <row r="630" spans="1:43" s="378" customFormat="1" ht="44.25" customHeight="1">
      <c r="A630" s="313" t="s">
        <v>1637</v>
      </c>
      <c r="B630" s="313" t="s">
        <v>1638</v>
      </c>
      <c r="C630" s="314" t="s">
        <v>1719</v>
      </c>
      <c r="D630" s="314" t="s">
        <v>1430</v>
      </c>
      <c r="E630" s="314"/>
      <c r="F630" s="315"/>
      <c r="G630" s="315"/>
      <c r="H630" s="315"/>
      <c r="I630" s="315"/>
      <c r="J630" s="315"/>
      <c r="K630" s="315"/>
      <c r="L630" s="315"/>
      <c r="M630" s="315"/>
      <c r="N630" s="315"/>
      <c r="O630" s="315"/>
      <c r="P630" s="315"/>
      <c r="Q630" s="315"/>
      <c r="R630" s="315"/>
      <c r="S630" s="315"/>
      <c r="T630" s="315"/>
      <c r="U630" s="315"/>
      <c r="V630" s="315"/>
      <c r="W630" s="315"/>
      <c r="X630" s="315"/>
      <c r="Y630" s="315"/>
      <c r="Z630" s="315"/>
      <c r="AA630" s="315"/>
      <c r="AB630" s="315"/>
      <c r="AC630" s="315"/>
      <c r="AD630" s="315"/>
      <c r="AE630" s="315"/>
      <c r="AF630" s="315"/>
      <c r="AG630" s="315"/>
      <c r="AH630" s="315"/>
      <c r="AI630" s="315"/>
      <c r="AJ630" s="315"/>
      <c r="AK630" s="315"/>
      <c r="AL630" s="315"/>
      <c r="AM630" s="315"/>
      <c r="AN630" s="315"/>
      <c r="AO630" s="315"/>
      <c r="AP630" s="315"/>
      <c r="AQ630" s="316"/>
    </row>
    <row r="631" spans="1:43" s="378" customFormat="1" ht="44.25" customHeight="1">
      <c r="A631" s="313" t="s">
        <v>1637</v>
      </c>
      <c r="B631" s="313" t="s">
        <v>1642</v>
      </c>
      <c r="C631" s="314" t="s">
        <v>1720</v>
      </c>
      <c r="D631" s="314" t="s">
        <v>1434</v>
      </c>
      <c r="E631" s="314"/>
      <c r="F631" s="315"/>
      <c r="G631" s="315"/>
      <c r="H631" s="315"/>
      <c r="I631" s="315"/>
      <c r="J631" s="315"/>
      <c r="K631" s="315"/>
      <c r="L631" s="315"/>
      <c r="M631" s="315"/>
      <c r="N631" s="315"/>
      <c r="O631" s="315"/>
      <c r="P631" s="315"/>
      <c r="Q631" s="315"/>
      <c r="R631" s="315"/>
      <c r="S631" s="315"/>
      <c r="T631" s="315"/>
      <c r="U631" s="315"/>
      <c r="V631" s="315"/>
      <c r="W631" s="315"/>
      <c r="X631" s="315"/>
      <c r="Y631" s="315"/>
      <c r="Z631" s="315"/>
      <c r="AA631" s="315"/>
      <c r="AB631" s="315"/>
      <c r="AC631" s="315"/>
      <c r="AD631" s="315"/>
      <c r="AE631" s="315"/>
      <c r="AF631" s="315"/>
      <c r="AG631" s="315"/>
      <c r="AH631" s="315"/>
      <c r="AI631" s="315"/>
      <c r="AJ631" s="315"/>
      <c r="AK631" s="315"/>
      <c r="AL631" s="315"/>
      <c r="AM631" s="315"/>
      <c r="AN631" s="315"/>
      <c r="AO631" s="315"/>
      <c r="AP631" s="315"/>
      <c r="AQ631" s="316"/>
    </row>
    <row r="632" spans="1:43" s="378" customFormat="1" ht="44.25" customHeight="1">
      <c r="A632" s="313" t="s">
        <v>1637</v>
      </c>
      <c r="B632" s="313" t="s">
        <v>1642</v>
      </c>
      <c r="C632" s="314" t="s">
        <v>1721</v>
      </c>
      <c r="D632" s="314" t="s">
        <v>1432</v>
      </c>
      <c r="E632" s="314"/>
      <c r="F632" s="315"/>
      <c r="G632" s="315"/>
      <c r="H632" s="315"/>
      <c r="I632" s="315"/>
      <c r="J632" s="315"/>
      <c r="K632" s="315"/>
      <c r="L632" s="315"/>
      <c r="M632" s="315"/>
      <c r="N632" s="315"/>
      <c r="O632" s="315"/>
      <c r="P632" s="315"/>
      <c r="Q632" s="315"/>
      <c r="R632" s="315"/>
      <c r="S632" s="315"/>
      <c r="T632" s="315"/>
      <c r="U632" s="315"/>
      <c r="V632" s="315"/>
      <c r="W632" s="315"/>
      <c r="X632" s="315"/>
      <c r="Y632" s="315"/>
      <c r="Z632" s="315"/>
      <c r="AA632" s="315"/>
      <c r="AB632" s="315"/>
      <c r="AC632" s="315"/>
      <c r="AD632" s="315"/>
      <c r="AE632" s="315"/>
      <c r="AF632" s="315"/>
      <c r="AG632" s="315"/>
      <c r="AH632" s="315"/>
      <c r="AI632" s="315"/>
      <c r="AJ632" s="315"/>
      <c r="AK632" s="315"/>
      <c r="AL632" s="315"/>
      <c r="AM632" s="315"/>
      <c r="AN632" s="315"/>
      <c r="AO632" s="315"/>
      <c r="AP632" s="315"/>
      <c r="AQ632" s="317"/>
    </row>
    <row r="633" spans="1:43" s="378" customFormat="1" ht="44.25" customHeight="1">
      <c r="A633" s="313" t="s">
        <v>1637</v>
      </c>
      <c r="B633" s="313" t="s">
        <v>1642</v>
      </c>
      <c r="C633" s="314" t="s">
        <v>1722</v>
      </c>
      <c r="D633" s="314" t="s">
        <v>1432</v>
      </c>
      <c r="E633" s="314"/>
      <c r="F633" s="315"/>
      <c r="G633" s="315"/>
      <c r="H633" s="315"/>
      <c r="I633" s="315"/>
      <c r="J633" s="315"/>
      <c r="K633" s="315"/>
      <c r="L633" s="315"/>
      <c r="M633" s="315"/>
      <c r="N633" s="315"/>
      <c r="O633" s="315"/>
      <c r="P633" s="315"/>
      <c r="Q633" s="315"/>
      <c r="R633" s="315"/>
      <c r="S633" s="315"/>
      <c r="T633" s="315"/>
      <c r="U633" s="315"/>
      <c r="V633" s="315"/>
      <c r="W633" s="315"/>
      <c r="X633" s="315"/>
      <c r="Y633" s="315"/>
      <c r="Z633" s="315"/>
      <c r="AA633" s="315"/>
      <c r="AB633" s="315"/>
      <c r="AC633" s="315"/>
      <c r="AD633" s="315"/>
      <c r="AE633" s="315"/>
      <c r="AF633" s="315"/>
      <c r="AG633" s="315"/>
      <c r="AH633" s="315"/>
      <c r="AI633" s="315"/>
      <c r="AJ633" s="315"/>
      <c r="AK633" s="315"/>
      <c r="AL633" s="315"/>
      <c r="AM633" s="315"/>
      <c r="AN633" s="315"/>
      <c r="AO633" s="315"/>
      <c r="AP633" s="315"/>
      <c r="AQ633" s="316"/>
    </row>
    <row r="634" spans="1:43" s="378" customFormat="1" ht="44.25" customHeight="1">
      <c r="A634" s="313" t="s">
        <v>1637</v>
      </c>
      <c r="B634" s="313" t="s">
        <v>1642</v>
      </c>
      <c r="C634" s="314" t="s">
        <v>1723</v>
      </c>
      <c r="D634" s="314" t="s">
        <v>1438</v>
      </c>
      <c r="E634" s="314"/>
      <c r="F634" s="315"/>
      <c r="G634" s="315"/>
      <c r="H634" s="315"/>
      <c r="I634" s="315"/>
      <c r="J634" s="315"/>
      <c r="K634" s="315"/>
      <c r="L634" s="315"/>
      <c r="M634" s="315"/>
      <c r="N634" s="315"/>
      <c r="O634" s="315"/>
      <c r="P634" s="315"/>
      <c r="Q634" s="315"/>
      <c r="R634" s="315"/>
      <c r="S634" s="315"/>
      <c r="T634" s="315"/>
      <c r="U634" s="315"/>
      <c r="V634" s="315"/>
      <c r="W634" s="315"/>
      <c r="X634" s="315"/>
      <c r="Y634" s="315"/>
      <c r="Z634" s="315"/>
      <c r="AA634" s="315"/>
      <c r="AB634" s="315"/>
      <c r="AC634" s="315"/>
      <c r="AD634" s="315"/>
      <c r="AE634" s="315"/>
      <c r="AF634" s="315"/>
      <c r="AG634" s="315"/>
      <c r="AH634" s="315"/>
      <c r="AI634" s="315"/>
      <c r="AJ634" s="315"/>
      <c r="AK634" s="315"/>
      <c r="AL634" s="315"/>
      <c r="AM634" s="315"/>
      <c r="AN634" s="315"/>
      <c r="AO634" s="315"/>
      <c r="AP634" s="315"/>
      <c r="AQ634" s="317"/>
    </row>
    <row r="635" spans="1:43" s="378" customFormat="1" ht="44.25" customHeight="1">
      <c r="A635" s="313" t="s">
        <v>1637</v>
      </c>
      <c r="B635" s="313" t="s">
        <v>1642</v>
      </c>
      <c r="C635" s="314" t="s">
        <v>1724</v>
      </c>
      <c r="D635" s="314" t="s">
        <v>1456</v>
      </c>
      <c r="E635" s="314"/>
      <c r="F635" s="315"/>
      <c r="G635" s="315"/>
      <c r="H635" s="315"/>
      <c r="I635" s="315"/>
      <c r="J635" s="315"/>
      <c r="K635" s="315"/>
      <c r="L635" s="315"/>
      <c r="M635" s="315"/>
      <c r="N635" s="315"/>
      <c r="O635" s="315"/>
      <c r="P635" s="315"/>
      <c r="Q635" s="315"/>
      <c r="R635" s="315"/>
      <c r="S635" s="315"/>
      <c r="T635" s="315"/>
      <c r="U635" s="315"/>
      <c r="V635" s="315"/>
      <c r="W635" s="315"/>
      <c r="X635" s="315"/>
      <c r="Y635" s="315"/>
      <c r="Z635" s="315"/>
      <c r="AA635" s="315"/>
      <c r="AB635" s="315"/>
      <c r="AC635" s="315"/>
      <c r="AD635" s="315"/>
      <c r="AE635" s="315"/>
      <c r="AF635" s="315"/>
      <c r="AG635" s="315"/>
      <c r="AH635" s="315"/>
      <c r="AI635" s="315"/>
      <c r="AJ635" s="315"/>
      <c r="AK635" s="315"/>
      <c r="AL635" s="315"/>
      <c r="AM635" s="315"/>
      <c r="AN635" s="315"/>
      <c r="AO635" s="315"/>
      <c r="AP635" s="315"/>
      <c r="AQ635" s="317"/>
    </row>
    <row r="636" spans="1:43" s="378" customFormat="1" ht="44.25" customHeight="1">
      <c r="A636" s="313" t="s">
        <v>1637</v>
      </c>
      <c r="B636" s="313" t="s">
        <v>1642</v>
      </c>
      <c r="C636" s="314" t="s">
        <v>1725</v>
      </c>
      <c r="D636" s="314" t="s">
        <v>1446</v>
      </c>
      <c r="E636" s="314"/>
      <c r="F636" s="315"/>
      <c r="G636" s="315"/>
      <c r="H636" s="315"/>
      <c r="I636" s="315"/>
      <c r="J636" s="315"/>
      <c r="K636" s="315"/>
      <c r="L636" s="315"/>
      <c r="M636" s="315"/>
      <c r="N636" s="315"/>
      <c r="O636" s="315"/>
      <c r="P636" s="315"/>
      <c r="Q636" s="315"/>
      <c r="R636" s="315"/>
      <c r="S636" s="315"/>
      <c r="T636" s="315"/>
      <c r="U636" s="315"/>
      <c r="V636" s="315"/>
      <c r="W636" s="315"/>
      <c r="X636" s="315"/>
      <c r="Y636" s="315"/>
      <c r="Z636" s="315"/>
      <c r="AA636" s="315"/>
      <c r="AB636" s="315"/>
      <c r="AC636" s="315"/>
      <c r="AD636" s="315"/>
      <c r="AE636" s="315"/>
      <c r="AF636" s="315"/>
      <c r="AG636" s="315"/>
      <c r="AH636" s="315"/>
      <c r="AI636" s="315"/>
      <c r="AJ636" s="315"/>
      <c r="AK636" s="315"/>
      <c r="AL636" s="315"/>
      <c r="AM636" s="315"/>
      <c r="AN636" s="315"/>
      <c r="AO636" s="315"/>
      <c r="AP636" s="315"/>
      <c r="AQ636" s="317"/>
    </row>
    <row r="637" spans="1:43" s="378" customFormat="1" ht="44.25" customHeight="1">
      <c r="A637" s="313" t="s">
        <v>1637</v>
      </c>
      <c r="B637" s="313" t="s">
        <v>1649</v>
      </c>
      <c r="C637" s="314" t="s">
        <v>1726</v>
      </c>
      <c r="D637" s="314" t="s">
        <v>1424</v>
      </c>
      <c r="E637" s="314"/>
      <c r="F637" s="315"/>
      <c r="G637" s="315"/>
      <c r="H637" s="315"/>
      <c r="I637" s="315"/>
      <c r="J637" s="315"/>
      <c r="K637" s="315"/>
      <c r="L637" s="315"/>
      <c r="M637" s="315"/>
      <c r="N637" s="315"/>
      <c r="O637" s="315"/>
      <c r="P637" s="315"/>
      <c r="Q637" s="315"/>
      <c r="R637" s="315"/>
      <c r="S637" s="315"/>
      <c r="T637" s="315"/>
      <c r="U637" s="315"/>
      <c r="V637" s="315"/>
      <c r="W637" s="315"/>
      <c r="X637" s="315"/>
      <c r="Y637" s="315"/>
      <c r="Z637" s="315"/>
      <c r="AA637" s="315"/>
      <c r="AB637" s="315"/>
      <c r="AC637" s="315"/>
      <c r="AD637" s="315"/>
      <c r="AE637" s="315"/>
      <c r="AF637" s="315"/>
      <c r="AG637" s="315"/>
      <c r="AH637" s="315"/>
      <c r="AI637" s="315"/>
      <c r="AJ637" s="315"/>
      <c r="AK637" s="315"/>
      <c r="AL637" s="315"/>
      <c r="AM637" s="315"/>
      <c r="AN637" s="315"/>
      <c r="AO637" s="315"/>
      <c r="AP637" s="315"/>
      <c r="AQ637" s="317"/>
    </row>
    <row r="638" spans="1:43" s="378" customFormat="1" ht="44.25" customHeight="1">
      <c r="A638" s="313" t="s">
        <v>1637</v>
      </c>
      <c r="B638" s="313" t="s">
        <v>1649</v>
      </c>
      <c r="C638" s="314" t="s">
        <v>1727</v>
      </c>
      <c r="D638" s="314" t="s">
        <v>1432</v>
      </c>
      <c r="E638" s="314"/>
      <c r="F638" s="315"/>
      <c r="G638" s="315"/>
      <c r="H638" s="315"/>
      <c r="I638" s="315"/>
      <c r="J638" s="315"/>
      <c r="K638" s="315"/>
      <c r="L638" s="315"/>
      <c r="M638" s="315"/>
      <c r="N638" s="315"/>
      <c r="O638" s="315"/>
      <c r="P638" s="315"/>
      <c r="Q638" s="315"/>
      <c r="R638" s="315"/>
      <c r="S638" s="315"/>
      <c r="T638" s="315"/>
      <c r="U638" s="315"/>
      <c r="V638" s="315"/>
      <c r="W638" s="315"/>
      <c r="X638" s="315"/>
      <c r="Y638" s="315"/>
      <c r="Z638" s="315"/>
      <c r="AA638" s="315"/>
      <c r="AB638" s="315"/>
      <c r="AC638" s="315"/>
      <c r="AD638" s="315"/>
      <c r="AE638" s="315"/>
      <c r="AF638" s="315"/>
      <c r="AG638" s="315"/>
      <c r="AH638" s="315"/>
      <c r="AI638" s="315"/>
      <c r="AJ638" s="315"/>
      <c r="AK638" s="315"/>
      <c r="AL638" s="315"/>
      <c r="AM638" s="315"/>
      <c r="AN638" s="315"/>
      <c r="AO638" s="315"/>
      <c r="AP638" s="315"/>
      <c r="AQ638" s="316"/>
    </row>
    <row r="639" spans="1:43" s="378" customFormat="1" ht="44.25" customHeight="1">
      <c r="A639" s="313" t="s">
        <v>1637</v>
      </c>
      <c r="B639" s="313" t="s">
        <v>1649</v>
      </c>
      <c r="C639" s="314" t="s">
        <v>1728</v>
      </c>
      <c r="D639" s="314" t="s">
        <v>1424</v>
      </c>
      <c r="E639" s="314"/>
      <c r="F639" s="315"/>
      <c r="G639" s="315"/>
      <c r="H639" s="315"/>
      <c r="I639" s="315"/>
      <c r="J639" s="315"/>
      <c r="K639" s="315"/>
      <c r="L639" s="315"/>
      <c r="M639" s="315"/>
      <c r="N639" s="315"/>
      <c r="O639" s="315"/>
      <c r="P639" s="315"/>
      <c r="Q639" s="315"/>
      <c r="R639" s="315"/>
      <c r="S639" s="315"/>
      <c r="T639" s="315"/>
      <c r="U639" s="315"/>
      <c r="V639" s="315"/>
      <c r="W639" s="315"/>
      <c r="X639" s="315"/>
      <c r="Y639" s="315"/>
      <c r="Z639" s="315"/>
      <c r="AA639" s="315"/>
      <c r="AB639" s="315"/>
      <c r="AC639" s="315"/>
      <c r="AD639" s="315"/>
      <c r="AE639" s="315"/>
      <c r="AF639" s="315"/>
      <c r="AG639" s="315"/>
      <c r="AH639" s="315"/>
      <c r="AI639" s="315"/>
      <c r="AJ639" s="315"/>
      <c r="AK639" s="315"/>
      <c r="AL639" s="315"/>
      <c r="AM639" s="315"/>
      <c r="AN639" s="315"/>
      <c r="AO639" s="315"/>
      <c r="AP639" s="315"/>
      <c r="AQ639" s="316"/>
    </row>
    <row r="640" spans="1:43" s="378" customFormat="1" ht="44.25" customHeight="1">
      <c r="A640" s="313" t="s">
        <v>1637</v>
      </c>
      <c r="B640" s="313" t="s">
        <v>1638</v>
      </c>
      <c r="C640" s="314" t="s">
        <v>1729</v>
      </c>
      <c r="D640" s="314" t="s">
        <v>1426</v>
      </c>
      <c r="E640" s="314"/>
      <c r="F640" s="315"/>
      <c r="G640" s="315"/>
      <c r="H640" s="315"/>
      <c r="I640" s="315"/>
      <c r="J640" s="315"/>
      <c r="K640" s="315"/>
      <c r="L640" s="315"/>
      <c r="M640" s="315"/>
      <c r="N640" s="315"/>
      <c r="O640" s="315"/>
      <c r="P640" s="315"/>
      <c r="Q640" s="315"/>
      <c r="R640" s="315"/>
      <c r="S640" s="315"/>
      <c r="T640" s="315"/>
      <c r="U640" s="315"/>
      <c r="V640" s="315"/>
      <c r="W640" s="315"/>
      <c r="X640" s="315"/>
      <c r="Y640" s="315"/>
      <c r="Z640" s="315"/>
      <c r="AA640" s="315"/>
      <c r="AB640" s="315"/>
      <c r="AC640" s="315"/>
      <c r="AD640" s="315"/>
      <c r="AE640" s="315"/>
      <c r="AF640" s="315"/>
      <c r="AG640" s="315"/>
      <c r="AH640" s="315"/>
      <c r="AI640" s="315"/>
      <c r="AJ640" s="315"/>
      <c r="AK640" s="315"/>
      <c r="AL640" s="315"/>
      <c r="AM640" s="315"/>
      <c r="AN640" s="315"/>
      <c r="AO640" s="315"/>
      <c r="AP640" s="315"/>
      <c r="AQ640" s="316"/>
    </row>
    <row r="641" spans="1:43" s="378" customFormat="1" ht="44.25" customHeight="1">
      <c r="A641" s="313" t="s">
        <v>1637</v>
      </c>
      <c r="B641" s="313" t="s">
        <v>1638</v>
      </c>
      <c r="C641" s="314" t="s">
        <v>1730</v>
      </c>
      <c r="D641" s="314" t="s">
        <v>1426</v>
      </c>
      <c r="E641" s="314"/>
      <c r="F641" s="315"/>
      <c r="G641" s="315"/>
      <c r="H641" s="315"/>
      <c r="I641" s="315"/>
      <c r="J641" s="315"/>
      <c r="K641" s="315"/>
      <c r="L641" s="315"/>
      <c r="M641" s="315"/>
      <c r="N641" s="315"/>
      <c r="O641" s="315"/>
      <c r="P641" s="315"/>
      <c r="Q641" s="315"/>
      <c r="R641" s="315"/>
      <c r="S641" s="315"/>
      <c r="T641" s="315"/>
      <c r="U641" s="315"/>
      <c r="V641" s="315"/>
      <c r="W641" s="315"/>
      <c r="X641" s="315"/>
      <c r="Y641" s="315"/>
      <c r="Z641" s="315"/>
      <c r="AA641" s="315"/>
      <c r="AB641" s="315"/>
      <c r="AC641" s="315"/>
      <c r="AD641" s="315"/>
      <c r="AE641" s="315"/>
      <c r="AF641" s="315"/>
      <c r="AG641" s="315"/>
      <c r="AH641" s="315"/>
      <c r="AI641" s="315"/>
      <c r="AJ641" s="315"/>
      <c r="AK641" s="315"/>
      <c r="AL641" s="315"/>
      <c r="AM641" s="315"/>
      <c r="AN641" s="315"/>
      <c r="AO641" s="315"/>
      <c r="AP641" s="315"/>
      <c r="AQ641" s="316"/>
    </row>
    <row r="642" spans="1:43" s="378" customFormat="1" ht="44.25" customHeight="1">
      <c r="A642" s="313" t="s">
        <v>1637</v>
      </c>
      <c r="B642" s="313" t="s">
        <v>1638</v>
      </c>
      <c r="C642" s="314" t="s">
        <v>1731</v>
      </c>
      <c r="D642" s="314" t="s">
        <v>1430</v>
      </c>
      <c r="E642" s="314"/>
      <c r="F642" s="315"/>
      <c r="G642" s="315"/>
      <c r="H642" s="315"/>
      <c r="I642" s="315"/>
      <c r="J642" s="315"/>
      <c r="K642" s="315"/>
      <c r="L642" s="315"/>
      <c r="M642" s="315"/>
      <c r="N642" s="315"/>
      <c r="O642" s="315"/>
      <c r="P642" s="315"/>
      <c r="Q642" s="315"/>
      <c r="R642" s="315"/>
      <c r="S642" s="315"/>
      <c r="T642" s="315"/>
      <c r="U642" s="315"/>
      <c r="V642" s="315"/>
      <c r="W642" s="315"/>
      <c r="X642" s="315"/>
      <c r="Y642" s="315"/>
      <c r="Z642" s="315"/>
      <c r="AA642" s="315"/>
      <c r="AB642" s="315"/>
      <c r="AC642" s="315"/>
      <c r="AD642" s="315"/>
      <c r="AE642" s="315"/>
      <c r="AF642" s="315"/>
      <c r="AG642" s="315"/>
      <c r="AH642" s="315"/>
      <c r="AI642" s="315"/>
      <c r="AJ642" s="315"/>
      <c r="AK642" s="315"/>
      <c r="AL642" s="315"/>
      <c r="AM642" s="315"/>
      <c r="AN642" s="315"/>
      <c r="AO642" s="315"/>
      <c r="AP642" s="315"/>
      <c r="AQ642" s="316"/>
    </row>
    <row r="643" spans="1:43" s="378" customFormat="1" ht="44.25" customHeight="1">
      <c r="A643" s="313" t="s">
        <v>1637</v>
      </c>
      <c r="B643" s="313" t="s">
        <v>1642</v>
      </c>
      <c r="C643" s="314" t="s">
        <v>1732</v>
      </c>
      <c r="D643" s="314" t="s">
        <v>1434</v>
      </c>
      <c r="E643" s="314"/>
      <c r="F643" s="315"/>
      <c r="G643" s="315"/>
      <c r="H643" s="315"/>
      <c r="I643" s="315"/>
      <c r="J643" s="315"/>
      <c r="K643" s="315"/>
      <c r="L643" s="315"/>
      <c r="M643" s="315"/>
      <c r="N643" s="315"/>
      <c r="O643" s="315"/>
      <c r="P643" s="315"/>
      <c r="Q643" s="315"/>
      <c r="R643" s="315"/>
      <c r="S643" s="315"/>
      <c r="T643" s="315"/>
      <c r="U643" s="315"/>
      <c r="V643" s="315"/>
      <c r="W643" s="315"/>
      <c r="X643" s="315"/>
      <c r="Y643" s="315"/>
      <c r="Z643" s="315"/>
      <c r="AA643" s="315"/>
      <c r="AB643" s="315"/>
      <c r="AC643" s="315"/>
      <c r="AD643" s="315"/>
      <c r="AE643" s="315"/>
      <c r="AF643" s="315"/>
      <c r="AG643" s="315"/>
      <c r="AH643" s="315"/>
      <c r="AI643" s="315"/>
      <c r="AJ643" s="315"/>
      <c r="AK643" s="315"/>
      <c r="AL643" s="315"/>
      <c r="AM643" s="315"/>
      <c r="AN643" s="315"/>
      <c r="AO643" s="315"/>
      <c r="AP643" s="315"/>
      <c r="AQ643" s="316"/>
    </row>
    <row r="644" spans="1:43" s="378" customFormat="1" ht="44.25" customHeight="1">
      <c r="A644" s="313" t="s">
        <v>1637</v>
      </c>
      <c r="B644" s="313" t="s">
        <v>1642</v>
      </c>
      <c r="C644" s="314" t="s">
        <v>1733</v>
      </c>
      <c r="D644" s="314" t="s">
        <v>1432</v>
      </c>
      <c r="E644" s="314"/>
      <c r="F644" s="315"/>
      <c r="G644" s="315"/>
      <c r="H644" s="315"/>
      <c r="I644" s="315"/>
      <c r="J644" s="315"/>
      <c r="K644" s="315"/>
      <c r="L644" s="315"/>
      <c r="M644" s="315"/>
      <c r="N644" s="315"/>
      <c r="O644" s="315"/>
      <c r="P644" s="315"/>
      <c r="Q644" s="315"/>
      <c r="R644" s="315"/>
      <c r="S644" s="315"/>
      <c r="T644" s="315"/>
      <c r="U644" s="315"/>
      <c r="V644" s="315"/>
      <c r="W644" s="315"/>
      <c r="X644" s="315"/>
      <c r="Y644" s="315"/>
      <c r="Z644" s="315"/>
      <c r="AA644" s="315"/>
      <c r="AB644" s="315"/>
      <c r="AC644" s="315"/>
      <c r="AD644" s="315"/>
      <c r="AE644" s="315"/>
      <c r="AF644" s="315"/>
      <c r="AG644" s="315"/>
      <c r="AH644" s="315"/>
      <c r="AI644" s="315"/>
      <c r="AJ644" s="315"/>
      <c r="AK644" s="315"/>
      <c r="AL644" s="315"/>
      <c r="AM644" s="315"/>
      <c r="AN644" s="315"/>
      <c r="AO644" s="315"/>
      <c r="AP644" s="315"/>
      <c r="AQ644" s="316"/>
    </row>
    <row r="645" spans="1:43" s="378" customFormat="1" ht="44.25" customHeight="1">
      <c r="A645" s="313" t="s">
        <v>1637</v>
      </c>
      <c r="B645" s="313" t="s">
        <v>1642</v>
      </c>
      <c r="C645" s="314" t="s">
        <v>1734</v>
      </c>
      <c r="D645" s="314" t="s">
        <v>1432</v>
      </c>
      <c r="E645" s="314"/>
      <c r="F645" s="315"/>
      <c r="G645" s="315"/>
      <c r="H645" s="315"/>
      <c r="I645" s="315"/>
      <c r="J645" s="315"/>
      <c r="K645" s="315"/>
      <c r="L645" s="315"/>
      <c r="M645" s="315"/>
      <c r="N645" s="315"/>
      <c r="O645" s="315"/>
      <c r="P645" s="315"/>
      <c r="Q645" s="315"/>
      <c r="R645" s="315"/>
      <c r="S645" s="315"/>
      <c r="T645" s="315"/>
      <c r="U645" s="315"/>
      <c r="V645" s="315"/>
      <c r="W645" s="315"/>
      <c r="X645" s="315"/>
      <c r="Y645" s="315"/>
      <c r="Z645" s="315"/>
      <c r="AA645" s="315"/>
      <c r="AB645" s="315"/>
      <c r="AC645" s="315"/>
      <c r="AD645" s="315"/>
      <c r="AE645" s="315"/>
      <c r="AF645" s="315"/>
      <c r="AG645" s="315"/>
      <c r="AH645" s="315"/>
      <c r="AI645" s="315"/>
      <c r="AJ645" s="315"/>
      <c r="AK645" s="315"/>
      <c r="AL645" s="315"/>
      <c r="AM645" s="315"/>
      <c r="AN645" s="315"/>
      <c r="AO645" s="315"/>
      <c r="AP645" s="315"/>
      <c r="AQ645" s="316"/>
    </row>
    <row r="646" spans="1:43" s="378" customFormat="1" ht="44.25" customHeight="1">
      <c r="A646" s="313" t="s">
        <v>1637</v>
      </c>
      <c r="B646" s="313" t="s">
        <v>1642</v>
      </c>
      <c r="C646" s="314" t="s">
        <v>1735</v>
      </c>
      <c r="D646" s="314" t="s">
        <v>1438</v>
      </c>
      <c r="E646" s="314"/>
      <c r="F646" s="315"/>
      <c r="G646" s="315"/>
      <c r="H646" s="315"/>
      <c r="I646" s="315"/>
      <c r="J646" s="315"/>
      <c r="K646" s="315"/>
      <c r="L646" s="315"/>
      <c r="M646" s="315"/>
      <c r="N646" s="315"/>
      <c r="O646" s="315"/>
      <c r="P646" s="315"/>
      <c r="Q646" s="315"/>
      <c r="R646" s="315"/>
      <c r="S646" s="315"/>
      <c r="T646" s="315"/>
      <c r="U646" s="315"/>
      <c r="V646" s="315"/>
      <c r="W646" s="315"/>
      <c r="X646" s="315"/>
      <c r="Y646" s="315"/>
      <c r="Z646" s="315"/>
      <c r="AA646" s="315"/>
      <c r="AB646" s="315"/>
      <c r="AC646" s="315"/>
      <c r="AD646" s="315"/>
      <c r="AE646" s="315"/>
      <c r="AF646" s="315"/>
      <c r="AG646" s="315"/>
      <c r="AH646" s="315"/>
      <c r="AI646" s="315"/>
      <c r="AJ646" s="315"/>
      <c r="AK646" s="315"/>
      <c r="AL646" s="315"/>
      <c r="AM646" s="315"/>
      <c r="AN646" s="315"/>
      <c r="AO646" s="315"/>
      <c r="AP646" s="315"/>
      <c r="AQ646" s="316"/>
    </row>
    <row r="647" spans="1:43" s="378" customFormat="1" ht="44.25" customHeight="1">
      <c r="A647" s="313" t="s">
        <v>1637</v>
      </c>
      <c r="B647" s="313" t="s">
        <v>1642</v>
      </c>
      <c r="C647" s="314" t="s">
        <v>1736</v>
      </c>
      <c r="D647" s="314" t="s">
        <v>1456</v>
      </c>
      <c r="E647" s="314"/>
      <c r="F647" s="315"/>
      <c r="G647" s="315"/>
      <c r="H647" s="315"/>
      <c r="I647" s="315"/>
      <c r="J647" s="315"/>
      <c r="K647" s="315"/>
      <c r="L647" s="315"/>
      <c r="M647" s="315"/>
      <c r="N647" s="315"/>
      <c r="O647" s="315"/>
      <c r="P647" s="315"/>
      <c r="Q647" s="315"/>
      <c r="R647" s="315"/>
      <c r="S647" s="315"/>
      <c r="T647" s="315"/>
      <c r="U647" s="315"/>
      <c r="V647" s="315"/>
      <c r="W647" s="315"/>
      <c r="X647" s="315"/>
      <c r="Y647" s="315"/>
      <c r="Z647" s="315"/>
      <c r="AA647" s="315"/>
      <c r="AB647" s="315"/>
      <c r="AC647" s="315"/>
      <c r="AD647" s="315"/>
      <c r="AE647" s="315"/>
      <c r="AF647" s="315"/>
      <c r="AG647" s="315"/>
      <c r="AH647" s="315"/>
      <c r="AI647" s="315"/>
      <c r="AJ647" s="315"/>
      <c r="AK647" s="315"/>
      <c r="AL647" s="315"/>
      <c r="AM647" s="315"/>
      <c r="AN647" s="315"/>
      <c r="AO647" s="315"/>
      <c r="AP647" s="315"/>
      <c r="AQ647" s="316"/>
    </row>
    <row r="648" spans="1:43" s="378" customFormat="1" ht="44.25" customHeight="1">
      <c r="A648" s="313" t="s">
        <v>1637</v>
      </c>
      <c r="B648" s="313" t="s">
        <v>1642</v>
      </c>
      <c r="C648" s="314" t="s">
        <v>1737</v>
      </c>
      <c r="D648" s="314" t="s">
        <v>1432</v>
      </c>
      <c r="E648" s="314"/>
      <c r="F648" s="315"/>
      <c r="G648" s="315"/>
      <c r="H648" s="315"/>
      <c r="I648" s="315"/>
      <c r="J648" s="315"/>
      <c r="K648" s="315"/>
      <c r="L648" s="315"/>
      <c r="M648" s="315"/>
      <c r="N648" s="315"/>
      <c r="O648" s="315"/>
      <c r="P648" s="315"/>
      <c r="Q648" s="315"/>
      <c r="R648" s="315"/>
      <c r="S648" s="315"/>
      <c r="T648" s="315"/>
      <c r="U648" s="315"/>
      <c r="V648" s="315"/>
      <c r="W648" s="315"/>
      <c r="X648" s="315"/>
      <c r="Y648" s="315"/>
      <c r="Z648" s="315"/>
      <c r="AA648" s="315"/>
      <c r="AB648" s="315"/>
      <c r="AC648" s="315"/>
      <c r="AD648" s="315"/>
      <c r="AE648" s="315"/>
      <c r="AF648" s="315"/>
      <c r="AG648" s="315"/>
      <c r="AH648" s="315"/>
      <c r="AI648" s="315"/>
      <c r="AJ648" s="315"/>
      <c r="AK648" s="315"/>
      <c r="AL648" s="315"/>
      <c r="AM648" s="315"/>
      <c r="AN648" s="315"/>
      <c r="AO648" s="315"/>
      <c r="AP648" s="315"/>
      <c r="AQ648" s="316"/>
    </row>
    <row r="649" spans="1:43" s="378" customFormat="1" ht="44.25" customHeight="1">
      <c r="A649" s="313" t="s">
        <v>1637</v>
      </c>
      <c r="B649" s="313" t="s">
        <v>1649</v>
      </c>
      <c r="C649" s="314" t="s">
        <v>1738</v>
      </c>
      <c r="D649" s="314" t="s">
        <v>1424</v>
      </c>
      <c r="E649" s="314"/>
      <c r="F649" s="315"/>
      <c r="G649" s="315"/>
      <c r="H649" s="315"/>
      <c r="I649" s="315"/>
      <c r="J649" s="315"/>
      <c r="K649" s="315"/>
      <c r="L649" s="315"/>
      <c r="M649" s="315"/>
      <c r="N649" s="315"/>
      <c r="O649" s="315"/>
      <c r="P649" s="315"/>
      <c r="Q649" s="315"/>
      <c r="R649" s="315"/>
      <c r="S649" s="315"/>
      <c r="T649" s="315"/>
      <c r="U649" s="315"/>
      <c r="V649" s="315"/>
      <c r="W649" s="315"/>
      <c r="X649" s="315"/>
      <c r="Y649" s="315"/>
      <c r="Z649" s="315"/>
      <c r="AA649" s="315"/>
      <c r="AB649" s="315"/>
      <c r="AC649" s="315"/>
      <c r="AD649" s="315"/>
      <c r="AE649" s="315"/>
      <c r="AF649" s="315"/>
      <c r="AG649" s="315"/>
      <c r="AH649" s="315"/>
      <c r="AI649" s="315"/>
      <c r="AJ649" s="315"/>
      <c r="AK649" s="315"/>
      <c r="AL649" s="315"/>
      <c r="AM649" s="315"/>
      <c r="AN649" s="315"/>
      <c r="AO649" s="315"/>
      <c r="AP649" s="315"/>
      <c r="AQ649" s="316"/>
    </row>
    <row r="650" spans="1:43" s="378" customFormat="1" ht="44.25" customHeight="1">
      <c r="A650" s="313" t="s">
        <v>1637</v>
      </c>
      <c r="B650" s="313" t="s">
        <v>1649</v>
      </c>
      <c r="C650" s="314" t="s">
        <v>1739</v>
      </c>
      <c r="D650" s="314" t="s">
        <v>1438</v>
      </c>
      <c r="E650" s="314"/>
      <c r="F650" s="315"/>
      <c r="G650" s="315"/>
      <c r="H650" s="315"/>
      <c r="I650" s="315"/>
      <c r="J650" s="315"/>
      <c r="K650" s="315"/>
      <c r="L650" s="315"/>
      <c r="M650" s="315"/>
      <c r="N650" s="315"/>
      <c r="O650" s="315"/>
      <c r="P650" s="315"/>
      <c r="Q650" s="315"/>
      <c r="R650" s="315"/>
      <c r="S650" s="315"/>
      <c r="T650" s="315"/>
      <c r="U650" s="315"/>
      <c r="V650" s="315"/>
      <c r="W650" s="315"/>
      <c r="X650" s="315"/>
      <c r="Y650" s="315"/>
      <c r="Z650" s="315"/>
      <c r="AA650" s="315"/>
      <c r="AB650" s="315"/>
      <c r="AC650" s="315"/>
      <c r="AD650" s="315"/>
      <c r="AE650" s="315"/>
      <c r="AF650" s="315"/>
      <c r="AG650" s="315"/>
      <c r="AH650" s="315"/>
      <c r="AI650" s="315"/>
      <c r="AJ650" s="315"/>
      <c r="AK650" s="315"/>
      <c r="AL650" s="315"/>
      <c r="AM650" s="315"/>
      <c r="AN650" s="315"/>
      <c r="AO650" s="315"/>
      <c r="AP650" s="315"/>
      <c r="AQ650" s="316"/>
    </row>
    <row r="651" spans="1:43" s="378" customFormat="1" ht="44.25" customHeight="1">
      <c r="A651" s="313" t="s">
        <v>1637</v>
      </c>
      <c r="B651" s="313" t="s">
        <v>1649</v>
      </c>
      <c r="C651" s="314" t="s">
        <v>1740</v>
      </c>
      <c r="D651" s="314" t="s">
        <v>1432</v>
      </c>
      <c r="E651" s="314"/>
      <c r="F651" s="315"/>
      <c r="G651" s="315"/>
      <c r="H651" s="315"/>
      <c r="I651" s="315"/>
      <c r="J651" s="315"/>
      <c r="K651" s="315"/>
      <c r="L651" s="315"/>
      <c r="M651" s="315"/>
      <c r="N651" s="315"/>
      <c r="O651" s="315"/>
      <c r="P651" s="315"/>
      <c r="Q651" s="315"/>
      <c r="R651" s="315"/>
      <c r="S651" s="315"/>
      <c r="T651" s="315"/>
      <c r="U651" s="315"/>
      <c r="V651" s="315"/>
      <c r="W651" s="315"/>
      <c r="X651" s="315"/>
      <c r="Y651" s="315"/>
      <c r="Z651" s="315"/>
      <c r="AA651" s="315"/>
      <c r="AB651" s="315"/>
      <c r="AC651" s="315"/>
      <c r="AD651" s="315"/>
      <c r="AE651" s="315"/>
      <c r="AF651" s="315"/>
      <c r="AG651" s="315"/>
      <c r="AH651" s="315"/>
      <c r="AI651" s="315"/>
      <c r="AJ651" s="315"/>
      <c r="AK651" s="315"/>
      <c r="AL651" s="315"/>
      <c r="AM651" s="315"/>
      <c r="AN651" s="315"/>
      <c r="AO651" s="315"/>
      <c r="AP651" s="315"/>
      <c r="AQ651" s="316"/>
    </row>
    <row r="652" spans="1:43" s="378" customFormat="1" ht="44.25" customHeight="1">
      <c r="A652" s="313" t="s">
        <v>1502</v>
      </c>
      <c r="B652" s="313" t="s">
        <v>395</v>
      </c>
      <c r="C652" s="314" t="s">
        <v>1161</v>
      </c>
      <c r="D652" s="314" t="s">
        <v>1440</v>
      </c>
      <c r="E652" s="314"/>
      <c r="F652" s="315"/>
      <c r="G652" s="315"/>
      <c r="H652" s="315"/>
      <c r="I652" s="315"/>
      <c r="J652" s="315"/>
      <c r="K652" s="315">
        <v>1</v>
      </c>
      <c r="L652" s="315"/>
      <c r="M652" s="315"/>
      <c r="N652" s="315"/>
      <c r="O652" s="315"/>
      <c r="P652" s="315"/>
      <c r="Q652" s="315"/>
      <c r="R652" s="315"/>
      <c r="S652" s="315"/>
      <c r="T652" s="315"/>
      <c r="U652" s="315"/>
      <c r="V652" s="315"/>
      <c r="W652" s="315"/>
      <c r="X652" s="315"/>
      <c r="Y652" s="315"/>
      <c r="Z652" s="315"/>
      <c r="AA652" s="315">
        <v>1</v>
      </c>
      <c r="AB652" s="315"/>
      <c r="AC652" s="315"/>
      <c r="AD652" s="315"/>
      <c r="AE652" s="315"/>
      <c r="AF652" s="315"/>
      <c r="AG652" s="315"/>
      <c r="AH652" s="315"/>
      <c r="AI652" s="315">
        <v>1</v>
      </c>
      <c r="AJ652" s="315"/>
      <c r="AK652" s="315"/>
      <c r="AL652" s="315"/>
      <c r="AM652" s="315"/>
      <c r="AN652" s="315"/>
      <c r="AO652" s="315"/>
      <c r="AP652" s="315"/>
      <c r="AQ652" s="316"/>
    </row>
    <row r="653" spans="1:43" s="378" customFormat="1" ht="44.25" customHeight="1">
      <c r="A653" s="313" t="s">
        <v>1505</v>
      </c>
      <c r="B653" s="313" t="s">
        <v>394</v>
      </c>
      <c r="C653" s="314" t="s">
        <v>1162</v>
      </c>
      <c r="D653" s="314" t="s">
        <v>1448</v>
      </c>
      <c r="E653" s="314" t="s">
        <v>1163</v>
      </c>
      <c r="F653" s="315"/>
      <c r="G653" s="315"/>
      <c r="H653" s="315"/>
      <c r="I653" s="315"/>
      <c r="J653" s="315"/>
      <c r="K653" s="315">
        <v>1</v>
      </c>
      <c r="L653" s="315"/>
      <c r="M653" s="315"/>
      <c r="N653" s="315"/>
      <c r="O653" s="315"/>
      <c r="P653" s="315"/>
      <c r="Q653" s="315"/>
      <c r="R653" s="315"/>
      <c r="S653" s="315">
        <v>1</v>
      </c>
      <c r="T653" s="315"/>
      <c r="U653" s="315"/>
      <c r="V653" s="315"/>
      <c r="W653" s="315"/>
      <c r="X653" s="315"/>
      <c r="Y653" s="315"/>
      <c r="Z653" s="315"/>
      <c r="AA653" s="315">
        <v>1</v>
      </c>
      <c r="AB653" s="315"/>
      <c r="AC653" s="315"/>
      <c r="AD653" s="315"/>
      <c r="AE653" s="315"/>
      <c r="AF653" s="315"/>
      <c r="AG653" s="315"/>
      <c r="AH653" s="315"/>
      <c r="AI653" s="315"/>
      <c r="AJ653" s="315"/>
      <c r="AK653" s="315"/>
      <c r="AL653" s="315"/>
      <c r="AM653" s="315"/>
      <c r="AN653" s="315"/>
      <c r="AO653" s="315"/>
      <c r="AP653" s="315"/>
      <c r="AQ653" s="316"/>
    </row>
    <row r="654" spans="1:43" s="378" customFormat="1" ht="44.25" customHeight="1">
      <c r="A654" s="313" t="s">
        <v>1505</v>
      </c>
      <c r="B654" s="313" t="s">
        <v>389</v>
      </c>
      <c r="C654" s="314" t="s">
        <v>1164</v>
      </c>
      <c r="D654" s="314" t="s">
        <v>1436</v>
      </c>
      <c r="E654" s="314" t="s">
        <v>1165</v>
      </c>
      <c r="F654" s="315"/>
      <c r="G654" s="315"/>
      <c r="H654" s="315"/>
      <c r="I654" s="315"/>
      <c r="J654" s="315"/>
      <c r="K654" s="315">
        <v>1</v>
      </c>
      <c r="L654" s="315"/>
      <c r="M654" s="315">
        <v>1</v>
      </c>
      <c r="N654" s="315"/>
      <c r="O654" s="315"/>
      <c r="P654" s="315"/>
      <c r="Q654" s="315"/>
      <c r="R654" s="315"/>
      <c r="S654" s="315">
        <v>1</v>
      </c>
      <c r="T654" s="315">
        <v>1</v>
      </c>
      <c r="U654" s="315">
        <v>1</v>
      </c>
      <c r="V654" s="315"/>
      <c r="W654" s="315"/>
      <c r="X654" s="315"/>
      <c r="Y654" s="315"/>
      <c r="Z654" s="315"/>
      <c r="AA654" s="315">
        <v>1</v>
      </c>
      <c r="AB654" s="315">
        <v>1</v>
      </c>
      <c r="AC654" s="315">
        <v>1</v>
      </c>
      <c r="AD654" s="315"/>
      <c r="AE654" s="315"/>
      <c r="AF654" s="315"/>
      <c r="AG654" s="315"/>
      <c r="AH654" s="315"/>
      <c r="AI654" s="315"/>
      <c r="AJ654" s="315">
        <v>1</v>
      </c>
      <c r="AK654" s="315">
        <v>1</v>
      </c>
      <c r="AL654" s="315"/>
      <c r="AM654" s="315">
        <v>1</v>
      </c>
      <c r="AN654" s="315"/>
      <c r="AO654" s="315">
        <v>1</v>
      </c>
      <c r="AP654" s="315">
        <v>1</v>
      </c>
      <c r="AQ654" s="316">
        <v>1</v>
      </c>
    </row>
    <row r="655" spans="1:43" s="378" customFormat="1" ht="44.25" customHeight="1">
      <c r="A655" s="313" t="s">
        <v>1505</v>
      </c>
      <c r="B655" s="313" t="s">
        <v>395</v>
      </c>
      <c r="C655" s="314" t="s">
        <v>1166</v>
      </c>
      <c r="D655" s="314" t="s">
        <v>1428</v>
      </c>
      <c r="E655" s="314" t="s">
        <v>408</v>
      </c>
      <c r="F655" s="315"/>
      <c r="G655" s="315"/>
      <c r="H655" s="315">
        <v>1</v>
      </c>
      <c r="I655" s="315">
        <v>1</v>
      </c>
      <c r="J655" s="315">
        <v>1</v>
      </c>
      <c r="K655" s="315"/>
      <c r="L655" s="315">
        <v>1</v>
      </c>
      <c r="M655" s="315">
        <v>1</v>
      </c>
      <c r="N655" s="315"/>
      <c r="O655" s="315">
        <v>1</v>
      </c>
      <c r="P655" s="315">
        <v>1</v>
      </c>
      <c r="Q655" s="315">
        <v>1</v>
      </c>
      <c r="R655" s="315"/>
      <c r="S655" s="315">
        <v>1</v>
      </c>
      <c r="T655" s="315">
        <v>1</v>
      </c>
      <c r="U655" s="315">
        <v>1</v>
      </c>
      <c r="V655" s="315"/>
      <c r="W655" s="315">
        <v>1</v>
      </c>
      <c r="X655" s="315">
        <v>1</v>
      </c>
      <c r="Y655" s="315">
        <v>1</v>
      </c>
      <c r="Z655" s="315">
        <v>1</v>
      </c>
      <c r="AA655" s="315"/>
      <c r="AB655" s="315">
        <v>1</v>
      </c>
      <c r="AC655" s="315">
        <v>1</v>
      </c>
      <c r="AD655" s="315"/>
      <c r="AE655" s="315"/>
      <c r="AF655" s="315"/>
      <c r="AG655" s="315"/>
      <c r="AH655" s="315">
        <v>1</v>
      </c>
      <c r="AI655" s="315">
        <v>1</v>
      </c>
      <c r="AJ655" s="315">
        <v>1</v>
      </c>
      <c r="AK655" s="315">
        <v>1</v>
      </c>
      <c r="AL655" s="315">
        <v>1</v>
      </c>
      <c r="AM655" s="315">
        <v>1</v>
      </c>
      <c r="AN655" s="315">
        <v>1</v>
      </c>
      <c r="AO655" s="315">
        <v>1</v>
      </c>
      <c r="AP655" s="315">
        <v>1</v>
      </c>
      <c r="AQ655" s="316">
        <v>1</v>
      </c>
    </row>
    <row r="656" spans="1:43" s="378" customFormat="1" ht="44.25" customHeight="1">
      <c r="A656" s="313" t="s">
        <v>1505</v>
      </c>
      <c r="B656" s="313" t="s">
        <v>393</v>
      </c>
      <c r="C656" s="314" t="s">
        <v>1167</v>
      </c>
      <c r="D656" s="314" t="s">
        <v>1438</v>
      </c>
      <c r="E656" s="314" t="s">
        <v>1168</v>
      </c>
      <c r="F656" s="315"/>
      <c r="G656" s="315"/>
      <c r="H656" s="315"/>
      <c r="I656" s="315"/>
      <c r="J656" s="315"/>
      <c r="K656" s="315"/>
      <c r="L656" s="315"/>
      <c r="M656" s="315"/>
      <c r="N656" s="315"/>
      <c r="O656" s="315"/>
      <c r="P656" s="315"/>
      <c r="Q656" s="315"/>
      <c r="R656" s="315"/>
      <c r="S656" s="315"/>
      <c r="T656" s="315"/>
      <c r="U656" s="315"/>
      <c r="V656" s="315"/>
      <c r="W656" s="315"/>
      <c r="X656" s="315"/>
      <c r="Y656" s="315"/>
      <c r="Z656" s="315"/>
      <c r="AA656" s="315"/>
      <c r="AB656" s="315"/>
      <c r="AC656" s="315"/>
      <c r="AD656" s="315"/>
      <c r="AE656" s="315"/>
      <c r="AF656" s="315"/>
      <c r="AG656" s="315"/>
      <c r="AH656" s="315"/>
      <c r="AI656" s="315"/>
      <c r="AJ656" s="315">
        <v>1</v>
      </c>
      <c r="AK656" s="315">
        <v>1</v>
      </c>
      <c r="AL656" s="315"/>
      <c r="AM656" s="315">
        <v>1</v>
      </c>
      <c r="AN656" s="315"/>
      <c r="AO656" s="315"/>
      <c r="AP656" s="315"/>
      <c r="AQ656" s="316"/>
    </row>
    <row r="657" spans="1:43" s="378" customFormat="1" ht="44.25" customHeight="1">
      <c r="A657" s="313" t="s">
        <v>1505</v>
      </c>
      <c r="B657" s="313" t="s">
        <v>393</v>
      </c>
      <c r="C657" s="314" t="s">
        <v>1169</v>
      </c>
      <c r="D657" s="314" t="s">
        <v>1452</v>
      </c>
      <c r="E657" s="314" t="s">
        <v>1170</v>
      </c>
      <c r="F657" s="315"/>
      <c r="G657" s="315"/>
      <c r="H657" s="315"/>
      <c r="I657" s="315"/>
      <c r="J657" s="315"/>
      <c r="K657" s="315"/>
      <c r="L657" s="315"/>
      <c r="M657" s="315"/>
      <c r="N657" s="315"/>
      <c r="O657" s="315"/>
      <c r="P657" s="315"/>
      <c r="Q657" s="315"/>
      <c r="R657" s="315"/>
      <c r="S657" s="315"/>
      <c r="T657" s="315"/>
      <c r="U657" s="315"/>
      <c r="V657" s="315"/>
      <c r="W657" s="315"/>
      <c r="X657" s="315"/>
      <c r="Y657" s="315"/>
      <c r="Z657" s="315"/>
      <c r="AA657" s="315"/>
      <c r="AB657" s="315"/>
      <c r="AC657" s="315"/>
      <c r="AD657" s="315"/>
      <c r="AE657" s="315"/>
      <c r="AF657" s="315"/>
      <c r="AG657" s="315"/>
      <c r="AH657" s="315"/>
      <c r="AI657" s="315"/>
      <c r="AJ657" s="315"/>
      <c r="AK657" s="315"/>
      <c r="AL657" s="315"/>
      <c r="AM657" s="315"/>
      <c r="AN657" s="315"/>
      <c r="AO657" s="315"/>
      <c r="AP657" s="315"/>
      <c r="AQ657" s="316"/>
    </row>
    <row r="658" spans="1:43" s="378" customFormat="1" ht="44.25" customHeight="1">
      <c r="A658" s="313" t="s">
        <v>1505</v>
      </c>
      <c r="B658" s="313" t="s">
        <v>395</v>
      </c>
      <c r="C658" s="314" t="s">
        <v>1171</v>
      </c>
      <c r="D658" s="314" t="s">
        <v>1452</v>
      </c>
      <c r="E658" s="314" t="s">
        <v>1172</v>
      </c>
      <c r="F658" s="315"/>
      <c r="G658" s="315"/>
      <c r="H658" s="315"/>
      <c r="I658" s="315"/>
      <c r="J658" s="315"/>
      <c r="K658" s="315"/>
      <c r="L658" s="315"/>
      <c r="M658" s="315"/>
      <c r="N658" s="315"/>
      <c r="O658" s="315"/>
      <c r="P658" s="315"/>
      <c r="Q658" s="315"/>
      <c r="R658" s="315"/>
      <c r="S658" s="315"/>
      <c r="T658" s="315"/>
      <c r="U658" s="315"/>
      <c r="V658" s="315"/>
      <c r="W658" s="315"/>
      <c r="X658" s="315"/>
      <c r="Y658" s="315"/>
      <c r="Z658" s="315"/>
      <c r="AA658" s="315"/>
      <c r="AB658" s="315"/>
      <c r="AC658" s="315"/>
      <c r="AD658" s="315"/>
      <c r="AE658" s="315"/>
      <c r="AF658" s="315"/>
      <c r="AG658" s="315"/>
      <c r="AH658" s="315"/>
      <c r="AI658" s="315"/>
      <c r="AJ658" s="315"/>
      <c r="AK658" s="315"/>
      <c r="AL658" s="315"/>
      <c r="AM658" s="315"/>
      <c r="AN658" s="315"/>
      <c r="AO658" s="315"/>
      <c r="AP658" s="315"/>
      <c r="AQ658" s="316"/>
    </row>
    <row r="659" spans="1:43" s="378" customFormat="1" ht="44.25" customHeight="1">
      <c r="A659" s="313" t="s">
        <v>1505</v>
      </c>
      <c r="B659" s="313" t="s">
        <v>395</v>
      </c>
      <c r="C659" s="314" t="s">
        <v>1173</v>
      </c>
      <c r="D659" s="314" t="s">
        <v>1430</v>
      </c>
      <c r="E659" s="314" t="s">
        <v>1174</v>
      </c>
      <c r="F659" s="315"/>
      <c r="G659" s="315"/>
      <c r="H659" s="315"/>
      <c r="I659" s="315"/>
      <c r="J659" s="315"/>
      <c r="K659" s="315"/>
      <c r="L659" s="315">
        <v>1</v>
      </c>
      <c r="M659" s="315"/>
      <c r="N659" s="315"/>
      <c r="O659" s="315"/>
      <c r="P659" s="315"/>
      <c r="Q659" s="315"/>
      <c r="R659" s="315"/>
      <c r="S659" s="315">
        <v>1</v>
      </c>
      <c r="T659" s="315"/>
      <c r="U659" s="315"/>
      <c r="V659" s="315"/>
      <c r="W659" s="315"/>
      <c r="X659" s="315"/>
      <c r="Y659" s="315"/>
      <c r="Z659" s="315"/>
      <c r="AA659" s="315">
        <v>1</v>
      </c>
      <c r="AB659" s="315"/>
      <c r="AC659" s="315"/>
      <c r="AD659" s="315"/>
      <c r="AE659" s="315"/>
      <c r="AF659" s="315"/>
      <c r="AG659" s="315"/>
      <c r="AH659" s="315"/>
      <c r="AI659" s="315"/>
      <c r="AJ659" s="315"/>
      <c r="AK659" s="315"/>
      <c r="AL659" s="315"/>
      <c r="AM659" s="315"/>
      <c r="AN659" s="315"/>
      <c r="AO659" s="315"/>
      <c r="AP659" s="315"/>
      <c r="AQ659" s="316"/>
    </row>
    <row r="660" spans="1:43" s="378" customFormat="1" ht="44.25" customHeight="1">
      <c r="A660" s="313" t="s">
        <v>1505</v>
      </c>
      <c r="B660" s="313" t="s">
        <v>386</v>
      </c>
      <c r="C660" s="314" t="s">
        <v>1175</v>
      </c>
      <c r="D660" s="314" t="s">
        <v>1424</v>
      </c>
      <c r="E660" s="314" t="s">
        <v>1176</v>
      </c>
      <c r="F660" s="315"/>
      <c r="G660" s="315"/>
      <c r="H660" s="315"/>
      <c r="I660" s="315"/>
      <c r="J660" s="315"/>
      <c r="K660" s="315"/>
      <c r="L660" s="315">
        <v>1</v>
      </c>
      <c r="M660" s="315">
        <v>1</v>
      </c>
      <c r="N660" s="315"/>
      <c r="O660" s="315"/>
      <c r="P660" s="315"/>
      <c r="Q660" s="315"/>
      <c r="R660" s="315"/>
      <c r="S660" s="315"/>
      <c r="T660" s="315">
        <v>1</v>
      </c>
      <c r="U660" s="315">
        <v>1</v>
      </c>
      <c r="V660" s="315"/>
      <c r="W660" s="315"/>
      <c r="X660" s="315"/>
      <c r="Y660" s="315"/>
      <c r="Z660" s="315"/>
      <c r="AA660" s="315"/>
      <c r="AB660" s="315"/>
      <c r="AC660" s="315"/>
      <c r="AD660" s="315"/>
      <c r="AE660" s="315"/>
      <c r="AF660" s="315"/>
      <c r="AG660" s="315"/>
      <c r="AH660" s="315"/>
      <c r="AI660" s="315"/>
      <c r="AJ660" s="315">
        <v>1</v>
      </c>
      <c r="AK660" s="315">
        <v>1</v>
      </c>
      <c r="AL660" s="315">
        <v>1</v>
      </c>
      <c r="AM660" s="315">
        <v>1</v>
      </c>
      <c r="AN660" s="315">
        <v>1</v>
      </c>
      <c r="AO660" s="315">
        <v>1</v>
      </c>
      <c r="AP660" s="315">
        <v>1</v>
      </c>
      <c r="AQ660" s="316">
        <v>1</v>
      </c>
    </row>
    <row r="661" spans="1:43" s="378" customFormat="1" ht="44.25" customHeight="1">
      <c r="A661" s="313" t="s">
        <v>1505</v>
      </c>
      <c r="B661" s="313" t="s">
        <v>386</v>
      </c>
      <c r="C661" s="314" t="s">
        <v>1177</v>
      </c>
      <c r="D661" s="314" t="s">
        <v>1432</v>
      </c>
      <c r="E661" s="314" t="s">
        <v>1178</v>
      </c>
      <c r="F661" s="315"/>
      <c r="G661" s="315"/>
      <c r="H661" s="315"/>
      <c r="I661" s="315"/>
      <c r="J661" s="315"/>
      <c r="K661" s="315"/>
      <c r="L661" s="315"/>
      <c r="M661" s="315"/>
      <c r="N661" s="315"/>
      <c r="O661" s="315"/>
      <c r="P661" s="315"/>
      <c r="Q661" s="315"/>
      <c r="R661" s="315"/>
      <c r="S661" s="315"/>
      <c r="T661" s="315"/>
      <c r="U661" s="315"/>
      <c r="V661" s="315"/>
      <c r="W661" s="315"/>
      <c r="X661" s="315"/>
      <c r="Y661" s="315"/>
      <c r="Z661" s="315"/>
      <c r="AA661" s="315"/>
      <c r="AB661" s="315"/>
      <c r="AC661" s="315"/>
      <c r="AD661" s="315"/>
      <c r="AE661" s="315"/>
      <c r="AF661" s="315"/>
      <c r="AG661" s="315"/>
      <c r="AH661" s="315"/>
      <c r="AI661" s="315"/>
      <c r="AJ661" s="315"/>
      <c r="AK661" s="315"/>
      <c r="AL661" s="315"/>
      <c r="AM661" s="315"/>
      <c r="AN661" s="315"/>
      <c r="AO661" s="315"/>
      <c r="AP661" s="315"/>
      <c r="AQ661" s="316"/>
    </row>
    <row r="662" spans="1:43" s="378" customFormat="1" ht="44.25" customHeight="1">
      <c r="A662" s="313" t="s">
        <v>1505</v>
      </c>
      <c r="B662" s="313" t="s">
        <v>393</v>
      </c>
      <c r="C662" s="314" t="s">
        <v>1179</v>
      </c>
      <c r="D662" s="314" t="s">
        <v>1452</v>
      </c>
      <c r="E662" s="314" t="s">
        <v>1180</v>
      </c>
      <c r="F662" s="315"/>
      <c r="G662" s="315"/>
      <c r="H662" s="315"/>
      <c r="I662" s="315"/>
      <c r="J662" s="315"/>
      <c r="K662" s="315"/>
      <c r="L662" s="315"/>
      <c r="M662" s="315"/>
      <c r="N662" s="315"/>
      <c r="O662" s="315"/>
      <c r="P662" s="315"/>
      <c r="Q662" s="315"/>
      <c r="R662" s="315"/>
      <c r="S662" s="315"/>
      <c r="T662" s="315"/>
      <c r="U662" s="315"/>
      <c r="V662" s="315"/>
      <c r="W662" s="315"/>
      <c r="X662" s="315"/>
      <c r="Y662" s="315"/>
      <c r="Z662" s="315"/>
      <c r="AA662" s="315"/>
      <c r="AB662" s="315"/>
      <c r="AC662" s="315"/>
      <c r="AD662" s="315"/>
      <c r="AE662" s="315"/>
      <c r="AF662" s="315"/>
      <c r="AG662" s="315"/>
      <c r="AH662" s="315"/>
      <c r="AI662" s="315"/>
      <c r="AJ662" s="315"/>
      <c r="AK662" s="315"/>
      <c r="AL662" s="315"/>
      <c r="AM662" s="315"/>
      <c r="AN662" s="315"/>
      <c r="AO662" s="315"/>
      <c r="AP662" s="315"/>
      <c r="AQ662" s="316"/>
    </row>
    <row r="663" spans="1:43" s="378" customFormat="1" ht="44.25" customHeight="1">
      <c r="A663" s="313" t="s">
        <v>1537</v>
      </c>
      <c r="B663" s="313" t="s">
        <v>389</v>
      </c>
      <c r="C663" s="314" t="s">
        <v>1181</v>
      </c>
      <c r="D663" s="314" t="s">
        <v>1448</v>
      </c>
      <c r="E663" s="314" t="s">
        <v>1741</v>
      </c>
      <c r="F663" s="315"/>
      <c r="G663" s="315"/>
      <c r="H663" s="315"/>
      <c r="I663" s="315"/>
      <c r="J663" s="315"/>
      <c r="K663" s="315"/>
      <c r="L663" s="315">
        <v>1</v>
      </c>
      <c r="M663" s="315">
        <v>1</v>
      </c>
      <c r="N663" s="315"/>
      <c r="O663" s="315"/>
      <c r="P663" s="315"/>
      <c r="Q663" s="315"/>
      <c r="R663" s="315"/>
      <c r="S663" s="315"/>
      <c r="T663" s="315"/>
      <c r="U663" s="315">
        <v>1</v>
      </c>
      <c r="V663" s="315"/>
      <c r="W663" s="315"/>
      <c r="X663" s="315"/>
      <c r="Y663" s="315"/>
      <c r="Z663" s="315"/>
      <c r="AA663" s="315"/>
      <c r="AB663" s="315"/>
      <c r="AC663" s="315">
        <v>1</v>
      </c>
      <c r="AD663" s="315"/>
      <c r="AE663" s="315"/>
      <c r="AF663" s="315"/>
      <c r="AG663" s="315"/>
      <c r="AH663" s="315"/>
      <c r="AI663" s="315"/>
      <c r="AJ663" s="315"/>
      <c r="AK663" s="315">
        <v>1</v>
      </c>
      <c r="AL663" s="315"/>
      <c r="AM663" s="315">
        <v>1</v>
      </c>
      <c r="AN663" s="315"/>
      <c r="AO663" s="315">
        <v>1</v>
      </c>
      <c r="AP663" s="315">
        <v>1</v>
      </c>
      <c r="AQ663" s="316">
        <v>1</v>
      </c>
    </row>
    <row r="664" spans="1:43" s="378" customFormat="1" ht="44.25" customHeight="1">
      <c r="A664" s="313" t="s">
        <v>1537</v>
      </c>
      <c r="B664" s="313" t="s">
        <v>389</v>
      </c>
      <c r="C664" s="314" t="s">
        <v>1182</v>
      </c>
      <c r="D664" s="314" t="s">
        <v>1448</v>
      </c>
      <c r="E664" s="314" t="s">
        <v>1742</v>
      </c>
      <c r="F664" s="315"/>
      <c r="G664" s="315"/>
      <c r="H664" s="315"/>
      <c r="I664" s="315"/>
      <c r="J664" s="315"/>
      <c r="K664" s="315"/>
      <c r="L664" s="315"/>
      <c r="M664" s="315"/>
      <c r="N664" s="315"/>
      <c r="O664" s="315"/>
      <c r="P664" s="315"/>
      <c r="Q664" s="315"/>
      <c r="R664" s="315"/>
      <c r="S664" s="315"/>
      <c r="T664" s="315"/>
      <c r="U664" s="315">
        <v>1</v>
      </c>
      <c r="V664" s="315"/>
      <c r="W664" s="315"/>
      <c r="X664" s="315"/>
      <c r="Y664" s="315"/>
      <c r="Z664" s="315"/>
      <c r="AA664" s="315"/>
      <c r="AB664" s="315"/>
      <c r="AC664" s="315">
        <v>1</v>
      </c>
      <c r="AD664" s="315"/>
      <c r="AE664" s="315"/>
      <c r="AF664" s="315"/>
      <c r="AG664" s="315"/>
      <c r="AH664" s="315"/>
      <c r="AI664" s="315"/>
      <c r="AJ664" s="315"/>
      <c r="AK664" s="315">
        <v>1</v>
      </c>
      <c r="AL664" s="315"/>
      <c r="AM664" s="315">
        <v>1</v>
      </c>
      <c r="AN664" s="315"/>
      <c r="AO664" s="315"/>
      <c r="AP664" s="315"/>
      <c r="AQ664" s="316"/>
    </row>
    <row r="665" spans="1:43" s="378" customFormat="1" ht="44.25" customHeight="1">
      <c r="A665" s="313" t="s">
        <v>1537</v>
      </c>
      <c r="B665" s="313" t="s">
        <v>389</v>
      </c>
      <c r="C665" s="314" t="s">
        <v>1183</v>
      </c>
      <c r="D665" s="314" t="s">
        <v>1444</v>
      </c>
      <c r="E665" s="314" t="s">
        <v>1743</v>
      </c>
      <c r="F665" s="315"/>
      <c r="G665" s="315"/>
      <c r="H665" s="315"/>
      <c r="I665" s="315"/>
      <c r="J665" s="315"/>
      <c r="K665" s="315"/>
      <c r="L665" s="315"/>
      <c r="M665" s="315">
        <v>1</v>
      </c>
      <c r="N665" s="315"/>
      <c r="O665" s="315"/>
      <c r="P665" s="315"/>
      <c r="Q665" s="315"/>
      <c r="R665" s="315"/>
      <c r="S665" s="315"/>
      <c r="T665" s="315"/>
      <c r="U665" s="315">
        <v>1</v>
      </c>
      <c r="V665" s="315"/>
      <c r="W665" s="315"/>
      <c r="X665" s="315"/>
      <c r="Y665" s="315"/>
      <c r="Z665" s="315"/>
      <c r="AA665" s="315"/>
      <c r="AB665" s="315"/>
      <c r="AC665" s="315">
        <v>1</v>
      </c>
      <c r="AD665" s="315"/>
      <c r="AE665" s="315"/>
      <c r="AF665" s="315"/>
      <c r="AG665" s="315"/>
      <c r="AH665" s="315"/>
      <c r="AI665" s="315"/>
      <c r="AJ665" s="315"/>
      <c r="AK665" s="315">
        <v>1</v>
      </c>
      <c r="AL665" s="315"/>
      <c r="AM665" s="315">
        <v>1</v>
      </c>
      <c r="AN665" s="315"/>
      <c r="AO665" s="315">
        <v>1</v>
      </c>
      <c r="AP665" s="315"/>
      <c r="AQ665" s="316"/>
    </row>
    <row r="666" spans="1:43" s="378" customFormat="1" ht="44.25" customHeight="1">
      <c r="A666" s="313" t="s">
        <v>1537</v>
      </c>
      <c r="B666" s="313" t="s">
        <v>389</v>
      </c>
      <c r="C666" s="314" t="s">
        <v>1184</v>
      </c>
      <c r="D666" s="314" t="s">
        <v>1442</v>
      </c>
      <c r="E666" s="314" t="s">
        <v>1744</v>
      </c>
      <c r="F666" s="315"/>
      <c r="G666" s="315"/>
      <c r="H666" s="315"/>
      <c r="I666" s="315"/>
      <c r="J666" s="315"/>
      <c r="K666" s="315"/>
      <c r="L666" s="315"/>
      <c r="M666" s="315">
        <v>1</v>
      </c>
      <c r="N666" s="315"/>
      <c r="O666" s="315"/>
      <c r="P666" s="315"/>
      <c r="Q666" s="315"/>
      <c r="R666" s="315"/>
      <c r="S666" s="315"/>
      <c r="T666" s="315"/>
      <c r="U666" s="315">
        <v>1</v>
      </c>
      <c r="V666" s="315"/>
      <c r="W666" s="315"/>
      <c r="X666" s="315"/>
      <c r="Y666" s="315"/>
      <c r="Z666" s="315"/>
      <c r="AA666" s="315"/>
      <c r="AB666" s="315"/>
      <c r="AC666" s="315">
        <v>1</v>
      </c>
      <c r="AD666" s="315"/>
      <c r="AE666" s="315"/>
      <c r="AF666" s="315"/>
      <c r="AG666" s="315"/>
      <c r="AH666" s="315"/>
      <c r="AI666" s="315"/>
      <c r="AJ666" s="315"/>
      <c r="AK666" s="315">
        <v>1</v>
      </c>
      <c r="AL666" s="315"/>
      <c r="AM666" s="315">
        <v>1</v>
      </c>
      <c r="AN666" s="315"/>
      <c r="AO666" s="315">
        <v>1</v>
      </c>
      <c r="AP666" s="315"/>
      <c r="AQ666" s="316"/>
    </row>
    <row r="667" spans="1:43" s="378" customFormat="1" ht="44.25" customHeight="1">
      <c r="A667" s="313" t="s">
        <v>1537</v>
      </c>
      <c r="B667" s="313" t="s">
        <v>389</v>
      </c>
      <c r="C667" s="314" t="s">
        <v>1185</v>
      </c>
      <c r="D667" s="314" t="s">
        <v>1448</v>
      </c>
      <c r="E667" s="314" t="s">
        <v>1745</v>
      </c>
      <c r="F667" s="315"/>
      <c r="G667" s="315"/>
      <c r="H667" s="315"/>
      <c r="I667" s="315"/>
      <c r="J667" s="315"/>
      <c r="K667" s="315"/>
      <c r="L667" s="315"/>
      <c r="M667" s="315"/>
      <c r="N667" s="315"/>
      <c r="O667" s="315"/>
      <c r="P667" s="315"/>
      <c r="Q667" s="315"/>
      <c r="R667" s="315"/>
      <c r="S667" s="315"/>
      <c r="T667" s="315"/>
      <c r="U667" s="315"/>
      <c r="V667" s="315"/>
      <c r="W667" s="315"/>
      <c r="X667" s="315"/>
      <c r="Y667" s="315"/>
      <c r="Z667" s="315"/>
      <c r="AA667" s="315"/>
      <c r="AB667" s="315"/>
      <c r="AC667" s="315"/>
      <c r="AD667" s="315"/>
      <c r="AE667" s="315"/>
      <c r="AF667" s="315"/>
      <c r="AG667" s="315"/>
      <c r="AH667" s="315"/>
      <c r="AI667" s="315"/>
      <c r="AJ667" s="315"/>
      <c r="AK667" s="315"/>
      <c r="AL667" s="315"/>
      <c r="AM667" s="315"/>
      <c r="AN667" s="315"/>
      <c r="AO667" s="315">
        <v>1</v>
      </c>
      <c r="AP667" s="315"/>
      <c r="AQ667" s="316"/>
    </row>
    <row r="668" spans="1:43" s="378" customFormat="1" ht="44.25" customHeight="1">
      <c r="A668" s="313" t="s">
        <v>1537</v>
      </c>
      <c r="B668" s="313" t="s">
        <v>389</v>
      </c>
      <c r="C668" s="314" t="s">
        <v>1186</v>
      </c>
      <c r="D668" s="314" t="s">
        <v>1436</v>
      </c>
      <c r="E668" s="314" t="s">
        <v>1746</v>
      </c>
      <c r="F668" s="315"/>
      <c r="G668" s="315"/>
      <c r="H668" s="315"/>
      <c r="I668" s="315"/>
      <c r="J668" s="315"/>
      <c r="K668" s="315"/>
      <c r="L668" s="315"/>
      <c r="M668" s="315">
        <v>1</v>
      </c>
      <c r="N668" s="315"/>
      <c r="O668" s="315"/>
      <c r="P668" s="315"/>
      <c r="Q668" s="315"/>
      <c r="R668" s="315"/>
      <c r="S668" s="315"/>
      <c r="T668" s="315"/>
      <c r="U668" s="315">
        <v>1</v>
      </c>
      <c r="V668" s="315"/>
      <c r="W668" s="315"/>
      <c r="X668" s="315"/>
      <c r="Y668" s="315"/>
      <c r="Z668" s="315"/>
      <c r="AA668" s="315"/>
      <c r="AB668" s="315"/>
      <c r="AC668" s="315">
        <v>1</v>
      </c>
      <c r="AD668" s="315"/>
      <c r="AE668" s="315"/>
      <c r="AF668" s="315"/>
      <c r="AG668" s="315"/>
      <c r="AH668" s="315"/>
      <c r="AI668" s="315"/>
      <c r="AJ668" s="315"/>
      <c r="AK668" s="315">
        <v>1</v>
      </c>
      <c r="AL668" s="315"/>
      <c r="AM668" s="315"/>
      <c r="AN668" s="315"/>
      <c r="AO668" s="315">
        <v>1</v>
      </c>
      <c r="AP668" s="315"/>
      <c r="AQ668" s="316"/>
    </row>
    <row r="669" spans="1:43" s="378" customFormat="1" ht="44.25" customHeight="1">
      <c r="A669" s="313" t="s">
        <v>1537</v>
      </c>
      <c r="B669" s="313" t="s">
        <v>389</v>
      </c>
      <c r="C669" s="314" t="s">
        <v>1187</v>
      </c>
      <c r="D669" s="314" t="s">
        <v>1436</v>
      </c>
      <c r="E669" s="314" t="s">
        <v>1747</v>
      </c>
      <c r="F669" s="315"/>
      <c r="G669" s="315"/>
      <c r="H669" s="315"/>
      <c r="I669" s="315"/>
      <c r="J669" s="315"/>
      <c r="K669" s="315"/>
      <c r="L669" s="315"/>
      <c r="M669" s="315">
        <v>1</v>
      </c>
      <c r="N669" s="315"/>
      <c r="O669" s="315"/>
      <c r="P669" s="315"/>
      <c r="Q669" s="315"/>
      <c r="R669" s="315"/>
      <c r="S669" s="315"/>
      <c r="T669" s="315"/>
      <c r="U669" s="315">
        <v>1</v>
      </c>
      <c r="V669" s="315"/>
      <c r="W669" s="315"/>
      <c r="X669" s="315"/>
      <c r="Y669" s="315"/>
      <c r="Z669" s="315"/>
      <c r="AA669" s="315"/>
      <c r="AB669" s="315"/>
      <c r="AC669" s="315">
        <v>1</v>
      </c>
      <c r="AD669" s="315"/>
      <c r="AE669" s="315"/>
      <c r="AF669" s="315"/>
      <c r="AG669" s="315"/>
      <c r="AH669" s="315"/>
      <c r="AI669" s="315"/>
      <c r="AJ669" s="315"/>
      <c r="AK669" s="315">
        <v>1</v>
      </c>
      <c r="AL669" s="315"/>
      <c r="AM669" s="315">
        <v>1</v>
      </c>
      <c r="AN669" s="315"/>
      <c r="AO669" s="315">
        <v>1</v>
      </c>
      <c r="AP669" s="315"/>
      <c r="AQ669" s="316"/>
    </row>
    <row r="670" spans="1:43" s="378" customFormat="1" ht="44.25" customHeight="1">
      <c r="A670" s="313" t="s">
        <v>1537</v>
      </c>
      <c r="B670" s="313" t="s">
        <v>389</v>
      </c>
      <c r="C670" s="314" t="s">
        <v>1188</v>
      </c>
      <c r="D670" s="314" t="s">
        <v>1436</v>
      </c>
      <c r="E670" s="314" t="s">
        <v>1748</v>
      </c>
      <c r="F670" s="315"/>
      <c r="G670" s="315"/>
      <c r="H670" s="315"/>
      <c r="I670" s="315"/>
      <c r="J670" s="315"/>
      <c r="K670" s="315"/>
      <c r="L670" s="315"/>
      <c r="M670" s="315"/>
      <c r="N670" s="315"/>
      <c r="O670" s="315"/>
      <c r="P670" s="315"/>
      <c r="Q670" s="315"/>
      <c r="R670" s="315"/>
      <c r="S670" s="315"/>
      <c r="T670" s="315"/>
      <c r="U670" s="315">
        <v>1</v>
      </c>
      <c r="V670" s="315"/>
      <c r="W670" s="315"/>
      <c r="X670" s="315"/>
      <c r="Y670" s="315"/>
      <c r="Z670" s="315"/>
      <c r="AA670" s="315"/>
      <c r="AB670" s="315"/>
      <c r="AC670" s="315">
        <v>1</v>
      </c>
      <c r="AD670" s="315"/>
      <c r="AE670" s="315"/>
      <c r="AF670" s="315"/>
      <c r="AG670" s="315"/>
      <c r="AH670" s="315"/>
      <c r="AI670" s="315"/>
      <c r="AJ670" s="315"/>
      <c r="AK670" s="315">
        <v>1</v>
      </c>
      <c r="AL670" s="315"/>
      <c r="AM670" s="315">
        <v>1</v>
      </c>
      <c r="AN670" s="315"/>
      <c r="AO670" s="315">
        <v>1</v>
      </c>
      <c r="AP670" s="315"/>
      <c r="AQ670" s="316"/>
    </row>
    <row r="671" spans="1:43" s="378" customFormat="1" ht="44.25" customHeight="1">
      <c r="A671" s="313" t="s">
        <v>1537</v>
      </c>
      <c r="B671" s="313" t="s">
        <v>389</v>
      </c>
      <c r="C671" s="314" t="s">
        <v>1189</v>
      </c>
      <c r="D671" s="314" t="s">
        <v>1436</v>
      </c>
      <c r="E671" s="314" t="s">
        <v>1749</v>
      </c>
      <c r="F671" s="315"/>
      <c r="G671" s="315"/>
      <c r="H671" s="315"/>
      <c r="I671" s="315"/>
      <c r="J671" s="315"/>
      <c r="K671" s="315"/>
      <c r="L671" s="315"/>
      <c r="M671" s="315">
        <v>1</v>
      </c>
      <c r="N671" s="315"/>
      <c r="O671" s="315"/>
      <c r="P671" s="315"/>
      <c r="Q671" s="315"/>
      <c r="R671" s="315"/>
      <c r="S671" s="315"/>
      <c r="T671" s="315"/>
      <c r="U671" s="315">
        <v>1</v>
      </c>
      <c r="V671" s="315"/>
      <c r="W671" s="315"/>
      <c r="X671" s="315"/>
      <c r="Y671" s="315"/>
      <c r="Z671" s="315"/>
      <c r="AA671" s="315"/>
      <c r="AB671" s="315"/>
      <c r="AC671" s="315">
        <v>1</v>
      </c>
      <c r="AD671" s="315"/>
      <c r="AE671" s="315"/>
      <c r="AF671" s="315"/>
      <c r="AG671" s="315"/>
      <c r="AH671" s="315"/>
      <c r="AI671" s="315"/>
      <c r="AJ671" s="315"/>
      <c r="AK671" s="315">
        <v>1</v>
      </c>
      <c r="AL671" s="315"/>
      <c r="AM671" s="315">
        <v>1</v>
      </c>
      <c r="AN671" s="315"/>
      <c r="AO671" s="315">
        <v>1</v>
      </c>
      <c r="AP671" s="315"/>
      <c r="AQ671" s="316"/>
    </row>
    <row r="672" spans="1:43" s="378" customFormat="1" ht="44.25" customHeight="1">
      <c r="A672" s="313" t="s">
        <v>1537</v>
      </c>
      <c r="B672" s="313" t="s">
        <v>389</v>
      </c>
      <c r="C672" s="314" t="s">
        <v>1190</v>
      </c>
      <c r="D672" s="314" t="s">
        <v>1436</v>
      </c>
      <c r="E672" s="314" t="s">
        <v>1750</v>
      </c>
      <c r="F672" s="315"/>
      <c r="G672" s="315"/>
      <c r="H672" s="315"/>
      <c r="I672" s="315"/>
      <c r="J672" s="315"/>
      <c r="K672" s="315"/>
      <c r="L672" s="315"/>
      <c r="M672" s="315">
        <v>1</v>
      </c>
      <c r="N672" s="315"/>
      <c r="O672" s="315"/>
      <c r="P672" s="315"/>
      <c r="Q672" s="315"/>
      <c r="R672" s="315"/>
      <c r="S672" s="315"/>
      <c r="T672" s="315"/>
      <c r="U672" s="315">
        <v>1</v>
      </c>
      <c r="V672" s="315"/>
      <c r="W672" s="315"/>
      <c r="X672" s="315"/>
      <c r="Y672" s="315"/>
      <c r="Z672" s="315"/>
      <c r="AA672" s="315"/>
      <c r="AB672" s="315"/>
      <c r="AC672" s="315">
        <v>1</v>
      </c>
      <c r="AD672" s="315"/>
      <c r="AE672" s="315"/>
      <c r="AF672" s="315"/>
      <c r="AG672" s="315"/>
      <c r="AH672" s="315"/>
      <c r="AI672" s="315"/>
      <c r="AJ672" s="315"/>
      <c r="AK672" s="315">
        <v>1</v>
      </c>
      <c r="AL672" s="315"/>
      <c r="AM672" s="315">
        <v>1</v>
      </c>
      <c r="AN672" s="315"/>
      <c r="AO672" s="315">
        <v>1</v>
      </c>
      <c r="AP672" s="315"/>
      <c r="AQ672" s="316"/>
    </row>
    <row r="673" spans="1:43" s="378" customFormat="1" ht="44.25" customHeight="1">
      <c r="A673" s="313" t="s">
        <v>1537</v>
      </c>
      <c r="B673" s="313" t="s">
        <v>389</v>
      </c>
      <c r="C673" s="314" t="s">
        <v>1191</v>
      </c>
      <c r="D673" s="314" t="s">
        <v>1436</v>
      </c>
      <c r="E673" s="314" t="s">
        <v>1751</v>
      </c>
      <c r="F673" s="315"/>
      <c r="G673" s="315"/>
      <c r="H673" s="315"/>
      <c r="I673" s="315"/>
      <c r="J673" s="315"/>
      <c r="K673" s="315"/>
      <c r="L673" s="315"/>
      <c r="M673" s="315">
        <v>1</v>
      </c>
      <c r="N673" s="315"/>
      <c r="O673" s="315"/>
      <c r="P673" s="315"/>
      <c r="Q673" s="315"/>
      <c r="R673" s="315"/>
      <c r="S673" s="315"/>
      <c r="T673" s="315"/>
      <c r="U673" s="315">
        <v>1</v>
      </c>
      <c r="V673" s="315"/>
      <c r="W673" s="315"/>
      <c r="X673" s="315"/>
      <c r="Y673" s="315"/>
      <c r="Z673" s="315"/>
      <c r="AA673" s="315"/>
      <c r="AB673" s="315"/>
      <c r="AC673" s="315">
        <v>1</v>
      </c>
      <c r="AD673" s="315"/>
      <c r="AE673" s="315"/>
      <c r="AF673" s="315"/>
      <c r="AG673" s="315"/>
      <c r="AH673" s="315"/>
      <c r="AI673" s="315"/>
      <c r="AJ673" s="315"/>
      <c r="AK673" s="315">
        <v>1</v>
      </c>
      <c r="AL673" s="315"/>
      <c r="AM673" s="315">
        <v>1</v>
      </c>
      <c r="AN673" s="315"/>
      <c r="AO673" s="315">
        <v>1</v>
      </c>
      <c r="AP673" s="315"/>
      <c r="AQ673" s="316"/>
    </row>
    <row r="674" spans="1:43" s="378" customFormat="1" ht="44.25" customHeight="1">
      <c r="A674" s="313" t="s">
        <v>1537</v>
      </c>
      <c r="B674" s="313" t="s">
        <v>389</v>
      </c>
      <c r="C674" s="314" t="s">
        <v>1192</v>
      </c>
      <c r="D674" s="314" t="s">
        <v>1424</v>
      </c>
      <c r="E674" s="314" t="s">
        <v>1752</v>
      </c>
      <c r="F674" s="315"/>
      <c r="G674" s="315"/>
      <c r="H674" s="315"/>
      <c r="I674" s="315"/>
      <c r="J674" s="315"/>
      <c r="K674" s="315"/>
      <c r="L674" s="315"/>
      <c r="M674" s="315">
        <v>1</v>
      </c>
      <c r="N674" s="315"/>
      <c r="O674" s="315"/>
      <c r="P674" s="315"/>
      <c r="Q674" s="315"/>
      <c r="R674" s="315"/>
      <c r="S674" s="315"/>
      <c r="T674" s="315"/>
      <c r="U674" s="315">
        <v>1</v>
      </c>
      <c r="V674" s="315"/>
      <c r="W674" s="315"/>
      <c r="X674" s="315"/>
      <c r="Y674" s="315"/>
      <c r="Z674" s="315"/>
      <c r="AA674" s="315"/>
      <c r="AB674" s="315"/>
      <c r="AC674" s="315">
        <v>1</v>
      </c>
      <c r="AD674" s="315"/>
      <c r="AE674" s="315"/>
      <c r="AF674" s="315"/>
      <c r="AG674" s="315"/>
      <c r="AH674" s="315"/>
      <c r="AI674" s="315"/>
      <c r="AJ674" s="315"/>
      <c r="AK674" s="315">
        <v>1</v>
      </c>
      <c r="AL674" s="315"/>
      <c r="AM674" s="315">
        <v>1</v>
      </c>
      <c r="AN674" s="315"/>
      <c r="AO674" s="315">
        <v>1</v>
      </c>
      <c r="AP674" s="315"/>
      <c r="AQ674" s="316"/>
    </row>
    <row r="675" spans="1:43" s="378" customFormat="1" ht="44.25" customHeight="1">
      <c r="A675" s="313" t="s">
        <v>1537</v>
      </c>
      <c r="B675" s="313" t="s">
        <v>389</v>
      </c>
      <c r="C675" s="314" t="s">
        <v>1193</v>
      </c>
      <c r="D675" s="314" t="s">
        <v>1424</v>
      </c>
      <c r="E675" s="314" t="s">
        <v>1753</v>
      </c>
      <c r="F675" s="315"/>
      <c r="G675" s="315"/>
      <c r="H675" s="315"/>
      <c r="I675" s="315"/>
      <c r="J675" s="315"/>
      <c r="K675" s="315"/>
      <c r="L675" s="315"/>
      <c r="M675" s="315">
        <v>1</v>
      </c>
      <c r="N675" s="315"/>
      <c r="O675" s="315"/>
      <c r="P675" s="315"/>
      <c r="Q675" s="315"/>
      <c r="R675" s="315"/>
      <c r="S675" s="315"/>
      <c r="T675" s="315"/>
      <c r="U675" s="315">
        <v>1</v>
      </c>
      <c r="V675" s="315"/>
      <c r="W675" s="315"/>
      <c r="X675" s="315"/>
      <c r="Y675" s="315"/>
      <c r="Z675" s="315"/>
      <c r="AA675" s="315"/>
      <c r="AB675" s="315"/>
      <c r="AC675" s="315">
        <v>1</v>
      </c>
      <c r="AD675" s="315"/>
      <c r="AE675" s="315"/>
      <c r="AF675" s="315"/>
      <c r="AG675" s="315"/>
      <c r="AH675" s="315"/>
      <c r="AI675" s="315"/>
      <c r="AJ675" s="315"/>
      <c r="AK675" s="315">
        <v>1</v>
      </c>
      <c r="AL675" s="315">
        <v>1</v>
      </c>
      <c r="AM675" s="315">
        <v>1</v>
      </c>
      <c r="AN675" s="315"/>
      <c r="AO675" s="315">
        <v>1</v>
      </c>
      <c r="AP675" s="315"/>
      <c r="AQ675" s="316"/>
    </row>
    <row r="676" spans="1:43" s="378" customFormat="1" ht="44.25" customHeight="1">
      <c r="A676" s="313" t="s">
        <v>1537</v>
      </c>
      <c r="B676" s="313" t="s">
        <v>389</v>
      </c>
      <c r="C676" s="314" t="s">
        <v>1194</v>
      </c>
      <c r="D676" s="314" t="s">
        <v>1436</v>
      </c>
      <c r="E676" s="314" t="s">
        <v>1754</v>
      </c>
      <c r="F676" s="315"/>
      <c r="G676" s="315"/>
      <c r="H676" s="315"/>
      <c r="I676" s="315"/>
      <c r="J676" s="315"/>
      <c r="K676" s="315"/>
      <c r="L676" s="315"/>
      <c r="M676" s="315">
        <v>1</v>
      </c>
      <c r="N676" s="315"/>
      <c r="O676" s="315"/>
      <c r="P676" s="315"/>
      <c r="Q676" s="315"/>
      <c r="R676" s="315"/>
      <c r="S676" s="315"/>
      <c r="T676" s="315"/>
      <c r="U676" s="315">
        <v>1</v>
      </c>
      <c r="V676" s="315"/>
      <c r="W676" s="315"/>
      <c r="X676" s="315"/>
      <c r="Y676" s="315"/>
      <c r="Z676" s="315"/>
      <c r="AA676" s="315"/>
      <c r="AB676" s="315"/>
      <c r="AC676" s="315">
        <v>1</v>
      </c>
      <c r="AD676" s="315"/>
      <c r="AE676" s="315"/>
      <c r="AF676" s="315"/>
      <c r="AG676" s="315"/>
      <c r="AH676" s="315"/>
      <c r="AI676" s="315"/>
      <c r="AJ676" s="315"/>
      <c r="AK676" s="315">
        <v>1</v>
      </c>
      <c r="AL676" s="315"/>
      <c r="AM676" s="315">
        <v>1</v>
      </c>
      <c r="AN676" s="315"/>
      <c r="AO676" s="315">
        <v>1</v>
      </c>
      <c r="AP676" s="315"/>
      <c r="AQ676" s="316"/>
    </row>
    <row r="677" spans="1:43" s="378" customFormat="1" ht="44.25" customHeight="1">
      <c r="A677" s="313" t="s">
        <v>1537</v>
      </c>
      <c r="B677" s="313" t="s">
        <v>389</v>
      </c>
      <c r="C677" s="314" t="s">
        <v>1195</v>
      </c>
      <c r="D677" s="314" t="s">
        <v>1424</v>
      </c>
      <c r="E677" s="314" t="s">
        <v>1755</v>
      </c>
      <c r="F677" s="315"/>
      <c r="G677" s="315"/>
      <c r="H677" s="315"/>
      <c r="I677" s="315"/>
      <c r="J677" s="315"/>
      <c r="K677" s="315"/>
      <c r="L677" s="315"/>
      <c r="M677" s="315"/>
      <c r="N677" s="315"/>
      <c r="O677" s="315"/>
      <c r="P677" s="315"/>
      <c r="Q677" s="315"/>
      <c r="R677" s="315"/>
      <c r="S677" s="315"/>
      <c r="T677" s="315"/>
      <c r="U677" s="315">
        <v>1</v>
      </c>
      <c r="V677" s="315"/>
      <c r="W677" s="315"/>
      <c r="X677" s="315"/>
      <c r="Y677" s="315"/>
      <c r="Z677" s="315"/>
      <c r="AA677" s="315"/>
      <c r="AB677" s="315"/>
      <c r="AC677" s="315">
        <v>1</v>
      </c>
      <c r="AD677" s="315"/>
      <c r="AE677" s="315"/>
      <c r="AF677" s="315"/>
      <c r="AG677" s="315"/>
      <c r="AH677" s="315"/>
      <c r="AI677" s="315"/>
      <c r="AJ677" s="315"/>
      <c r="AK677" s="315">
        <v>1</v>
      </c>
      <c r="AL677" s="315"/>
      <c r="AM677" s="315">
        <v>1</v>
      </c>
      <c r="AN677" s="315"/>
      <c r="AO677" s="315"/>
      <c r="AP677" s="315"/>
      <c r="AQ677" s="316"/>
    </row>
    <row r="678" spans="1:43" s="378" customFormat="1" ht="44.25" customHeight="1">
      <c r="A678" s="313" t="s">
        <v>1537</v>
      </c>
      <c r="B678" s="313" t="s">
        <v>389</v>
      </c>
      <c r="C678" s="314" t="s">
        <v>1196</v>
      </c>
      <c r="D678" s="314" t="s">
        <v>1446</v>
      </c>
      <c r="E678" s="314" t="s">
        <v>1756</v>
      </c>
      <c r="F678" s="315"/>
      <c r="G678" s="315"/>
      <c r="H678" s="315"/>
      <c r="I678" s="315"/>
      <c r="J678" s="315"/>
      <c r="K678" s="315"/>
      <c r="L678" s="315"/>
      <c r="M678" s="315">
        <v>1</v>
      </c>
      <c r="N678" s="315"/>
      <c r="O678" s="315"/>
      <c r="P678" s="315"/>
      <c r="Q678" s="315"/>
      <c r="R678" s="315"/>
      <c r="S678" s="315"/>
      <c r="T678" s="315"/>
      <c r="U678" s="315">
        <v>1</v>
      </c>
      <c r="V678" s="315"/>
      <c r="W678" s="315"/>
      <c r="X678" s="315"/>
      <c r="Y678" s="315"/>
      <c r="Z678" s="315"/>
      <c r="AA678" s="315"/>
      <c r="AB678" s="315"/>
      <c r="AC678" s="315">
        <v>1</v>
      </c>
      <c r="AD678" s="315"/>
      <c r="AE678" s="315"/>
      <c r="AF678" s="315"/>
      <c r="AG678" s="315"/>
      <c r="AH678" s="315"/>
      <c r="AI678" s="315"/>
      <c r="AJ678" s="315"/>
      <c r="AK678" s="315">
        <v>1</v>
      </c>
      <c r="AL678" s="315"/>
      <c r="AM678" s="315">
        <v>1</v>
      </c>
      <c r="AN678" s="315"/>
      <c r="AO678" s="315">
        <v>1</v>
      </c>
      <c r="AP678" s="315"/>
      <c r="AQ678" s="316"/>
    </row>
    <row r="679" spans="1:43" s="378" customFormat="1" ht="44.25" customHeight="1">
      <c r="A679" s="313" t="s">
        <v>1537</v>
      </c>
      <c r="B679" s="313" t="s">
        <v>389</v>
      </c>
      <c r="C679" s="314" t="s">
        <v>1197</v>
      </c>
      <c r="D679" s="314" t="s">
        <v>1444</v>
      </c>
      <c r="E679" s="314" t="s">
        <v>1757</v>
      </c>
      <c r="F679" s="315"/>
      <c r="G679" s="315"/>
      <c r="H679" s="315"/>
      <c r="I679" s="315"/>
      <c r="J679" s="315"/>
      <c r="K679" s="315"/>
      <c r="L679" s="315"/>
      <c r="M679" s="315">
        <v>1</v>
      </c>
      <c r="N679" s="315"/>
      <c r="O679" s="315"/>
      <c r="P679" s="315"/>
      <c r="Q679" s="315"/>
      <c r="R679" s="315"/>
      <c r="S679" s="315"/>
      <c r="T679" s="315"/>
      <c r="U679" s="315">
        <v>1</v>
      </c>
      <c r="V679" s="315"/>
      <c r="W679" s="315"/>
      <c r="X679" s="315"/>
      <c r="Y679" s="315"/>
      <c r="Z679" s="315"/>
      <c r="AA679" s="315"/>
      <c r="AB679" s="315"/>
      <c r="AC679" s="315">
        <v>1</v>
      </c>
      <c r="AD679" s="315"/>
      <c r="AE679" s="315"/>
      <c r="AF679" s="315"/>
      <c r="AG679" s="315"/>
      <c r="AH679" s="315"/>
      <c r="AI679" s="315"/>
      <c r="AJ679" s="315"/>
      <c r="AK679" s="315">
        <v>1</v>
      </c>
      <c r="AL679" s="315"/>
      <c r="AM679" s="315">
        <v>1</v>
      </c>
      <c r="AN679" s="315"/>
      <c r="AO679" s="315">
        <v>1</v>
      </c>
      <c r="AP679" s="315"/>
      <c r="AQ679" s="316"/>
    </row>
    <row r="680" spans="1:43" s="378" customFormat="1" ht="44.25" customHeight="1">
      <c r="A680" s="313" t="s">
        <v>1537</v>
      </c>
      <c r="B680" s="313" t="s">
        <v>389</v>
      </c>
      <c r="C680" s="314" t="s">
        <v>1198</v>
      </c>
      <c r="D680" s="314" t="s">
        <v>1436</v>
      </c>
      <c r="E680" s="314" t="s">
        <v>1758</v>
      </c>
      <c r="F680" s="315"/>
      <c r="G680" s="315"/>
      <c r="H680" s="315"/>
      <c r="I680" s="315"/>
      <c r="J680" s="315"/>
      <c r="K680" s="315"/>
      <c r="L680" s="315"/>
      <c r="M680" s="315">
        <v>1</v>
      </c>
      <c r="N680" s="315"/>
      <c r="O680" s="315"/>
      <c r="P680" s="315"/>
      <c r="Q680" s="315"/>
      <c r="R680" s="315"/>
      <c r="S680" s="315"/>
      <c r="T680" s="315"/>
      <c r="U680" s="315"/>
      <c r="V680" s="315"/>
      <c r="W680" s="315"/>
      <c r="X680" s="315"/>
      <c r="Y680" s="315"/>
      <c r="Z680" s="315"/>
      <c r="AA680" s="315"/>
      <c r="AB680" s="315"/>
      <c r="AC680" s="315">
        <v>1</v>
      </c>
      <c r="AD680" s="315"/>
      <c r="AE680" s="315"/>
      <c r="AF680" s="315"/>
      <c r="AG680" s="315"/>
      <c r="AH680" s="315"/>
      <c r="AI680" s="315"/>
      <c r="AJ680" s="315"/>
      <c r="AK680" s="315">
        <v>1</v>
      </c>
      <c r="AL680" s="315"/>
      <c r="AM680" s="315">
        <v>1</v>
      </c>
      <c r="AN680" s="315"/>
      <c r="AO680" s="315">
        <v>1</v>
      </c>
      <c r="AP680" s="315"/>
      <c r="AQ680" s="316"/>
    </row>
    <row r="681" spans="1:43" s="378" customFormat="1" ht="44.25" customHeight="1">
      <c r="A681" s="313" t="s">
        <v>1537</v>
      </c>
      <c r="B681" s="313" t="s">
        <v>389</v>
      </c>
      <c r="C681" s="314" t="s">
        <v>1199</v>
      </c>
      <c r="D681" s="314" t="s">
        <v>1436</v>
      </c>
      <c r="E681" s="314" t="s">
        <v>1759</v>
      </c>
      <c r="F681" s="315"/>
      <c r="G681" s="315"/>
      <c r="H681" s="315"/>
      <c r="I681" s="315"/>
      <c r="J681" s="315"/>
      <c r="K681" s="315"/>
      <c r="L681" s="315"/>
      <c r="M681" s="315">
        <v>1</v>
      </c>
      <c r="N681" s="315"/>
      <c r="O681" s="315"/>
      <c r="P681" s="315"/>
      <c r="Q681" s="315"/>
      <c r="R681" s="315"/>
      <c r="S681" s="315"/>
      <c r="T681" s="315"/>
      <c r="U681" s="315">
        <v>1</v>
      </c>
      <c r="V681" s="315"/>
      <c r="W681" s="315"/>
      <c r="X681" s="315"/>
      <c r="Y681" s="315"/>
      <c r="Z681" s="315"/>
      <c r="AA681" s="315"/>
      <c r="AB681" s="315"/>
      <c r="AC681" s="315">
        <v>1</v>
      </c>
      <c r="AD681" s="315"/>
      <c r="AE681" s="315"/>
      <c r="AF681" s="315"/>
      <c r="AG681" s="315"/>
      <c r="AH681" s="315"/>
      <c r="AI681" s="315"/>
      <c r="AJ681" s="315"/>
      <c r="AK681" s="315">
        <v>1</v>
      </c>
      <c r="AL681" s="315"/>
      <c r="AM681" s="315">
        <v>1</v>
      </c>
      <c r="AN681" s="315"/>
      <c r="AO681" s="315">
        <v>1</v>
      </c>
      <c r="AP681" s="315"/>
      <c r="AQ681" s="316"/>
    </row>
    <row r="682" spans="1:43" s="378" customFormat="1" ht="44.25" customHeight="1">
      <c r="A682" s="313" t="s">
        <v>1537</v>
      </c>
      <c r="B682" s="313" t="s">
        <v>389</v>
      </c>
      <c r="C682" s="314" t="s">
        <v>1200</v>
      </c>
      <c r="D682" s="314" t="s">
        <v>1438</v>
      </c>
      <c r="E682" s="314" t="s">
        <v>1760</v>
      </c>
      <c r="F682" s="315"/>
      <c r="G682" s="315"/>
      <c r="H682" s="315"/>
      <c r="I682" s="315"/>
      <c r="J682" s="315"/>
      <c r="K682" s="315"/>
      <c r="L682" s="315"/>
      <c r="M682" s="315">
        <v>1</v>
      </c>
      <c r="N682" s="315"/>
      <c r="O682" s="315"/>
      <c r="P682" s="315"/>
      <c r="Q682" s="315"/>
      <c r="R682" s="315"/>
      <c r="S682" s="315"/>
      <c r="T682" s="315"/>
      <c r="U682" s="315">
        <v>1</v>
      </c>
      <c r="V682" s="315"/>
      <c r="W682" s="315"/>
      <c r="X682" s="315"/>
      <c r="Y682" s="315"/>
      <c r="Z682" s="315"/>
      <c r="AA682" s="315"/>
      <c r="AB682" s="315"/>
      <c r="AC682" s="315">
        <v>1</v>
      </c>
      <c r="AD682" s="315"/>
      <c r="AE682" s="315"/>
      <c r="AF682" s="315"/>
      <c r="AG682" s="315"/>
      <c r="AH682" s="315"/>
      <c r="AI682" s="315"/>
      <c r="AJ682" s="315"/>
      <c r="AK682" s="315">
        <v>1</v>
      </c>
      <c r="AL682" s="315"/>
      <c r="AM682" s="315"/>
      <c r="AN682" s="315"/>
      <c r="AO682" s="315">
        <v>1</v>
      </c>
      <c r="AP682" s="315"/>
      <c r="AQ682" s="316"/>
    </row>
    <row r="683" spans="1:43" s="378" customFormat="1" ht="44.25" customHeight="1">
      <c r="A683" s="313" t="s">
        <v>1537</v>
      </c>
      <c r="B683" s="313" t="s">
        <v>390</v>
      </c>
      <c r="C683" s="314" t="s">
        <v>1201</v>
      </c>
      <c r="D683" s="314" t="s">
        <v>1450</v>
      </c>
      <c r="E683" s="314" t="s">
        <v>1761</v>
      </c>
      <c r="F683" s="315"/>
      <c r="G683" s="315"/>
      <c r="H683" s="315"/>
      <c r="I683" s="315"/>
      <c r="J683" s="315"/>
      <c r="K683" s="315"/>
      <c r="L683" s="315">
        <v>1</v>
      </c>
      <c r="M683" s="315">
        <v>1</v>
      </c>
      <c r="N683" s="315"/>
      <c r="O683" s="315"/>
      <c r="P683" s="315"/>
      <c r="Q683" s="315"/>
      <c r="R683" s="315"/>
      <c r="S683" s="315"/>
      <c r="T683" s="315"/>
      <c r="U683" s="315">
        <v>1</v>
      </c>
      <c r="V683" s="315"/>
      <c r="W683" s="315"/>
      <c r="X683" s="315"/>
      <c r="Y683" s="315"/>
      <c r="Z683" s="315"/>
      <c r="AA683" s="315"/>
      <c r="AB683" s="315"/>
      <c r="AC683" s="315"/>
      <c r="AD683" s="315"/>
      <c r="AE683" s="315"/>
      <c r="AF683" s="315"/>
      <c r="AG683" s="315"/>
      <c r="AH683" s="315"/>
      <c r="AI683" s="315"/>
      <c r="AJ683" s="315"/>
      <c r="AK683" s="315"/>
      <c r="AL683" s="315"/>
      <c r="AM683" s="315">
        <v>1</v>
      </c>
      <c r="AN683" s="315"/>
      <c r="AO683" s="315"/>
      <c r="AP683" s="315"/>
      <c r="AQ683" s="316"/>
    </row>
    <row r="684" spans="1:43" s="378" customFormat="1" ht="44.25" customHeight="1">
      <c r="A684" s="313" t="s">
        <v>1537</v>
      </c>
      <c r="B684" s="313" t="s">
        <v>390</v>
      </c>
      <c r="C684" s="314" t="s">
        <v>1202</v>
      </c>
      <c r="D684" s="314" t="s">
        <v>1450</v>
      </c>
      <c r="E684" s="314" t="s">
        <v>1762</v>
      </c>
      <c r="F684" s="315"/>
      <c r="G684" s="315"/>
      <c r="H684" s="315"/>
      <c r="I684" s="315"/>
      <c r="J684" s="315"/>
      <c r="K684" s="315"/>
      <c r="L684" s="315">
        <v>1</v>
      </c>
      <c r="M684" s="315">
        <v>1</v>
      </c>
      <c r="N684" s="315"/>
      <c r="O684" s="315"/>
      <c r="P684" s="315"/>
      <c r="Q684" s="315"/>
      <c r="R684" s="315"/>
      <c r="S684" s="315"/>
      <c r="T684" s="315">
        <v>1</v>
      </c>
      <c r="U684" s="315">
        <v>1</v>
      </c>
      <c r="V684" s="315"/>
      <c r="W684" s="315"/>
      <c r="X684" s="315"/>
      <c r="Y684" s="315"/>
      <c r="Z684" s="315"/>
      <c r="AA684" s="315"/>
      <c r="AB684" s="315"/>
      <c r="AC684" s="315"/>
      <c r="AD684" s="315"/>
      <c r="AE684" s="315"/>
      <c r="AF684" s="315"/>
      <c r="AG684" s="315"/>
      <c r="AH684" s="315"/>
      <c r="AI684" s="315"/>
      <c r="AJ684" s="315"/>
      <c r="AK684" s="315"/>
      <c r="AL684" s="315"/>
      <c r="AM684" s="315">
        <v>1</v>
      </c>
      <c r="AN684" s="315"/>
      <c r="AO684" s="315"/>
      <c r="AP684" s="315"/>
      <c r="AQ684" s="316"/>
    </row>
    <row r="685" spans="1:43" s="378" customFormat="1" ht="44.25" customHeight="1">
      <c r="A685" s="313" t="s">
        <v>1537</v>
      </c>
      <c r="B685" s="313" t="s">
        <v>390</v>
      </c>
      <c r="C685" s="314" t="s">
        <v>1203</v>
      </c>
      <c r="D685" s="314" t="s">
        <v>1450</v>
      </c>
      <c r="E685" s="314" t="s">
        <v>1763</v>
      </c>
      <c r="F685" s="315"/>
      <c r="G685" s="315"/>
      <c r="H685" s="315"/>
      <c r="I685" s="315"/>
      <c r="J685" s="315"/>
      <c r="K685" s="315"/>
      <c r="L685" s="315">
        <v>1</v>
      </c>
      <c r="M685" s="315">
        <v>1</v>
      </c>
      <c r="N685" s="315"/>
      <c r="O685" s="315"/>
      <c r="P685" s="315"/>
      <c r="Q685" s="315"/>
      <c r="R685" s="315"/>
      <c r="S685" s="315"/>
      <c r="T685" s="315"/>
      <c r="U685" s="315">
        <v>1</v>
      </c>
      <c r="V685" s="315"/>
      <c r="W685" s="315"/>
      <c r="X685" s="315"/>
      <c r="Y685" s="315"/>
      <c r="Z685" s="315"/>
      <c r="AA685" s="315"/>
      <c r="AB685" s="315"/>
      <c r="AC685" s="315"/>
      <c r="AD685" s="315"/>
      <c r="AE685" s="315"/>
      <c r="AF685" s="315"/>
      <c r="AG685" s="315"/>
      <c r="AH685" s="315"/>
      <c r="AI685" s="315"/>
      <c r="AJ685" s="315"/>
      <c r="AK685" s="315"/>
      <c r="AL685" s="315"/>
      <c r="AM685" s="315"/>
      <c r="AN685" s="315"/>
      <c r="AO685" s="315"/>
      <c r="AP685" s="315"/>
      <c r="AQ685" s="316"/>
    </row>
    <row r="686" spans="1:43" s="378" customFormat="1" ht="44.25" customHeight="1">
      <c r="A686" s="313" t="s">
        <v>1537</v>
      </c>
      <c r="B686" s="313" t="s">
        <v>390</v>
      </c>
      <c r="C686" s="314" t="s">
        <v>1204</v>
      </c>
      <c r="D686" s="314" t="s">
        <v>1448</v>
      </c>
      <c r="E686" s="314" t="s">
        <v>1764</v>
      </c>
      <c r="F686" s="315"/>
      <c r="G686" s="315"/>
      <c r="H686" s="315"/>
      <c r="I686" s="315"/>
      <c r="J686" s="315"/>
      <c r="K686" s="315"/>
      <c r="L686" s="315">
        <v>1</v>
      </c>
      <c r="M686" s="315">
        <v>1</v>
      </c>
      <c r="N686" s="315"/>
      <c r="O686" s="315"/>
      <c r="P686" s="315"/>
      <c r="Q686" s="315"/>
      <c r="R686" s="315"/>
      <c r="S686" s="315"/>
      <c r="T686" s="315">
        <v>1</v>
      </c>
      <c r="U686" s="315">
        <v>1</v>
      </c>
      <c r="V686" s="315"/>
      <c r="W686" s="315"/>
      <c r="X686" s="315"/>
      <c r="Y686" s="315"/>
      <c r="Z686" s="315"/>
      <c r="AA686" s="315"/>
      <c r="AB686" s="315"/>
      <c r="AC686" s="315"/>
      <c r="AD686" s="315"/>
      <c r="AE686" s="315"/>
      <c r="AF686" s="315"/>
      <c r="AG686" s="315"/>
      <c r="AH686" s="315"/>
      <c r="AI686" s="315"/>
      <c r="AJ686" s="315"/>
      <c r="AK686" s="315"/>
      <c r="AL686" s="315"/>
      <c r="AM686" s="315"/>
      <c r="AN686" s="315"/>
      <c r="AO686" s="315"/>
      <c r="AP686" s="315"/>
      <c r="AQ686" s="316"/>
    </row>
    <row r="687" spans="1:43" s="378" customFormat="1" ht="44.25" customHeight="1">
      <c r="A687" s="313" t="s">
        <v>1537</v>
      </c>
      <c r="B687" s="313" t="s">
        <v>394</v>
      </c>
      <c r="C687" s="314" t="s">
        <v>1205</v>
      </c>
      <c r="D687" s="314" t="s">
        <v>1442</v>
      </c>
      <c r="E687" s="314" t="s">
        <v>1765</v>
      </c>
      <c r="F687" s="315"/>
      <c r="G687" s="315"/>
      <c r="H687" s="315"/>
      <c r="I687" s="315"/>
      <c r="J687" s="315"/>
      <c r="K687" s="315"/>
      <c r="L687" s="315"/>
      <c r="M687" s="315">
        <v>1</v>
      </c>
      <c r="N687" s="315"/>
      <c r="O687" s="315"/>
      <c r="P687" s="315"/>
      <c r="Q687" s="315"/>
      <c r="R687" s="315"/>
      <c r="S687" s="315"/>
      <c r="T687" s="315"/>
      <c r="U687" s="315">
        <v>1</v>
      </c>
      <c r="V687" s="315"/>
      <c r="W687" s="315"/>
      <c r="X687" s="315"/>
      <c r="Y687" s="315"/>
      <c r="Z687" s="315"/>
      <c r="AA687" s="315"/>
      <c r="AB687" s="315"/>
      <c r="AC687" s="315">
        <v>1</v>
      </c>
      <c r="AD687" s="315"/>
      <c r="AE687" s="315"/>
      <c r="AF687" s="315"/>
      <c r="AG687" s="315"/>
      <c r="AH687" s="315"/>
      <c r="AI687" s="315"/>
      <c r="AJ687" s="315"/>
      <c r="AK687" s="315">
        <v>1</v>
      </c>
      <c r="AL687" s="315"/>
      <c r="AM687" s="315">
        <v>1</v>
      </c>
      <c r="AN687" s="315"/>
      <c r="AO687" s="315">
        <v>1</v>
      </c>
      <c r="AP687" s="315"/>
      <c r="AQ687" s="316"/>
    </row>
    <row r="688" spans="1:43" s="378" customFormat="1" ht="44.25" customHeight="1">
      <c r="A688" s="313" t="s">
        <v>1537</v>
      </c>
      <c r="B688" s="313" t="s">
        <v>390</v>
      </c>
      <c r="C688" s="314" t="s">
        <v>1206</v>
      </c>
      <c r="D688" s="314" t="s">
        <v>1448</v>
      </c>
      <c r="E688" s="314" t="s">
        <v>1766</v>
      </c>
      <c r="F688" s="315"/>
      <c r="G688" s="315"/>
      <c r="H688" s="315"/>
      <c r="I688" s="315"/>
      <c r="J688" s="315"/>
      <c r="K688" s="315"/>
      <c r="L688" s="315"/>
      <c r="M688" s="315">
        <v>1</v>
      </c>
      <c r="N688" s="315"/>
      <c r="O688" s="315"/>
      <c r="P688" s="315"/>
      <c r="Q688" s="315"/>
      <c r="R688" s="315"/>
      <c r="S688" s="315"/>
      <c r="T688" s="315">
        <v>1</v>
      </c>
      <c r="U688" s="315">
        <v>1</v>
      </c>
      <c r="V688" s="315"/>
      <c r="W688" s="315"/>
      <c r="X688" s="315"/>
      <c r="Y688" s="315"/>
      <c r="Z688" s="315"/>
      <c r="AA688" s="315"/>
      <c r="AB688" s="315"/>
      <c r="AC688" s="315"/>
      <c r="AD688" s="315"/>
      <c r="AE688" s="315"/>
      <c r="AF688" s="315"/>
      <c r="AG688" s="315"/>
      <c r="AH688" s="315"/>
      <c r="AI688" s="315"/>
      <c r="AJ688" s="315"/>
      <c r="AK688" s="315"/>
      <c r="AL688" s="315"/>
      <c r="AM688" s="315"/>
      <c r="AN688" s="315"/>
      <c r="AO688" s="315"/>
      <c r="AP688" s="315"/>
      <c r="AQ688" s="316"/>
    </row>
    <row r="689" spans="1:43" s="378" customFormat="1" ht="44.25" customHeight="1">
      <c r="A689" s="313" t="s">
        <v>1537</v>
      </c>
      <c r="B689" s="313" t="s">
        <v>390</v>
      </c>
      <c r="C689" s="314" t="s">
        <v>1207</v>
      </c>
      <c r="D689" s="314" t="s">
        <v>1450</v>
      </c>
      <c r="E689" s="314" t="s">
        <v>1767</v>
      </c>
      <c r="F689" s="315"/>
      <c r="G689" s="315"/>
      <c r="H689" s="315"/>
      <c r="I689" s="315"/>
      <c r="J689" s="315"/>
      <c r="K689" s="315"/>
      <c r="L689" s="315">
        <v>1</v>
      </c>
      <c r="M689" s="315">
        <v>1</v>
      </c>
      <c r="N689" s="315"/>
      <c r="O689" s="315"/>
      <c r="P689" s="315"/>
      <c r="Q689" s="315"/>
      <c r="R689" s="315"/>
      <c r="S689" s="315"/>
      <c r="T689" s="315">
        <v>1</v>
      </c>
      <c r="U689" s="315">
        <v>1</v>
      </c>
      <c r="V689" s="315"/>
      <c r="W689" s="315"/>
      <c r="X689" s="315"/>
      <c r="Y689" s="315"/>
      <c r="Z689" s="315"/>
      <c r="AA689" s="315"/>
      <c r="AB689" s="315"/>
      <c r="AC689" s="315"/>
      <c r="AD689" s="315"/>
      <c r="AE689" s="315"/>
      <c r="AF689" s="315"/>
      <c r="AG689" s="315"/>
      <c r="AH689" s="315"/>
      <c r="AI689" s="315"/>
      <c r="AJ689" s="315"/>
      <c r="AK689" s="315"/>
      <c r="AL689" s="315"/>
      <c r="AM689" s="315"/>
      <c r="AN689" s="315"/>
      <c r="AO689" s="315"/>
      <c r="AP689" s="315"/>
      <c r="AQ689" s="316"/>
    </row>
    <row r="690" spans="1:43" s="378" customFormat="1" ht="44.25" customHeight="1">
      <c r="A690" s="313" t="s">
        <v>1768</v>
      </c>
      <c r="B690" s="313" t="s">
        <v>394</v>
      </c>
      <c r="C690" s="314" t="s">
        <v>1208</v>
      </c>
      <c r="D690" s="314" t="s">
        <v>1448</v>
      </c>
      <c r="E690" s="314" t="s">
        <v>1769</v>
      </c>
      <c r="F690" s="315"/>
      <c r="G690" s="315"/>
      <c r="H690" s="315"/>
      <c r="I690" s="315"/>
      <c r="J690" s="315"/>
      <c r="K690" s="315"/>
      <c r="L690" s="315"/>
      <c r="M690" s="315">
        <v>1</v>
      </c>
      <c r="N690" s="315"/>
      <c r="O690" s="315"/>
      <c r="P690" s="315"/>
      <c r="Q690" s="315"/>
      <c r="R690" s="315"/>
      <c r="S690" s="315"/>
      <c r="T690" s="315"/>
      <c r="U690" s="315">
        <v>1</v>
      </c>
      <c r="V690" s="315"/>
      <c r="W690" s="315"/>
      <c r="X690" s="315"/>
      <c r="Y690" s="315"/>
      <c r="Z690" s="315"/>
      <c r="AA690" s="315"/>
      <c r="AB690" s="315"/>
      <c r="AC690" s="315">
        <v>1</v>
      </c>
      <c r="AD690" s="315"/>
      <c r="AE690" s="315"/>
      <c r="AF690" s="315"/>
      <c r="AG690" s="315"/>
      <c r="AH690" s="315"/>
      <c r="AI690" s="315"/>
      <c r="AJ690" s="315"/>
      <c r="AK690" s="315">
        <v>1</v>
      </c>
      <c r="AL690" s="315"/>
      <c r="AM690" s="315">
        <v>1</v>
      </c>
      <c r="AN690" s="315"/>
      <c r="AO690" s="315">
        <v>1</v>
      </c>
      <c r="AP690" s="315"/>
      <c r="AQ690" s="316"/>
    </row>
    <row r="691" spans="1:43" s="378" customFormat="1" ht="44.25" customHeight="1">
      <c r="A691" s="313" t="s">
        <v>1768</v>
      </c>
      <c r="B691" s="313" t="s">
        <v>390</v>
      </c>
      <c r="C691" s="314" t="s">
        <v>1209</v>
      </c>
      <c r="D691" s="314" t="s">
        <v>1448</v>
      </c>
      <c r="E691" s="314" t="s">
        <v>1770</v>
      </c>
      <c r="F691" s="315"/>
      <c r="G691" s="315"/>
      <c r="H691" s="315"/>
      <c r="I691" s="315"/>
      <c r="J691" s="315"/>
      <c r="K691" s="315"/>
      <c r="L691" s="315">
        <v>1</v>
      </c>
      <c r="M691" s="315">
        <v>1</v>
      </c>
      <c r="N691" s="315"/>
      <c r="O691" s="315"/>
      <c r="P691" s="315"/>
      <c r="Q691" s="315"/>
      <c r="R691" s="315"/>
      <c r="S691" s="315"/>
      <c r="T691" s="315">
        <v>1</v>
      </c>
      <c r="U691" s="315">
        <v>1</v>
      </c>
      <c r="V691" s="315"/>
      <c r="W691" s="315"/>
      <c r="X691" s="315"/>
      <c r="Y691" s="315"/>
      <c r="Z691" s="315"/>
      <c r="AA691" s="315"/>
      <c r="AB691" s="315"/>
      <c r="AC691" s="315"/>
      <c r="AD691" s="315"/>
      <c r="AE691" s="315"/>
      <c r="AF691" s="315"/>
      <c r="AG691" s="315"/>
      <c r="AH691" s="315"/>
      <c r="AI691" s="315"/>
      <c r="AJ691" s="315"/>
      <c r="AK691" s="315"/>
      <c r="AL691" s="315"/>
      <c r="AM691" s="315"/>
      <c r="AN691" s="315"/>
      <c r="AO691" s="315"/>
      <c r="AP691" s="315"/>
      <c r="AQ691" s="316"/>
    </row>
    <row r="692" spans="1:43" s="378" customFormat="1" ht="44.25" customHeight="1">
      <c r="A692" s="313" t="s">
        <v>1768</v>
      </c>
      <c r="B692" s="313" t="s">
        <v>388</v>
      </c>
      <c r="C692" s="314" t="s">
        <v>1210</v>
      </c>
      <c r="D692" s="314" t="s">
        <v>1446</v>
      </c>
      <c r="E692" s="314" t="s">
        <v>1771</v>
      </c>
      <c r="F692" s="315"/>
      <c r="G692" s="315"/>
      <c r="H692" s="315"/>
      <c r="I692" s="315"/>
      <c r="J692" s="315"/>
      <c r="K692" s="315"/>
      <c r="L692" s="315"/>
      <c r="M692" s="315"/>
      <c r="N692" s="315"/>
      <c r="O692" s="315"/>
      <c r="P692" s="315"/>
      <c r="Q692" s="315"/>
      <c r="R692" s="315"/>
      <c r="S692" s="315"/>
      <c r="T692" s="315"/>
      <c r="U692" s="315"/>
      <c r="V692" s="315"/>
      <c r="W692" s="315"/>
      <c r="X692" s="315"/>
      <c r="Y692" s="315"/>
      <c r="Z692" s="315"/>
      <c r="AA692" s="315"/>
      <c r="AB692" s="315"/>
      <c r="AC692" s="315"/>
      <c r="AD692" s="315"/>
      <c r="AE692" s="315"/>
      <c r="AF692" s="315"/>
      <c r="AG692" s="315"/>
      <c r="AH692" s="315"/>
      <c r="AI692" s="315"/>
      <c r="AJ692" s="315"/>
      <c r="AK692" s="315"/>
      <c r="AL692" s="315"/>
      <c r="AM692" s="315"/>
      <c r="AN692" s="315"/>
      <c r="AO692" s="315"/>
      <c r="AP692" s="315"/>
      <c r="AQ692" s="316"/>
    </row>
    <row r="693" spans="1:43" s="378" customFormat="1" ht="44.25" customHeight="1">
      <c r="A693" s="313" t="s">
        <v>1768</v>
      </c>
      <c r="B693" s="313" t="s">
        <v>394</v>
      </c>
      <c r="C693" s="314" t="s">
        <v>1211</v>
      </c>
      <c r="D693" s="314" t="s">
        <v>1450</v>
      </c>
      <c r="E693" s="314" t="s">
        <v>1772</v>
      </c>
      <c r="F693" s="315"/>
      <c r="G693" s="315"/>
      <c r="H693" s="315"/>
      <c r="I693" s="315"/>
      <c r="J693" s="315"/>
      <c r="K693" s="315"/>
      <c r="L693" s="315"/>
      <c r="M693" s="315">
        <v>1</v>
      </c>
      <c r="N693" s="315"/>
      <c r="O693" s="315"/>
      <c r="P693" s="315"/>
      <c r="Q693" s="315"/>
      <c r="R693" s="315"/>
      <c r="S693" s="315"/>
      <c r="T693" s="315"/>
      <c r="U693" s="315">
        <v>1</v>
      </c>
      <c r="V693" s="315"/>
      <c r="W693" s="315"/>
      <c r="X693" s="315"/>
      <c r="Y693" s="315"/>
      <c r="Z693" s="315"/>
      <c r="AA693" s="315"/>
      <c r="AB693" s="315"/>
      <c r="AC693" s="315">
        <v>1</v>
      </c>
      <c r="AD693" s="315"/>
      <c r="AE693" s="315"/>
      <c r="AF693" s="315"/>
      <c r="AG693" s="315"/>
      <c r="AH693" s="315"/>
      <c r="AI693" s="315"/>
      <c r="AJ693" s="315"/>
      <c r="AK693" s="315">
        <v>1</v>
      </c>
      <c r="AL693" s="315"/>
      <c r="AM693" s="315">
        <v>1</v>
      </c>
      <c r="AN693" s="315"/>
      <c r="AO693" s="315">
        <v>1</v>
      </c>
      <c r="AP693" s="315"/>
      <c r="AQ693" s="316"/>
    </row>
    <row r="694" spans="1:43" s="378" customFormat="1" ht="44.25" customHeight="1">
      <c r="A694" s="313" t="s">
        <v>1768</v>
      </c>
      <c r="B694" s="313" t="s">
        <v>394</v>
      </c>
      <c r="C694" s="314" t="s">
        <v>1212</v>
      </c>
      <c r="D694" s="314" t="s">
        <v>1442</v>
      </c>
      <c r="E694" s="314" t="s">
        <v>1773</v>
      </c>
      <c r="F694" s="315"/>
      <c r="G694" s="315"/>
      <c r="H694" s="315"/>
      <c r="I694" s="315"/>
      <c r="J694" s="315"/>
      <c r="K694" s="315"/>
      <c r="L694" s="315"/>
      <c r="M694" s="315"/>
      <c r="N694" s="315"/>
      <c r="O694" s="315"/>
      <c r="P694" s="315"/>
      <c r="Q694" s="315"/>
      <c r="R694" s="315"/>
      <c r="S694" s="315"/>
      <c r="T694" s="315"/>
      <c r="U694" s="315">
        <v>1</v>
      </c>
      <c r="V694" s="315"/>
      <c r="W694" s="315"/>
      <c r="X694" s="315"/>
      <c r="Y694" s="315"/>
      <c r="Z694" s="315"/>
      <c r="AA694" s="315"/>
      <c r="AB694" s="315"/>
      <c r="AC694" s="315">
        <v>1</v>
      </c>
      <c r="AD694" s="315"/>
      <c r="AE694" s="315"/>
      <c r="AF694" s="315"/>
      <c r="AG694" s="315"/>
      <c r="AH694" s="315"/>
      <c r="AI694" s="315"/>
      <c r="AJ694" s="315"/>
      <c r="AK694" s="315">
        <v>1</v>
      </c>
      <c r="AL694" s="315">
        <v>1</v>
      </c>
      <c r="AM694" s="315">
        <v>1</v>
      </c>
      <c r="AN694" s="315"/>
      <c r="AO694" s="315">
        <v>1</v>
      </c>
      <c r="AP694" s="315"/>
      <c r="AQ694" s="316"/>
    </row>
    <row r="695" spans="1:43" s="378" customFormat="1" ht="44.25" customHeight="1">
      <c r="A695" s="313" t="s">
        <v>1768</v>
      </c>
      <c r="B695" s="313" t="s">
        <v>394</v>
      </c>
      <c r="C695" s="314" t="s">
        <v>1213</v>
      </c>
      <c r="D695" s="314" t="s">
        <v>1442</v>
      </c>
      <c r="E695" s="314" t="s">
        <v>1774</v>
      </c>
      <c r="F695" s="315"/>
      <c r="G695" s="315"/>
      <c r="H695" s="315"/>
      <c r="I695" s="315"/>
      <c r="J695" s="315"/>
      <c r="K695" s="315"/>
      <c r="L695" s="315"/>
      <c r="M695" s="315">
        <v>1</v>
      </c>
      <c r="N695" s="315"/>
      <c r="O695" s="315"/>
      <c r="P695" s="315"/>
      <c r="Q695" s="315"/>
      <c r="R695" s="315"/>
      <c r="S695" s="315"/>
      <c r="T695" s="315"/>
      <c r="U695" s="315"/>
      <c r="V695" s="315"/>
      <c r="W695" s="315"/>
      <c r="X695" s="315"/>
      <c r="Y695" s="315"/>
      <c r="Z695" s="315"/>
      <c r="AA695" s="315"/>
      <c r="AB695" s="315"/>
      <c r="AC695" s="315">
        <v>1</v>
      </c>
      <c r="AD695" s="315"/>
      <c r="AE695" s="315"/>
      <c r="AF695" s="315"/>
      <c r="AG695" s="315"/>
      <c r="AH695" s="315"/>
      <c r="AI695" s="315"/>
      <c r="AJ695" s="315"/>
      <c r="AK695" s="315">
        <v>1</v>
      </c>
      <c r="AL695" s="315"/>
      <c r="AM695" s="315"/>
      <c r="AN695" s="315"/>
      <c r="AO695" s="315">
        <v>1</v>
      </c>
      <c r="AP695" s="315"/>
      <c r="AQ695" s="316"/>
    </row>
    <row r="696" spans="1:43" s="378" customFormat="1" ht="44.25" customHeight="1">
      <c r="A696" s="313" t="s">
        <v>1768</v>
      </c>
      <c r="B696" s="313" t="s">
        <v>388</v>
      </c>
      <c r="C696" s="314" t="s">
        <v>1214</v>
      </c>
      <c r="D696" s="314" t="s">
        <v>1446</v>
      </c>
      <c r="E696" s="314" t="s">
        <v>1775</v>
      </c>
      <c r="F696" s="315"/>
      <c r="G696" s="315"/>
      <c r="H696" s="315"/>
      <c r="I696" s="315"/>
      <c r="J696" s="315"/>
      <c r="K696" s="315"/>
      <c r="L696" s="315"/>
      <c r="M696" s="315"/>
      <c r="N696" s="315"/>
      <c r="O696" s="315"/>
      <c r="P696" s="315"/>
      <c r="Q696" s="315"/>
      <c r="R696" s="315"/>
      <c r="S696" s="315"/>
      <c r="T696" s="315"/>
      <c r="U696" s="315"/>
      <c r="V696" s="315"/>
      <c r="W696" s="315"/>
      <c r="X696" s="315"/>
      <c r="Y696" s="315"/>
      <c r="Z696" s="315"/>
      <c r="AA696" s="315"/>
      <c r="AB696" s="315"/>
      <c r="AC696" s="315"/>
      <c r="AD696" s="315"/>
      <c r="AE696" s="315"/>
      <c r="AF696" s="315"/>
      <c r="AG696" s="315"/>
      <c r="AH696" s="315"/>
      <c r="AI696" s="315"/>
      <c r="AJ696" s="315"/>
      <c r="AK696" s="315"/>
      <c r="AL696" s="315"/>
      <c r="AM696" s="315"/>
      <c r="AN696" s="315"/>
      <c r="AO696" s="315"/>
      <c r="AP696" s="315"/>
      <c r="AQ696" s="316"/>
    </row>
    <row r="697" spans="1:43" s="378" customFormat="1" ht="44.25" customHeight="1">
      <c r="A697" s="313" t="s">
        <v>1768</v>
      </c>
      <c r="B697" s="313" t="s">
        <v>394</v>
      </c>
      <c r="C697" s="314" t="s">
        <v>1215</v>
      </c>
      <c r="D697" s="314" t="s">
        <v>1438</v>
      </c>
      <c r="E697" s="314" t="s">
        <v>1776</v>
      </c>
      <c r="F697" s="315"/>
      <c r="G697" s="315"/>
      <c r="H697" s="315"/>
      <c r="I697" s="315"/>
      <c r="J697" s="315"/>
      <c r="K697" s="315"/>
      <c r="L697" s="315"/>
      <c r="M697" s="315">
        <v>1</v>
      </c>
      <c r="N697" s="315"/>
      <c r="O697" s="315"/>
      <c r="P697" s="315"/>
      <c r="Q697" s="315"/>
      <c r="R697" s="315"/>
      <c r="S697" s="315"/>
      <c r="T697" s="315"/>
      <c r="U697" s="315"/>
      <c r="V697" s="315"/>
      <c r="W697" s="315"/>
      <c r="X697" s="315"/>
      <c r="Y697" s="315"/>
      <c r="Z697" s="315"/>
      <c r="AA697" s="315"/>
      <c r="AB697" s="315"/>
      <c r="AC697" s="315">
        <v>1</v>
      </c>
      <c r="AD697" s="315"/>
      <c r="AE697" s="315"/>
      <c r="AF697" s="315"/>
      <c r="AG697" s="315"/>
      <c r="AH697" s="315"/>
      <c r="AI697" s="315"/>
      <c r="AJ697" s="315"/>
      <c r="AK697" s="315">
        <v>1</v>
      </c>
      <c r="AL697" s="315"/>
      <c r="AM697" s="315">
        <v>1</v>
      </c>
      <c r="AN697" s="315"/>
      <c r="AO697" s="315"/>
      <c r="AP697" s="315"/>
      <c r="AQ697" s="316"/>
    </row>
    <row r="698" spans="1:43" s="378" customFormat="1" ht="44.25" customHeight="1">
      <c r="A698" s="313" t="s">
        <v>1768</v>
      </c>
      <c r="B698" s="313" t="s">
        <v>394</v>
      </c>
      <c r="C698" s="314" t="s">
        <v>1216</v>
      </c>
      <c r="D698" s="314" t="s">
        <v>1442</v>
      </c>
      <c r="E698" s="314" t="s">
        <v>1777</v>
      </c>
      <c r="F698" s="315"/>
      <c r="G698" s="315"/>
      <c r="H698" s="315"/>
      <c r="I698" s="315"/>
      <c r="J698" s="315"/>
      <c r="K698" s="315"/>
      <c r="L698" s="315"/>
      <c r="M698" s="315">
        <v>1</v>
      </c>
      <c r="N698" s="315"/>
      <c r="O698" s="315"/>
      <c r="P698" s="315"/>
      <c r="Q698" s="315"/>
      <c r="R698" s="315"/>
      <c r="S698" s="315"/>
      <c r="T698" s="315"/>
      <c r="U698" s="315">
        <v>1</v>
      </c>
      <c r="V698" s="315"/>
      <c r="W698" s="315"/>
      <c r="X698" s="315"/>
      <c r="Y698" s="315"/>
      <c r="Z698" s="315"/>
      <c r="AA698" s="315"/>
      <c r="AB698" s="315"/>
      <c r="AC698" s="315">
        <v>1</v>
      </c>
      <c r="AD698" s="315"/>
      <c r="AE698" s="315"/>
      <c r="AF698" s="315"/>
      <c r="AG698" s="315"/>
      <c r="AH698" s="315"/>
      <c r="AI698" s="315"/>
      <c r="AJ698" s="315"/>
      <c r="AK698" s="315">
        <v>1</v>
      </c>
      <c r="AL698" s="315"/>
      <c r="AM698" s="315">
        <v>1</v>
      </c>
      <c r="AN698" s="315"/>
      <c r="AO698" s="315"/>
      <c r="AP698" s="315"/>
      <c r="AQ698" s="316"/>
    </row>
    <row r="699" spans="1:43" s="378" customFormat="1" ht="44.25" customHeight="1">
      <c r="A699" s="313" t="s">
        <v>1768</v>
      </c>
      <c r="B699" s="313" t="s">
        <v>394</v>
      </c>
      <c r="C699" s="314" t="s">
        <v>1217</v>
      </c>
      <c r="D699" s="314" t="s">
        <v>1438</v>
      </c>
      <c r="E699" s="314" t="s">
        <v>1778</v>
      </c>
      <c r="F699" s="315"/>
      <c r="G699" s="315"/>
      <c r="H699" s="315"/>
      <c r="I699" s="315"/>
      <c r="J699" s="315"/>
      <c r="K699" s="315"/>
      <c r="L699" s="315"/>
      <c r="M699" s="315"/>
      <c r="N699" s="315"/>
      <c r="O699" s="315"/>
      <c r="P699" s="315"/>
      <c r="Q699" s="315"/>
      <c r="R699" s="315"/>
      <c r="S699" s="315"/>
      <c r="T699" s="315"/>
      <c r="U699" s="315">
        <v>1</v>
      </c>
      <c r="V699" s="315"/>
      <c r="W699" s="315"/>
      <c r="X699" s="315"/>
      <c r="Y699" s="315"/>
      <c r="Z699" s="315"/>
      <c r="AA699" s="315"/>
      <c r="AB699" s="315"/>
      <c r="AC699" s="315">
        <v>1</v>
      </c>
      <c r="AD699" s="315"/>
      <c r="AE699" s="315"/>
      <c r="AF699" s="315"/>
      <c r="AG699" s="315"/>
      <c r="AH699" s="315"/>
      <c r="AI699" s="315"/>
      <c r="AJ699" s="315"/>
      <c r="AK699" s="315">
        <v>1</v>
      </c>
      <c r="AL699" s="315"/>
      <c r="AM699" s="315">
        <v>1</v>
      </c>
      <c r="AN699" s="315"/>
      <c r="AO699" s="315">
        <v>1</v>
      </c>
      <c r="AP699" s="315"/>
      <c r="AQ699" s="316"/>
    </row>
    <row r="700" spans="1:43" s="378" customFormat="1" ht="44.25" customHeight="1">
      <c r="A700" s="313" t="s">
        <v>1768</v>
      </c>
      <c r="B700" s="313" t="s">
        <v>394</v>
      </c>
      <c r="C700" s="314" t="s">
        <v>1218</v>
      </c>
      <c r="D700" s="314" t="s">
        <v>1440</v>
      </c>
      <c r="E700" s="314" t="s">
        <v>1779</v>
      </c>
      <c r="F700" s="315"/>
      <c r="G700" s="315"/>
      <c r="H700" s="315"/>
      <c r="I700" s="315"/>
      <c r="J700" s="315"/>
      <c r="K700" s="315"/>
      <c r="L700" s="315"/>
      <c r="M700" s="315">
        <v>1</v>
      </c>
      <c r="N700" s="315"/>
      <c r="O700" s="315"/>
      <c r="P700" s="315"/>
      <c r="Q700" s="315"/>
      <c r="R700" s="315"/>
      <c r="S700" s="315"/>
      <c r="T700" s="315"/>
      <c r="U700" s="315">
        <v>1</v>
      </c>
      <c r="V700" s="315"/>
      <c r="W700" s="315"/>
      <c r="X700" s="315"/>
      <c r="Y700" s="315"/>
      <c r="Z700" s="315"/>
      <c r="AA700" s="315"/>
      <c r="AB700" s="315"/>
      <c r="AC700" s="315"/>
      <c r="AD700" s="315"/>
      <c r="AE700" s="315"/>
      <c r="AF700" s="315"/>
      <c r="AG700" s="315"/>
      <c r="AH700" s="315"/>
      <c r="AI700" s="315"/>
      <c r="AJ700" s="315"/>
      <c r="AK700" s="315"/>
      <c r="AL700" s="315"/>
      <c r="AM700" s="315">
        <v>1</v>
      </c>
      <c r="AN700" s="315"/>
      <c r="AO700" s="315"/>
      <c r="AP700" s="315"/>
      <c r="AQ700" s="316"/>
    </row>
    <row r="701" spans="1:43" s="378" customFormat="1" ht="44.25" customHeight="1">
      <c r="A701" s="313" t="s">
        <v>1768</v>
      </c>
      <c r="B701" s="313" t="s">
        <v>394</v>
      </c>
      <c r="C701" s="314" t="s">
        <v>1219</v>
      </c>
      <c r="D701" s="314" t="s">
        <v>1438</v>
      </c>
      <c r="E701" s="314" t="s">
        <v>1780</v>
      </c>
      <c r="F701" s="315"/>
      <c r="G701" s="315"/>
      <c r="H701" s="315"/>
      <c r="I701" s="315"/>
      <c r="J701" s="315"/>
      <c r="K701" s="315"/>
      <c r="L701" s="315"/>
      <c r="M701" s="315"/>
      <c r="N701" s="315"/>
      <c r="O701" s="315"/>
      <c r="P701" s="315"/>
      <c r="Q701" s="315"/>
      <c r="R701" s="315"/>
      <c r="S701" s="315"/>
      <c r="T701" s="315"/>
      <c r="U701" s="315">
        <v>1</v>
      </c>
      <c r="V701" s="315"/>
      <c r="W701" s="315"/>
      <c r="X701" s="315"/>
      <c r="Y701" s="315"/>
      <c r="Z701" s="315"/>
      <c r="AA701" s="315"/>
      <c r="AB701" s="315"/>
      <c r="AC701" s="315">
        <v>1</v>
      </c>
      <c r="AD701" s="315"/>
      <c r="AE701" s="315"/>
      <c r="AF701" s="315"/>
      <c r="AG701" s="315"/>
      <c r="AH701" s="315"/>
      <c r="AI701" s="315"/>
      <c r="AJ701" s="315"/>
      <c r="AK701" s="315">
        <v>1</v>
      </c>
      <c r="AL701" s="315"/>
      <c r="AM701" s="315">
        <v>1</v>
      </c>
      <c r="AN701" s="315"/>
      <c r="AO701" s="315">
        <v>1</v>
      </c>
      <c r="AP701" s="315"/>
      <c r="AQ701" s="316"/>
    </row>
    <row r="702" spans="1:43" s="378" customFormat="1" ht="44.25" customHeight="1">
      <c r="A702" s="313" t="s">
        <v>1768</v>
      </c>
      <c r="B702" s="313" t="s">
        <v>394</v>
      </c>
      <c r="C702" s="314" t="s">
        <v>1220</v>
      </c>
      <c r="D702" s="314" t="s">
        <v>1442</v>
      </c>
      <c r="E702" s="314" t="s">
        <v>1781</v>
      </c>
      <c r="F702" s="315"/>
      <c r="G702" s="315"/>
      <c r="H702" s="315"/>
      <c r="I702" s="315"/>
      <c r="J702" s="315"/>
      <c r="K702" s="315"/>
      <c r="L702" s="315"/>
      <c r="M702" s="315"/>
      <c r="N702" s="315"/>
      <c r="O702" s="315"/>
      <c r="P702" s="315"/>
      <c r="Q702" s="315"/>
      <c r="R702" s="315"/>
      <c r="S702" s="315"/>
      <c r="T702" s="315"/>
      <c r="U702" s="315">
        <v>1</v>
      </c>
      <c r="V702" s="315"/>
      <c r="W702" s="315"/>
      <c r="X702" s="315"/>
      <c r="Y702" s="315"/>
      <c r="Z702" s="315"/>
      <c r="AA702" s="315"/>
      <c r="AB702" s="315"/>
      <c r="AC702" s="315">
        <v>1</v>
      </c>
      <c r="AD702" s="315"/>
      <c r="AE702" s="315"/>
      <c r="AF702" s="315"/>
      <c r="AG702" s="315"/>
      <c r="AH702" s="315"/>
      <c r="AI702" s="315"/>
      <c r="AJ702" s="315"/>
      <c r="AK702" s="315">
        <v>1</v>
      </c>
      <c r="AL702" s="315"/>
      <c r="AM702" s="315">
        <v>1</v>
      </c>
      <c r="AN702" s="315"/>
      <c r="AO702" s="315"/>
      <c r="AP702" s="315"/>
      <c r="AQ702" s="316"/>
    </row>
    <row r="703" spans="1:43" s="378" customFormat="1" ht="44.25" customHeight="1">
      <c r="A703" s="313" t="s">
        <v>1768</v>
      </c>
      <c r="B703" s="313" t="s">
        <v>394</v>
      </c>
      <c r="C703" s="314" t="s">
        <v>1221</v>
      </c>
      <c r="D703" s="314" t="s">
        <v>1442</v>
      </c>
      <c r="E703" s="314" t="s">
        <v>1782</v>
      </c>
      <c r="F703" s="315"/>
      <c r="G703" s="315"/>
      <c r="H703" s="315"/>
      <c r="I703" s="315"/>
      <c r="J703" s="315"/>
      <c r="K703" s="315"/>
      <c r="L703" s="315"/>
      <c r="M703" s="315"/>
      <c r="N703" s="315"/>
      <c r="O703" s="315"/>
      <c r="P703" s="315"/>
      <c r="Q703" s="315"/>
      <c r="R703" s="315"/>
      <c r="S703" s="315"/>
      <c r="T703" s="315"/>
      <c r="U703" s="315">
        <v>1</v>
      </c>
      <c r="V703" s="315"/>
      <c r="W703" s="315"/>
      <c r="X703" s="315"/>
      <c r="Y703" s="315"/>
      <c r="Z703" s="315"/>
      <c r="AA703" s="315"/>
      <c r="AB703" s="315"/>
      <c r="AC703" s="315">
        <v>1</v>
      </c>
      <c r="AD703" s="315"/>
      <c r="AE703" s="315"/>
      <c r="AF703" s="315"/>
      <c r="AG703" s="315"/>
      <c r="AH703" s="315"/>
      <c r="AI703" s="315"/>
      <c r="AJ703" s="315"/>
      <c r="AK703" s="315">
        <v>1</v>
      </c>
      <c r="AL703" s="315"/>
      <c r="AM703" s="315">
        <v>1</v>
      </c>
      <c r="AN703" s="315"/>
      <c r="AO703" s="315">
        <v>1</v>
      </c>
      <c r="AP703" s="315"/>
      <c r="AQ703" s="316"/>
    </row>
    <row r="704" spans="1:43" s="378" customFormat="1" ht="44.25" customHeight="1">
      <c r="A704" s="313" t="s">
        <v>1768</v>
      </c>
      <c r="B704" s="313" t="s">
        <v>390</v>
      </c>
      <c r="C704" s="314" t="s">
        <v>1222</v>
      </c>
      <c r="D704" s="314" t="s">
        <v>1450</v>
      </c>
      <c r="E704" s="314" t="s">
        <v>1783</v>
      </c>
      <c r="F704" s="315"/>
      <c r="G704" s="315"/>
      <c r="H704" s="315"/>
      <c r="I704" s="315"/>
      <c r="J704" s="315"/>
      <c r="K704" s="315"/>
      <c r="L704" s="315">
        <v>1</v>
      </c>
      <c r="M704" s="315">
        <v>1</v>
      </c>
      <c r="N704" s="315"/>
      <c r="O704" s="315"/>
      <c r="P704" s="315"/>
      <c r="Q704" s="315"/>
      <c r="R704" s="315"/>
      <c r="S704" s="315"/>
      <c r="T704" s="315">
        <v>1</v>
      </c>
      <c r="U704" s="315">
        <v>1</v>
      </c>
      <c r="V704" s="315"/>
      <c r="W704" s="315"/>
      <c r="X704" s="315"/>
      <c r="Y704" s="315"/>
      <c r="Z704" s="315"/>
      <c r="AA704" s="315"/>
      <c r="AB704" s="315"/>
      <c r="AC704" s="315"/>
      <c r="AD704" s="315"/>
      <c r="AE704" s="315"/>
      <c r="AF704" s="315"/>
      <c r="AG704" s="315"/>
      <c r="AH704" s="315"/>
      <c r="AI704" s="315"/>
      <c r="AJ704" s="315"/>
      <c r="AK704" s="315"/>
      <c r="AL704" s="315"/>
      <c r="AM704" s="315"/>
      <c r="AN704" s="315"/>
      <c r="AO704" s="315"/>
      <c r="AP704" s="315"/>
      <c r="AQ704" s="316"/>
    </row>
    <row r="705" spans="1:43" s="378" customFormat="1" ht="44.25" customHeight="1">
      <c r="A705" s="313" t="s">
        <v>1768</v>
      </c>
      <c r="B705" s="313" t="s">
        <v>394</v>
      </c>
      <c r="C705" s="314" t="s">
        <v>1223</v>
      </c>
      <c r="D705" s="314" t="s">
        <v>1442</v>
      </c>
      <c r="E705" s="314" t="s">
        <v>1784</v>
      </c>
      <c r="F705" s="315"/>
      <c r="G705" s="315"/>
      <c r="H705" s="315"/>
      <c r="I705" s="315"/>
      <c r="J705" s="315"/>
      <c r="K705" s="315"/>
      <c r="L705" s="315"/>
      <c r="M705" s="315">
        <v>1</v>
      </c>
      <c r="N705" s="315"/>
      <c r="O705" s="315"/>
      <c r="P705" s="315"/>
      <c r="Q705" s="315"/>
      <c r="R705" s="315"/>
      <c r="S705" s="315"/>
      <c r="T705" s="315"/>
      <c r="U705" s="315">
        <v>1</v>
      </c>
      <c r="V705" s="315"/>
      <c r="W705" s="315"/>
      <c r="X705" s="315"/>
      <c r="Y705" s="315"/>
      <c r="Z705" s="315"/>
      <c r="AA705" s="315"/>
      <c r="AB705" s="315"/>
      <c r="AC705" s="315">
        <v>1</v>
      </c>
      <c r="AD705" s="315"/>
      <c r="AE705" s="315"/>
      <c r="AF705" s="315"/>
      <c r="AG705" s="315"/>
      <c r="AH705" s="315"/>
      <c r="AI705" s="315"/>
      <c r="AJ705" s="315"/>
      <c r="AK705" s="315">
        <v>1</v>
      </c>
      <c r="AL705" s="315"/>
      <c r="AM705" s="315">
        <v>1</v>
      </c>
      <c r="AN705" s="315"/>
      <c r="AO705" s="315"/>
      <c r="AP705" s="315"/>
      <c r="AQ705" s="316"/>
    </row>
    <row r="706" spans="1:43" s="378" customFormat="1" ht="44.25" customHeight="1">
      <c r="A706" s="313" t="s">
        <v>1768</v>
      </c>
      <c r="B706" s="313" t="s">
        <v>394</v>
      </c>
      <c r="C706" s="314" t="s">
        <v>1224</v>
      </c>
      <c r="D706" s="314" t="s">
        <v>1442</v>
      </c>
      <c r="E706" s="314" t="s">
        <v>1785</v>
      </c>
      <c r="F706" s="315"/>
      <c r="G706" s="315"/>
      <c r="H706" s="315"/>
      <c r="I706" s="315"/>
      <c r="J706" s="315"/>
      <c r="K706" s="315"/>
      <c r="L706" s="315"/>
      <c r="M706" s="315">
        <v>1</v>
      </c>
      <c r="N706" s="315"/>
      <c r="O706" s="315"/>
      <c r="P706" s="315"/>
      <c r="Q706" s="315"/>
      <c r="R706" s="315"/>
      <c r="S706" s="315"/>
      <c r="T706" s="315"/>
      <c r="U706" s="315">
        <v>1</v>
      </c>
      <c r="V706" s="315"/>
      <c r="W706" s="315"/>
      <c r="X706" s="315"/>
      <c r="Y706" s="315"/>
      <c r="Z706" s="315"/>
      <c r="AA706" s="315"/>
      <c r="AB706" s="315"/>
      <c r="AC706" s="315">
        <v>1</v>
      </c>
      <c r="AD706" s="315"/>
      <c r="AE706" s="315"/>
      <c r="AF706" s="315"/>
      <c r="AG706" s="315"/>
      <c r="AH706" s="315"/>
      <c r="AI706" s="315"/>
      <c r="AJ706" s="315"/>
      <c r="AK706" s="315">
        <v>1</v>
      </c>
      <c r="AL706" s="315"/>
      <c r="AM706" s="315">
        <v>1</v>
      </c>
      <c r="AN706" s="315"/>
      <c r="AO706" s="315">
        <v>1</v>
      </c>
      <c r="AP706" s="315"/>
      <c r="AQ706" s="316"/>
    </row>
    <row r="707" spans="1:43" s="378" customFormat="1" ht="44.25" customHeight="1">
      <c r="A707" s="313" t="s">
        <v>1768</v>
      </c>
      <c r="B707" s="313" t="s">
        <v>394</v>
      </c>
      <c r="C707" s="314" t="s">
        <v>1225</v>
      </c>
      <c r="D707" s="314" t="s">
        <v>1442</v>
      </c>
      <c r="E707" s="314" t="s">
        <v>1786</v>
      </c>
      <c r="F707" s="315"/>
      <c r="G707" s="315"/>
      <c r="H707" s="315"/>
      <c r="I707" s="315"/>
      <c r="J707" s="315"/>
      <c r="K707" s="315"/>
      <c r="L707" s="315"/>
      <c r="M707" s="315">
        <v>1</v>
      </c>
      <c r="N707" s="315"/>
      <c r="O707" s="315"/>
      <c r="P707" s="315"/>
      <c r="Q707" s="315"/>
      <c r="R707" s="315"/>
      <c r="S707" s="315"/>
      <c r="T707" s="315"/>
      <c r="U707" s="315">
        <v>1</v>
      </c>
      <c r="V707" s="315"/>
      <c r="W707" s="315"/>
      <c r="X707" s="315"/>
      <c r="Y707" s="315"/>
      <c r="Z707" s="315"/>
      <c r="AA707" s="315"/>
      <c r="AB707" s="315"/>
      <c r="AC707" s="315">
        <v>1</v>
      </c>
      <c r="AD707" s="315"/>
      <c r="AE707" s="315"/>
      <c r="AF707" s="315"/>
      <c r="AG707" s="315"/>
      <c r="AH707" s="315"/>
      <c r="AI707" s="315"/>
      <c r="AJ707" s="315"/>
      <c r="AK707" s="315">
        <v>1</v>
      </c>
      <c r="AL707" s="315"/>
      <c r="AM707" s="315">
        <v>1</v>
      </c>
      <c r="AN707" s="315"/>
      <c r="AO707" s="315">
        <v>1</v>
      </c>
      <c r="AP707" s="315"/>
      <c r="AQ707" s="316"/>
    </row>
    <row r="708" spans="1:43" s="378" customFormat="1" ht="44.25" customHeight="1">
      <c r="A708" s="313" t="s">
        <v>1768</v>
      </c>
      <c r="B708" s="313" t="s">
        <v>394</v>
      </c>
      <c r="C708" s="314" t="s">
        <v>1226</v>
      </c>
      <c r="D708" s="314" t="s">
        <v>1442</v>
      </c>
      <c r="E708" s="314" t="s">
        <v>1787</v>
      </c>
      <c r="F708" s="315"/>
      <c r="G708" s="315"/>
      <c r="H708" s="315"/>
      <c r="I708" s="315"/>
      <c r="J708" s="315"/>
      <c r="K708" s="315"/>
      <c r="L708" s="315"/>
      <c r="M708" s="315">
        <v>1</v>
      </c>
      <c r="N708" s="315"/>
      <c r="O708" s="315"/>
      <c r="P708" s="315"/>
      <c r="Q708" s="315"/>
      <c r="R708" s="315"/>
      <c r="S708" s="315"/>
      <c r="T708" s="315"/>
      <c r="U708" s="315">
        <v>1</v>
      </c>
      <c r="V708" s="315"/>
      <c r="W708" s="315"/>
      <c r="X708" s="315"/>
      <c r="Y708" s="315"/>
      <c r="Z708" s="315"/>
      <c r="AA708" s="315"/>
      <c r="AB708" s="315"/>
      <c r="AC708" s="315">
        <v>1</v>
      </c>
      <c r="AD708" s="315"/>
      <c r="AE708" s="315"/>
      <c r="AF708" s="315"/>
      <c r="AG708" s="315"/>
      <c r="AH708" s="315"/>
      <c r="AI708" s="315"/>
      <c r="AJ708" s="315"/>
      <c r="AK708" s="315">
        <v>1</v>
      </c>
      <c r="AL708" s="315"/>
      <c r="AM708" s="315">
        <v>1</v>
      </c>
      <c r="AN708" s="315"/>
      <c r="AO708" s="315"/>
      <c r="AP708" s="315"/>
      <c r="AQ708" s="316"/>
    </row>
    <row r="709" spans="1:43" s="378" customFormat="1" ht="44.25" customHeight="1">
      <c r="A709" s="313" t="s">
        <v>1768</v>
      </c>
      <c r="B709" s="313" t="s">
        <v>390</v>
      </c>
      <c r="C709" s="314" t="s">
        <v>1227</v>
      </c>
      <c r="D709" s="314" t="s">
        <v>1424</v>
      </c>
      <c r="E709" s="314" t="s">
        <v>1788</v>
      </c>
      <c r="F709" s="315"/>
      <c r="G709" s="315"/>
      <c r="H709" s="315"/>
      <c r="I709" s="315"/>
      <c r="J709" s="315"/>
      <c r="K709" s="315"/>
      <c r="L709" s="315">
        <v>1</v>
      </c>
      <c r="M709" s="315">
        <v>1</v>
      </c>
      <c r="N709" s="315"/>
      <c r="O709" s="315"/>
      <c r="P709" s="315"/>
      <c r="Q709" s="315"/>
      <c r="R709" s="315"/>
      <c r="S709" s="315"/>
      <c r="T709" s="315">
        <v>1</v>
      </c>
      <c r="U709" s="315">
        <v>1</v>
      </c>
      <c r="V709" s="315"/>
      <c r="W709" s="315"/>
      <c r="X709" s="315"/>
      <c r="Y709" s="315"/>
      <c r="Z709" s="315"/>
      <c r="AA709" s="315"/>
      <c r="AB709" s="315"/>
      <c r="AC709" s="315"/>
      <c r="AD709" s="315"/>
      <c r="AE709" s="315"/>
      <c r="AF709" s="315"/>
      <c r="AG709" s="315"/>
      <c r="AH709" s="315"/>
      <c r="AI709" s="315"/>
      <c r="AJ709" s="315"/>
      <c r="AK709" s="315"/>
      <c r="AL709" s="315"/>
      <c r="AM709" s="315"/>
      <c r="AN709" s="315"/>
      <c r="AO709" s="315"/>
      <c r="AP709" s="315"/>
      <c r="AQ709" s="316"/>
    </row>
    <row r="710" spans="1:43" s="378" customFormat="1" ht="44.25" customHeight="1">
      <c r="A710" s="313" t="s">
        <v>1768</v>
      </c>
      <c r="B710" s="313" t="s">
        <v>394</v>
      </c>
      <c r="C710" s="314" t="s">
        <v>1228</v>
      </c>
      <c r="D710" s="314" t="s">
        <v>1442</v>
      </c>
      <c r="E710" s="314" t="s">
        <v>1789</v>
      </c>
      <c r="F710" s="315"/>
      <c r="G710" s="315"/>
      <c r="H710" s="315"/>
      <c r="I710" s="315"/>
      <c r="J710" s="315"/>
      <c r="K710" s="315"/>
      <c r="L710" s="315"/>
      <c r="M710" s="315">
        <v>1</v>
      </c>
      <c r="N710" s="315"/>
      <c r="O710" s="315"/>
      <c r="P710" s="315"/>
      <c r="Q710" s="315"/>
      <c r="R710" s="315"/>
      <c r="S710" s="315"/>
      <c r="T710" s="315"/>
      <c r="U710" s="315">
        <v>1</v>
      </c>
      <c r="V710" s="315"/>
      <c r="W710" s="315"/>
      <c r="X710" s="315"/>
      <c r="Y710" s="315"/>
      <c r="Z710" s="315"/>
      <c r="AA710" s="315"/>
      <c r="AB710" s="315"/>
      <c r="AC710" s="315">
        <v>1</v>
      </c>
      <c r="AD710" s="315"/>
      <c r="AE710" s="315"/>
      <c r="AF710" s="315"/>
      <c r="AG710" s="315"/>
      <c r="AH710" s="315"/>
      <c r="AI710" s="315"/>
      <c r="AJ710" s="315"/>
      <c r="AK710" s="315">
        <v>1</v>
      </c>
      <c r="AL710" s="315"/>
      <c r="AM710" s="315">
        <v>1</v>
      </c>
      <c r="AN710" s="315"/>
      <c r="AO710" s="315">
        <v>1</v>
      </c>
      <c r="AP710" s="315"/>
      <c r="AQ710" s="316"/>
    </row>
    <row r="711" spans="1:43" s="378" customFormat="1" ht="44.25" customHeight="1">
      <c r="A711" s="313" t="s">
        <v>1768</v>
      </c>
      <c r="B711" s="313" t="s">
        <v>394</v>
      </c>
      <c r="C711" s="314" t="s">
        <v>1229</v>
      </c>
      <c r="D711" s="314" t="s">
        <v>1442</v>
      </c>
      <c r="E711" s="314" t="s">
        <v>1790</v>
      </c>
      <c r="F711" s="315"/>
      <c r="G711" s="315"/>
      <c r="H711" s="315"/>
      <c r="I711" s="315"/>
      <c r="J711" s="315"/>
      <c r="K711" s="315"/>
      <c r="L711" s="315"/>
      <c r="M711" s="315">
        <v>1</v>
      </c>
      <c r="N711" s="315"/>
      <c r="O711" s="315"/>
      <c r="P711" s="315"/>
      <c r="Q711" s="315"/>
      <c r="R711" s="315"/>
      <c r="S711" s="315"/>
      <c r="T711" s="315"/>
      <c r="U711" s="315">
        <v>1</v>
      </c>
      <c r="V711" s="315"/>
      <c r="W711" s="315"/>
      <c r="X711" s="315"/>
      <c r="Y711" s="315"/>
      <c r="Z711" s="315"/>
      <c r="AA711" s="315"/>
      <c r="AB711" s="315"/>
      <c r="AC711" s="315">
        <v>1</v>
      </c>
      <c r="AD711" s="315"/>
      <c r="AE711" s="315"/>
      <c r="AF711" s="315"/>
      <c r="AG711" s="315"/>
      <c r="AH711" s="315"/>
      <c r="AI711" s="315"/>
      <c r="AJ711" s="315"/>
      <c r="AK711" s="315">
        <v>1</v>
      </c>
      <c r="AL711" s="315"/>
      <c r="AM711" s="315">
        <v>1</v>
      </c>
      <c r="AN711" s="315"/>
      <c r="AO711" s="315">
        <v>1</v>
      </c>
      <c r="AP711" s="315"/>
      <c r="AQ711" s="316"/>
    </row>
    <row r="712" spans="1:43" s="378" customFormat="1" ht="44.25" customHeight="1">
      <c r="A712" s="313" t="s">
        <v>1768</v>
      </c>
      <c r="B712" s="313" t="s">
        <v>390</v>
      </c>
      <c r="C712" s="314" t="s">
        <v>1230</v>
      </c>
      <c r="D712" s="314" t="s">
        <v>1450</v>
      </c>
      <c r="E712" s="314" t="s">
        <v>1791</v>
      </c>
      <c r="F712" s="315"/>
      <c r="G712" s="315"/>
      <c r="H712" s="315"/>
      <c r="I712" s="315"/>
      <c r="J712" s="315"/>
      <c r="K712" s="315"/>
      <c r="L712" s="315"/>
      <c r="M712" s="315">
        <v>1</v>
      </c>
      <c r="N712" s="315"/>
      <c r="O712" s="315"/>
      <c r="P712" s="315"/>
      <c r="Q712" s="315"/>
      <c r="R712" s="315"/>
      <c r="S712" s="315"/>
      <c r="T712" s="315"/>
      <c r="U712" s="315">
        <v>1</v>
      </c>
      <c r="V712" s="315"/>
      <c r="W712" s="315"/>
      <c r="X712" s="315"/>
      <c r="Y712" s="315"/>
      <c r="Z712" s="315"/>
      <c r="AA712" s="315"/>
      <c r="AB712" s="315"/>
      <c r="AC712" s="315"/>
      <c r="AD712" s="315"/>
      <c r="AE712" s="315"/>
      <c r="AF712" s="315"/>
      <c r="AG712" s="315"/>
      <c r="AH712" s="315"/>
      <c r="AI712" s="315"/>
      <c r="AJ712" s="315"/>
      <c r="AK712" s="315"/>
      <c r="AL712" s="315"/>
      <c r="AM712" s="315"/>
      <c r="AN712" s="315"/>
      <c r="AO712" s="315"/>
      <c r="AP712" s="315"/>
      <c r="AQ712" s="316"/>
    </row>
    <row r="713" spans="1:43" s="378" customFormat="1" ht="44.25" customHeight="1">
      <c r="A713" s="313" t="s">
        <v>1768</v>
      </c>
      <c r="B713" s="313" t="s">
        <v>394</v>
      </c>
      <c r="C713" s="314" t="s">
        <v>1231</v>
      </c>
      <c r="D713" s="314" t="s">
        <v>1442</v>
      </c>
      <c r="E713" s="314" t="s">
        <v>1792</v>
      </c>
      <c r="F713" s="315"/>
      <c r="G713" s="315"/>
      <c r="H713" s="315"/>
      <c r="I713" s="315"/>
      <c r="J713" s="315"/>
      <c r="K713" s="315"/>
      <c r="L713" s="315"/>
      <c r="M713" s="315">
        <v>1</v>
      </c>
      <c r="N713" s="315"/>
      <c r="O713" s="315"/>
      <c r="P713" s="315"/>
      <c r="Q713" s="315"/>
      <c r="R713" s="315"/>
      <c r="S713" s="315"/>
      <c r="T713" s="315"/>
      <c r="U713" s="315">
        <v>1</v>
      </c>
      <c r="V713" s="315"/>
      <c r="W713" s="315"/>
      <c r="X713" s="315"/>
      <c r="Y713" s="315"/>
      <c r="Z713" s="315"/>
      <c r="AA713" s="315"/>
      <c r="AB713" s="315"/>
      <c r="AC713" s="315">
        <v>1</v>
      </c>
      <c r="AD713" s="315"/>
      <c r="AE713" s="315"/>
      <c r="AF713" s="315"/>
      <c r="AG713" s="315"/>
      <c r="AH713" s="315"/>
      <c r="AI713" s="315"/>
      <c r="AJ713" s="315"/>
      <c r="AK713" s="315">
        <v>1</v>
      </c>
      <c r="AL713" s="315"/>
      <c r="AM713" s="315">
        <v>1</v>
      </c>
      <c r="AN713" s="315"/>
      <c r="AO713" s="315"/>
      <c r="AP713" s="315"/>
      <c r="AQ713" s="316"/>
    </row>
    <row r="714" spans="1:43" s="378" customFormat="1" ht="44.25" customHeight="1">
      <c r="A714" s="313" t="s">
        <v>1768</v>
      </c>
      <c r="B714" s="313" t="s">
        <v>394</v>
      </c>
      <c r="C714" s="314" t="s">
        <v>1232</v>
      </c>
      <c r="D714" s="314" t="s">
        <v>1440</v>
      </c>
      <c r="E714" s="314" t="s">
        <v>1793</v>
      </c>
      <c r="F714" s="315"/>
      <c r="G714" s="315"/>
      <c r="H714" s="315"/>
      <c r="I714" s="315"/>
      <c r="J714" s="315"/>
      <c r="K714" s="315"/>
      <c r="L714" s="315"/>
      <c r="M714" s="315">
        <v>1</v>
      </c>
      <c r="N714" s="315"/>
      <c r="O714" s="315"/>
      <c r="P714" s="315"/>
      <c r="Q714" s="315"/>
      <c r="R714" s="315"/>
      <c r="S714" s="315"/>
      <c r="T714" s="315"/>
      <c r="U714" s="315">
        <v>1</v>
      </c>
      <c r="V714" s="315"/>
      <c r="W714" s="315"/>
      <c r="X714" s="315"/>
      <c r="Y714" s="315"/>
      <c r="Z714" s="315"/>
      <c r="AA714" s="315"/>
      <c r="AB714" s="315"/>
      <c r="AC714" s="315">
        <v>1</v>
      </c>
      <c r="AD714" s="315"/>
      <c r="AE714" s="315"/>
      <c r="AF714" s="315"/>
      <c r="AG714" s="315"/>
      <c r="AH714" s="315"/>
      <c r="AI714" s="315"/>
      <c r="AJ714" s="315"/>
      <c r="AK714" s="315">
        <v>1</v>
      </c>
      <c r="AL714" s="315"/>
      <c r="AM714" s="315">
        <v>1</v>
      </c>
      <c r="AN714" s="315"/>
      <c r="AO714" s="315">
        <v>1</v>
      </c>
      <c r="AP714" s="315"/>
      <c r="AQ714" s="316"/>
    </row>
    <row r="715" spans="1:43" s="378" customFormat="1" ht="44.25" customHeight="1">
      <c r="A715" s="313" t="s">
        <v>1768</v>
      </c>
      <c r="B715" s="313" t="s">
        <v>390</v>
      </c>
      <c r="C715" s="314" t="s">
        <v>1233</v>
      </c>
      <c r="D715" s="314" t="s">
        <v>1450</v>
      </c>
      <c r="E715" s="314" t="s">
        <v>1794</v>
      </c>
      <c r="F715" s="315"/>
      <c r="G715" s="315"/>
      <c r="H715" s="315"/>
      <c r="I715" s="315"/>
      <c r="J715" s="315"/>
      <c r="K715" s="315"/>
      <c r="L715" s="315">
        <v>1</v>
      </c>
      <c r="M715" s="315">
        <v>1</v>
      </c>
      <c r="N715" s="315"/>
      <c r="O715" s="315"/>
      <c r="P715" s="315"/>
      <c r="Q715" s="315"/>
      <c r="R715" s="315"/>
      <c r="S715" s="315"/>
      <c r="T715" s="315">
        <v>1</v>
      </c>
      <c r="U715" s="315">
        <v>1</v>
      </c>
      <c r="V715" s="315"/>
      <c r="W715" s="315"/>
      <c r="X715" s="315"/>
      <c r="Y715" s="315"/>
      <c r="Z715" s="315"/>
      <c r="AA715" s="315"/>
      <c r="AB715" s="315"/>
      <c r="AC715" s="315"/>
      <c r="AD715" s="315"/>
      <c r="AE715" s="315"/>
      <c r="AF715" s="315"/>
      <c r="AG715" s="315"/>
      <c r="AH715" s="315"/>
      <c r="AI715" s="315"/>
      <c r="AJ715" s="315"/>
      <c r="AK715" s="315"/>
      <c r="AL715" s="315"/>
      <c r="AM715" s="315"/>
      <c r="AN715" s="315"/>
      <c r="AO715" s="315"/>
      <c r="AP715" s="315"/>
      <c r="AQ715" s="316"/>
    </row>
    <row r="716" spans="1:43" s="378" customFormat="1" ht="44.25" customHeight="1">
      <c r="A716" s="313" t="s">
        <v>1768</v>
      </c>
      <c r="B716" s="313" t="s">
        <v>394</v>
      </c>
      <c r="C716" s="314" t="s">
        <v>1234</v>
      </c>
      <c r="D716" s="314" t="s">
        <v>1442</v>
      </c>
      <c r="E716" s="314" t="s">
        <v>1795</v>
      </c>
      <c r="F716" s="315"/>
      <c r="G716" s="315"/>
      <c r="H716" s="315"/>
      <c r="I716" s="315"/>
      <c r="J716" s="315"/>
      <c r="K716" s="315"/>
      <c r="L716" s="315"/>
      <c r="M716" s="315">
        <v>1</v>
      </c>
      <c r="N716" s="315"/>
      <c r="O716" s="315"/>
      <c r="P716" s="315"/>
      <c r="Q716" s="315"/>
      <c r="R716" s="315"/>
      <c r="S716" s="315"/>
      <c r="T716" s="315"/>
      <c r="U716" s="315">
        <v>1</v>
      </c>
      <c r="V716" s="315"/>
      <c r="W716" s="315"/>
      <c r="X716" s="315"/>
      <c r="Y716" s="315"/>
      <c r="Z716" s="315"/>
      <c r="AA716" s="315"/>
      <c r="AB716" s="315"/>
      <c r="AC716" s="315">
        <v>1</v>
      </c>
      <c r="AD716" s="315"/>
      <c r="AE716" s="315"/>
      <c r="AF716" s="315"/>
      <c r="AG716" s="315"/>
      <c r="AH716" s="315"/>
      <c r="AI716" s="315"/>
      <c r="AJ716" s="315"/>
      <c r="AK716" s="315">
        <v>1</v>
      </c>
      <c r="AL716" s="315"/>
      <c r="AM716" s="315">
        <v>1</v>
      </c>
      <c r="AN716" s="315"/>
      <c r="AO716" s="315">
        <v>1</v>
      </c>
      <c r="AP716" s="315"/>
      <c r="AQ716" s="316"/>
    </row>
    <row r="717" spans="1:43" s="378" customFormat="1" ht="44.25" customHeight="1">
      <c r="A717" s="313" t="s">
        <v>1768</v>
      </c>
      <c r="B717" s="313" t="s">
        <v>390</v>
      </c>
      <c r="C717" s="314" t="s">
        <v>1235</v>
      </c>
      <c r="D717" s="314" t="s">
        <v>1448</v>
      </c>
      <c r="E717" s="314" t="s">
        <v>1796</v>
      </c>
      <c r="F717" s="315"/>
      <c r="G717" s="315"/>
      <c r="H717" s="315"/>
      <c r="I717" s="315"/>
      <c r="J717" s="315"/>
      <c r="K717" s="315"/>
      <c r="L717" s="315">
        <v>1</v>
      </c>
      <c r="M717" s="315">
        <v>1</v>
      </c>
      <c r="N717" s="315"/>
      <c r="O717" s="315"/>
      <c r="P717" s="315"/>
      <c r="Q717" s="315"/>
      <c r="R717" s="315"/>
      <c r="S717" s="315"/>
      <c r="T717" s="315">
        <v>1</v>
      </c>
      <c r="U717" s="315">
        <v>1</v>
      </c>
      <c r="V717" s="315"/>
      <c r="W717" s="315"/>
      <c r="X717" s="315"/>
      <c r="Y717" s="315"/>
      <c r="Z717" s="315"/>
      <c r="AA717" s="315"/>
      <c r="AB717" s="315"/>
      <c r="AC717" s="315"/>
      <c r="AD717" s="315"/>
      <c r="AE717" s="315"/>
      <c r="AF717" s="315"/>
      <c r="AG717" s="315"/>
      <c r="AH717" s="315"/>
      <c r="AI717" s="315"/>
      <c r="AJ717" s="315"/>
      <c r="AK717" s="315"/>
      <c r="AL717" s="315"/>
      <c r="AM717" s="315">
        <v>1</v>
      </c>
      <c r="AN717" s="315"/>
      <c r="AO717" s="315"/>
      <c r="AP717" s="315"/>
      <c r="AQ717" s="316"/>
    </row>
    <row r="718" spans="1:43" s="378" customFormat="1" ht="44.25" customHeight="1">
      <c r="A718" s="313" t="s">
        <v>1768</v>
      </c>
      <c r="B718" s="313" t="s">
        <v>394</v>
      </c>
      <c r="C718" s="314" t="s">
        <v>1236</v>
      </c>
      <c r="D718" s="314" t="s">
        <v>1452</v>
      </c>
      <c r="E718" s="314" t="s">
        <v>1797</v>
      </c>
      <c r="F718" s="315"/>
      <c r="G718" s="315"/>
      <c r="H718" s="315"/>
      <c r="I718" s="315"/>
      <c r="J718" s="315"/>
      <c r="K718" s="315"/>
      <c r="L718" s="315"/>
      <c r="M718" s="315"/>
      <c r="N718" s="315"/>
      <c r="O718" s="315"/>
      <c r="P718" s="315"/>
      <c r="Q718" s="315"/>
      <c r="R718" s="315"/>
      <c r="S718" s="315"/>
      <c r="T718" s="315"/>
      <c r="U718" s="315"/>
      <c r="V718" s="315"/>
      <c r="W718" s="315"/>
      <c r="X718" s="315"/>
      <c r="Y718" s="315"/>
      <c r="Z718" s="315"/>
      <c r="AA718" s="315"/>
      <c r="AB718" s="315"/>
      <c r="AC718" s="315"/>
      <c r="AD718" s="315"/>
      <c r="AE718" s="315"/>
      <c r="AF718" s="315"/>
      <c r="AG718" s="315"/>
      <c r="AH718" s="315"/>
      <c r="AI718" s="315"/>
      <c r="AJ718" s="315"/>
      <c r="AK718" s="315"/>
      <c r="AL718" s="315"/>
      <c r="AM718" s="315"/>
      <c r="AN718" s="315"/>
      <c r="AO718" s="315"/>
      <c r="AP718" s="315"/>
      <c r="AQ718" s="316"/>
    </row>
    <row r="719" spans="1:43" s="378" customFormat="1" ht="44.25" customHeight="1">
      <c r="A719" s="313" t="s">
        <v>1768</v>
      </c>
      <c r="B719" s="313" t="s">
        <v>394</v>
      </c>
      <c r="C719" s="314" t="s">
        <v>1237</v>
      </c>
      <c r="D719" s="314" t="s">
        <v>1442</v>
      </c>
      <c r="E719" s="314" t="s">
        <v>1798</v>
      </c>
      <c r="F719" s="315"/>
      <c r="G719" s="315"/>
      <c r="H719" s="315"/>
      <c r="I719" s="315"/>
      <c r="J719" s="315"/>
      <c r="K719" s="315"/>
      <c r="L719" s="315"/>
      <c r="M719" s="315">
        <v>1</v>
      </c>
      <c r="N719" s="315"/>
      <c r="O719" s="315"/>
      <c r="P719" s="315"/>
      <c r="Q719" s="315"/>
      <c r="R719" s="315"/>
      <c r="S719" s="315"/>
      <c r="T719" s="315"/>
      <c r="U719" s="315">
        <v>1</v>
      </c>
      <c r="V719" s="315"/>
      <c r="W719" s="315"/>
      <c r="X719" s="315"/>
      <c r="Y719" s="315"/>
      <c r="Z719" s="315"/>
      <c r="AA719" s="315"/>
      <c r="AB719" s="315"/>
      <c r="AC719" s="315">
        <v>1</v>
      </c>
      <c r="AD719" s="315"/>
      <c r="AE719" s="315"/>
      <c r="AF719" s="315"/>
      <c r="AG719" s="315"/>
      <c r="AH719" s="315"/>
      <c r="AI719" s="315"/>
      <c r="AJ719" s="315"/>
      <c r="AK719" s="315">
        <v>1</v>
      </c>
      <c r="AL719" s="315"/>
      <c r="AM719" s="315">
        <v>1</v>
      </c>
      <c r="AN719" s="315"/>
      <c r="AO719" s="315">
        <v>1</v>
      </c>
      <c r="AP719" s="315"/>
      <c r="AQ719" s="316"/>
    </row>
    <row r="720" spans="1:43" s="378" customFormat="1" ht="44.25" customHeight="1">
      <c r="A720" s="313" t="s">
        <v>1768</v>
      </c>
      <c r="B720" s="313" t="s">
        <v>390</v>
      </c>
      <c r="C720" s="314" t="s">
        <v>1238</v>
      </c>
      <c r="D720" s="314" t="s">
        <v>1450</v>
      </c>
      <c r="E720" s="314" t="s">
        <v>1799</v>
      </c>
      <c r="F720" s="315"/>
      <c r="G720" s="315"/>
      <c r="H720" s="315"/>
      <c r="I720" s="315"/>
      <c r="J720" s="315"/>
      <c r="K720" s="315"/>
      <c r="L720" s="315">
        <v>1</v>
      </c>
      <c r="M720" s="315">
        <v>1</v>
      </c>
      <c r="N720" s="315"/>
      <c r="O720" s="315"/>
      <c r="P720" s="315"/>
      <c r="Q720" s="315"/>
      <c r="R720" s="315"/>
      <c r="S720" s="315"/>
      <c r="T720" s="315">
        <v>1</v>
      </c>
      <c r="U720" s="315">
        <v>1</v>
      </c>
      <c r="V720" s="315"/>
      <c r="W720" s="315"/>
      <c r="X720" s="315"/>
      <c r="Y720" s="315"/>
      <c r="Z720" s="315"/>
      <c r="AA720" s="315"/>
      <c r="AB720" s="315"/>
      <c r="AC720" s="315"/>
      <c r="AD720" s="315"/>
      <c r="AE720" s="315"/>
      <c r="AF720" s="315"/>
      <c r="AG720" s="315"/>
      <c r="AH720" s="315"/>
      <c r="AI720" s="315"/>
      <c r="AJ720" s="315"/>
      <c r="AK720" s="315"/>
      <c r="AL720" s="315"/>
      <c r="AM720" s="315"/>
      <c r="AN720" s="315"/>
      <c r="AO720" s="315"/>
      <c r="AP720" s="315"/>
      <c r="AQ720" s="316"/>
    </row>
    <row r="721" spans="1:43" s="378" customFormat="1" ht="44.25" customHeight="1">
      <c r="A721" s="313" t="s">
        <v>1768</v>
      </c>
      <c r="B721" s="313" t="s">
        <v>394</v>
      </c>
      <c r="C721" s="314" t="s">
        <v>1239</v>
      </c>
      <c r="D721" s="314" t="s">
        <v>1442</v>
      </c>
      <c r="E721" s="314" t="s">
        <v>1800</v>
      </c>
      <c r="F721" s="315"/>
      <c r="G721" s="315"/>
      <c r="H721" s="315"/>
      <c r="I721" s="315"/>
      <c r="J721" s="315"/>
      <c r="K721" s="315"/>
      <c r="L721" s="315"/>
      <c r="M721" s="315">
        <v>1</v>
      </c>
      <c r="N721" s="315"/>
      <c r="O721" s="315"/>
      <c r="P721" s="315"/>
      <c r="Q721" s="315"/>
      <c r="R721" s="315"/>
      <c r="S721" s="315"/>
      <c r="T721" s="315"/>
      <c r="U721" s="315">
        <v>1</v>
      </c>
      <c r="V721" s="315"/>
      <c r="W721" s="315"/>
      <c r="X721" s="315"/>
      <c r="Y721" s="315"/>
      <c r="Z721" s="315"/>
      <c r="AA721" s="315"/>
      <c r="AB721" s="315"/>
      <c r="AC721" s="315">
        <v>1</v>
      </c>
      <c r="AD721" s="315"/>
      <c r="AE721" s="315"/>
      <c r="AF721" s="315"/>
      <c r="AG721" s="315"/>
      <c r="AH721" s="315"/>
      <c r="AI721" s="315"/>
      <c r="AJ721" s="315"/>
      <c r="AK721" s="315">
        <v>1</v>
      </c>
      <c r="AL721" s="315"/>
      <c r="AM721" s="315">
        <v>1</v>
      </c>
      <c r="AN721" s="315"/>
      <c r="AO721" s="315">
        <v>1</v>
      </c>
      <c r="AP721" s="315"/>
      <c r="AQ721" s="316"/>
    </row>
    <row r="722" spans="1:43" s="378" customFormat="1" ht="44.25" customHeight="1">
      <c r="A722" s="313" t="s">
        <v>1768</v>
      </c>
      <c r="B722" s="313" t="s">
        <v>390</v>
      </c>
      <c r="C722" s="314" t="s">
        <v>1240</v>
      </c>
      <c r="D722" s="314" t="s">
        <v>1448</v>
      </c>
      <c r="E722" s="314" t="s">
        <v>1801</v>
      </c>
      <c r="F722" s="315"/>
      <c r="G722" s="315"/>
      <c r="H722" s="315"/>
      <c r="I722" s="315"/>
      <c r="J722" s="315"/>
      <c r="K722" s="315"/>
      <c r="L722" s="315"/>
      <c r="M722" s="315">
        <v>1</v>
      </c>
      <c r="N722" s="315"/>
      <c r="O722" s="315"/>
      <c r="P722" s="315"/>
      <c r="Q722" s="315"/>
      <c r="R722" s="315"/>
      <c r="S722" s="315"/>
      <c r="T722" s="315"/>
      <c r="U722" s="315">
        <v>1</v>
      </c>
      <c r="V722" s="315"/>
      <c r="W722" s="315"/>
      <c r="X722" s="315"/>
      <c r="Y722" s="315"/>
      <c r="Z722" s="315"/>
      <c r="AA722" s="315"/>
      <c r="AB722" s="315"/>
      <c r="AC722" s="315"/>
      <c r="AD722" s="315"/>
      <c r="AE722" s="315"/>
      <c r="AF722" s="315"/>
      <c r="AG722" s="315"/>
      <c r="AH722" s="315"/>
      <c r="AI722" s="315"/>
      <c r="AJ722" s="315"/>
      <c r="AK722" s="315"/>
      <c r="AL722" s="315"/>
      <c r="AM722" s="315"/>
      <c r="AN722" s="315"/>
      <c r="AO722" s="315"/>
      <c r="AP722" s="315"/>
      <c r="AQ722" s="316"/>
    </row>
    <row r="723" spans="1:43" s="378" customFormat="1" ht="44.25" customHeight="1">
      <c r="A723" s="313" t="s">
        <v>1768</v>
      </c>
      <c r="B723" s="313" t="s">
        <v>390</v>
      </c>
      <c r="C723" s="314" t="s">
        <v>1241</v>
      </c>
      <c r="D723" s="314" t="s">
        <v>1450</v>
      </c>
      <c r="E723" s="314" t="s">
        <v>1802</v>
      </c>
      <c r="F723" s="315"/>
      <c r="G723" s="315"/>
      <c r="H723" s="315"/>
      <c r="I723" s="315"/>
      <c r="J723" s="315"/>
      <c r="K723" s="315"/>
      <c r="L723" s="315">
        <v>1</v>
      </c>
      <c r="M723" s="315">
        <v>1</v>
      </c>
      <c r="N723" s="315"/>
      <c r="O723" s="315"/>
      <c r="P723" s="315"/>
      <c r="Q723" s="315"/>
      <c r="R723" s="315"/>
      <c r="S723" s="315"/>
      <c r="T723" s="315">
        <v>1</v>
      </c>
      <c r="U723" s="315">
        <v>1</v>
      </c>
      <c r="V723" s="315"/>
      <c r="W723" s="315"/>
      <c r="X723" s="315"/>
      <c r="Y723" s="315"/>
      <c r="Z723" s="315"/>
      <c r="AA723" s="315"/>
      <c r="AB723" s="315"/>
      <c r="AC723" s="315"/>
      <c r="AD723" s="315"/>
      <c r="AE723" s="315"/>
      <c r="AF723" s="315"/>
      <c r="AG723" s="315"/>
      <c r="AH723" s="315"/>
      <c r="AI723" s="315"/>
      <c r="AJ723" s="315"/>
      <c r="AK723" s="315"/>
      <c r="AL723" s="315"/>
      <c r="AM723" s="315">
        <v>1</v>
      </c>
      <c r="AN723" s="315"/>
      <c r="AO723" s="315"/>
      <c r="AP723" s="315"/>
      <c r="AQ723" s="316"/>
    </row>
    <row r="724" spans="1:43" s="378" customFormat="1" ht="44.25" customHeight="1">
      <c r="A724" s="313" t="s">
        <v>1768</v>
      </c>
      <c r="B724" s="313" t="s">
        <v>390</v>
      </c>
      <c r="C724" s="314" t="s">
        <v>1242</v>
      </c>
      <c r="D724" s="314" t="s">
        <v>1450</v>
      </c>
      <c r="E724" s="314" t="s">
        <v>1803</v>
      </c>
      <c r="F724" s="315"/>
      <c r="G724" s="315"/>
      <c r="H724" s="315"/>
      <c r="I724" s="315"/>
      <c r="J724" s="315"/>
      <c r="K724" s="315"/>
      <c r="L724" s="315">
        <v>1</v>
      </c>
      <c r="M724" s="315">
        <v>1</v>
      </c>
      <c r="N724" s="315"/>
      <c r="O724" s="315"/>
      <c r="P724" s="315"/>
      <c r="Q724" s="315"/>
      <c r="R724" s="315"/>
      <c r="S724" s="315"/>
      <c r="T724" s="315">
        <v>1</v>
      </c>
      <c r="U724" s="315">
        <v>1</v>
      </c>
      <c r="V724" s="315"/>
      <c r="W724" s="315"/>
      <c r="X724" s="315"/>
      <c r="Y724" s="315"/>
      <c r="Z724" s="315"/>
      <c r="AA724" s="315"/>
      <c r="AB724" s="315"/>
      <c r="AC724" s="315"/>
      <c r="AD724" s="315"/>
      <c r="AE724" s="315"/>
      <c r="AF724" s="315"/>
      <c r="AG724" s="315"/>
      <c r="AH724" s="315"/>
      <c r="AI724" s="315"/>
      <c r="AJ724" s="315"/>
      <c r="AK724" s="315"/>
      <c r="AL724" s="315"/>
      <c r="AM724" s="315"/>
      <c r="AN724" s="315"/>
      <c r="AO724" s="315"/>
      <c r="AP724" s="315"/>
      <c r="AQ724" s="316"/>
    </row>
    <row r="725" spans="1:43" s="378" customFormat="1" ht="44.25" customHeight="1">
      <c r="A725" s="313" t="s">
        <v>1768</v>
      </c>
      <c r="B725" s="313" t="s">
        <v>390</v>
      </c>
      <c r="C725" s="314" t="s">
        <v>1243</v>
      </c>
      <c r="D725" s="314" t="s">
        <v>1450</v>
      </c>
      <c r="E725" s="314" t="s">
        <v>1804</v>
      </c>
      <c r="F725" s="315"/>
      <c r="G725" s="315"/>
      <c r="H725" s="315"/>
      <c r="I725" s="315"/>
      <c r="J725" s="315"/>
      <c r="K725" s="315"/>
      <c r="L725" s="315"/>
      <c r="M725" s="315">
        <v>1</v>
      </c>
      <c r="N725" s="315"/>
      <c r="O725" s="315"/>
      <c r="P725" s="315"/>
      <c r="Q725" s="315"/>
      <c r="R725" s="315"/>
      <c r="S725" s="315"/>
      <c r="T725" s="315"/>
      <c r="U725" s="315">
        <v>1</v>
      </c>
      <c r="V725" s="315"/>
      <c r="W725" s="315"/>
      <c r="X725" s="315"/>
      <c r="Y725" s="315"/>
      <c r="Z725" s="315"/>
      <c r="AA725" s="315"/>
      <c r="AB725" s="315"/>
      <c r="AC725" s="315"/>
      <c r="AD725" s="315"/>
      <c r="AE725" s="315"/>
      <c r="AF725" s="315"/>
      <c r="AG725" s="315"/>
      <c r="AH725" s="315"/>
      <c r="AI725" s="315"/>
      <c r="AJ725" s="315"/>
      <c r="AK725" s="315"/>
      <c r="AL725" s="315"/>
      <c r="AM725" s="315"/>
      <c r="AN725" s="315"/>
      <c r="AO725" s="315"/>
      <c r="AP725" s="315"/>
      <c r="AQ725" s="316"/>
    </row>
    <row r="726" spans="1:43" s="378" customFormat="1" ht="44.25" customHeight="1">
      <c r="A726" s="313" t="s">
        <v>1768</v>
      </c>
      <c r="B726" s="313" t="s">
        <v>390</v>
      </c>
      <c r="C726" s="314" t="s">
        <v>1244</v>
      </c>
      <c r="D726" s="314" t="s">
        <v>1448</v>
      </c>
      <c r="E726" s="314" t="s">
        <v>1805</v>
      </c>
      <c r="F726" s="315"/>
      <c r="G726" s="315"/>
      <c r="H726" s="315"/>
      <c r="I726" s="315"/>
      <c r="J726" s="315"/>
      <c r="K726" s="315"/>
      <c r="L726" s="315">
        <v>1</v>
      </c>
      <c r="M726" s="315">
        <v>1</v>
      </c>
      <c r="N726" s="315"/>
      <c r="O726" s="315"/>
      <c r="P726" s="315"/>
      <c r="Q726" s="315"/>
      <c r="R726" s="315"/>
      <c r="S726" s="315"/>
      <c r="T726" s="315">
        <v>1</v>
      </c>
      <c r="U726" s="315">
        <v>1</v>
      </c>
      <c r="V726" s="315"/>
      <c r="W726" s="315"/>
      <c r="X726" s="315"/>
      <c r="Y726" s="315"/>
      <c r="Z726" s="315"/>
      <c r="AA726" s="315"/>
      <c r="AB726" s="315"/>
      <c r="AC726" s="315"/>
      <c r="AD726" s="315"/>
      <c r="AE726" s="315"/>
      <c r="AF726" s="315"/>
      <c r="AG726" s="315"/>
      <c r="AH726" s="315"/>
      <c r="AI726" s="315"/>
      <c r="AJ726" s="315"/>
      <c r="AK726" s="315"/>
      <c r="AL726" s="315"/>
      <c r="AM726" s="315"/>
      <c r="AN726" s="315"/>
      <c r="AO726" s="315"/>
      <c r="AP726" s="315"/>
      <c r="AQ726" s="316"/>
    </row>
    <row r="727" spans="1:43" s="378" customFormat="1" ht="44.25" customHeight="1">
      <c r="A727" s="313" t="s">
        <v>1768</v>
      </c>
      <c r="B727" s="313" t="s">
        <v>390</v>
      </c>
      <c r="C727" s="314" t="s">
        <v>1245</v>
      </c>
      <c r="D727" s="314" t="s">
        <v>1450</v>
      </c>
      <c r="E727" s="314" t="s">
        <v>1806</v>
      </c>
      <c r="F727" s="315"/>
      <c r="G727" s="315"/>
      <c r="H727" s="315"/>
      <c r="I727" s="315"/>
      <c r="J727" s="315"/>
      <c r="K727" s="315"/>
      <c r="L727" s="315">
        <v>1</v>
      </c>
      <c r="M727" s="315">
        <v>1</v>
      </c>
      <c r="N727" s="315"/>
      <c r="O727" s="315"/>
      <c r="P727" s="315"/>
      <c r="Q727" s="315"/>
      <c r="R727" s="315"/>
      <c r="S727" s="315"/>
      <c r="T727" s="315">
        <v>1</v>
      </c>
      <c r="U727" s="315">
        <v>1</v>
      </c>
      <c r="V727" s="315"/>
      <c r="W727" s="315"/>
      <c r="X727" s="315"/>
      <c r="Y727" s="315"/>
      <c r="Z727" s="315"/>
      <c r="AA727" s="315"/>
      <c r="AB727" s="315"/>
      <c r="AC727" s="315"/>
      <c r="AD727" s="315"/>
      <c r="AE727" s="315"/>
      <c r="AF727" s="315"/>
      <c r="AG727" s="315"/>
      <c r="AH727" s="315"/>
      <c r="AI727" s="315"/>
      <c r="AJ727" s="315"/>
      <c r="AK727" s="315"/>
      <c r="AL727" s="315"/>
      <c r="AM727" s="315"/>
      <c r="AN727" s="315"/>
      <c r="AO727" s="315"/>
      <c r="AP727" s="315"/>
      <c r="AQ727" s="316"/>
    </row>
    <row r="728" spans="1:43" s="378" customFormat="1" ht="44.25" customHeight="1">
      <c r="A728" s="313" t="s">
        <v>1768</v>
      </c>
      <c r="B728" s="313" t="s">
        <v>394</v>
      </c>
      <c r="C728" s="314" t="s">
        <v>1246</v>
      </c>
      <c r="D728" s="314" t="s">
        <v>1442</v>
      </c>
      <c r="E728" s="314" t="s">
        <v>1807</v>
      </c>
      <c r="F728" s="315"/>
      <c r="G728" s="315"/>
      <c r="H728" s="315"/>
      <c r="I728" s="315"/>
      <c r="J728" s="315"/>
      <c r="K728" s="315"/>
      <c r="L728" s="315"/>
      <c r="M728" s="315"/>
      <c r="N728" s="315"/>
      <c r="O728" s="315"/>
      <c r="P728" s="315"/>
      <c r="Q728" s="315"/>
      <c r="R728" s="315"/>
      <c r="S728" s="315"/>
      <c r="T728" s="315"/>
      <c r="U728" s="315">
        <v>1</v>
      </c>
      <c r="V728" s="315"/>
      <c r="W728" s="315"/>
      <c r="X728" s="315"/>
      <c r="Y728" s="315"/>
      <c r="Z728" s="315"/>
      <c r="AA728" s="315"/>
      <c r="AB728" s="315"/>
      <c r="AC728" s="315"/>
      <c r="AD728" s="315"/>
      <c r="AE728" s="315"/>
      <c r="AF728" s="315"/>
      <c r="AG728" s="315"/>
      <c r="AH728" s="315"/>
      <c r="AI728" s="315"/>
      <c r="AJ728" s="315"/>
      <c r="AK728" s="315"/>
      <c r="AL728" s="315"/>
      <c r="AM728" s="315"/>
      <c r="AN728" s="315"/>
      <c r="AO728" s="315">
        <v>1</v>
      </c>
      <c r="AP728" s="315"/>
      <c r="AQ728" s="316"/>
    </row>
    <row r="729" spans="1:43" s="378" customFormat="1" ht="44.25" customHeight="1">
      <c r="A729" s="313" t="s">
        <v>1768</v>
      </c>
      <c r="B729" s="313" t="s">
        <v>394</v>
      </c>
      <c r="C729" s="314" t="s">
        <v>1247</v>
      </c>
      <c r="D729" s="314" t="s">
        <v>1442</v>
      </c>
      <c r="E729" s="314" t="s">
        <v>1808</v>
      </c>
      <c r="F729" s="315"/>
      <c r="G729" s="315"/>
      <c r="H729" s="315"/>
      <c r="I729" s="315"/>
      <c r="J729" s="315"/>
      <c r="K729" s="315"/>
      <c r="L729" s="315"/>
      <c r="M729" s="315"/>
      <c r="N729" s="315"/>
      <c r="O729" s="315"/>
      <c r="P729" s="315"/>
      <c r="Q729" s="315"/>
      <c r="R729" s="315"/>
      <c r="S729" s="315"/>
      <c r="T729" s="315"/>
      <c r="U729" s="315"/>
      <c r="V729" s="315"/>
      <c r="W729" s="315"/>
      <c r="X729" s="315"/>
      <c r="Y729" s="315"/>
      <c r="Z729" s="315"/>
      <c r="AA729" s="315"/>
      <c r="AB729" s="315"/>
      <c r="AC729" s="315"/>
      <c r="AD729" s="315"/>
      <c r="AE729" s="315"/>
      <c r="AF729" s="315"/>
      <c r="AG729" s="315"/>
      <c r="AH729" s="315"/>
      <c r="AI729" s="315"/>
      <c r="AJ729" s="315"/>
      <c r="AK729" s="315"/>
      <c r="AL729" s="315"/>
      <c r="AM729" s="315"/>
      <c r="AN729" s="315"/>
      <c r="AO729" s="315"/>
      <c r="AP729" s="315"/>
      <c r="AQ729" s="316"/>
    </row>
    <row r="730" spans="1:43" s="378" customFormat="1" ht="44.25" customHeight="1">
      <c r="A730" s="313" t="s">
        <v>1537</v>
      </c>
      <c r="B730" s="313" t="s">
        <v>394</v>
      </c>
      <c r="C730" s="314" t="s">
        <v>1248</v>
      </c>
      <c r="D730" s="314" t="s">
        <v>1442</v>
      </c>
      <c r="E730" s="314" t="s">
        <v>1809</v>
      </c>
      <c r="F730" s="315"/>
      <c r="G730" s="315"/>
      <c r="H730" s="315"/>
      <c r="I730" s="315"/>
      <c r="J730" s="315"/>
      <c r="K730" s="315"/>
      <c r="L730" s="315"/>
      <c r="M730" s="315">
        <v>1</v>
      </c>
      <c r="N730" s="315"/>
      <c r="O730" s="315"/>
      <c r="P730" s="315"/>
      <c r="Q730" s="315"/>
      <c r="R730" s="315"/>
      <c r="S730" s="315"/>
      <c r="T730" s="315"/>
      <c r="U730" s="315">
        <v>1</v>
      </c>
      <c r="V730" s="315"/>
      <c r="W730" s="315"/>
      <c r="X730" s="315"/>
      <c r="Y730" s="315"/>
      <c r="Z730" s="315"/>
      <c r="AA730" s="315"/>
      <c r="AB730" s="315"/>
      <c r="AC730" s="315">
        <v>1</v>
      </c>
      <c r="AD730" s="315"/>
      <c r="AE730" s="315"/>
      <c r="AF730" s="315"/>
      <c r="AG730" s="315"/>
      <c r="AH730" s="315"/>
      <c r="AI730" s="315"/>
      <c r="AJ730" s="315"/>
      <c r="AK730" s="315">
        <v>1</v>
      </c>
      <c r="AL730" s="315">
        <v>1</v>
      </c>
      <c r="AM730" s="315">
        <v>1</v>
      </c>
      <c r="AN730" s="315"/>
      <c r="AO730" s="315">
        <v>1</v>
      </c>
      <c r="AP730" s="315">
        <v>1</v>
      </c>
      <c r="AQ730" s="316">
        <v>1</v>
      </c>
    </row>
    <row r="731" spans="1:43" s="378" customFormat="1" ht="44.25" customHeight="1">
      <c r="A731" s="313" t="s">
        <v>1537</v>
      </c>
      <c r="B731" s="313" t="s">
        <v>394</v>
      </c>
      <c r="C731" s="314" t="s">
        <v>1249</v>
      </c>
      <c r="D731" s="314" t="s">
        <v>1442</v>
      </c>
      <c r="E731" s="314" t="s">
        <v>1810</v>
      </c>
      <c r="F731" s="315"/>
      <c r="G731" s="315"/>
      <c r="H731" s="315"/>
      <c r="I731" s="315"/>
      <c r="J731" s="315"/>
      <c r="K731" s="315"/>
      <c r="L731" s="315"/>
      <c r="M731" s="315"/>
      <c r="N731" s="315"/>
      <c r="O731" s="315"/>
      <c r="P731" s="315"/>
      <c r="Q731" s="315"/>
      <c r="R731" s="315"/>
      <c r="S731" s="315"/>
      <c r="T731" s="315"/>
      <c r="U731" s="315">
        <v>1</v>
      </c>
      <c r="V731" s="315"/>
      <c r="W731" s="315"/>
      <c r="X731" s="315"/>
      <c r="Y731" s="315"/>
      <c r="Z731" s="315"/>
      <c r="AA731" s="315"/>
      <c r="AB731" s="315"/>
      <c r="AC731" s="315">
        <v>1</v>
      </c>
      <c r="AD731" s="315"/>
      <c r="AE731" s="315"/>
      <c r="AF731" s="315"/>
      <c r="AG731" s="315"/>
      <c r="AH731" s="315"/>
      <c r="AI731" s="315"/>
      <c r="AJ731" s="315"/>
      <c r="AK731" s="315">
        <v>1</v>
      </c>
      <c r="AL731" s="315">
        <v>1</v>
      </c>
      <c r="AM731" s="315">
        <v>1</v>
      </c>
      <c r="AN731" s="315"/>
      <c r="AO731" s="315">
        <v>1</v>
      </c>
      <c r="AP731" s="315"/>
      <c r="AQ731" s="316"/>
    </row>
    <row r="732" spans="1:43" s="378" customFormat="1" ht="44.25" customHeight="1">
      <c r="A732" s="313" t="s">
        <v>1537</v>
      </c>
      <c r="B732" s="313" t="s">
        <v>394</v>
      </c>
      <c r="C732" s="314" t="s">
        <v>1250</v>
      </c>
      <c r="D732" s="314" t="s">
        <v>1442</v>
      </c>
      <c r="E732" s="314" t="s">
        <v>1811</v>
      </c>
      <c r="F732" s="315"/>
      <c r="G732" s="315"/>
      <c r="H732" s="315"/>
      <c r="I732" s="315"/>
      <c r="J732" s="315"/>
      <c r="K732" s="315"/>
      <c r="L732" s="315"/>
      <c r="M732" s="315">
        <v>1</v>
      </c>
      <c r="N732" s="315"/>
      <c r="O732" s="315"/>
      <c r="P732" s="315"/>
      <c r="Q732" s="315"/>
      <c r="R732" s="315"/>
      <c r="S732" s="315"/>
      <c r="T732" s="315"/>
      <c r="U732" s="315">
        <v>1</v>
      </c>
      <c r="V732" s="315"/>
      <c r="W732" s="315"/>
      <c r="X732" s="315"/>
      <c r="Y732" s="315"/>
      <c r="Z732" s="315"/>
      <c r="AA732" s="315"/>
      <c r="AB732" s="315"/>
      <c r="AC732" s="315">
        <v>1</v>
      </c>
      <c r="AD732" s="315"/>
      <c r="AE732" s="315"/>
      <c r="AF732" s="315"/>
      <c r="AG732" s="315"/>
      <c r="AH732" s="315"/>
      <c r="AI732" s="315"/>
      <c r="AJ732" s="315"/>
      <c r="AK732" s="315">
        <v>1</v>
      </c>
      <c r="AL732" s="315"/>
      <c r="AM732" s="315">
        <v>1</v>
      </c>
      <c r="AN732" s="315"/>
      <c r="AO732" s="315">
        <v>1</v>
      </c>
      <c r="AP732" s="315"/>
      <c r="AQ732" s="316"/>
    </row>
    <row r="733" spans="1:43" s="378" customFormat="1" ht="44.25" customHeight="1">
      <c r="A733" s="313" t="s">
        <v>1537</v>
      </c>
      <c r="B733" s="313" t="s">
        <v>394</v>
      </c>
      <c r="C733" s="314" t="s">
        <v>1251</v>
      </c>
      <c r="D733" s="314" t="s">
        <v>1442</v>
      </c>
      <c r="E733" s="314" t="s">
        <v>1812</v>
      </c>
      <c r="F733" s="315"/>
      <c r="G733" s="315"/>
      <c r="H733" s="315"/>
      <c r="I733" s="315"/>
      <c r="J733" s="315"/>
      <c r="K733" s="315"/>
      <c r="L733" s="315"/>
      <c r="M733" s="315">
        <v>1</v>
      </c>
      <c r="N733" s="315"/>
      <c r="O733" s="315"/>
      <c r="P733" s="315"/>
      <c r="Q733" s="315"/>
      <c r="R733" s="315"/>
      <c r="S733" s="315"/>
      <c r="T733" s="315"/>
      <c r="U733" s="315">
        <v>1</v>
      </c>
      <c r="V733" s="315"/>
      <c r="W733" s="315"/>
      <c r="X733" s="315"/>
      <c r="Y733" s="315"/>
      <c r="Z733" s="315"/>
      <c r="AA733" s="315"/>
      <c r="AB733" s="315"/>
      <c r="AC733" s="315">
        <v>1</v>
      </c>
      <c r="AD733" s="315"/>
      <c r="AE733" s="315"/>
      <c r="AF733" s="315"/>
      <c r="AG733" s="315"/>
      <c r="AH733" s="315"/>
      <c r="AI733" s="315"/>
      <c r="AJ733" s="315"/>
      <c r="AK733" s="315">
        <v>1</v>
      </c>
      <c r="AL733" s="315">
        <v>1</v>
      </c>
      <c r="AM733" s="315">
        <v>1</v>
      </c>
      <c r="AN733" s="315"/>
      <c r="AO733" s="315">
        <v>1</v>
      </c>
      <c r="AP733" s="315"/>
      <c r="AQ733" s="316"/>
    </row>
    <row r="734" spans="1:43" s="378" customFormat="1" ht="44.25" customHeight="1">
      <c r="A734" s="313" t="s">
        <v>1537</v>
      </c>
      <c r="B734" s="313" t="s">
        <v>394</v>
      </c>
      <c r="C734" s="314" t="s">
        <v>1252</v>
      </c>
      <c r="D734" s="314" t="s">
        <v>1442</v>
      </c>
      <c r="E734" s="314" t="s">
        <v>1813</v>
      </c>
      <c r="F734" s="315"/>
      <c r="G734" s="315"/>
      <c r="H734" s="315"/>
      <c r="I734" s="315"/>
      <c r="J734" s="315"/>
      <c r="K734" s="315"/>
      <c r="L734" s="315"/>
      <c r="M734" s="315">
        <v>1</v>
      </c>
      <c r="N734" s="315"/>
      <c r="O734" s="315"/>
      <c r="P734" s="315"/>
      <c r="Q734" s="315"/>
      <c r="R734" s="315"/>
      <c r="S734" s="315"/>
      <c r="T734" s="315"/>
      <c r="U734" s="315">
        <v>1</v>
      </c>
      <c r="V734" s="315"/>
      <c r="W734" s="315"/>
      <c r="X734" s="315"/>
      <c r="Y734" s="315"/>
      <c r="Z734" s="315"/>
      <c r="AA734" s="315"/>
      <c r="AB734" s="315"/>
      <c r="AC734" s="315">
        <v>1</v>
      </c>
      <c r="AD734" s="315"/>
      <c r="AE734" s="315"/>
      <c r="AF734" s="315"/>
      <c r="AG734" s="315"/>
      <c r="AH734" s="315"/>
      <c r="AI734" s="315"/>
      <c r="AJ734" s="315"/>
      <c r="AK734" s="315">
        <v>1</v>
      </c>
      <c r="AL734" s="315"/>
      <c r="AM734" s="315">
        <v>1</v>
      </c>
      <c r="AN734" s="315"/>
      <c r="AO734" s="315">
        <v>1</v>
      </c>
      <c r="AP734" s="315"/>
      <c r="AQ734" s="316"/>
    </row>
    <row r="735" spans="1:43" s="378" customFormat="1" ht="44.25" customHeight="1">
      <c r="A735" s="313" t="s">
        <v>1537</v>
      </c>
      <c r="B735" s="313" t="s">
        <v>394</v>
      </c>
      <c r="C735" s="314" t="s">
        <v>1253</v>
      </c>
      <c r="D735" s="314" t="s">
        <v>1442</v>
      </c>
      <c r="E735" s="314" t="s">
        <v>1814</v>
      </c>
      <c r="F735" s="315"/>
      <c r="G735" s="315"/>
      <c r="H735" s="315"/>
      <c r="I735" s="315"/>
      <c r="J735" s="315"/>
      <c r="K735" s="315"/>
      <c r="L735" s="315"/>
      <c r="M735" s="315">
        <v>1</v>
      </c>
      <c r="N735" s="315"/>
      <c r="O735" s="315"/>
      <c r="P735" s="315"/>
      <c r="Q735" s="315"/>
      <c r="R735" s="315"/>
      <c r="S735" s="315"/>
      <c r="T735" s="315"/>
      <c r="U735" s="315">
        <v>1</v>
      </c>
      <c r="V735" s="315"/>
      <c r="W735" s="315"/>
      <c r="X735" s="315"/>
      <c r="Y735" s="315"/>
      <c r="Z735" s="315"/>
      <c r="AA735" s="315"/>
      <c r="AB735" s="315"/>
      <c r="AC735" s="315">
        <v>1</v>
      </c>
      <c r="AD735" s="315"/>
      <c r="AE735" s="315"/>
      <c r="AF735" s="315"/>
      <c r="AG735" s="315"/>
      <c r="AH735" s="315"/>
      <c r="AI735" s="315"/>
      <c r="AJ735" s="315"/>
      <c r="AK735" s="315">
        <v>1</v>
      </c>
      <c r="AL735" s="315"/>
      <c r="AM735" s="315">
        <v>1</v>
      </c>
      <c r="AN735" s="315"/>
      <c r="AO735" s="315">
        <v>1</v>
      </c>
      <c r="AP735" s="315"/>
      <c r="AQ735" s="316"/>
    </row>
    <row r="736" spans="1:43" s="378" customFormat="1" ht="44.25" customHeight="1">
      <c r="A736" s="313" t="s">
        <v>1537</v>
      </c>
      <c r="B736" s="313" t="s">
        <v>394</v>
      </c>
      <c r="C736" s="314" t="s">
        <v>1254</v>
      </c>
      <c r="D736" s="314" t="s">
        <v>1442</v>
      </c>
      <c r="E736" s="314" t="s">
        <v>1815</v>
      </c>
      <c r="F736" s="315"/>
      <c r="G736" s="315"/>
      <c r="H736" s="315"/>
      <c r="I736" s="315"/>
      <c r="J736" s="315"/>
      <c r="K736" s="315"/>
      <c r="L736" s="315"/>
      <c r="M736" s="315">
        <v>1</v>
      </c>
      <c r="N736" s="315"/>
      <c r="O736" s="315"/>
      <c r="P736" s="315"/>
      <c r="Q736" s="315"/>
      <c r="R736" s="315"/>
      <c r="S736" s="315"/>
      <c r="T736" s="315"/>
      <c r="U736" s="315">
        <v>1</v>
      </c>
      <c r="V736" s="315"/>
      <c r="W736" s="315"/>
      <c r="X736" s="315"/>
      <c r="Y736" s="315"/>
      <c r="Z736" s="315"/>
      <c r="AA736" s="315"/>
      <c r="AB736" s="315"/>
      <c r="AC736" s="315">
        <v>1</v>
      </c>
      <c r="AD736" s="315"/>
      <c r="AE736" s="315"/>
      <c r="AF736" s="315"/>
      <c r="AG736" s="315"/>
      <c r="AH736" s="315"/>
      <c r="AI736" s="315"/>
      <c r="AJ736" s="315"/>
      <c r="AK736" s="315">
        <v>1</v>
      </c>
      <c r="AL736" s="315">
        <v>1</v>
      </c>
      <c r="AM736" s="315">
        <v>1</v>
      </c>
      <c r="AN736" s="315"/>
      <c r="AO736" s="315">
        <v>1</v>
      </c>
      <c r="AP736" s="315"/>
      <c r="AQ736" s="316"/>
    </row>
    <row r="737" spans="1:43" s="378" customFormat="1" ht="44.25" customHeight="1">
      <c r="A737" s="313" t="s">
        <v>1537</v>
      </c>
      <c r="B737" s="313" t="s">
        <v>394</v>
      </c>
      <c r="C737" s="314" t="s">
        <v>1255</v>
      </c>
      <c r="D737" s="314" t="s">
        <v>1442</v>
      </c>
      <c r="E737" s="314" t="s">
        <v>1816</v>
      </c>
      <c r="F737" s="315"/>
      <c r="G737" s="315"/>
      <c r="H737" s="315"/>
      <c r="I737" s="315"/>
      <c r="J737" s="315"/>
      <c r="K737" s="315"/>
      <c r="L737" s="315"/>
      <c r="M737" s="315">
        <v>1</v>
      </c>
      <c r="N737" s="315"/>
      <c r="O737" s="315"/>
      <c r="P737" s="315"/>
      <c r="Q737" s="315"/>
      <c r="R737" s="315"/>
      <c r="S737" s="315"/>
      <c r="T737" s="315"/>
      <c r="U737" s="315">
        <v>1</v>
      </c>
      <c r="V737" s="315"/>
      <c r="W737" s="315"/>
      <c r="X737" s="315"/>
      <c r="Y737" s="315"/>
      <c r="Z737" s="315"/>
      <c r="AA737" s="315"/>
      <c r="AB737" s="315"/>
      <c r="AC737" s="315">
        <v>1</v>
      </c>
      <c r="AD737" s="315"/>
      <c r="AE737" s="315"/>
      <c r="AF737" s="315"/>
      <c r="AG737" s="315"/>
      <c r="AH737" s="315"/>
      <c r="AI737" s="315"/>
      <c r="AJ737" s="315"/>
      <c r="AK737" s="315">
        <v>1</v>
      </c>
      <c r="AL737" s="315"/>
      <c r="AM737" s="315"/>
      <c r="AN737" s="315"/>
      <c r="AO737" s="315">
        <v>1</v>
      </c>
      <c r="AP737" s="315"/>
      <c r="AQ737" s="316"/>
    </row>
    <row r="738" spans="1:43" s="378" customFormat="1" ht="44.25" customHeight="1">
      <c r="A738" s="313" t="s">
        <v>1537</v>
      </c>
      <c r="B738" s="313" t="s">
        <v>394</v>
      </c>
      <c r="C738" s="314" t="s">
        <v>1256</v>
      </c>
      <c r="D738" s="314" t="s">
        <v>1442</v>
      </c>
      <c r="E738" s="314" t="s">
        <v>1817</v>
      </c>
      <c r="F738" s="315"/>
      <c r="G738" s="315"/>
      <c r="H738" s="315"/>
      <c r="I738" s="315"/>
      <c r="J738" s="315"/>
      <c r="K738" s="315"/>
      <c r="L738" s="315"/>
      <c r="M738" s="315">
        <v>1</v>
      </c>
      <c r="N738" s="315"/>
      <c r="O738" s="315"/>
      <c r="P738" s="315"/>
      <c r="Q738" s="315"/>
      <c r="R738" s="315"/>
      <c r="S738" s="315"/>
      <c r="T738" s="315"/>
      <c r="U738" s="315">
        <v>1</v>
      </c>
      <c r="V738" s="315"/>
      <c r="W738" s="315"/>
      <c r="X738" s="315"/>
      <c r="Y738" s="315"/>
      <c r="Z738" s="315"/>
      <c r="AA738" s="315"/>
      <c r="AB738" s="315"/>
      <c r="AC738" s="315">
        <v>1</v>
      </c>
      <c r="AD738" s="315"/>
      <c r="AE738" s="315"/>
      <c r="AF738" s="315"/>
      <c r="AG738" s="315"/>
      <c r="AH738" s="315"/>
      <c r="AI738" s="315"/>
      <c r="AJ738" s="315"/>
      <c r="AK738" s="315">
        <v>1</v>
      </c>
      <c r="AL738" s="315"/>
      <c r="AM738" s="315">
        <v>1</v>
      </c>
      <c r="AN738" s="315"/>
      <c r="AO738" s="315">
        <v>1</v>
      </c>
      <c r="AP738" s="315"/>
      <c r="AQ738" s="316"/>
    </row>
    <row r="739" spans="1:43" s="378" customFormat="1" ht="44.25" customHeight="1">
      <c r="A739" s="313" t="s">
        <v>1537</v>
      </c>
      <c r="B739" s="313" t="s">
        <v>394</v>
      </c>
      <c r="C739" s="314" t="s">
        <v>1257</v>
      </c>
      <c r="D739" s="314" t="s">
        <v>1442</v>
      </c>
      <c r="E739" s="314" t="s">
        <v>1818</v>
      </c>
      <c r="F739" s="315"/>
      <c r="G739" s="315"/>
      <c r="H739" s="315"/>
      <c r="I739" s="315"/>
      <c r="J739" s="315"/>
      <c r="K739" s="315"/>
      <c r="L739" s="315"/>
      <c r="M739" s="315"/>
      <c r="N739" s="315"/>
      <c r="O739" s="315"/>
      <c r="P739" s="315"/>
      <c r="Q739" s="315"/>
      <c r="R739" s="315"/>
      <c r="S739" s="315"/>
      <c r="T739" s="315"/>
      <c r="U739" s="315"/>
      <c r="V739" s="315"/>
      <c r="W739" s="315"/>
      <c r="X739" s="315"/>
      <c r="Y739" s="315"/>
      <c r="Z739" s="315"/>
      <c r="AA739" s="315"/>
      <c r="AB739" s="315"/>
      <c r="AC739" s="315"/>
      <c r="AD739" s="315"/>
      <c r="AE739" s="315"/>
      <c r="AF739" s="315"/>
      <c r="AG739" s="315"/>
      <c r="AH739" s="315"/>
      <c r="AI739" s="315"/>
      <c r="AJ739" s="315"/>
      <c r="AK739" s="315"/>
      <c r="AL739" s="315"/>
      <c r="AM739" s="315"/>
      <c r="AN739" s="315"/>
      <c r="AO739" s="315"/>
      <c r="AP739" s="315"/>
      <c r="AQ739" s="316"/>
    </row>
    <row r="740" spans="1:43" s="378" customFormat="1" ht="44.25" customHeight="1">
      <c r="A740" s="313" t="s">
        <v>1537</v>
      </c>
      <c r="B740" s="313" t="s">
        <v>389</v>
      </c>
      <c r="C740" s="314" t="s">
        <v>1258</v>
      </c>
      <c r="D740" s="314" t="s">
        <v>1436</v>
      </c>
      <c r="E740" s="314" t="s">
        <v>1819</v>
      </c>
      <c r="F740" s="315"/>
      <c r="G740" s="315"/>
      <c r="H740" s="315"/>
      <c r="I740" s="315"/>
      <c r="J740" s="315"/>
      <c r="K740" s="315"/>
      <c r="L740" s="315"/>
      <c r="M740" s="315">
        <v>1</v>
      </c>
      <c r="N740" s="315"/>
      <c r="O740" s="315"/>
      <c r="P740" s="315"/>
      <c r="Q740" s="315"/>
      <c r="R740" s="315"/>
      <c r="S740" s="315"/>
      <c r="T740" s="315"/>
      <c r="U740" s="315">
        <v>1</v>
      </c>
      <c r="V740" s="315"/>
      <c r="W740" s="315"/>
      <c r="X740" s="315"/>
      <c r="Y740" s="315"/>
      <c r="Z740" s="315"/>
      <c r="AA740" s="315"/>
      <c r="AB740" s="315"/>
      <c r="AC740" s="315">
        <v>1</v>
      </c>
      <c r="AD740" s="315"/>
      <c r="AE740" s="315"/>
      <c r="AF740" s="315"/>
      <c r="AG740" s="315"/>
      <c r="AH740" s="315"/>
      <c r="AI740" s="315"/>
      <c r="AJ740" s="315"/>
      <c r="AK740" s="315">
        <v>1</v>
      </c>
      <c r="AL740" s="315">
        <v>1</v>
      </c>
      <c r="AM740" s="315">
        <v>1</v>
      </c>
      <c r="AN740" s="315"/>
      <c r="AO740" s="315"/>
      <c r="AP740" s="315"/>
      <c r="AQ740" s="316"/>
    </row>
    <row r="741" spans="1:43" s="378" customFormat="1" ht="44.25" customHeight="1">
      <c r="A741" s="313" t="s">
        <v>1537</v>
      </c>
      <c r="B741" s="313" t="s">
        <v>389</v>
      </c>
      <c r="C741" s="314" t="s">
        <v>1259</v>
      </c>
      <c r="D741" s="314" t="s">
        <v>1436</v>
      </c>
      <c r="E741" s="314" t="s">
        <v>1820</v>
      </c>
      <c r="F741" s="315"/>
      <c r="G741" s="315"/>
      <c r="H741" s="315"/>
      <c r="I741" s="315"/>
      <c r="J741" s="315"/>
      <c r="K741" s="315"/>
      <c r="L741" s="315"/>
      <c r="M741" s="315">
        <v>1</v>
      </c>
      <c r="N741" s="315"/>
      <c r="O741" s="315"/>
      <c r="P741" s="315"/>
      <c r="Q741" s="315"/>
      <c r="R741" s="315"/>
      <c r="S741" s="315"/>
      <c r="T741" s="315"/>
      <c r="U741" s="315">
        <v>1</v>
      </c>
      <c r="V741" s="315"/>
      <c r="W741" s="315"/>
      <c r="X741" s="315"/>
      <c r="Y741" s="315"/>
      <c r="Z741" s="315"/>
      <c r="AA741" s="315"/>
      <c r="AB741" s="315"/>
      <c r="AC741" s="315">
        <v>1</v>
      </c>
      <c r="AD741" s="315"/>
      <c r="AE741" s="315"/>
      <c r="AF741" s="315"/>
      <c r="AG741" s="315"/>
      <c r="AH741" s="315"/>
      <c r="AI741" s="315"/>
      <c r="AJ741" s="315"/>
      <c r="AK741" s="315">
        <v>1</v>
      </c>
      <c r="AL741" s="315"/>
      <c r="AM741" s="315">
        <v>1</v>
      </c>
      <c r="AN741" s="315"/>
      <c r="AO741" s="315"/>
      <c r="AP741" s="315"/>
      <c r="AQ741" s="316"/>
    </row>
    <row r="742" spans="1:43" s="378" customFormat="1" ht="44.25" customHeight="1">
      <c r="A742" s="313" t="s">
        <v>1537</v>
      </c>
      <c r="B742" s="313" t="s">
        <v>389</v>
      </c>
      <c r="C742" s="314" t="s">
        <v>1260</v>
      </c>
      <c r="D742" s="314" t="s">
        <v>1436</v>
      </c>
      <c r="E742" s="314" t="s">
        <v>1821</v>
      </c>
      <c r="F742" s="315"/>
      <c r="G742" s="315"/>
      <c r="H742" s="315"/>
      <c r="I742" s="315"/>
      <c r="J742" s="315"/>
      <c r="K742" s="315"/>
      <c r="L742" s="315"/>
      <c r="M742" s="315">
        <v>1</v>
      </c>
      <c r="N742" s="315"/>
      <c r="O742" s="315"/>
      <c r="P742" s="315"/>
      <c r="Q742" s="315"/>
      <c r="R742" s="315"/>
      <c r="S742" s="315"/>
      <c r="T742" s="315"/>
      <c r="U742" s="315">
        <v>1</v>
      </c>
      <c r="V742" s="315"/>
      <c r="W742" s="315"/>
      <c r="X742" s="315"/>
      <c r="Y742" s="315"/>
      <c r="Z742" s="315"/>
      <c r="AA742" s="315"/>
      <c r="AB742" s="315"/>
      <c r="AC742" s="315">
        <v>1</v>
      </c>
      <c r="AD742" s="315"/>
      <c r="AE742" s="315"/>
      <c r="AF742" s="315"/>
      <c r="AG742" s="315"/>
      <c r="AH742" s="315"/>
      <c r="AI742" s="315"/>
      <c r="AJ742" s="315"/>
      <c r="AK742" s="315">
        <v>1</v>
      </c>
      <c r="AL742" s="315">
        <v>1</v>
      </c>
      <c r="AM742" s="315">
        <v>1</v>
      </c>
      <c r="AN742" s="315"/>
      <c r="AO742" s="315">
        <v>1</v>
      </c>
      <c r="AP742" s="315"/>
      <c r="AQ742" s="316"/>
    </row>
    <row r="743" spans="1:43" s="378" customFormat="1" ht="44.25" customHeight="1">
      <c r="A743" s="313" t="s">
        <v>1537</v>
      </c>
      <c r="B743" s="313" t="s">
        <v>389</v>
      </c>
      <c r="C743" s="314" t="s">
        <v>1261</v>
      </c>
      <c r="D743" s="314" t="s">
        <v>1436</v>
      </c>
      <c r="E743" s="314" t="s">
        <v>1822</v>
      </c>
      <c r="F743" s="315"/>
      <c r="G743" s="315"/>
      <c r="H743" s="315"/>
      <c r="I743" s="315"/>
      <c r="J743" s="315"/>
      <c r="K743" s="315"/>
      <c r="L743" s="315"/>
      <c r="M743" s="315">
        <v>1</v>
      </c>
      <c r="N743" s="315"/>
      <c r="O743" s="315"/>
      <c r="P743" s="315"/>
      <c r="Q743" s="315"/>
      <c r="R743" s="315"/>
      <c r="S743" s="315"/>
      <c r="T743" s="315"/>
      <c r="U743" s="315">
        <v>1</v>
      </c>
      <c r="V743" s="315"/>
      <c r="W743" s="315"/>
      <c r="X743" s="315"/>
      <c r="Y743" s="315"/>
      <c r="Z743" s="315"/>
      <c r="AA743" s="315"/>
      <c r="AB743" s="315"/>
      <c r="AC743" s="315">
        <v>1</v>
      </c>
      <c r="AD743" s="315"/>
      <c r="AE743" s="315"/>
      <c r="AF743" s="315"/>
      <c r="AG743" s="315"/>
      <c r="AH743" s="315"/>
      <c r="AI743" s="315"/>
      <c r="AJ743" s="315"/>
      <c r="AK743" s="315">
        <v>1</v>
      </c>
      <c r="AL743" s="315"/>
      <c r="AM743" s="315">
        <v>1</v>
      </c>
      <c r="AN743" s="315"/>
      <c r="AO743" s="315"/>
      <c r="AP743" s="315"/>
      <c r="AQ743" s="316"/>
    </row>
    <row r="744" spans="1:43" s="378" customFormat="1" ht="44.25" customHeight="1">
      <c r="A744" s="313" t="s">
        <v>1537</v>
      </c>
      <c r="B744" s="313" t="s">
        <v>389</v>
      </c>
      <c r="C744" s="314" t="s">
        <v>1262</v>
      </c>
      <c r="D744" s="314" t="s">
        <v>1448</v>
      </c>
      <c r="E744" s="314" t="s">
        <v>1823</v>
      </c>
      <c r="F744" s="315"/>
      <c r="G744" s="315"/>
      <c r="H744" s="315"/>
      <c r="I744" s="315"/>
      <c r="J744" s="315"/>
      <c r="K744" s="315"/>
      <c r="L744" s="315"/>
      <c r="M744" s="315">
        <v>1</v>
      </c>
      <c r="N744" s="315"/>
      <c r="O744" s="315"/>
      <c r="P744" s="315"/>
      <c r="Q744" s="315"/>
      <c r="R744" s="315"/>
      <c r="S744" s="315"/>
      <c r="T744" s="315"/>
      <c r="U744" s="315">
        <v>1</v>
      </c>
      <c r="V744" s="315"/>
      <c r="W744" s="315"/>
      <c r="X744" s="315"/>
      <c r="Y744" s="315"/>
      <c r="Z744" s="315"/>
      <c r="AA744" s="315"/>
      <c r="AB744" s="315"/>
      <c r="AC744" s="315">
        <v>1</v>
      </c>
      <c r="AD744" s="315"/>
      <c r="AE744" s="315"/>
      <c r="AF744" s="315"/>
      <c r="AG744" s="315"/>
      <c r="AH744" s="315"/>
      <c r="AI744" s="315"/>
      <c r="AJ744" s="315"/>
      <c r="AK744" s="315">
        <v>1</v>
      </c>
      <c r="AL744" s="315"/>
      <c r="AM744" s="315">
        <v>1</v>
      </c>
      <c r="AN744" s="315"/>
      <c r="AO744" s="315">
        <v>1</v>
      </c>
      <c r="AP744" s="315"/>
      <c r="AQ744" s="316"/>
    </row>
    <row r="745" spans="1:43" s="378" customFormat="1" ht="44.25" customHeight="1">
      <c r="A745" s="313" t="s">
        <v>1537</v>
      </c>
      <c r="B745" s="313" t="s">
        <v>389</v>
      </c>
      <c r="C745" s="314" t="s">
        <v>1263</v>
      </c>
      <c r="D745" s="314" t="s">
        <v>1430</v>
      </c>
      <c r="E745" s="314" t="s">
        <v>1824</v>
      </c>
      <c r="F745" s="315"/>
      <c r="G745" s="315"/>
      <c r="H745" s="315"/>
      <c r="I745" s="315"/>
      <c r="J745" s="315"/>
      <c r="K745" s="315"/>
      <c r="L745" s="315"/>
      <c r="M745" s="315">
        <v>1</v>
      </c>
      <c r="N745" s="315"/>
      <c r="O745" s="315"/>
      <c r="P745" s="315"/>
      <c r="Q745" s="315"/>
      <c r="R745" s="315"/>
      <c r="S745" s="315"/>
      <c r="T745" s="315"/>
      <c r="U745" s="315">
        <v>1</v>
      </c>
      <c r="V745" s="315"/>
      <c r="W745" s="315"/>
      <c r="X745" s="315"/>
      <c r="Y745" s="315"/>
      <c r="Z745" s="315"/>
      <c r="AA745" s="315"/>
      <c r="AB745" s="315"/>
      <c r="AC745" s="315">
        <v>1</v>
      </c>
      <c r="AD745" s="315"/>
      <c r="AE745" s="315"/>
      <c r="AF745" s="315"/>
      <c r="AG745" s="315"/>
      <c r="AH745" s="315"/>
      <c r="AI745" s="315"/>
      <c r="AJ745" s="315"/>
      <c r="AK745" s="315">
        <v>1</v>
      </c>
      <c r="AL745" s="315"/>
      <c r="AM745" s="315">
        <v>1</v>
      </c>
      <c r="AN745" s="315"/>
      <c r="AO745" s="315"/>
      <c r="AP745" s="315"/>
      <c r="AQ745" s="316"/>
    </row>
    <row r="746" spans="1:43" s="378" customFormat="1" ht="44.25" customHeight="1">
      <c r="A746" s="313" t="s">
        <v>1537</v>
      </c>
      <c r="B746" s="313" t="s">
        <v>389</v>
      </c>
      <c r="C746" s="314" t="s">
        <v>1264</v>
      </c>
      <c r="D746" s="314" t="s">
        <v>1436</v>
      </c>
      <c r="E746" s="314" t="s">
        <v>1825</v>
      </c>
      <c r="F746" s="315"/>
      <c r="G746" s="315"/>
      <c r="H746" s="315"/>
      <c r="I746" s="315"/>
      <c r="J746" s="315"/>
      <c r="K746" s="315"/>
      <c r="L746" s="315"/>
      <c r="M746" s="315">
        <v>1</v>
      </c>
      <c r="N746" s="315"/>
      <c r="O746" s="315"/>
      <c r="P746" s="315"/>
      <c r="Q746" s="315"/>
      <c r="R746" s="315"/>
      <c r="S746" s="315"/>
      <c r="T746" s="315"/>
      <c r="U746" s="315"/>
      <c r="V746" s="315"/>
      <c r="W746" s="315"/>
      <c r="X746" s="315"/>
      <c r="Y746" s="315"/>
      <c r="Z746" s="315"/>
      <c r="AA746" s="315"/>
      <c r="AB746" s="315"/>
      <c r="AC746" s="315">
        <v>1</v>
      </c>
      <c r="AD746" s="315"/>
      <c r="AE746" s="315"/>
      <c r="AF746" s="315"/>
      <c r="AG746" s="315"/>
      <c r="AH746" s="315"/>
      <c r="AI746" s="315"/>
      <c r="AJ746" s="315"/>
      <c r="AK746" s="315">
        <v>1</v>
      </c>
      <c r="AL746" s="315"/>
      <c r="AM746" s="315">
        <v>1</v>
      </c>
      <c r="AN746" s="315"/>
      <c r="AO746" s="315">
        <v>1</v>
      </c>
      <c r="AP746" s="315"/>
      <c r="AQ746" s="316"/>
    </row>
    <row r="747" spans="1:43" s="378" customFormat="1" ht="44.25" customHeight="1">
      <c r="A747" s="313" t="s">
        <v>1537</v>
      </c>
      <c r="B747" s="313" t="s">
        <v>389</v>
      </c>
      <c r="C747" s="314" t="s">
        <v>1265</v>
      </c>
      <c r="D747" s="314" t="s">
        <v>1436</v>
      </c>
      <c r="E747" s="314" t="s">
        <v>1826</v>
      </c>
      <c r="F747" s="315"/>
      <c r="G747" s="315"/>
      <c r="H747" s="315"/>
      <c r="I747" s="315"/>
      <c r="J747" s="315"/>
      <c r="K747" s="315"/>
      <c r="L747" s="315"/>
      <c r="M747" s="315">
        <v>1</v>
      </c>
      <c r="N747" s="315"/>
      <c r="O747" s="315"/>
      <c r="P747" s="315"/>
      <c r="Q747" s="315"/>
      <c r="R747" s="315"/>
      <c r="S747" s="315"/>
      <c r="T747" s="315"/>
      <c r="U747" s="315">
        <v>1</v>
      </c>
      <c r="V747" s="315"/>
      <c r="W747" s="315"/>
      <c r="X747" s="315"/>
      <c r="Y747" s="315"/>
      <c r="Z747" s="315"/>
      <c r="AA747" s="315"/>
      <c r="AB747" s="315"/>
      <c r="AC747" s="315">
        <v>1</v>
      </c>
      <c r="AD747" s="315"/>
      <c r="AE747" s="315"/>
      <c r="AF747" s="315"/>
      <c r="AG747" s="315"/>
      <c r="AH747" s="315"/>
      <c r="AI747" s="315"/>
      <c r="AJ747" s="315"/>
      <c r="AK747" s="315">
        <v>1</v>
      </c>
      <c r="AL747" s="315"/>
      <c r="AM747" s="315">
        <v>1</v>
      </c>
      <c r="AN747" s="315"/>
      <c r="AO747" s="315">
        <v>1</v>
      </c>
      <c r="AP747" s="315"/>
      <c r="AQ747" s="316"/>
    </row>
    <row r="748" spans="1:43" s="378" customFormat="1" ht="44.25" customHeight="1">
      <c r="A748" s="313" t="s">
        <v>1537</v>
      </c>
      <c r="B748" s="313" t="s">
        <v>386</v>
      </c>
      <c r="C748" s="314" t="s">
        <v>1266</v>
      </c>
      <c r="D748" s="314" t="s">
        <v>1424</v>
      </c>
      <c r="E748" s="314" t="s">
        <v>1827</v>
      </c>
      <c r="F748" s="315"/>
      <c r="G748" s="315"/>
      <c r="H748" s="315"/>
      <c r="I748" s="315"/>
      <c r="J748" s="315"/>
      <c r="K748" s="315"/>
      <c r="L748" s="315"/>
      <c r="M748" s="315"/>
      <c r="N748" s="315"/>
      <c r="O748" s="315"/>
      <c r="P748" s="315"/>
      <c r="Q748" s="315"/>
      <c r="R748" s="315"/>
      <c r="S748" s="315"/>
      <c r="T748" s="315"/>
      <c r="U748" s="315"/>
      <c r="V748" s="315"/>
      <c r="W748" s="315"/>
      <c r="X748" s="315"/>
      <c r="Y748" s="315"/>
      <c r="Z748" s="315"/>
      <c r="AA748" s="315"/>
      <c r="AB748" s="315"/>
      <c r="AC748" s="315"/>
      <c r="AD748" s="315"/>
      <c r="AE748" s="315"/>
      <c r="AF748" s="315"/>
      <c r="AG748" s="315"/>
      <c r="AH748" s="315"/>
      <c r="AI748" s="315"/>
      <c r="AJ748" s="315"/>
      <c r="AK748" s="315"/>
      <c r="AL748" s="315"/>
      <c r="AM748" s="315"/>
      <c r="AN748" s="315"/>
      <c r="AO748" s="315"/>
      <c r="AP748" s="315"/>
      <c r="AQ748" s="316"/>
    </row>
    <row r="749" spans="1:43" s="378" customFormat="1" ht="44.25" customHeight="1">
      <c r="A749" s="313" t="s">
        <v>1537</v>
      </c>
      <c r="B749" s="313" t="s">
        <v>389</v>
      </c>
      <c r="C749" s="314" t="s">
        <v>1267</v>
      </c>
      <c r="D749" s="314" t="s">
        <v>1436</v>
      </c>
      <c r="E749" s="314" t="s">
        <v>1828</v>
      </c>
      <c r="F749" s="315"/>
      <c r="G749" s="315"/>
      <c r="H749" s="315"/>
      <c r="I749" s="315"/>
      <c r="J749" s="315"/>
      <c r="K749" s="315"/>
      <c r="L749" s="315"/>
      <c r="M749" s="315">
        <v>1</v>
      </c>
      <c r="N749" s="315"/>
      <c r="O749" s="315"/>
      <c r="P749" s="315"/>
      <c r="Q749" s="315"/>
      <c r="R749" s="315"/>
      <c r="S749" s="315"/>
      <c r="T749" s="315"/>
      <c r="U749" s="315">
        <v>1</v>
      </c>
      <c r="V749" s="315"/>
      <c r="W749" s="315"/>
      <c r="X749" s="315"/>
      <c r="Y749" s="315"/>
      <c r="Z749" s="315"/>
      <c r="AA749" s="315"/>
      <c r="AB749" s="315"/>
      <c r="AC749" s="315">
        <v>1</v>
      </c>
      <c r="AD749" s="315"/>
      <c r="AE749" s="315"/>
      <c r="AF749" s="315"/>
      <c r="AG749" s="315"/>
      <c r="AH749" s="315"/>
      <c r="AI749" s="315"/>
      <c r="AJ749" s="315"/>
      <c r="AK749" s="315">
        <v>1</v>
      </c>
      <c r="AL749" s="315"/>
      <c r="AM749" s="315">
        <v>1</v>
      </c>
      <c r="AN749" s="315"/>
      <c r="AO749" s="315">
        <v>1</v>
      </c>
      <c r="AP749" s="315"/>
      <c r="AQ749" s="316"/>
    </row>
    <row r="750" spans="1:43" s="378" customFormat="1" ht="44.25" customHeight="1">
      <c r="A750" s="313" t="s">
        <v>1537</v>
      </c>
      <c r="B750" s="313" t="s">
        <v>389</v>
      </c>
      <c r="C750" s="314" t="s">
        <v>1268</v>
      </c>
      <c r="D750" s="314" t="s">
        <v>1424</v>
      </c>
      <c r="E750" s="314" t="s">
        <v>1829</v>
      </c>
      <c r="F750" s="315"/>
      <c r="G750" s="315"/>
      <c r="H750" s="315"/>
      <c r="I750" s="315"/>
      <c r="J750" s="315"/>
      <c r="K750" s="315"/>
      <c r="L750" s="315"/>
      <c r="M750" s="315">
        <v>1</v>
      </c>
      <c r="N750" s="315"/>
      <c r="O750" s="315"/>
      <c r="P750" s="315"/>
      <c r="Q750" s="315"/>
      <c r="R750" s="315"/>
      <c r="S750" s="315"/>
      <c r="T750" s="315"/>
      <c r="U750" s="315">
        <v>1</v>
      </c>
      <c r="V750" s="315"/>
      <c r="W750" s="315"/>
      <c r="X750" s="315"/>
      <c r="Y750" s="315"/>
      <c r="Z750" s="315"/>
      <c r="AA750" s="315"/>
      <c r="AB750" s="315"/>
      <c r="AC750" s="315">
        <v>1</v>
      </c>
      <c r="AD750" s="315"/>
      <c r="AE750" s="315"/>
      <c r="AF750" s="315"/>
      <c r="AG750" s="315"/>
      <c r="AH750" s="315"/>
      <c r="AI750" s="315"/>
      <c r="AJ750" s="315"/>
      <c r="AK750" s="315">
        <v>1</v>
      </c>
      <c r="AL750" s="315"/>
      <c r="AM750" s="315">
        <v>1</v>
      </c>
      <c r="AN750" s="315"/>
      <c r="AO750" s="315">
        <v>1</v>
      </c>
      <c r="AP750" s="315"/>
      <c r="AQ750" s="316"/>
    </row>
    <row r="751" spans="1:43" s="378" customFormat="1" ht="44.25" customHeight="1">
      <c r="A751" s="313" t="s">
        <v>1537</v>
      </c>
      <c r="B751" s="313" t="s">
        <v>389</v>
      </c>
      <c r="C751" s="314" t="s">
        <v>1269</v>
      </c>
      <c r="D751" s="314" t="s">
        <v>1448</v>
      </c>
      <c r="E751" s="314" t="s">
        <v>1830</v>
      </c>
      <c r="F751" s="315"/>
      <c r="G751" s="315"/>
      <c r="H751" s="315"/>
      <c r="I751" s="315"/>
      <c r="J751" s="315"/>
      <c r="K751" s="315"/>
      <c r="L751" s="315"/>
      <c r="M751" s="315">
        <v>1</v>
      </c>
      <c r="N751" s="315"/>
      <c r="O751" s="315"/>
      <c r="P751" s="315"/>
      <c r="Q751" s="315"/>
      <c r="R751" s="315"/>
      <c r="S751" s="315"/>
      <c r="T751" s="315"/>
      <c r="U751" s="315">
        <v>1</v>
      </c>
      <c r="V751" s="315"/>
      <c r="W751" s="315"/>
      <c r="X751" s="315"/>
      <c r="Y751" s="315"/>
      <c r="Z751" s="315"/>
      <c r="AA751" s="315"/>
      <c r="AB751" s="315"/>
      <c r="AC751" s="315">
        <v>1</v>
      </c>
      <c r="AD751" s="315"/>
      <c r="AE751" s="315"/>
      <c r="AF751" s="315"/>
      <c r="AG751" s="315"/>
      <c r="AH751" s="315"/>
      <c r="AI751" s="315"/>
      <c r="AJ751" s="315"/>
      <c r="AK751" s="315">
        <v>1</v>
      </c>
      <c r="AL751" s="315">
        <v>1</v>
      </c>
      <c r="AM751" s="315">
        <v>1</v>
      </c>
      <c r="AN751" s="315"/>
      <c r="AO751" s="315">
        <v>1</v>
      </c>
      <c r="AP751" s="315"/>
      <c r="AQ751" s="316"/>
    </row>
    <row r="752" spans="1:43" s="378" customFormat="1" ht="44.25" customHeight="1">
      <c r="A752" s="313" t="s">
        <v>1537</v>
      </c>
      <c r="B752" s="313" t="s">
        <v>389</v>
      </c>
      <c r="C752" s="314" t="s">
        <v>1270</v>
      </c>
      <c r="D752" s="314" t="s">
        <v>1436</v>
      </c>
      <c r="E752" s="314" t="s">
        <v>1831</v>
      </c>
      <c r="F752" s="315"/>
      <c r="G752" s="315"/>
      <c r="H752" s="315"/>
      <c r="I752" s="315"/>
      <c r="J752" s="315"/>
      <c r="K752" s="315"/>
      <c r="L752" s="315">
        <v>1</v>
      </c>
      <c r="M752" s="315">
        <v>1</v>
      </c>
      <c r="N752" s="315"/>
      <c r="O752" s="315"/>
      <c r="P752" s="315"/>
      <c r="Q752" s="315"/>
      <c r="R752" s="315"/>
      <c r="S752" s="315"/>
      <c r="T752" s="315"/>
      <c r="U752" s="315">
        <v>1</v>
      </c>
      <c r="V752" s="315"/>
      <c r="W752" s="315"/>
      <c r="X752" s="315"/>
      <c r="Y752" s="315"/>
      <c r="Z752" s="315"/>
      <c r="AA752" s="315"/>
      <c r="AB752" s="315"/>
      <c r="AC752" s="315">
        <v>1</v>
      </c>
      <c r="AD752" s="315"/>
      <c r="AE752" s="315"/>
      <c r="AF752" s="315"/>
      <c r="AG752" s="315"/>
      <c r="AH752" s="315"/>
      <c r="AI752" s="315"/>
      <c r="AJ752" s="315"/>
      <c r="AK752" s="315">
        <v>1</v>
      </c>
      <c r="AL752" s="315"/>
      <c r="AM752" s="315">
        <v>1</v>
      </c>
      <c r="AN752" s="315"/>
      <c r="AO752" s="315">
        <v>1</v>
      </c>
      <c r="AP752" s="315"/>
      <c r="AQ752" s="316"/>
    </row>
    <row r="753" spans="1:43" s="378" customFormat="1" ht="44.25" customHeight="1">
      <c r="A753" s="313" t="s">
        <v>1537</v>
      </c>
      <c r="B753" s="313" t="s">
        <v>389</v>
      </c>
      <c r="C753" s="314" t="s">
        <v>1271</v>
      </c>
      <c r="D753" s="314" t="s">
        <v>1436</v>
      </c>
      <c r="E753" s="314" t="s">
        <v>1832</v>
      </c>
      <c r="F753" s="315"/>
      <c r="G753" s="315"/>
      <c r="H753" s="315"/>
      <c r="I753" s="315"/>
      <c r="J753" s="315"/>
      <c r="K753" s="315"/>
      <c r="L753" s="315"/>
      <c r="M753" s="315">
        <v>1</v>
      </c>
      <c r="N753" s="315"/>
      <c r="O753" s="315"/>
      <c r="P753" s="315"/>
      <c r="Q753" s="315"/>
      <c r="R753" s="315"/>
      <c r="S753" s="315"/>
      <c r="T753" s="315"/>
      <c r="U753" s="315">
        <v>1</v>
      </c>
      <c r="V753" s="315"/>
      <c r="W753" s="315"/>
      <c r="X753" s="315"/>
      <c r="Y753" s="315"/>
      <c r="Z753" s="315"/>
      <c r="AA753" s="315"/>
      <c r="AB753" s="315"/>
      <c r="AC753" s="315">
        <v>1</v>
      </c>
      <c r="AD753" s="315"/>
      <c r="AE753" s="315"/>
      <c r="AF753" s="315"/>
      <c r="AG753" s="315"/>
      <c r="AH753" s="315"/>
      <c r="AI753" s="315"/>
      <c r="AJ753" s="315"/>
      <c r="AK753" s="315">
        <v>1</v>
      </c>
      <c r="AL753" s="315"/>
      <c r="AM753" s="315">
        <v>1</v>
      </c>
      <c r="AN753" s="315"/>
      <c r="AO753" s="315">
        <v>1</v>
      </c>
      <c r="AP753" s="315"/>
      <c r="AQ753" s="316"/>
    </row>
    <row r="754" spans="1:43" s="378" customFormat="1" ht="44.25" customHeight="1">
      <c r="A754" s="313" t="s">
        <v>1537</v>
      </c>
      <c r="B754" s="313" t="s">
        <v>389</v>
      </c>
      <c r="C754" s="314" t="s">
        <v>1272</v>
      </c>
      <c r="D754" s="314" t="s">
        <v>1438</v>
      </c>
      <c r="E754" s="314" t="s">
        <v>1833</v>
      </c>
      <c r="F754" s="315"/>
      <c r="G754" s="315"/>
      <c r="H754" s="315"/>
      <c r="I754" s="315"/>
      <c r="J754" s="315"/>
      <c r="K754" s="315"/>
      <c r="L754" s="315"/>
      <c r="M754" s="315">
        <v>1</v>
      </c>
      <c r="N754" s="315"/>
      <c r="O754" s="315"/>
      <c r="P754" s="315"/>
      <c r="Q754" s="315"/>
      <c r="R754" s="315"/>
      <c r="S754" s="315"/>
      <c r="T754" s="315"/>
      <c r="U754" s="315">
        <v>1</v>
      </c>
      <c r="V754" s="315"/>
      <c r="W754" s="315"/>
      <c r="X754" s="315"/>
      <c r="Y754" s="315"/>
      <c r="Z754" s="315"/>
      <c r="AA754" s="315"/>
      <c r="AB754" s="315"/>
      <c r="AC754" s="315">
        <v>1</v>
      </c>
      <c r="AD754" s="315"/>
      <c r="AE754" s="315"/>
      <c r="AF754" s="315"/>
      <c r="AG754" s="315"/>
      <c r="AH754" s="315"/>
      <c r="AI754" s="315"/>
      <c r="AJ754" s="315"/>
      <c r="AK754" s="315">
        <v>1</v>
      </c>
      <c r="AL754" s="315"/>
      <c r="AM754" s="315">
        <v>1</v>
      </c>
      <c r="AN754" s="315"/>
      <c r="AO754" s="315">
        <v>1</v>
      </c>
      <c r="AP754" s="315"/>
      <c r="AQ754" s="316"/>
    </row>
    <row r="755" spans="1:43" s="378" customFormat="1" ht="44.25" customHeight="1">
      <c r="A755" s="313" t="s">
        <v>1537</v>
      </c>
      <c r="B755" s="313" t="s">
        <v>389</v>
      </c>
      <c r="C755" s="314" t="s">
        <v>1273</v>
      </c>
      <c r="D755" s="314" t="s">
        <v>1436</v>
      </c>
      <c r="E755" s="314" t="s">
        <v>1834</v>
      </c>
      <c r="F755" s="315"/>
      <c r="G755" s="315"/>
      <c r="H755" s="315"/>
      <c r="I755" s="315"/>
      <c r="J755" s="315"/>
      <c r="K755" s="315"/>
      <c r="L755" s="315">
        <v>1</v>
      </c>
      <c r="M755" s="315"/>
      <c r="N755" s="315"/>
      <c r="O755" s="315"/>
      <c r="P755" s="315"/>
      <c r="Q755" s="315"/>
      <c r="R755" s="315"/>
      <c r="S755" s="315"/>
      <c r="T755" s="315"/>
      <c r="U755" s="315">
        <v>1</v>
      </c>
      <c r="V755" s="315"/>
      <c r="W755" s="315"/>
      <c r="X755" s="315"/>
      <c r="Y755" s="315"/>
      <c r="Z755" s="315"/>
      <c r="AA755" s="315"/>
      <c r="AB755" s="315"/>
      <c r="AC755" s="315">
        <v>1</v>
      </c>
      <c r="AD755" s="315"/>
      <c r="AE755" s="315"/>
      <c r="AF755" s="315"/>
      <c r="AG755" s="315"/>
      <c r="AH755" s="315"/>
      <c r="AI755" s="315"/>
      <c r="AJ755" s="315"/>
      <c r="AK755" s="315">
        <v>1</v>
      </c>
      <c r="AL755" s="315"/>
      <c r="AM755" s="315">
        <v>1</v>
      </c>
      <c r="AN755" s="315"/>
      <c r="AO755" s="315"/>
      <c r="AP755" s="315"/>
      <c r="AQ755" s="316"/>
    </row>
    <row r="756" spans="1:43" s="378" customFormat="1" ht="44.25" customHeight="1">
      <c r="A756" s="313" t="s">
        <v>1537</v>
      </c>
      <c r="B756" s="313" t="s">
        <v>389</v>
      </c>
      <c r="C756" s="314" t="s">
        <v>1274</v>
      </c>
      <c r="D756" s="314" t="s">
        <v>1436</v>
      </c>
      <c r="E756" s="314" t="s">
        <v>1835</v>
      </c>
      <c r="F756" s="315"/>
      <c r="G756" s="315"/>
      <c r="H756" s="315"/>
      <c r="I756" s="315"/>
      <c r="J756" s="315"/>
      <c r="K756" s="315"/>
      <c r="L756" s="315"/>
      <c r="M756" s="315">
        <v>1</v>
      </c>
      <c r="N756" s="315"/>
      <c r="O756" s="315"/>
      <c r="P756" s="315"/>
      <c r="Q756" s="315"/>
      <c r="R756" s="315"/>
      <c r="S756" s="315"/>
      <c r="T756" s="315"/>
      <c r="U756" s="315">
        <v>1</v>
      </c>
      <c r="V756" s="315"/>
      <c r="W756" s="315"/>
      <c r="X756" s="315"/>
      <c r="Y756" s="315"/>
      <c r="Z756" s="315"/>
      <c r="AA756" s="315"/>
      <c r="AB756" s="315"/>
      <c r="AC756" s="315">
        <v>1</v>
      </c>
      <c r="AD756" s="315"/>
      <c r="AE756" s="315"/>
      <c r="AF756" s="315"/>
      <c r="AG756" s="315"/>
      <c r="AH756" s="315"/>
      <c r="AI756" s="315"/>
      <c r="AJ756" s="315"/>
      <c r="AK756" s="315">
        <v>1</v>
      </c>
      <c r="AL756" s="315"/>
      <c r="AM756" s="315"/>
      <c r="AN756" s="315"/>
      <c r="AO756" s="315">
        <v>1</v>
      </c>
      <c r="AP756" s="315"/>
      <c r="AQ756" s="316"/>
    </row>
    <row r="757" spans="1:43" s="378" customFormat="1" ht="44.25" customHeight="1">
      <c r="A757" s="313" t="s">
        <v>1537</v>
      </c>
      <c r="B757" s="313" t="s">
        <v>389</v>
      </c>
      <c r="C757" s="314" t="s">
        <v>1275</v>
      </c>
      <c r="D757" s="314" t="s">
        <v>1436</v>
      </c>
      <c r="E757" s="314" t="s">
        <v>1836</v>
      </c>
      <c r="F757" s="315"/>
      <c r="G757" s="315"/>
      <c r="H757" s="315"/>
      <c r="I757" s="315"/>
      <c r="J757" s="315"/>
      <c r="K757" s="315"/>
      <c r="L757" s="315"/>
      <c r="M757" s="315">
        <v>1</v>
      </c>
      <c r="N757" s="315"/>
      <c r="O757" s="315"/>
      <c r="P757" s="315"/>
      <c r="Q757" s="315"/>
      <c r="R757" s="315"/>
      <c r="S757" s="315"/>
      <c r="T757" s="315"/>
      <c r="U757" s="315">
        <v>1</v>
      </c>
      <c r="V757" s="315"/>
      <c r="W757" s="315"/>
      <c r="X757" s="315"/>
      <c r="Y757" s="315"/>
      <c r="Z757" s="315"/>
      <c r="AA757" s="315"/>
      <c r="AB757" s="315"/>
      <c r="AC757" s="315">
        <v>1</v>
      </c>
      <c r="AD757" s="315"/>
      <c r="AE757" s="315"/>
      <c r="AF757" s="315"/>
      <c r="AG757" s="315"/>
      <c r="AH757" s="315"/>
      <c r="AI757" s="315"/>
      <c r="AJ757" s="315"/>
      <c r="AK757" s="315">
        <v>1</v>
      </c>
      <c r="AL757" s="315"/>
      <c r="AM757" s="315">
        <v>1</v>
      </c>
      <c r="AN757" s="315"/>
      <c r="AO757" s="315">
        <v>1</v>
      </c>
      <c r="AP757" s="315"/>
      <c r="AQ757" s="316"/>
    </row>
    <row r="758" spans="1:43" s="378" customFormat="1" ht="44.25" customHeight="1">
      <c r="A758" s="313" t="s">
        <v>1537</v>
      </c>
      <c r="B758" s="313" t="s">
        <v>389</v>
      </c>
      <c r="C758" s="314" t="s">
        <v>1276</v>
      </c>
      <c r="D758" s="314" t="s">
        <v>1436</v>
      </c>
      <c r="E758" s="314" t="s">
        <v>1837</v>
      </c>
      <c r="F758" s="315"/>
      <c r="G758" s="315"/>
      <c r="H758" s="315"/>
      <c r="I758" s="315"/>
      <c r="J758" s="315"/>
      <c r="K758" s="315"/>
      <c r="L758" s="315"/>
      <c r="M758" s="315">
        <v>1</v>
      </c>
      <c r="N758" s="315"/>
      <c r="O758" s="315"/>
      <c r="P758" s="315"/>
      <c r="Q758" s="315"/>
      <c r="R758" s="315"/>
      <c r="S758" s="315"/>
      <c r="T758" s="315"/>
      <c r="U758" s="315">
        <v>1</v>
      </c>
      <c r="V758" s="315"/>
      <c r="W758" s="315"/>
      <c r="X758" s="315"/>
      <c r="Y758" s="315"/>
      <c r="Z758" s="315"/>
      <c r="AA758" s="315"/>
      <c r="AB758" s="315"/>
      <c r="AC758" s="315">
        <v>1</v>
      </c>
      <c r="AD758" s="315"/>
      <c r="AE758" s="315"/>
      <c r="AF758" s="315"/>
      <c r="AG758" s="315"/>
      <c r="AH758" s="315"/>
      <c r="AI758" s="315"/>
      <c r="AJ758" s="315"/>
      <c r="AK758" s="315">
        <v>1</v>
      </c>
      <c r="AL758" s="315"/>
      <c r="AM758" s="315">
        <v>1</v>
      </c>
      <c r="AN758" s="315"/>
      <c r="AO758" s="315">
        <v>1</v>
      </c>
      <c r="AP758" s="315"/>
      <c r="AQ758" s="316"/>
    </row>
    <row r="759" spans="1:43" s="378" customFormat="1" ht="44.25" customHeight="1">
      <c r="A759" s="313" t="s">
        <v>1604</v>
      </c>
      <c r="B759" s="313" t="s">
        <v>395</v>
      </c>
      <c r="C759" s="314" t="s">
        <v>1277</v>
      </c>
      <c r="D759" s="314" t="s">
        <v>1428</v>
      </c>
      <c r="E759" s="314" t="s">
        <v>1838</v>
      </c>
      <c r="F759" s="315"/>
      <c r="G759" s="315"/>
      <c r="H759" s="315"/>
      <c r="I759" s="315"/>
      <c r="J759" s="315"/>
      <c r="K759" s="315"/>
      <c r="L759" s="315"/>
      <c r="M759" s="315"/>
      <c r="N759" s="315"/>
      <c r="O759" s="315"/>
      <c r="P759" s="315"/>
      <c r="Q759" s="315"/>
      <c r="R759" s="315"/>
      <c r="S759" s="315"/>
      <c r="T759" s="315"/>
      <c r="U759" s="315"/>
      <c r="V759" s="315"/>
      <c r="W759" s="315"/>
      <c r="X759" s="315"/>
      <c r="Y759" s="315"/>
      <c r="Z759" s="315"/>
      <c r="AA759" s="315"/>
      <c r="AB759" s="315"/>
      <c r="AC759" s="315"/>
      <c r="AD759" s="315"/>
      <c r="AE759" s="315"/>
      <c r="AF759" s="315"/>
      <c r="AG759" s="315"/>
      <c r="AH759" s="315"/>
      <c r="AI759" s="315"/>
      <c r="AJ759" s="315"/>
      <c r="AK759" s="315"/>
      <c r="AL759" s="315"/>
      <c r="AM759" s="315"/>
      <c r="AN759" s="315"/>
      <c r="AO759" s="315"/>
      <c r="AP759" s="315"/>
      <c r="AQ759" s="316"/>
    </row>
    <row r="760" spans="1:43" s="378" customFormat="1" ht="44.25" customHeight="1">
      <c r="A760" s="313" t="s">
        <v>1604</v>
      </c>
      <c r="B760" s="313" t="s">
        <v>384</v>
      </c>
      <c r="C760" s="318" t="s">
        <v>2475</v>
      </c>
      <c r="D760" s="314" t="s">
        <v>1430</v>
      </c>
      <c r="E760" s="314"/>
      <c r="F760" s="315"/>
      <c r="G760" s="315"/>
      <c r="H760" s="315"/>
      <c r="I760" s="315"/>
      <c r="J760" s="315"/>
      <c r="K760" s="315"/>
      <c r="L760" s="315"/>
      <c r="M760" s="315"/>
      <c r="N760" s="315"/>
      <c r="O760" s="315"/>
      <c r="P760" s="315"/>
      <c r="Q760" s="315"/>
      <c r="R760" s="315"/>
      <c r="S760" s="315"/>
      <c r="T760" s="315"/>
      <c r="U760" s="315"/>
      <c r="V760" s="315"/>
      <c r="W760" s="315"/>
      <c r="X760" s="315"/>
      <c r="Y760" s="315"/>
      <c r="Z760" s="315"/>
      <c r="AA760" s="315"/>
      <c r="AB760" s="315"/>
      <c r="AC760" s="315"/>
      <c r="AD760" s="315"/>
      <c r="AE760" s="315"/>
      <c r="AF760" s="315"/>
      <c r="AG760" s="315"/>
      <c r="AH760" s="315"/>
      <c r="AI760" s="315"/>
      <c r="AJ760" s="315"/>
      <c r="AK760" s="315"/>
      <c r="AL760" s="315"/>
      <c r="AM760" s="315"/>
      <c r="AN760" s="315"/>
      <c r="AO760" s="315"/>
      <c r="AP760" s="315"/>
      <c r="AQ760" s="316"/>
    </row>
  </sheetData>
  <mergeCells count="65">
    <mergeCell ref="C52:C54"/>
    <mergeCell ref="B52:B54"/>
    <mergeCell ref="A52:A54"/>
    <mergeCell ref="C55:C57"/>
    <mergeCell ref="B55:B57"/>
    <mergeCell ref="A55:A57"/>
    <mergeCell ref="C46:C48"/>
    <mergeCell ref="B46:B48"/>
    <mergeCell ref="A46:A48"/>
    <mergeCell ref="C49:C51"/>
    <mergeCell ref="B49:B51"/>
    <mergeCell ref="A49:A51"/>
    <mergeCell ref="C40:C42"/>
    <mergeCell ref="B40:B42"/>
    <mergeCell ref="A40:A42"/>
    <mergeCell ref="C43:C45"/>
    <mergeCell ref="B43:B45"/>
    <mergeCell ref="A43:A45"/>
    <mergeCell ref="C34:C36"/>
    <mergeCell ref="B34:B36"/>
    <mergeCell ref="A34:A36"/>
    <mergeCell ref="C37:C39"/>
    <mergeCell ref="B37:B39"/>
    <mergeCell ref="A37:A39"/>
    <mergeCell ref="C28:C30"/>
    <mergeCell ref="B28:B30"/>
    <mergeCell ref="A28:A30"/>
    <mergeCell ref="C31:C33"/>
    <mergeCell ref="B31:B33"/>
    <mergeCell ref="A31:A33"/>
    <mergeCell ref="C22:C24"/>
    <mergeCell ref="B22:B24"/>
    <mergeCell ref="A22:A24"/>
    <mergeCell ref="C25:C27"/>
    <mergeCell ref="B25:B27"/>
    <mergeCell ref="A25:A27"/>
    <mergeCell ref="C16:C18"/>
    <mergeCell ref="B16:B18"/>
    <mergeCell ref="A16:A18"/>
    <mergeCell ref="C19:C21"/>
    <mergeCell ref="B19:B21"/>
    <mergeCell ref="A19:A21"/>
    <mergeCell ref="C10:C12"/>
    <mergeCell ref="B10:B12"/>
    <mergeCell ref="A10:A12"/>
    <mergeCell ref="C13:C15"/>
    <mergeCell ref="B13:B15"/>
    <mergeCell ref="A13:A15"/>
    <mergeCell ref="A1:AO1"/>
    <mergeCell ref="C4:C6"/>
    <mergeCell ref="B4:B6"/>
    <mergeCell ref="A4:A6"/>
    <mergeCell ref="C7:C9"/>
    <mergeCell ref="B7:B9"/>
    <mergeCell ref="A7:A9"/>
    <mergeCell ref="T2:AA2"/>
    <mergeCell ref="AB2:AI2"/>
    <mergeCell ref="AJ2:AK2"/>
    <mergeCell ref="AL2:AM2"/>
    <mergeCell ref="AN2:AO2"/>
    <mergeCell ref="A2:A3"/>
    <mergeCell ref="B2:B3"/>
    <mergeCell ref="C2:C3"/>
    <mergeCell ref="D2:K2"/>
    <mergeCell ref="L2:S2"/>
  </mergeCells>
  <phoneticPr fontId="96" type="noConversion"/>
  <hyperlinks>
    <hyperlink ref="E549" r:id="rId1" xr:uid="{00000000-0004-0000-0700-000000000000}"/>
    <hyperlink ref="E550" r:id="rId2" xr:uid="{00000000-0004-0000-0700-000001000000}"/>
  </hyperlinks>
  <pageMargins left="0.75" right="0.75" top="1" bottom="1" header="0.5" footer="0.5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backup-1 友好预料模版"/>
  <dimension ref="A1:Z32"/>
  <sheetViews>
    <sheetView workbookViewId="0"/>
  </sheetViews>
  <sheetFormatPr defaultColWidth="11.7265625" defaultRowHeight="14"/>
  <cols>
    <col min="1" max="1" width="26.1796875" style="378" customWidth="1"/>
    <col min="2" max="2" width="18.26953125" style="378" customWidth="1"/>
    <col min="3" max="3" width="28.7265625" style="378" customWidth="1"/>
    <col min="4" max="4" width="36.6328125" style="378" customWidth="1"/>
    <col min="5" max="5" width="75.81640625" style="378" customWidth="1"/>
    <col min="6" max="6" width="17" style="378" customWidth="1"/>
    <col min="7" max="26" width="11.7265625" style="378"/>
  </cols>
  <sheetData>
    <row r="1" spans="1:6" s="378" customFormat="1" ht="30" customHeight="1">
      <c r="A1" s="322" t="s">
        <v>1839</v>
      </c>
      <c r="B1" s="322" t="s">
        <v>1840</v>
      </c>
      <c r="C1" s="322" t="s">
        <v>1841</v>
      </c>
      <c r="D1" s="322" t="s">
        <v>1842</v>
      </c>
      <c r="E1" s="322" t="s">
        <v>1843</v>
      </c>
      <c r="F1" s="322" t="s">
        <v>1844</v>
      </c>
    </row>
    <row r="2" spans="1:6" s="378" customFormat="1" ht="48" customHeight="1">
      <c r="A2" s="323" t="s">
        <v>1845</v>
      </c>
      <c r="B2" s="324" t="s">
        <v>1846</v>
      </c>
      <c r="C2" s="324" t="s">
        <v>1847</v>
      </c>
      <c r="D2" s="324" t="s">
        <v>1848</v>
      </c>
      <c r="E2" s="325" t="s">
        <v>1849</v>
      </c>
      <c r="F2" s="326" t="s">
        <v>1850</v>
      </c>
    </row>
    <row r="3" spans="1:6" s="378" customFormat="1" ht="48" customHeight="1">
      <c r="A3" s="323" t="s">
        <v>1851</v>
      </c>
      <c r="B3" s="324" t="s">
        <v>1852</v>
      </c>
      <c r="C3" s="324" t="s">
        <v>1853</v>
      </c>
      <c r="D3" s="324" t="s">
        <v>1854</v>
      </c>
      <c r="E3" s="325" t="s">
        <v>1855</v>
      </c>
      <c r="F3" s="326" t="s">
        <v>1856</v>
      </c>
    </row>
    <row r="4" spans="1:6" s="378" customFormat="1" ht="48" customHeight="1">
      <c r="A4" s="323" t="s">
        <v>1857</v>
      </c>
      <c r="B4" s="324" t="s">
        <v>1858</v>
      </c>
      <c r="C4" s="324" t="s">
        <v>1859</v>
      </c>
      <c r="D4" s="324" t="s">
        <v>1860</v>
      </c>
      <c r="E4" s="325" t="s">
        <v>1861</v>
      </c>
      <c r="F4" s="326" t="s">
        <v>1862</v>
      </c>
    </row>
    <row r="5" spans="1:6" s="378" customFormat="1" ht="48" customHeight="1">
      <c r="A5" s="323" t="s">
        <v>1863</v>
      </c>
      <c r="B5" s="324" t="s">
        <v>1864</v>
      </c>
      <c r="C5" s="324" t="s">
        <v>1865</v>
      </c>
      <c r="D5" s="324" t="s">
        <v>1866</v>
      </c>
      <c r="E5" s="325" t="s">
        <v>1867</v>
      </c>
      <c r="F5" s="326" t="s">
        <v>1868</v>
      </c>
    </row>
    <row r="6" spans="1:6" s="378" customFormat="1" ht="48" customHeight="1">
      <c r="A6" s="323" t="s">
        <v>1869</v>
      </c>
      <c r="B6" s="324" t="s">
        <v>1870</v>
      </c>
      <c r="C6" s="324" t="s">
        <v>1871</v>
      </c>
      <c r="D6" s="324" t="s">
        <v>1872</v>
      </c>
      <c r="E6" s="325" t="s">
        <v>1873</v>
      </c>
      <c r="F6" s="326" t="s">
        <v>1874</v>
      </c>
    </row>
    <row r="7" spans="1:6" s="378" customFormat="1" ht="48" customHeight="1">
      <c r="A7" s="323" t="s">
        <v>1875</v>
      </c>
      <c r="B7" s="324" t="s">
        <v>1876</v>
      </c>
      <c r="C7" s="324" t="s">
        <v>1877</v>
      </c>
      <c r="D7" s="324" t="s">
        <v>1878</v>
      </c>
      <c r="E7" s="325" t="s">
        <v>1879</v>
      </c>
      <c r="F7" s="326" t="s">
        <v>1880</v>
      </c>
    </row>
    <row r="8" spans="1:6" s="378" customFormat="1" ht="48" customHeight="1">
      <c r="A8" s="323" t="s">
        <v>1881</v>
      </c>
      <c r="B8" s="324" t="s">
        <v>1876</v>
      </c>
      <c r="C8" s="324" t="s">
        <v>1882</v>
      </c>
      <c r="D8" s="324" t="s">
        <v>1883</v>
      </c>
      <c r="E8" s="325" t="s">
        <v>1884</v>
      </c>
      <c r="F8" s="326" t="s">
        <v>1880</v>
      </c>
    </row>
    <row r="9" spans="1:6" s="378" customFormat="1" ht="48" customHeight="1">
      <c r="A9" s="323" t="s">
        <v>1885</v>
      </c>
      <c r="B9" s="324" t="s">
        <v>1876</v>
      </c>
      <c r="C9" s="324" t="s">
        <v>1886</v>
      </c>
      <c r="D9" s="324" t="s">
        <v>1887</v>
      </c>
      <c r="E9" s="325" t="s">
        <v>1888</v>
      </c>
      <c r="F9" s="326" t="s">
        <v>1880</v>
      </c>
    </row>
    <row r="10" spans="1:6" s="378" customFormat="1" ht="48" customHeight="1">
      <c r="A10" s="323" t="s">
        <v>1889</v>
      </c>
      <c r="B10" s="324" t="s">
        <v>1890</v>
      </c>
      <c r="C10" s="324" t="s">
        <v>1891</v>
      </c>
      <c r="D10" s="324" t="s">
        <v>1892</v>
      </c>
      <c r="E10" s="325" t="s">
        <v>1893</v>
      </c>
      <c r="F10" s="326" t="s">
        <v>1880</v>
      </c>
    </row>
    <row r="11" spans="1:6" s="378" customFormat="1" ht="48" customHeight="1">
      <c r="A11" s="323" t="s">
        <v>1894</v>
      </c>
      <c r="B11" s="324" t="s">
        <v>1895</v>
      </c>
      <c r="C11" s="324" t="s">
        <v>1896</v>
      </c>
      <c r="D11" s="324" t="s">
        <v>1897</v>
      </c>
      <c r="E11" s="325" t="s">
        <v>1898</v>
      </c>
      <c r="F11" s="326" t="s">
        <v>1880</v>
      </c>
    </row>
    <row r="12" spans="1:6" s="378" customFormat="1" ht="48" customHeight="1">
      <c r="A12" s="323" t="s">
        <v>1899</v>
      </c>
      <c r="B12" s="324" t="s">
        <v>1900</v>
      </c>
      <c r="C12" s="324" t="s">
        <v>1901</v>
      </c>
      <c r="D12" s="324" t="s">
        <v>1902</v>
      </c>
      <c r="E12" s="325" t="s">
        <v>1903</v>
      </c>
      <c r="F12" s="326" t="s">
        <v>1880</v>
      </c>
    </row>
    <row r="13" spans="1:6" s="378" customFormat="1" ht="48" customHeight="1">
      <c r="A13" s="323" t="s">
        <v>1904</v>
      </c>
      <c r="B13" s="324" t="s">
        <v>1900</v>
      </c>
      <c r="C13" s="324" t="s">
        <v>1905</v>
      </c>
      <c r="D13" s="324" t="s">
        <v>1906</v>
      </c>
      <c r="E13" s="325" t="s">
        <v>1907</v>
      </c>
      <c r="F13" s="326" t="s">
        <v>1880</v>
      </c>
    </row>
    <row r="14" spans="1:6" s="378" customFormat="1" ht="48" customHeight="1">
      <c r="A14" s="323" t="s">
        <v>1908</v>
      </c>
      <c r="B14" s="324" t="s">
        <v>1900</v>
      </c>
      <c r="C14" s="324" t="s">
        <v>1909</v>
      </c>
      <c r="D14" s="324" t="s">
        <v>1910</v>
      </c>
      <c r="E14" s="325" t="s">
        <v>1911</v>
      </c>
      <c r="F14" s="326" t="s">
        <v>1880</v>
      </c>
    </row>
    <row r="15" spans="1:6" s="378" customFormat="1" ht="48" customHeight="1">
      <c r="A15" s="323" t="s">
        <v>1912</v>
      </c>
      <c r="B15" s="324" t="s">
        <v>1900</v>
      </c>
      <c r="C15" s="324" t="s">
        <v>1913</v>
      </c>
      <c r="D15" s="324" t="s">
        <v>1914</v>
      </c>
      <c r="E15" s="325" t="s">
        <v>1915</v>
      </c>
      <c r="F15" s="326" t="s">
        <v>1880</v>
      </c>
    </row>
    <row r="16" spans="1:6" s="378" customFormat="1" ht="48" customHeight="1">
      <c r="A16" s="323" t="s">
        <v>1916</v>
      </c>
      <c r="B16" s="324" t="s">
        <v>1900</v>
      </c>
      <c r="C16" s="324" t="s">
        <v>1917</v>
      </c>
      <c r="D16" s="324" t="s">
        <v>1918</v>
      </c>
      <c r="E16" s="325" t="s">
        <v>1919</v>
      </c>
      <c r="F16" s="326" t="s">
        <v>1880</v>
      </c>
    </row>
    <row r="17" spans="1:6" s="378" customFormat="1" ht="48" customHeight="1">
      <c r="A17" s="323" t="s">
        <v>1920</v>
      </c>
      <c r="B17" s="324" t="s">
        <v>1900</v>
      </c>
      <c r="C17" s="324" t="s">
        <v>1921</v>
      </c>
      <c r="D17" s="324" t="s">
        <v>1922</v>
      </c>
      <c r="E17" s="325" t="s">
        <v>1923</v>
      </c>
      <c r="F17" s="326" t="s">
        <v>1880</v>
      </c>
    </row>
    <row r="18" spans="1:6" s="378" customFormat="1" ht="48" customHeight="1">
      <c r="A18" s="323" t="s">
        <v>1924</v>
      </c>
      <c r="B18" s="324" t="s">
        <v>1925</v>
      </c>
      <c r="C18" s="324" t="s">
        <v>1926</v>
      </c>
      <c r="D18" s="324" t="s">
        <v>1927</v>
      </c>
      <c r="E18" s="325" t="s">
        <v>1928</v>
      </c>
      <c r="F18" s="326" t="s">
        <v>1874</v>
      </c>
    </row>
    <row r="19" spans="1:6" s="378" customFormat="1" ht="48" customHeight="1">
      <c r="A19" s="323" t="s">
        <v>1929</v>
      </c>
      <c r="B19" s="324" t="s">
        <v>1930</v>
      </c>
      <c r="C19" s="324" t="s">
        <v>1931</v>
      </c>
      <c r="D19" s="324" t="s">
        <v>1932</v>
      </c>
      <c r="E19" s="325" t="s">
        <v>1933</v>
      </c>
      <c r="F19" s="326" t="s">
        <v>1880</v>
      </c>
    </row>
    <row r="20" spans="1:6" s="378" customFormat="1" ht="48" customHeight="1">
      <c r="A20" s="323" t="s">
        <v>1934</v>
      </c>
      <c r="B20" s="324" t="s">
        <v>1930</v>
      </c>
      <c r="C20" s="324" t="s">
        <v>1935</v>
      </c>
      <c r="D20" s="324" t="s">
        <v>1936</v>
      </c>
      <c r="E20" s="325" t="s">
        <v>1937</v>
      </c>
      <c r="F20" s="326" t="s">
        <v>1880</v>
      </c>
    </row>
    <row r="21" spans="1:6" s="378" customFormat="1" ht="48" customHeight="1">
      <c r="A21" s="323" t="s">
        <v>1938</v>
      </c>
      <c r="B21" s="324" t="s">
        <v>1939</v>
      </c>
      <c r="C21" s="324" t="s">
        <v>1940</v>
      </c>
      <c r="D21" s="324" t="s">
        <v>1941</v>
      </c>
      <c r="E21" s="325" t="s">
        <v>1942</v>
      </c>
      <c r="F21" s="326" t="s">
        <v>1943</v>
      </c>
    </row>
    <row r="22" spans="1:6" s="378" customFormat="1" ht="48" customHeight="1">
      <c r="A22" s="323" t="s">
        <v>1944</v>
      </c>
      <c r="B22" s="324" t="s">
        <v>1945</v>
      </c>
      <c r="C22" s="324" t="s">
        <v>1946</v>
      </c>
      <c r="D22" s="324" t="s">
        <v>1947</v>
      </c>
      <c r="E22" s="325" t="s">
        <v>1948</v>
      </c>
      <c r="F22" s="326" t="s">
        <v>1943</v>
      </c>
    </row>
    <row r="23" spans="1:6" s="378" customFormat="1" ht="48" customHeight="1">
      <c r="A23" s="323" t="s">
        <v>1949</v>
      </c>
      <c r="B23" s="324" t="s">
        <v>1945</v>
      </c>
      <c r="C23" s="324" t="s">
        <v>1950</v>
      </c>
      <c r="D23" s="324" t="s">
        <v>1951</v>
      </c>
      <c r="E23" s="325" t="s">
        <v>1952</v>
      </c>
      <c r="F23" s="326" t="s">
        <v>1943</v>
      </c>
    </row>
    <row r="24" spans="1:6" s="378" customFormat="1" ht="48" customHeight="1">
      <c r="A24" s="323" t="s">
        <v>1953</v>
      </c>
      <c r="B24" s="324" t="s">
        <v>1954</v>
      </c>
      <c r="C24" s="324" t="s">
        <v>1955</v>
      </c>
      <c r="D24" s="324" t="s">
        <v>1956</v>
      </c>
      <c r="E24" s="325" t="s">
        <v>1957</v>
      </c>
      <c r="F24" s="326" t="s">
        <v>1880</v>
      </c>
    </row>
    <row r="25" spans="1:6" s="378" customFormat="1" ht="48" customHeight="1">
      <c r="A25" s="323" t="s">
        <v>1958</v>
      </c>
      <c r="B25" s="324" t="s">
        <v>1959</v>
      </c>
      <c r="C25" s="324" t="s">
        <v>1960</v>
      </c>
      <c r="D25" s="324" t="s">
        <v>1961</v>
      </c>
      <c r="E25" s="325" t="s">
        <v>1962</v>
      </c>
      <c r="F25" s="326" t="s">
        <v>1943</v>
      </c>
    </row>
    <row r="26" spans="1:6" s="378" customFormat="1" ht="48" customHeight="1">
      <c r="A26" s="323" t="s">
        <v>1963</v>
      </c>
      <c r="B26" s="324" t="s">
        <v>1964</v>
      </c>
      <c r="C26" s="324" t="s">
        <v>1965</v>
      </c>
      <c r="D26" s="324" t="s">
        <v>1966</v>
      </c>
      <c r="E26" s="325" t="s">
        <v>1967</v>
      </c>
      <c r="F26" s="326" t="s">
        <v>1968</v>
      </c>
    </row>
    <row r="27" spans="1:6" s="378" customFormat="1" ht="48" customHeight="1">
      <c r="A27" s="323" t="s">
        <v>1969</v>
      </c>
      <c r="B27" s="324" t="s">
        <v>1970</v>
      </c>
      <c r="C27" s="324" t="s">
        <v>1971</v>
      </c>
      <c r="D27" s="324" t="s">
        <v>1972</v>
      </c>
      <c r="E27" s="325" t="s">
        <v>1973</v>
      </c>
      <c r="F27" s="326" t="s">
        <v>1874</v>
      </c>
    </row>
    <row r="28" spans="1:6" s="378" customFormat="1" ht="48" customHeight="1">
      <c r="A28" s="323" t="s">
        <v>1974</v>
      </c>
      <c r="B28" s="324" t="s">
        <v>1975</v>
      </c>
      <c r="C28" s="324" t="s">
        <v>1976</v>
      </c>
      <c r="D28" s="324" t="s">
        <v>1977</v>
      </c>
      <c r="E28" s="325" t="s">
        <v>1978</v>
      </c>
      <c r="F28" s="326" t="s">
        <v>1880</v>
      </c>
    </row>
    <row r="29" spans="1:6" s="378" customFormat="1" ht="48" customHeight="1">
      <c r="A29" s="323" t="s">
        <v>1979</v>
      </c>
      <c r="B29" s="324" t="s">
        <v>1975</v>
      </c>
      <c r="C29" s="324" t="s">
        <v>1980</v>
      </c>
      <c r="D29" s="324" t="s">
        <v>1981</v>
      </c>
      <c r="E29" s="325" t="s">
        <v>1982</v>
      </c>
      <c r="F29" s="326" t="s">
        <v>1880</v>
      </c>
    </row>
    <row r="30" spans="1:6" s="378" customFormat="1" ht="48" customHeight="1">
      <c r="A30" s="323" t="s">
        <v>1983</v>
      </c>
      <c r="B30" s="324" t="s">
        <v>1975</v>
      </c>
      <c r="C30" s="324" t="s">
        <v>1984</v>
      </c>
      <c r="D30" s="324" t="s">
        <v>1985</v>
      </c>
      <c r="E30" s="325" t="s">
        <v>1986</v>
      </c>
      <c r="F30" s="326" t="s">
        <v>1880</v>
      </c>
    </row>
    <row r="31" spans="1:6" s="378" customFormat="1" ht="48" customHeight="1">
      <c r="A31" s="323" t="s">
        <v>1987</v>
      </c>
      <c r="B31" s="324" t="s">
        <v>1988</v>
      </c>
      <c r="C31" s="324" t="s">
        <v>1989</v>
      </c>
      <c r="D31" s="324" t="s">
        <v>1990</v>
      </c>
      <c r="E31" s="325" t="s">
        <v>1991</v>
      </c>
      <c r="F31" s="326" t="s">
        <v>1992</v>
      </c>
    </row>
    <row r="32" spans="1:6" s="378" customFormat="1" ht="48" customHeight="1">
      <c r="A32" s="323" t="s">
        <v>1993</v>
      </c>
      <c r="B32" s="324" t="s">
        <v>1994</v>
      </c>
      <c r="C32" s="324" t="s">
        <v>1995</v>
      </c>
      <c r="D32" s="324" t="s">
        <v>1996</v>
      </c>
      <c r="E32" s="325" t="s">
        <v>1997</v>
      </c>
      <c r="F32" s="326" t="s">
        <v>1998</v>
      </c>
    </row>
  </sheetData>
  <phoneticPr fontId="96" type="noConversion"/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backup-2.SEO核心关键词"/>
  <dimension ref="A1:BC801"/>
  <sheetViews>
    <sheetView topLeftCell="X1" workbookViewId="0"/>
  </sheetViews>
  <sheetFormatPr defaultColWidth="12.7265625" defaultRowHeight="17.649999999999999" customHeight="1"/>
  <cols>
    <col min="1" max="1" width="12.7265625" style="381"/>
    <col min="2" max="2" width="29.7265625" style="382" customWidth="1"/>
    <col min="3" max="3" width="20.1796875" style="382" customWidth="1"/>
    <col min="4" max="4" width="16" style="382" customWidth="1"/>
    <col min="5" max="5" width="13.26953125" style="382" customWidth="1"/>
    <col min="6" max="7" width="13.453125" style="382" customWidth="1"/>
    <col min="8" max="11" width="17.453125" style="382" customWidth="1"/>
    <col min="12" max="12" width="19.26953125" style="382" customWidth="1"/>
    <col min="13" max="14" width="17.453125" style="382" customWidth="1"/>
    <col min="15" max="30" width="20.81640625" style="381" customWidth="1"/>
    <col min="31" max="31" width="17.81640625" style="381" customWidth="1"/>
    <col min="32" max="33" width="12.7265625" style="381" customWidth="1"/>
    <col min="34" max="34" width="12.7265625" style="383" customWidth="1"/>
    <col min="35" max="38" width="12.7265625" style="381" customWidth="1"/>
    <col min="39" max="55" width="12.7265625" style="381"/>
  </cols>
  <sheetData>
    <row r="1" spans="2:41" s="381" customFormat="1" ht="15" customHeight="1">
      <c r="B1" s="327" t="s">
        <v>1999</v>
      </c>
      <c r="C1" s="328"/>
      <c r="D1" s="329"/>
      <c r="E1" s="329" t="s">
        <v>2000</v>
      </c>
      <c r="F1" s="329" t="s">
        <v>2001</v>
      </c>
      <c r="G1" s="329" t="s">
        <v>2002</v>
      </c>
      <c r="H1" s="329" t="s">
        <v>2003</v>
      </c>
      <c r="I1" s="329" t="s">
        <v>2004</v>
      </c>
      <c r="J1" s="329" t="s">
        <v>2005</v>
      </c>
      <c r="K1" s="329" t="s">
        <v>2006</v>
      </c>
      <c r="L1" s="329" t="s">
        <v>2007</v>
      </c>
      <c r="M1" s="329" t="s">
        <v>2008</v>
      </c>
      <c r="N1" s="329" t="s">
        <v>2009</v>
      </c>
      <c r="O1" s="327" t="s">
        <v>2010</v>
      </c>
      <c r="P1" s="330" t="s">
        <v>2011</v>
      </c>
      <c r="Q1" s="330" t="s">
        <v>2012</v>
      </c>
      <c r="R1" s="330" t="s">
        <v>2013</v>
      </c>
      <c r="S1" s="330" t="s">
        <v>2014</v>
      </c>
      <c r="T1" s="330" t="s">
        <v>2015</v>
      </c>
      <c r="U1" s="330" t="s">
        <v>2016</v>
      </c>
      <c r="V1" s="330" t="s">
        <v>2017</v>
      </c>
      <c r="W1" s="330" t="s">
        <v>2018</v>
      </c>
      <c r="X1" s="330" t="s">
        <v>2019</v>
      </c>
      <c r="Y1" s="330" t="s">
        <v>2020</v>
      </c>
      <c r="Z1" s="330" t="s">
        <v>2021</v>
      </c>
      <c r="AA1" s="330" t="s">
        <v>2022</v>
      </c>
      <c r="AB1" s="330" t="s">
        <v>2023</v>
      </c>
      <c r="AC1" s="327" t="s">
        <v>2024</v>
      </c>
      <c r="AD1" s="521" t="s">
        <v>2025</v>
      </c>
      <c r="AE1" s="527" t="s">
        <v>2026</v>
      </c>
      <c r="AG1" s="331"/>
      <c r="AH1" s="331"/>
      <c r="AI1" s="331"/>
      <c r="AJ1" s="331"/>
      <c r="AK1" s="331"/>
      <c r="AL1" s="331"/>
      <c r="AM1" s="332"/>
      <c r="AN1" s="332"/>
      <c r="AO1" s="332"/>
    </row>
    <row r="2" spans="2:41" s="381" customFormat="1" ht="15" customHeight="1">
      <c r="B2" s="333" t="s">
        <v>2027</v>
      </c>
      <c r="C2" s="333" t="s">
        <v>2028</v>
      </c>
      <c r="D2" s="333" t="s">
        <v>2029</v>
      </c>
      <c r="E2" s="333" t="s">
        <v>2030</v>
      </c>
      <c r="F2" s="329" t="s">
        <v>2031</v>
      </c>
      <c r="G2" s="329" t="s">
        <v>2032</v>
      </c>
      <c r="H2" s="329" t="s">
        <v>2033</v>
      </c>
      <c r="I2" s="329" t="s">
        <v>2034</v>
      </c>
      <c r="J2" s="329" t="s">
        <v>2035</v>
      </c>
      <c r="K2" s="329" t="s">
        <v>2036</v>
      </c>
      <c r="L2" s="329" t="s">
        <v>2037</v>
      </c>
      <c r="M2" s="329" t="s">
        <v>2038</v>
      </c>
      <c r="N2" s="329" t="s">
        <v>2039</v>
      </c>
      <c r="O2" s="329" t="s">
        <v>2040</v>
      </c>
      <c r="P2" s="329" t="s">
        <v>2041</v>
      </c>
      <c r="Q2" s="329" t="s">
        <v>2042</v>
      </c>
      <c r="R2" s="329" t="s">
        <v>2043</v>
      </c>
      <c r="S2" s="329" t="s">
        <v>2044</v>
      </c>
      <c r="T2" s="329" t="s">
        <v>2045</v>
      </c>
      <c r="U2" s="329" t="s">
        <v>2046</v>
      </c>
      <c r="V2" s="329" t="s">
        <v>2047</v>
      </c>
      <c r="W2" s="329" t="s">
        <v>2048</v>
      </c>
      <c r="X2" s="329" t="s">
        <v>2049</v>
      </c>
      <c r="Y2" s="329" t="s">
        <v>2050</v>
      </c>
      <c r="Z2" s="329" t="s">
        <v>2051</v>
      </c>
      <c r="AA2" s="329" t="s">
        <v>2052</v>
      </c>
      <c r="AB2" s="329" t="s">
        <v>2053</v>
      </c>
      <c r="AC2" s="334" t="s">
        <v>2054</v>
      </c>
      <c r="AD2" s="521"/>
      <c r="AE2" s="527"/>
      <c r="AG2" s="331"/>
      <c r="AH2" s="331"/>
      <c r="AI2" s="331"/>
      <c r="AJ2" s="331"/>
      <c r="AK2" s="331"/>
      <c r="AL2" s="331"/>
      <c r="AM2" s="332"/>
      <c r="AN2" s="332"/>
      <c r="AO2" s="332"/>
    </row>
    <row r="3" spans="2:41" s="381" customFormat="1" ht="15" customHeight="1">
      <c r="B3" s="520" t="s">
        <v>2055</v>
      </c>
      <c r="C3" s="520" t="s">
        <v>2056</v>
      </c>
      <c r="D3" s="197" t="s">
        <v>2057</v>
      </c>
      <c r="E3" s="211">
        <f t="shared" ref="E3:AC3" si="0">COUNTIFS($C$61:$C$425,$B$3,$D$61:$D$425,$C$3,AE$61:AE$425,"&gt;0",AE$61:AE$425,"&lt;=5")</f>
        <v>123</v>
      </c>
      <c r="F3" s="211">
        <f t="shared" si="0"/>
        <v>124</v>
      </c>
      <c r="G3" s="211">
        <f t="shared" si="0"/>
        <v>124</v>
      </c>
      <c r="H3" s="211">
        <f t="shared" si="0"/>
        <v>119</v>
      </c>
      <c r="I3" s="211">
        <f t="shared" si="0"/>
        <v>118</v>
      </c>
      <c r="J3" s="211">
        <f t="shared" si="0"/>
        <v>114</v>
      </c>
      <c r="K3" s="211">
        <f t="shared" si="0"/>
        <v>124</v>
      </c>
      <c r="L3" s="211">
        <f t="shared" si="0"/>
        <v>124</v>
      </c>
      <c r="M3" s="211">
        <f t="shared" si="0"/>
        <v>125</v>
      </c>
      <c r="N3" s="211">
        <f t="shared" si="0"/>
        <v>120</v>
      </c>
      <c r="O3" s="211">
        <f t="shared" si="0"/>
        <v>121</v>
      </c>
      <c r="P3" s="211">
        <f t="shared" si="0"/>
        <v>127</v>
      </c>
      <c r="Q3" s="211">
        <f t="shared" si="0"/>
        <v>123</v>
      </c>
      <c r="R3" s="211">
        <f t="shared" si="0"/>
        <v>136</v>
      </c>
      <c r="S3" s="211">
        <f t="shared" si="0"/>
        <v>140</v>
      </c>
      <c r="T3" s="211">
        <f t="shared" si="0"/>
        <v>127</v>
      </c>
      <c r="U3" s="211">
        <f t="shared" si="0"/>
        <v>139</v>
      </c>
      <c r="V3" s="211">
        <f t="shared" si="0"/>
        <v>129</v>
      </c>
      <c r="W3" s="211">
        <f t="shared" si="0"/>
        <v>129</v>
      </c>
      <c r="X3" s="211">
        <f t="shared" si="0"/>
        <v>129</v>
      </c>
      <c r="Y3" s="211">
        <f t="shared" si="0"/>
        <v>125</v>
      </c>
      <c r="Z3" s="211">
        <f t="shared" si="0"/>
        <v>124</v>
      </c>
      <c r="AA3" s="211">
        <f t="shared" si="0"/>
        <v>123</v>
      </c>
      <c r="AB3" s="211">
        <f t="shared" si="0"/>
        <v>126</v>
      </c>
      <c r="AC3" s="211">
        <f t="shared" si="0"/>
        <v>132</v>
      </c>
      <c r="AD3" s="522" t="s">
        <v>2058</v>
      </c>
      <c r="AE3" s="201"/>
      <c r="AG3" s="331"/>
      <c r="AH3" s="331"/>
      <c r="AI3" s="331"/>
      <c r="AJ3" s="331"/>
      <c r="AK3" s="331"/>
      <c r="AL3" s="331"/>
      <c r="AM3" s="332"/>
      <c r="AN3" s="332"/>
      <c r="AO3" s="332"/>
    </row>
    <row r="4" spans="2:41" s="381" customFormat="1" ht="15" customHeight="1">
      <c r="B4" s="520"/>
      <c r="C4" s="520"/>
      <c r="D4" s="197" t="s">
        <v>2059</v>
      </c>
      <c r="E4" s="211">
        <f t="shared" ref="E4:AC4" si="1">COUNTIFS($C$61:$C$425,$B$3,$D$61:$D$425,$C$3,AE$61:AE$425,"&gt;0",AE$61:AE$425,"&lt;=10")</f>
        <v>159</v>
      </c>
      <c r="F4" s="211">
        <f t="shared" si="1"/>
        <v>159</v>
      </c>
      <c r="G4" s="211">
        <f t="shared" si="1"/>
        <v>160</v>
      </c>
      <c r="H4" s="211">
        <f t="shared" si="1"/>
        <v>160</v>
      </c>
      <c r="I4" s="211">
        <f t="shared" si="1"/>
        <v>160</v>
      </c>
      <c r="J4" s="211">
        <f t="shared" si="1"/>
        <v>159</v>
      </c>
      <c r="K4" s="211">
        <f t="shared" si="1"/>
        <v>158</v>
      </c>
      <c r="L4" s="211">
        <f t="shared" si="1"/>
        <v>159</v>
      </c>
      <c r="M4" s="211">
        <f t="shared" si="1"/>
        <v>160</v>
      </c>
      <c r="N4" s="211">
        <f t="shared" si="1"/>
        <v>161</v>
      </c>
      <c r="O4" s="211">
        <f t="shared" si="1"/>
        <v>161</v>
      </c>
      <c r="P4" s="211">
        <f t="shared" si="1"/>
        <v>170</v>
      </c>
      <c r="Q4" s="211">
        <f t="shared" si="1"/>
        <v>169</v>
      </c>
      <c r="R4" s="211">
        <f t="shared" si="1"/>
        <v>167</v>
      </c>
      <c r="S4" s="211">
        <f t="shared" si="1"/>
        <v>167</v>
      </c>
      <c r="T4" s="211">
        <f t="shared" si="1"/>
        <v>161</v>
      </c>
      <c r="U4" s="211">
        <f t="shared" si="1"/>
        <v>167</v>
      </c>
      <c r="V4" s="211">
        <f t="shared" si="1"/>
        <v>167</v>
      </c>
      <c r="W4" s="211">
        <f t="shared" si="1"/>
        <v>168</v>
      </c>
      <c r="X4" s="211">
        <f t="shared" si="1"/>
        <v>168</v>
      </c>
      <c r="Y4" s="211">
        <f t="shared" si="1"/>
        <v>168</v>
      </c>
      <c r="Z4" s="211">
        <f t="shared" si="1"/>
        <v>165</v>
      </c>
      <c r="AA4" s="211">
        <f t="shared" si="1"/>
        <v>172</v>
      </c>
      <c r="AB4" s="211">
        <f t="shared" si="1"/>
        <v>173</v>
      </c>
      <c r="AC4" s="211">
        <f t="shared" si="1"/>
        <v>174</v>
      </c>
      <c r="AD4" s="522"/>
      <c r="AE4" s="201"/>
      <c r="AG4" s="331"/>
      <c r="AH4" s="331"/>
      <c r="AI4" s="331"/>
      <c r="AJ4" s="331"/>
      <c r="AK4" s="331"/>
      <c r="AL4" s="331"/>
      <c r="AM4" s="332"/>
      <c r="AN4" s="332"/>
      <c r="AO4" s="332"/>
    </row>
    <row r="5" spans="2:41" s="381" customFormat="1" ht="15" customHeight="1">
      <c r="B5" s="520"/>
      <c r="C5" s="520"/>
      <c r="D5" s="197" t="s">
        <v>2060</v>
      </c>
      <c r="E5" s="335">
        <f t="shared" ref="E5:AC5" si="2">COUNTIFS($C$61:$C$425,$B$3,$D$61:$D$425,$C$3,AE$61:AE$425,"&gt;0",AE$61:AE$425,"&lt;=50")</f>
        <v>174</v>
      </c>
      <c r="F5" s="335">
        <f t="shared" si="2"/>
        <v>174</v>
      </c>
      <c r="G5" s="335">
        <f t="shared" si="2"/>
        <v>174</v>
      </c>
      <c r="H5" s="335">
        <f t="shared" si="2"/>
        <v>174</v>
      </c>
      <c r="I5" s="335">
        <f t="shared" si="2"/>
        <v>174</v>
      </c>
      <c r="J5" s="335">
        <f t="shared" si="2"/>
        <v>173</v>
      </c>
      <c r="K5" s="335">
        <f t="shared" si="2"/>
        <v>174</v>
      </c>
      <c r="L5" s="335">
        <f t="shared" si="2"/>
        <v>174</v>
      </c>
      <c r="M5" s="335">
        <f t="shared" si="2"/>
        <v>174</v>
      </c>
      <c r="N5" s="335">
        <f t="shared" si="2"/>
        <v>174</v>
      </c>
      <c r="O5" s="335">
        <f t="shared" si="2"/>
        <v>174</v>
      </c>
      <c r="P5" s="335">
        <f t="shared" si="2"/>
        <v>173</v>
      </c>
      <c r="Q5" s="335">
        <f t="shared" si="2"/>
        <v>174</v>
      </c>
      <c r="R5" s="335">
        <f t="shared" si="2"/>
        <v>174</v>
      </c>
      <c r="S5" s="335">
        <f t="shared" si="2"/>
        <v>173</v>
      </c>
      <c r="T5" s="335">
        <f t="shared" si="2"/>
        <v>172</v>
      </c>
      <c r="U5" s="335">
        <f t="shared" si="2"/>
        <v>174</v>
      </c>
      <c r="V5" s="335">
        <f t="shared" si="2"/>
        <v>174</v>
      </c>
      <c r="W5" s="335">
        <f t="shared" si="2"/>
        <v>175</v>
      </c>
      <c r="X5" s="335">
        <f t="shared" si="2"/>
        <v>172</v>
      </c>
      <c r="Y5" s="335">
        <f t="shared" si="2"/>
        <v>173</v>
      </c>
      <c r="Z5" s="335">
        <f t="shared" si="2"/>
        <v>173</v>
      </c>
      <c r="AA5" s="335">
        <f t="shared" si="2"/>
        <v>172</v>
      </c>
      <c r="AB5" s="335">
        <f t="shared" si="2"/>
        <v>174</v>
      </c>
      <c r="AC5" s="335">
        <f t="shared" si="2"/>
        <v>174</v>
      </c>
      <c r="AD5" s="522"/>
      <c r="AE5" s="201"/>
      <c r="AG5" s="331"/>
      <c r="AH5" s="331"/>
      <c r="AI5" s="331"/>
      <c r="AJ5" s="331"/>
      <c r="AK5" s="331"/>
      <c r="AL5" s="331"/>
      <c r="AM5" s="332"/>
      <c r="AN5" s="332"/>
      <c r="AO5" s="332"/>
    </row>
    <row r="6" spans="2:41" s="381" customFormat="1" ht="15" customHeight="1">
      <c r="B6" s="520" t="s">
        <v>2061</v>
      </c>
      <c r="C6" s="520" t="s">
        <v>2056</v>
      </c>
      <c r="D6" s="197" t="s">
        <v>2057</v>
      </c>
      <c r="E6" s="335">
        <f t="shared" ref="E6:AC6" si="3">COUNTIFS($C$61:$C$425,$B$6,$D$61:$D$425,$C$6,AE$61:AE$425,"&gt;0",AE$61:AE$425,"&lt;=5")</f>
        <v>1</v>
      </c>
      <c r="F6" s="335">
        <f t="shared" si="3"/>
        <v>1</v>
      </c>
      <c r="G6" s="335">
        <f t="shared" si="3"/>
        <v>1</v>
      </c>
      <c r="H6" s="335">
        <f t="shared" si="3"/>
        <v>2</v>
      </c>
      <c r="I6" s="335">
        <f t="shared" si="3"/>
        <v>2</v>
      </c>
      <c r="J6" s="335">
        <f t="shared" si="3"/>
        <v>1</v>
      </c>
      <c r="K6" s="335">
        <f t="shared" si="3"/>
        <v>1</v>
      </c>
      <c r="L6" s="335">
        <f t="shared" si="3"/>
        <v>1</v>
      </c>
      <c r="M6" s="335">
        <f t="shared" si="3"/>
        <v>1</v>
      </c>
      <c r="N6" s="335">
        <f t="shared" si="3"/>
        <v>1</v>
      </c>
      <c r="O6" s="335">
        <f t="shared" si="3"/>
        <v>1</v>
      </c>
      <c r="P6" s="335">
        <f t="shared" si="3"/>
        <v>1</v>
      </c>
      <c r="Q6" s="335">
        <f t="shared" si="3"/>
        <v>1</v>
      </c>
      <c r="R6" s="335">
        <f t="shared" si="3"/>
        <v>1</v>
      </c>
      <c r="S6" s="335">
        <f t="shared" si="3"/>
        <v>1</v>
      </c>
      <c r="T6" s="335">
        <f t="shared" si="3"/>
        <v>2</v>
      </c>
      <c r="U6" s="335">
        <f t="shared" si="3"/>
        <v>1</v>
      </c>
      <c r="V6" s="335">
        <f t="shared" si="3"/>
        <v>1</v>
      </c>
      <c r="W6" s="335">
        <f t="shared" si="3"/>
        <v>2</v>
      </c>
      <c r="X6" s="335">
        <f t="shared" si="3"/>
        <v>2</v>
      </c>
      <c r="Y6" s="335">
        <f t="shared" si="3"/>
        <v>2</v>
      </c>
      <c r="Z6" s="335">
        <f t="shared" si="3"/>
        <v>2</v>
      </c>
      <c r="AA6" s="335">
        <f t="shared" si="3"/>
        <v>1</v>
      </c>
      <c r="AB6" s="335">
        <f t="shared" si="3"/>
        <v>2</v>
      </c>
      <c r="AC6" s="335">
        <f t="shared" si="3"/>
        <v>2</v>
      </c>
      <c r="AD6" s="522" t="s">
        <v>2062</v>
      </c>
      <c r="AE6" s="201"/>
      <c r="AG6" s="331"/>
      <c r="AH6" s="331"/>
      <c r="AI6" s="331"/>
      <c r="AJ6" s="331"/>
      <c r="AK6" s="331"/>
      <c r="AL6" s="331"/>
      <c r="AM6" s="332"/>
      <c r="AN6" s="332"/>
      <c r="AO6" s="332"/>
    </row>
    <row r="7" spans="2:41" s="381" customFormat="1" ht="15" customHeight="1">
      <c r="B7" s="520"/>
      <c r="C7" s="520"/>
      <c r="D7" s="197" t="s">
        <v>2059</v>
      </c>
      <c r="E7" s="335">
        <f t="shared" ref="E7:AC7" si="4">COUNTIFS($C$61:$C$425,$B$6,$D$61:$D$425,$C$6,AE$61:AE$425,"&gt;0",AE$61:AE$425,"&lt;=10")</f>
        <v>1</v>
      </c>
      <c r="F7" s="335">
        <f t="shared" si="4"/>
        <v>2</v>
      </c>
      <c r="G7" s="335">
        <f t="shared" si="4"/>
        <v>2</v>
      </c>
      <c r="H7" s="335">
        <f t="shared" si="4"/>
        <v>2</v>
      </c>
      <c r="I7" s="335">
        <f t="shared" si="4"/>
        <v>2</v>
      </c>
      <c r="J7" s="335">
        <f t="shared" si="4"/>
        <v>2</v>
      </c>
      <c r="K7" s="335">
        <f t="shared" si="4"/>
        <v>2</v>
      </c>
      <c r="L7" s="335">
        <f t="shared" si="4"/>
        <v>2</v>
      </c>
      <c r="M7" s="335">
        <f t="shared" si="4"/>
        <v>2</v>
      </c>
      <c r="N7" s="335">
        <f t="shared" si="4"/>
        <v>2</v>
      </c>
      <c r="O7" s="335">
        <f t="shared" si="4"/>
        <v>2</v>
      </c>
      <c r="P7" s="335">
        <f t="shared" si="4"/>
        <v>2</v>
      </c>
      <c r="Q7" s="335">
        <f t="shared" si="4"/>
        <v>2</v>
      </c>
      <c r="R7" s="335">
        <f t="shared" si="4"/>
        <v>2</v>
      </c>
      <c r="S7" s="335">
        <f t="shared" si="4"/>
        <v>2</v>
      </c>
      <c r="T7" s="335">
        <f t="shared" si="4"/>
        <v>2</v>
      </c>
      <c r="U7" s="335">
        <f t="shared" si="4"/>
        <v>2</v>
      </c>
      <c r="V7" s="335">
        <f t="shared" si="4"/>
        <v>1</v>
      </c>
      <c r="W7" s="335">
        <f t="shared" si="4"/>
        <v>2</v>
      </c>
      <c r="X7" s="335">
        <f t="shared" si="4"/>
        <v>2</v>
      </c>
      <c r="Y7" s="335">
        <f t="shared" si="4"/>
        <v>2</v>
      </c>
      <c r="Z7" s="335">
        <f t="shared" si="4"/>
        <v>2</v>
      </c>
      <c r="AA7" s="335">
        <f t="shared" si="4"/>
        <v>2</v>
      </c>
      <c r="AB7" s="335">
        <f t="shared" si="4"/>
        <v>2</v>
      </c>
      <c r="AC7" s="335">
        <f t="shared" si="4"/>
        <v>2</v>
      </c>
      <c r="AD7" s="522"/>
      <c r="AE7" s="201"/>
      <c r="AG7" s="331"/>
      <c r="AH7" s="331"/>
      <c r="AI7" s="331"/>
      <c r="AJ7" s="331"/>
      <c r="AK7" s="331"/>
      <c r="AL7" s="331"/>
      <c r="AM7" s="332"/>
      <c r="AN7" s="332"/>
      <c r="AO7" s="332"/>
    </row>
    <row r="8" spans="2:41" s="381" customFormat="1" ht="15" customHeight="1">
      <c r="B8" s="520"/>
      <c r="C8" s="520"/>
      <c r="D8" s="197" t="s">
        <v>2060</v>
      </c>
      <c r="E8" s="335">
        <f t="shared" ref="E8:AC8" si="5">COUNTIFS($C$61:$C$425,$B$6,$D$61:$D$425,$C$6,AE$61:AE$425,"&gt;0",AE$61:AE$425,"&lt;=50")</f>
        <v>2</v>
      </c>
      <c r="F8" s="335">
        <f t="shared" si="5"/>
        <v>2</v>
      </c>
      <c r="G8" s="335">
        <f t="shared" si="5"/>
        <v>2</v>
      </c>
      <c r="H8" s="335">
        <f t="shared" si="5"/>
        <v>2</v>
      </c>
      <c r="I8" s="335">
        <f t="shared" si="5"/>
        <v>2</v>
      </c>
      <c r="J8" s="335">
        <f t="shared" si="5"/>
        <v>2</v>
      </c>
      <c r="K8" s="335">
        <f t="shared" si="5"/>
        <v>2</v>
      </c>
      <c r="L8" s="335">
        <f t="shared" si="5"/>
        <v>2</v>
      </c>
      <c r="M8" s="335">
        <f t="shared" si="5"/>
        <v>2</v>
      </c>
      <c r="N8" s="335">
        <f t="shared" si="5"/>
        <v>2</v>
      </c>
      <c r="O8" s="335">
        <f t="shared" si="5"/>
        <v>2</v>
      </c>
      <c r="P8" s="335">
        <f t="shared" si="5"/>
        <v>2</v>
      </c>
      <c r="Q8" s="335">
        <f t="shared" si="5"/>
        <v>2</v>
      </c>
      <c r="R8" s="335">
        <f t="shared" si="5"/>
        <v>2</v>
      </c>
      <c r="S8" s="335">
        <f t="shared" si="5"/>
        <v>2</v>
      </c>
      <c r="T8" s="335">
        <f t="shared" si="5"/>
        <v>2</v>
      </c>
      <c r="U8" s="335">
        <f t="shared" si="5"/>
        <v>2</v>
      </c>
      <c r="V8" s="335">
        <f t="shared" si="5"/>
        <v>2</v>
      </c>
      <c r="W8" s="335">
        <f t="shared" si="5"/>
        <v>2</v>
      </c>
      <c r="X8" s="335">
        <f t="shared" si="5"/>
        <v>2</v>
      </c>
      <c r="Y8" s="335">
        <f t="shared" si="5"/>
        <v>2</v>
      </c>
      <c r="Z8" s="335">
        <f t="shared" si="5"/>
        <v>2</v>
      </c>
      <c r="AA8" s="335">
        <f t="shared" si="5"/>
        <v>2</v>
      </c>
      <c r="AB8" s="335">
        <f t="shared" si="5"/>
        <v>2</v>
      </c>
      <c r="AC8" s="335">
        <f t="shared" si="5"/>
        <v>2</v>
      </c>
      <c r="AD8" s="522"/>
      <c r="AE8" s="201"/>
      <c r="AG8" s="331"/>
      <c r="AH8" s="331"/>
      <c r="AI8" s="331"/>
      <c r="AJ8" s="331"/>
      <c r="AK8" s="331"/>
      <c r="AL8" s="331"/>
      <c r="AM8" s="332"/>
      <c r="AN8" s="332"/>
      <c r="AO8" s="332"/>
    </row>
    <row r="9" spans="2:41" s="381" customFormat="1" ht="15" customHeight="1">
      <c r="B9" s="520" t="s">
        <v>2055</v>
      </c>
      <c r="C9" s="520" t="s">
        <v>2063</v>
      </c>
      <c r="D9" s="197" t="s">
        <v>2057</v>
      </c>
      <c r="E9" s="335">
        <f t="shared" ref="E9:AC9" si="6">COUNTIFS($C$61:$C$425,$B$9,$D$61:$D$425,$C$9,AE$61:AE$425,"&gt;0",AE$61:AE$425,"&lt;=5")</f>
        <v>9</v>
      </c>
      <c r="F9" s="335">
        <f t="shared" si="6"/>
        <v>13</v>
      </c>
      <c r="G9" s="335">
        <f t="shared" si="6"/>
        <v>13</v>
      </c>
      <c r="H9" s="335">
        <f t="shared" si="6"/>
        <v>13</v>
      </c>
      <c r="I9" s="335">
        <f t="shared" si="6"/>
        <v>13</v>
      </c>
      <c r="J9" s="335">
        <f t="shared" si="6"/>
        <v>11</v>
      </c>
      <c r="K9" s="335">
        <f t="shared" si="6"/>
        <v>16</v>
      </c>
      <c r="L9" s="335">
        <f t="shared" si="6"/>
        <v>16</v>
      </c>
      <c r="M9" s="335">
        <f t="shared" si="6"/>
        <v>12</v>
      </c>
      <c r="N9" s="335">
        <f t="shared" si="6"/>
        <v>14</v>
      </c>
      <c r="O9" s="335">
        <f t="shared" si="6"/>
        <v>11</v>
      </c>
      <c r="P9" s="335">
        <f t="shared" si="6"/>
        <v>13</v>
      </c>
      <c r="Q9" s="335">
        <f t="shared" si="6"/>
        <v>17</v>
      </c>
      <c r="R9" s="335">
        <f t="shared" si="6"/>
        <v>12</v>
      </c>
      <c r="S9" s="335">
        <f t="shared" si="6"/>
        <v>13</v>
      </c>
      <c r="T9" s="335">
        <f t="shared" si="6"/>
        <v>12</v>
      </c>
      <c r="U9" s="335">
        <f t="shared" si="6"/>
        <v>12</v>
      </c>
      <c r="V9" s="335">
        <f t="shared" si="6"/>
        <v>16</v>
      </c>
      <c r="W9" s="335">
        <f t="shared" si="6"/>
        <v>12</v>
      </c>
      <c r="X9" s="335">
        <f t="shared" si="6"/>
        <v>15</v>
      </c>
      <c r="Y9" s="335">
        <f t="shared" si="6"/>
        <v>10</v>
      </c>
      <c r="Z9" s="335">
        <f t="shared" si="6"/>
        <v>12</v>
      </c>
      <c r="AA9" s="335">
        <f t="shared" si="6"/>
        <v>14</v>
      </c>
      <c r="AB9" s="335">
        <f t="shared" si="6"/>
        <v>13</v>
      </c>
      <c r="AC9" s="335">
        <f t="shared" si="6"/>
        <v>12</v>
      </c>
      <c r="AD9" s="522" t="s">
        <v>2064</v>
      </c>
      <c r="AE9" s="201"/>
      <c r="AG9" s="331"/>
      <c r="AH9" s="331"/>
      <c r="AI9" s="331"/>
      <c r="AJ9" s="331"/>
      <c r="AK9" s="331"/>
      <c r="AL9" s="331"/>
      <c r="AM9" s="332"/>
      <c r="AN9" s="332"/>
      <c r="AO9" s="332"/>
    </row>
    <row r="10" spans="2:41" s="381" customFormat="1" ht="15" customHeight="1">
      <c r="B10" s="520"/>
      <c r="C10" s="520"/>
      <c r="D10" s="197" t="s">
        <v>2059</v>
      </c>
      <c r="E10" s="335">
        <f t="shared" ref="E10:AC10" si="7">COUNTIFS($C$61:$C$425,$B$9,$D$61:$D$425,$C$9,AE$61:AE$425,"&gt;0",AE$61:AE$425,"&lt;=10")</f>
        <v>17</v>
      </c>
      <c r="F10" s="335">
        <f t="shared" si="7"/>
        <v>17</v>
      </c>
      <c r="G10" s="335">
        <f t="shared" si="7"/>
        <v>19</v>
      </c>
      <c r="H10" s="335">
        <f t="shared" si="7"/>
        <v>20</v>
      </c>
      <c r="I10" s="335">
        <f t="shared" si="7"/>
        <v>19</v>
      </c>
      <c r="J10" s="335">
        <f t="shared" si="7"/>
        <v>17</v>
      </c>
      <c r="K10" s="335">
        <f t="shared" si="7"/>
        <v>18</v>
      </c>
      <c r="L10" s="335">
        <f t="shared" si="7"/>
        <v>19</v>
      </c>
      <c r="M10" s="335">
        <f t="shared" si="7"/>
        <v>19</v>
      </c>
      <c r="N10" s="335">
        <f t="shared" si="7"/>
        <v>19</v>
      </c>
      <c r="O10" s="335">
        <f t="shared" si="7"/>
        <v>20</v>
      </c>
      <c r="P10" s="335">
        <f t="shared" si="7"/>
        <v>19</v>
      </c>
      <c r="Q10" s="335">
        <f t="shared" si="7"/>
        <v>20</v>
      </c>
      <c r="R10" s="335">
        <f t="shared" si="7"/>
        <v>18</v>
      </c>
      <c r="S10" s="335">
        <f t="shared" si="7"/>
        <v>18</v>
      </c>
      <c r="T10" s="335">
        <f t="shared" si="7"/>
        <v>19</v>
      </c>
      <c r="U10" s="335">
        <f t="shared" si="7"/>
        <v>17</v>
      </c>
      <c r="V10" s="335">
        <f t="shared" si="7"/>
        <v>19</v>
      </c>
      <c r="W10" s="335">
        <f t="shared" si="7"/>
        <v>20</v>
      </c>
      <c r="X10" s="335">
        <f t="shared" si="7"/>
        <v>19</v>
      </c>
      <c r="Y10" s="335">
        <f t="shared" si="7"/>
        <v>20</v>
      </c>
      <c r="Z10" s="335">
        <f t="shared" si="7"/>
        <v>18</v>
      </c>
      <c r="AA10" s="335">
        <f t="shared" si="7"/>
        <v>18</v>
      </c>
      <c r="AB10" s="335">
        <f t="shared" si="7"/>
        <v>19</v>
      </c>
      <c r="AC10" s="335">
        <f t="shared" si="7"/>
        <v>19</v>
      </c>
      <c r="AD10" s="522"/>
      <c r="AE10" s="201"/>
      <c r="AG10" s="331"/>
      <c r="AH10" s="331"/>
      <c r="AI10" s="331"/>
      <c r="AJ10" s="331"/>
      <c r="AK10" s="331"/>
      <c r="AL10" s="331"/>
      <c r="AM10" s="332"/>
      <c r="AN10" s="332"/>
      <c r="AO10" s="332"/>
    </row>
    <row r="11" spans="2:41" s="381" customFormat="1" ht="15" customHeight="1">
      <c r="B11" s="520"/>
      <c r="C11" s="520"/>
      <c r="D11" s="197" t="s">
        <v>2060</v>
      </c>
      <c r="E11" s="335">
        <f t="shared" ref="E11:AC11" si="8">COUNTIFS($C$61:$C$425,$B$9,$D$61:$D$425,$C$9,AE$61:AE$425,"&gt;0",AE$61:AE$425,"&lt;=50")</f>
        <v>21</v>
      </c>
      <c r="F11" s="335">
        <f t="shared" si="8"/>
        <v>20</v>
      </c>
      <c r="G11" s="335">
        <f t="shared" si="8"/>
        <v>20</v>
      </c>
      <c r="H11" s="335">
        <f t="shared" si="8"/>
        <v>21</v>
      </c>
      <c r="I11" s="335">
        <f t="shared" si="8"/>
        <v>20</v>
      </c>
      <c r="J11" s="335">
        <f t="shared" si="8"/>
        <v>20</v>
      </c>
      <c r="K11" s="335">
        <f t="shared" si="8"/>
        <v>21</v>
      </c>
      <c r="L11" s="335">
        <f t="shared" si="8"/>
        <v>21</v>
      </c>
      <c r="M11" s="335">
        <f t="shared" si="8"/>
        <v>21</v>
      </c>
      <c r="N11" s="335">
        <f t="shared" si="8"/>
        <v>21</v>
      </c>
      <c r="O11" s="335">
        <f t="shared" si="8"/>
        <v>21</v>
      </c>
      <c r="P11" s="335">
        <f t="shared" si="8"/>
        <v>21</v>
      </c>
      <c r="Q11" s="335">
        <f t="shared" si="8"/>
        <v>21</v>
      </c>
      <c r="R11" s="335">
        <f t="shared" si="8"/>
        <v>21</v>
      </c>
      <c r="S11" s="335">
        <f t="shared" si="8"/>
        <v>21</v>
      </c>
      <c r="T11" s="335">
        <f t="shared" si="8"/>
        <v>21</v>
      </c>
      <c r="U11" s="335">
        <f t="shared" si="8"/>
        <v>21</v>
      </c>
      <c r="V11" s="335">
        <f t="shared" si="8"/>
        <v>21</v>
      </c>
      <c r="W11" s="335">
        <f t="shared" si="8"/>
        <v>21</v>
      </c>
      <c r="X11" s="335">
        <f t="shared" si="8"/>
        <v>21</v>
      </c>
      <c r="Y11" s="335">
        <f t="shared" si="8"/>
        <v>20</v>
      </c>
      <c r="Z11" s="335">
        <f t="shared" si="8"/>
        <v>21</v>
      </c>
      <c r="AA11" s="335">
        <f t="shared" si="8"/>
        <v>21</v>
      </c>
      <c r="AB11" s="335">
        <f t="shared" si="8"/>
        <v>21</v>
      </c>
      <c r="AC11" s="335">
        <f t="shared" si="8"/>
        <v>21</v>
      </c>
      <c r="AD11" s="522"/>
      <c r="AE11" s="201"/>
      <c r="AG11" s="331"/>
      <c r="AH11" s="331"/>
      <c r="AI11" s="331"/>
      <c r="AJ11" s="331"/>
      <c r="AK11" s="331"/>
      <c r="AL11" s="331"/>
      <c r="AM11" s="332"/>
      <c r="AN11" s="332"/>
      <c r="AO11" s="332"/>
    </row>
    <row r="12" spans="2:41" s="381" customFormat="1" ht="15" customHeight="1">
      <c r="B12" s="520" t="s">
        <v>2061</v>
      </c>
      <c r="C12" s="520" t="s">
        <v>2063</v>
      </c>
      <c r="D12" s="197" t="s">
        <v>2057</v>
      </c>
      <c r="E12" s="335">
        <f t="shared" ref="E12:AC12" si="9">COUNTIFS($C$61:$C$425,$B$12,$D$61:$D$425,$C$12,AE$61:AE$425,"&gt;0",AE$61:AE$425,"&lt;=5")</f>
        <v>0</v>
      </c>
      <c r="F12" s="335">
        <f t="shared" si="9"/>
        <v>0</v>
      </c>
      <c r="G12" s="335">
        <f t="shared" si="9"/>
        <v>0</v>
      </c>
      <c r="H12" s="335">
        <f t="shared" si="9"/>
        <v>0</v>
      </c>
      <c r="I12" s="335">
        <f t="shared" si="9"/>
        <v>0</v>
      </c>
      <c r="J12" s="335">
        <f t="shared" si="9"/>
        <v>0</v>
      </c>
      <c r="K12" s="335">
        <f t="shared" si="9"/>
        <v>0</v>
      </c>
      <c r="L12" s="335">
        <f t="shared" si="9"/>
        <v>0</v>
      </c>
      <c r="M12" s="335">
        <f t="shared" si="9"/>
        <v>0</v>
      </c>
      <c r="N12" s="335">
        <f t="shared" si="9"/>
        <v>0</v>
      </c>
      <c r="O12" s="335">
        <f t="shared" si="9"/>
        <v>0</v>
      </c>
      <c r="P12" s="335">
        <f t="shared" si="9"/>
        <v>0</v>
      </c>
      <c r="Q12" s="335">
        <f t="shared" si="9"/>
        <v>0</v>
      </c>
      <c r="R12" s="335">
        <f t="shared" si="9"/>
        <v>0</v>
      </c>
      <c r="S12" s="335">
        <f t="shared" si="9"/>
        <v>0</v>
      </c>
      <c r="T12" s="335">
        <f t="shared" si="9"/>
        <v>0</v>
      </c>
      <c r="U12" s="335">
        <f t="shared" si="9"/>
        <v>0</v>
      </c>
      <c r="V12" s="335">
        <f t="shared" si="9"/>
        <v>0</v>
      </c>
      <c r="W12" s="335">
        <f t="shared" si="9"/>
        <v>1</v>
      </c>
      <c r="X12" s="335">
        <f t="shared" si="9"/>
        <v>0</v>
      </c>
      <c r="Y12" s="335">
        <f t="shared" si="9"/>
        <v>0</v>
      </c>
      <c r="Z12" s="335">
        <f t="shared" si="9"/>
        <v>0</v>
      </c>
      <c r="AA12" s="335">
        <f t="shared" si="9"/>
        <v>1</v>
      </c>
      <c r="AB12" s="335">
        <f t="shared" si="9"/>
        <v>0</v>
      </c>
      <c r="AC12" s="335">
        <f t="shared" si="9"/>
        <v>1</v>
      </c>
      <c r="AD12" s="522" t="s">
        <v>2065</v>
      </c>
      <c r="AE12" s="201"/>
      <c r="AG12" s="331"/>
      <c r="AH12" s="331"/>
      <c r="AI12" s="331"/>
      <c r="AJ12" s="331"/>
      <c r="AK12" s="331"/>
      <c r="AL12" s="331"/>
      <c r="AM12" s="332"/>
      <c r="AN12" s="332"/>
      <c r="AO12" s="332"/>
    </row>
    <row r="13" spans="2:41" s="381" customFormat="1" ht="15" customHeight="1">
      <c r="B13" s="520"/>
      <c r="C13" s="520"/>
      <c r="D13" s="197" t="s">
        <v>2059</v>
      </c>
      <c r="E13" s="335">
        <f t="shared" ref="E13:AC13" si="10">COUNTIFS($C$61:$C$425,$B$12,$D$61:$D$425,$C$12,AE$61:AE$425,"&gt;0",AE$61:AE$425,"&lt;=10")</f>
        <v>0</v>
      </c>
      <c r="F13" s="335">
        <f t="shared" si="10"/>
        <v>0</v>
      </c>
      <c r="G13" s="335">
        <f t="shared" si="10"/>
        <v>0</v>
      </c>
      <c r="H13" s="335">
        <f t="shared" si="10"/>
        <v>1</v>
      </c>
      <c r="I13" s="335">
        <f t="shared" si="10"/>
        <v>1</v>
      </c>
      <c r="J13" s="335">
        <f t="shared" si="10"/>
        <v>1</v>
      </c>
      <c r="K13" s="335">
        <f t="shared" si="10"/>
        <v>0</v>
      </c>
      <c r="L13" s="335">
        <f t="shared" si="10"/>
        <v>1</v>
      </c>
      <c r="M13" s="335">
        <f t="shared" si="10"/>
        <v>1</v>
      </c>
      <c r="N13" s="335">
        <f t="shared" si="10"/>
        <v>1</v>
      </c>
      <c r="O13" s="335">
        <f t="shared" si="10"/>
        <v>1</v>
      </c>
      <c r="P13" s="335">
        <f t="shared" si="10"/>
        <v>1</v>
      </c>
      <c r="Q13" s="335">
        <f t="shared" si="10"/>
        <v>0</v>
      </c>
      <c r="R13" s="335">
        <f t="shared" si="10"/>
        <v>0</v>
      </c>
      <c r="S13" s="335">
        <f t="shared" si="10"/>
        <v>0</v>
      </c>
      <c r="T13" s="335">
        <f t="shared" si="10"/>
        <v>0</v>
      </c>
      <c r="U13" s="335">
        <f t="shared" si="10"/>
        <v>0</v>
      </c>
      <c r="V13" s="335">
        <f t="shared" si="10"/>
        <v>0</v>
      </c>
      <c r="W13" s="335">
        <f t="shared" si="10"/>
        <v>1</v>
      </c>
      <c r="X13" s="335">
        <f t="shared" si="10"/>
        <v>0</v>
      </c>
      <c r="Y13" s="335">
        <f t="shared" si="10"/>
        <v>1</v>
      </c>
      <c r="Z13" s="335">
        <f t="shared" si="10"/>
        <v>1</v>
      </c>
      <c r="AA13" s="335">
        <f t="shared" si="10"/>
        <v>1</v>
      </c>
      <c r="AB13" s="335">
        <f t="shared" si="10"/>
        <v>0</v>
      </c>
      <c r="AC13" s="335">
        <f t="shared" si="10"/>
        <v>1</v>
      </c>
      <c r="AD13" s="522"/>
      <c r="AE13" s="201"/>
      <c r="AG13" s="331"/>
      <c r="AH13" s="331"/>
      <c r="AI13" s="331"/>
      <c r="AJ13" s="331"/>
      <c r="AK13" s="331"/>
      <c r="AL13" s="331"/>
      <c r="AM13" s="332"/>
      <c r="AN13" s="332"/>
      <c r="AO13" s="332"/>
    </row>
    <row r="14" spans="2:41" s="381" customFormat="1" ht="15" customHeight="1">
      <c r="B14" s="520"/>
      <c r="C14" s="520"/>
      <c r="D14" s="197" t="s">
        <v>2060</v>
      </c>
      <c r="E14" s="335">
        <f t="shared" ref="E14:AC14" si="11">COUNTIFS($C$61:$C$425,$B$12,$D$61:$D$425,$C$12,AE$61:AE$425,"&gt;0",AE$61:AE$425,"&lt;=50")</f>
        <v>0</v>
      </c>
      <c r="F14" s="335">
        <f t="shared" si="11"/>
        <v>1</v>
      </c>
      <c r="G14" s="335">
        <f t="shared" si="11"/>
        <v>0</v>
      </c>
      <c r="H14" s="335">
        <f t="shared" si="11"/>
        <v>1</v>
      </c>
      <c r="I14" s="335">
        <f t="shared" si="11"/>
        <v>1</v>
      </c>
      <c r="J14" s="335">
        <f t="shared" si="11"/>
        <v>1</v>
      </c>
      <c r="K14" s="335">
        <f t="shared" si="11"/>
        <v>0</v>
      </c>
      <c r="L14" s="335">
        <f t="shared" si="11"/>
        <v>1</v>
      </c>
      <c r="M14" s="335">
        <f t="shared" si="11"/>
        <v>1</v>
      </c>
      <c r="N14" s="335">
        <f t="shared" si="11"/>
        <v>1</v>
      </c>
      <c r="O14" s="335">
        <f t="shared" si="11"/>
        <v>1</v>
      </c>
      <c r="P14" s="335">
        <f t="shared" si="11"/>
        <v>1</v>
      </c>
      <c r="Q14" s="335">
        <f t="shared" si="11"/>
        <v>1</v>
      </c>
      <c r="R14" s="335">
        <f t="shared" si="11"/>
        <v>0</v>
      </c>
      <c r="S14" s="335">
        <f t="shared" si="11"/>
        <v>1</v>
      </c>
      <c r="T14" s="335">
        <f t="shared" si="11"/>
        <v>0</v>
      </c>
      <c r="U14" s="335">
        <f t="shared" si="11"/>
        <v>0</v>
      </c>
      <c r="V14" s="335">
        <f t="shared" si="11"/>
        <v>1</v>
      </c>
      <c r="W14" s="335">
        <f t="shared" si="11"/>
        <v>1</v>
      </c>
      <c r="X14" s="335">
        <f t="shared" si="11"/>
        <v>1</v>
      </c>
      <c r="Y14" s="335">
        <f t="shared" si="11"/>
        <v>1</v>
      </c>
      <c r="Z14" s="335">
        <f t="shared" si="11"/>
        <v>1</v>
      </c>
      <c r="AA14" s="335">
        <f t="shared" si="11"/>
        <v>1</v>
      </c>
      <c r="AB14" s="335">
        <f t="shared" si="11"/>
        <v>0</v>
      </c>
      <c r="AC14" s="335">
        <f t="shared" si="11"/>
        <v>1</v>
      </c>
      <c r="AD14" s="522"/>
      <c r="AE14" s="201"/>
      <c r="AG14" s="331"/>
      <c r="AH14" s="331"/>
      <c r="AI14" s="331"/>
      <c r="AJ14" s="331"/>
      <c r="AK14" s="331"/>
      <c r="AL14" s="331"/>
      <c r="AM14" s="332"/>
      <c r="AN14" s="332"/>
      <c r="AO14" s="332"/>
    </row>
    <row r="15" spans="2:41" s="381" customFormat="1" ht="15" customHeight="1">
      <c r="B15" s="520" t="s">
        <v>2055</v>
      </c>
      <c r="C15" s="520" t="s">
        <v>2066</v>
      </c>
      <c r="D15" s="197" t="s">
        <v>2057</v>
      </c>
      <c r="E15" s="335">
        <f t="shared" ref="E15:AC15" si="12">COUNTIFS($C$61:$C$425,$B$15,AE$61:AE$425,"&gt;0",AE$61:AE$425,"&lt;=5")</f>
        <v>198</v>
      </c>
      <c r="F15" s="335">
        <f t="shared" si="12"/>
        <v>200</v>
      </c>
      <c r="G15" s="335">
        <f t="shared" si="12"/>
        <v>200</v>
      </c>
      <c r="H15" s="335">
        <f t="shared" si="12"/>
        <v>201</v>
      </c>
      <c r="I15" s="335">
        <f t="shared" si="12"/>
        <v>192</v>
      </c>
      <c r="J15" s="335">
        <f t="shared" si="12"/>
        <v>185</v>
      </c>
      <c r="K15" s="335">
        <f t="shared" si="12"/>
        <v>204</v>
      </c>
      <c r="L15" s="335">
        <f t="shared" si="12"/>
        <v>204</v>
      </c>
      <c r="M15" s="335">
        <f t="shared" si="12"/>
        <v>199</v>
      </c>
      <c r="N15" s="335">
        <f t="shared" si="12"/>
        <v>201</v>
      </c>
      <c r="O15" s="335">
        <f t="shared" si="12"/>
        <v>193</v>
      </c>
      <c r="P15" s="335">
        <f t="shared" si="12"/>
        <v>207</v>
      </c>
      <c r="Q15" s="335">
        <f t="shared" si="12"/>
        <v>206</v>
      </c>
      <c r="R15" s="335">
        <f t="shared" si="12"/>
        <v>215</v>
      </c>
      <c r="S15" s="335">
        <f t="shared" si="12"/>
        <v>219</v>
      </c>
      <c r="T15" s="335">
        <f t="shared" si="12"/>
        <v>198</v>
      </c>
      <c r="U15" s="335">
        <f t="shared" si="12"/>
        <v>210</v>
      </c>
      <c r="V15" s="335">
        <f t="shared" si="12"/>
        <v>206</v>
      </c>
      <c r="W15" s="335">
        <f t="shared" si="12"/>
        <v>193</v>
      </c>
      <c r="X15" s="335">
        <f t="shared" si="12"/>
        <v>205</v>
      </c>
      <c r="Y15" s="335">
        <f t="shared" si="12"/>
        <v>192</v>
      </c>
      <c r="Z15" s="335">
        <f t="shared" si="12"/>
        <v>196</v>
      </c>
      <c r="AA15" s="335">
        <f t="shared" si="12"/>
        <v>185</v>
      </c>
      <c r="AB15" s="335">
        <f t="shared" si="12"/>
        <v>197</v>
      </c>
      <c r="AC15" s="335">
        <f t="shared" si="12"/>
        <v>211</v>
      </c>
      <c r="AD15" s="522" t="s">
        <v>2067</v>
      </c>
      <c r="AE15" s="201"/>
      <c r="AG15" s="331"/>
      <c r="AH15" s="331"/>
      <c r="AI15" s="331"/>
      <c r="AJ15" s="331"/>
      <c r="AK15" s="331"/>
      <c r="AL15" s="331"/>
      <c r="AM15" s="332"/>
      <c r="AN15" s="332"/>
      <c r="AO15" s="332"/>
    </row>
    <row r="16" spans="2:41" s="381" customFormat="1" ht="15" customHeight="1">
      <c r="B16" s="520"/>
      <c r="C16" s="520"/>
      <c r="D16" s="197" t="s">
        <v>2059</v>
      </c>
      <c r="E16" s="335">
        <f t="shared" ref="E16:AC16" si="13">COUNTIFS($C$61:$C$425,$B$15,AE$61:AE$425,"&gt;0",AE$61:AE$425,"&lt;=10")</f>
        <v>263</v>
      </c>
      <c r="F16" s="335">
        <f t="shared" si="13"/>
        <v>261</v>
      </c>
      <c r="G16" s="335">
        <f t="shared" si="13"/>
        <v>267</v>
      </c>
      <c r="H16" s="335">
        <f t="shared" si="13"/>
        <v>265</v>
      </c>
      <c r="I16" s="335">
        <f t="shared" si="13"/>
        <v>267</v>
      </c>
      <c r="J16" s="335">
        <f t="shared" si="13"/>
        <v>263</v>
      </c>
      <c r="K16" s="335">
        <f t="shared" si="13"/>
        <v>263</v>
      </c>
      <c r="L16" s="335">
        <f t="shared" si="13"/>
        <v>265</v>
      </c>
      <c r="M16" s="335">
        <f t="shared" si="13"/>
        <v>262</v>
      </c>
      <c r="N16" s="335">
        <f t="shared" si="13"/>
        <v>267</v>
      </c>
      <c r="O16" s="335">
        <f t="shared" si="13"/>
        <v>265</v>
      </c>
      <c r="P16" s="335">
        <f t="shared" si="13"/>
        <v>273</v>
      </c>
      <c r="Q16" s="335">
        <f t="shared" si="13"/>
        <v>274</v>
      </c>
      <c r="R16" s="335">
        <f t="shared" si="13"/>
        <v>268</v>
      </c>
      <c r="S16" s="335">
        <f t="shared" si="13"/>
        <v>268</v>
      </c>
      <c r="T16" s="335">
        <f t="shared" si="13"/>
        <v>264</v>
      </c>
      <c r="U16" s="335">
        <f t="shared" si="13"/>
        <v>269</v>
      </c>
      <c r="V16" s="335">
        <f t="shared" si="13"/>
        <v>270</v>
      </c>
      <c r="W16" s="335">
        <f t="shared" si="13"/>
        <v>269</v>
      </c>
      <c r="X16" s="335">
        <f t="shared" si="13"/>
        <v>269</v>
      </c>
      <c r="Y16" s="335">
        <f t="shared" si="13"/>
        <v>277</v>
      </c>
      <c r="Z16" s="335">
        <f t="shared" si="13"/>
        <v>269</v>
      </c>
      <c r="AA16" s="335">
        <f t="shared" si="13"/>
        <v>276</v>
      </c>
      <c r="AB16" s="335">
        <f t="shared" si="13"/>
        <v>278</v>
      </c>
      <c r="AC16" s="335">
        <f t="shared" si="13"/>
        <v>280</v>
      </c>
      <c r="AD16" s="522"/>
      <c r="AE16" s="201"/>
      <c r="AG16" s="331"/>
      <c r="AH16" s="331"/>
      <c r="AI16" s="331"/>
      <c r="AJ16" s="331"/>
      <c r="AK16" s="331"/>
      <c r="AL16" s="331"/>
      <c r="AM16" s="332"/>
      <c r="AN16" s="332"/>
      <c r="AO16" s="332"/>
    </row>
    <row r="17" spans="2:41" s="381" customFormat="1" ht="15" customHeight="1">
      <c r="B17" s="520"/>
      <c r="C17" s="520"/>
      <c r="D17" s="197" t="s">
        <v>2060</v>
      </c>
      <c r="E17" s="335">
        <f t="shared" ref="E17:AC17" si="14">COUNTIFS($C$61:$C$425,$B$15,AE$61:AE$425,"&gt;0",AE$61:AE$425,"&lt;=50")</f>
        <v>284</v>
      </c>
      <c r="F17" s="335">
        <f t="shared" si="14"/>
        <v>283</v>
      </c>
      <c r="G17" s="335">
        <f t="shared" si="14"/>
        <v>283</v>
      </c>
      <c r="H17" s="335">
        <f t="shared" si="14"/>
        <v>283</v>
      </c>
      <c r="I17" s="335">
        <f t="shared" si="14"/>
        <v>282</v>
      </c>
      <c r="J17" s="335">
        <f t="shared" si="14"/>
        <v>281</v>
      </c>
      <c r="K17" s="335">
        <f t="shared" si="14"/>
        <v>283</v>
      </c>
      <c r="L17" s="335">
        <f t="shared" si="14"/>
        <v>283</v>
      </c>
      <c r="M17" s="335">
        <f t="shared" si="14"/>
        <v>284</v>
      </c>
      <c r="N17" s="335">
        <f t="shared" si="14"/>
        <v>284</v>
      </c>
      <c r="O17" s="335">
        <f t="shared" si="14"/>
        <v>284</v>
      </c>
      <c r="P17" s="335">
        <f t="shared" si="14"/>
        <v>282</v>
      </c>
      <c r="Q17" s="335">
        <f t="shared" si="14"/>
        <v>283</v>
      </c>
      <c r="R17" s="335">
        <f t="shared" si="14"/>
        <v>282</v>
      </c>
      <c r="S17" s="335">
        <f t="shared" si="14"/>
        <v>283</v>
      </c>
      <c r="T17" s="335">
        <f t="shared" si="14"/>
        <v>282</v>
      </c>
      <c r="U17" s="335">
        <f t="shared" si="14"/>
        <v>283</v>
      </c>
      <c r="V17" s="335">
        <f t="shared" si="14"/>
        <v>284</v>
      </c>
      <c r="W17" s="335">
        <f t="shared" si="14"/>
        <v>285</v>
      </c>
      <c r="X17" s="335">
        <f t="shared" si="14"/>
        <v>280</v>
      </c>
      <c r="Y17" s="335">
        <f t="shared" si="14"/>
        <v>282</v>
      </c>
      <c r="Z17" s="335">
        <f t="shared" si="14"/>
        <v>283</v>
      </c>
      <c r="AA17" s="335">
        <f t="shared" si="14"/>
        <v>282</v>
      </c>
      <c r="AB17" s="335">
        <f t="shared" si="14"/>
        <v>283</v>
      </c>
      <c r="AC17" s="335">
        <f t="shared" si="14"/>
        <v>284</v>
      </c>
      <c r="AD17" s="522"/>
      <c r="AE17" s="201"/>
      <c r="AG17" s="331"/>
      <c r="AH17" s="331"/>
      <c r="AI17" s="331"/>
      <c r="AJ17" s="331"/>
      <c r="AK17" s="331"/>
      <c r="AL17" s="331"/>
      <c r="AM17" s="332"/>
      <c r="AN17" s="332"/>
      <c r="AO17" s="332"/>
    </row>
    <row r="18" spans="2:41" s="381" customFormat="1" ht="17.649999999999999" customHeight="1">
      <c r="B18" s="520" t="s">
        <v>2061</v>
      </c>
      <c r="C18" s="520" t="s">
        <v>2066</v>
      </c>
      <c r="D18" s="197" t="s">
        <v>2057</v>
      </c>
      <c r="E18" s="335">
        <f t="shared" ref="E18:AC18" si="15">COUNTIFS($C$61:$C$425,$B$18,AE$61:AE$425,"&gt;0",AE$61:AE$425,"&lt;=5")</f>
        <v>13</v>
      </c>
      <c r="F18" s="335">
        <f t="shared" si="15"/>
        <v>13</v>
      </c>
      <c r="G18" s="335">
        <f t="shared" si="15"/>
        <v>22</v>
      </c>
      <c r="H18" s="335">
        <f t="shared" si="15"/>
        <v>22</v>
      </c>
      <c r="I18" s="335">
        <f t="shared" si="15"/>
        <v>22</v>
      </c>
      <c r="J18" s="335">
        <f t="shared" si="15"/>
        <v>22</v>
      </c>
      <c r="K18" s="335">
        <f t="shared" si="15"/>
        <v>20</v>
      </c>
      <c r="L18" s="335">
        <f t="shared" si="15"/>
        <v>22</v>
      </c>
      <c r="M18" s="335">
        <f t="shared" si="15"/>
        <v>20</v>
      </c>
      <c r="N18" s="335">
        <f t="shared" si="15"/>
        <v>25</v>
      </c>
      <c r="O18" s="335">
        <f t="shared" si="15"/>
        <v>26</v>
      </c>
      <c r="P18" s="335">
        <f t="shared" si="15"/>
        <v>23</v>
      </c>
      <c r="Q18" s="335">
        <f t="shared" si="15"/>
        <v>29</v>
      </c>
      <c r="R18" s="335">
        <f t="shared" si="15"/>
        <v>26</v>
      </c>
      <c r="S18" s="335">
        <f t="shared" si="15"/>
        <v>22</v>
      </c>
      <c r="T18" s="335">
        <f t="shared" si="15"/>
        <v>27</v>
      </c>
      <c r="U18" s="335">
        <f t="shared" si="15"/>
        <v>27</v>
      </c>
      <c r="V18" s="335">
        <f t="shared" si="15"/>
        <v>26</v>
      </c>
      <c r="W18" s="335">
        <f t="shared" si="15"/>
        <v>25</v>
      </c>
      <c r="X18" s="335">
        <f t="shared" si="15"/>
        <v>27</v>
      </c>
      <c r="Y18" s="335">
        <f t="shared" si="15"/>
        <v>24</v>
      </c>
      <c r="Z18" s="335">
        <f t="shared" si="15"/>
        <v>25</v>
      </c>
      <c r="AA18" s="335">
        <f t="shared" si="15"/>
        <v>26</v>
      </c>
      <c r="AB18" s="335">
        <f t="shared" si="15"/>
        <v>30</v>
      </c>
      <c r="AC18" s="335">
        <f t="shared" si="15"/>
        <v>30</v>
      </c>
      <c r="AD18" s="522" t="s">
        <v>2068</v>
      </c>
      <c r="AE18" s="201"/>
      <c r="AG18" s="331"/>
      <c r="AH18" s="331"/>
      <c r="AI18" s="331"/>
      <c r="AJ18" s="331"/>
      <c r="AK18" s="331"/>
      <c r="AL18" s="331"/>
      <c r="AM18" s="332"/>
      <c r="AN18" s="332"/>
      <c r="AO18" s="332"/>
    </row>
    <row r="19" spans="2:41" s="381" customFormat="1" ht="17.649999999999999" customHeight="1">
      <c r="B19" s="520"/>
      <c r="C19" s="520"/>
      <c r="D19" s="197" t="s">
        <v>2059</v>
      </c>
      <c r="E19" s="335">
        <f t="shared" ref="E19:AC19" si="16">COUNTIFS($C$61:$C$425,$B$18,AE$61:AE$425,"&gt;0",AE$61:AE$425,"&lt;=10")</f>
        <v>16</v>
      </c>
      <c r="F19" s="335">
        <f t="shared" si="16"/>
        <v>19</v>
      </c>
      <c r="G19" s="335">
        <f t="shared" si="16"/>
        <v>29</v>
      </c>
      <c r="H19" s="335">
        <f t="shared" si="16"/>
        <v>33</v>
      </c>
      <c r="I19" s="335">
        <f t="shared" si="16"/>
        <v>34</v>
      </c>
      <c r="J19" s="335">
        <f t="shared" si="16"/>
        <v>34</v>
      </c>
      <c r="K19" s="335">
        <f t="shared" si="16"/>
        <v>25</v>
      </c>
      <c r="L19" s="335">
        <f t="shared" si="16"/>
        <v>32</v>
      </c>
      <c r="M19" s="335">
        <f t="shared" si="16"/>
        <v>34</v>
      </c>
      <c r="N19" s="335">
        <f t="shared" si="16"/>
        <v>34</v>
      </c>
      <c r="O19" s="335">
        <f t="shared" si="16"/>
        <v>36</v>
      </c>
      <c r="P19" s="335">
        <f t="shared" si="16"/>
        <v>31</v>
      </c>
      <c r="Q19" s="335">
        <f t="shared" si="16"/>
        <v>39</v>
      </c>
      <c r="R19" s="335">
        <f t="shared" si="16"/>
        <v>33</v>
      </c>
      <c r="S19" s="335">
        <f t="shared" si="16"/>
        <v>36</v>
      </c>
      <c r="T19" s="335">
        <f t="shared" si="16"/>
        <v>32</v>
      </c>
      <c r="U19" s="335">
        <f t="shared" si="16"/>
        <v>40</v>
      </c>
      <c r="V19" s="335">
        <f t="shared" si="16"/>
        <v>35</v>
      </c>
      <c r="W19" s="335">
        <f t="shared" si="16"/>
        <v>37</v>
      </c>
      <c r="X19" s="335">
        <f t="shared" si="16"/>
        <v>34</v>
      </c>
      <c r="Y19" s="335">
        <f t="shared" si="16"/>
        <v>35</v>
      </c>
      <c r="Z19" s="335">
        <f t="shared" si="16"/>
        <v>34</v>
      </c>
      <c r="AA19" s="335">
        <f t="shared" si="16"/>
        <v>39</v>
      </c>
      <c r="AB19" s="335">
        <f t="shared" si="16"/>
        <v>52</v>
      </c>
      <c r="AC19" s="335">
        <f t="shared" si="16"/>
        <v>53</v>
      </c>
      <c r="AD19" s="522"/>
      <c r="AE19" s="201"/>
      <c r="AG19" s="331"/>
      <c r="AH19" s="331"/>
      <c r="AI19" s="331"/>
      <c r="AJ19" s="331"/>
      <c r="AK19" s="331"/>
      <c r="AL19" s="331"/>
      <c r="AM19" s="332"/>
      <c r="AN19" s="332"/>
      <c r="AO19" s="332"/>
    </row>
    <row r="20" spans="2:41" s="381" customFormat="1" ht="17.649999999999999" customHeight="1">
      <c r="B20" s="520"/>
      <c r="C20" s="520"/>
      <c r="D20" s="197" t="s">
        <v>2060</v>
      </c>
      <c r="E20" s="335">
        <f t="shared" ref="E20:AC20" si="17">COUNTIFS($C$61:$C$425,$B$18,AE$61:AE$425,"&gt;0",AE$61:AE$425,"&lt;=50")</f>
        <v>37</v>
      </c>
      <c r="F20" s="335">
        <f t="shared" si="17"/>
        <v>31</v>
      </c>
      <c r="G20" s="335">
        <f t="shared" si="17"/>
        <v>34</v>
      </c>
      <c r="H20" s="335">
        <f t="shared" si="17"/>
        <v>41</v>
      </c>
      <c r="I20" s="335">
        <f t="shared" si="17"/>
        <v>39</v>
      </c>
      <c r="J20" s="335">
        <f t="shared" si="17"/>
        <v>43</v>
      </c>
      <c r="K20" s="335">
        <f t="shared" si="17"/>
        <v>36</v>
      </c>
      <c r="L20" s="335">
        <f t="shared" si="17"/>
        <v>41</v>
      </c>
      <c r="M20" s="335">
        <f t="shared" si="17"/>
        <v>42</v>
      </c>
      <c r="N20" s="335">
        <f t="shared" si="17"/>
        <v>44</v>
      </c>
      <c r="O20" s="335">
        <f t="shared" si="17"/>
        <v>48</v>
      </c>
      <c r="P20" s="335">
        <f t="shared" si="17"/>
        <v>47</v>
      </c>
      <c r="Q20" s="335">
        <f t="shared" si="17"/>
        <v>52</v>
      </c>
      <c r="R20" s="335">
        <f t="shared" si="17"/>
        <v>48</v>
      </c>
      <c r="S20" s="335">
        <f t="shared" si="17"/>
        <v>50</v>
      </c>
      <c r="T20" s="335">
        <f t="shared" si="17"/>
        <v>51</v>
      </c>
      <c r="U20" s="335">
        <f t="shared" si="17"/>
        <v>48</v>
      </c>
      <c r="V20" s="335">
        <f t="shared" si="17"/>
        <v>52</v>
      </c>
      <c r="W20" s="335">
        <f t="shared" si="17"/>
        <v>47</v>
      </c>
      <c r="X20" s="335">
        <f t="shared" si="17"/>
        <v>47</v>
      </c>
      <c r="Y20" s="335">
        <f t="shared" si="17"/>
        <v>48</v>
      </c>
      <c r="Z20" s="335">
        <f t="shared" si="17"/>
        <v>50</v>
      </c>
      <c r="AA20" s="335">
        <f t="shared" si="17"/>
        <v>48</v>
      </c>
      <c r="AB20" s="335">
        <f t="shared" si="17"/>
        <v>61</v>
      </c>
      <c r="AC20" s="335">
        <f t="shared" si="17"/>
        <v>60</v>
      </c>
      <c r="AD20" s="522"/>
      <c r="AE20" s="201"/>
      <c r="AG20" s="331"/>
      <c r="AH20" s="331"/>
      <c r="AI20" s="331"/>
      <c r="AJ20" s="331"/>
      <c r="AK20" s="331"/>
      <c r="AL20" s="331"/>
      <c r="AM20" s="332"/>
      <c r="AN20" s="332"/>
      <c r="AO20" s="332"/>
    </row>
    <row r="21" spans="2:41" s="381" customFormat="1" ht="17.649999999999999" customHeight="1">
      <c r="B21" s="508" t="s">
        <v>2069</v>
      </c>
      <c r="C21" s="508"/>
      <c r="D21" s="337" t="s">
        <v>2059</v>
      </c>
      <c r="E21" s="338">
        <f t="shared" ref="E21:AC21" si="18">E16/200</f>
        <v>1.3149999999999999</v>
      </c>
      <c r="F21" s="338">
        <f t="shared" si="18"/>
        <v>1.3049999999999999</v>
      </c>
      <c r="G21" s="338">
        <f t="shared" si="18"/>
        <v>1.335</v>
      </c>
      <c r="H21" s="338">
        <f t="shared" si="18"/>
        <v>1.325</v>
      </c>
      <c r="I21" s="338">
        <f t="shared" si="18"/>
        <v>1.335</v>
      </c>
      <c r="J21" s="338">
        <f t="shared" si="18"/>
        <v>1.3149999999999999</v>
      </c>
      <c r="K21" s="338">
        <f t="shared" si="18"/>
        <v>1.3149999999999999</v>
      </c>
      <c r="L21" s="338">
        <f t="shared" si="18"/>
        <v>1.325</v>
      </c>
      <c r="M21" s="338">
        <f t="shared" si="18"/>
        <v>1.31</v>
      </c>
      <c r="N21" s="338">
        <f t="shared" si="18"/>
        <v>1.335</v>
      </c>
      <c r="O21" s="338">
        <f t="shared" si="18"/>
        <v>1.325</v>
      </c>
      <c r="P21" s="338">
        <f t="shared" si="18"/>
        <v>1.365</v>
      </c>
      <c r="Q21" s="338">
        <f t="shared" si="18"/>
        <v>1.37</v>
      </c>
      <c r="R21" s="338">
        <f t="shared" si="18"/>
        <v>1.34</v>
      </c>
      <c r="S21" s="338">
        <f t="shared" si="18"/>
        <v>1.34</v>
      </c>
      <c r="T21" s="338">
        <f t="shared" si="18"/>
        <v>1.32</v>
      </c>
      <c r="U21" s="338">
        <f t="shared" si="18"/>
        <v>1.345</v>
      </c>
      <c r="V21" s="338">
        <f t="shared" si="18"/>
        <v>1.35</v>
      </c>
      <c r="W21" s="338">
        <f t="shared" si="18"/>
        <v>1.345</v>
      </c>
      <c r="X21" s="338">
        <f t="shared" si="18"/>
        <v>1.345</v>
      </c>
      <c r="Y21" s="338">
        <f t="shared" si="18"/>
        <v>1.385</v>
      </c>
      <c r="Z21" s="338">
        <f t="shared" si="18"/>
        <v>1.345</v>
      </c>
      <c r="AA21" s="338">
        <f t="shared" si="18"/>
        <v>1.38</v>
      </c>
      <c r="AB21" s="338">
        <f t="shared" si="18"/>
        <v>1.39</v>
      </c>
      <c r="AC21" s="338">
        <f t="shared" si="18"/>
        <v>1.4</v>
      </c>
      <c r="AD21" s="339" t="s">
        <v>2070</v>
      </c>
      <c r="AE21" s="207">
        <v>0.95499999999999996</v>
      </c>
      <c r="AG21" s="331"/>
      <c r="AH21" s="331"/>
      <c r="AI21" s="331"/>
      <c r="AJ21" s="331"/>
      <c r="AK21" s="331"/>
      <c r="AL21" s="331"/>
      <c r="AM21" s="332"/>
      <c r="AN21" s="332"/>
      <c r="AO21" s="332"/>
    </row>
    <row r="22" spans="2:41" s="381" customFormat="1" ht="17.649999999999999" customHeight="1">
      <c r="B22" s="508" t="s">
        <v>2071</v>
      </c>
      <c r="C22" s="508"/>
      <c r="D22" s="337" t="s">
        <v>2059</v>
      </c>
      <c r="E22" s="338">
        <f t="shared" ref="E22:AC22" si="19">E19/80</f>
        <v>0.2</v>
      </c>
      <c r="F22" s="338">
        <f t="shared" si="19"/>
        <v>0.23749999999999999</v>
      </c>
      <c r="G22" s="338">
        <f t="shared" si="19"/>
        <v>0.36249999999999999</v>
      </c>
      <c r="H22" s="338">
        <f t="shared" si="19"/>
        <v>0.41249999999999998</v>
      </c>
      <c r="I22" s="338">
        <f t="shared" si="19"/>
        <v>0.42499999999999999</v>
      </c>
      <c r="J22" s="338">
        <f t="shared" si="19"/>
        <v>0.42499999999999999</v>
      </c>
      <c r="K22" s="338">
        <f t="shared" si="19"/>
        <v>0.3125</v>
      </c>
      <c r="L22" s="338">
        <f t="shared" si="19"/>
        <v>0.4</v>
      </c>
      <c r="M22" s="338">
        <f t="shared" si="19"/>
        <v>0.42499999999999999</v>
      </c>
      <c r="N22" s="338">
        <f t="shared" si="19"/>
        <v>0.42499999999999999</v>
      </c>
      <c r="O22" s="338">
        <f t="shared" si="19"/>
        <v>0.45</v>
      </c>
      <c r="P22" s="338">
        <f t="shared" si="19"/>
        <v>0.38750000000000001</v>
      </c>
      <c r="Q22" s="338">
        <f t="shared" si="19"/>
        <v>0.48749999999999999</v>
      </c>
      <c r="R22" s="338">
        <f t="shared" si="19"/>
        <v>0.41249999999999998</v>
      </c>
      <c r="S22" s="338">
        <f t="shared" si="19"/>
        <v>0.45</v>
      </c>
      <c r="T22" s="338">
        <f t="shared" si="19"/>
        <v>0.4</v>
      </c>
      <c r="U22" s="338">
        <f t="shared" si="19"/>
        <v>0.5</v>
      </c>
      <c r="V22" s="338">
        <f t="shared" si="19"/>
        <v>0.4375</v>
      </c>
      <c r="W22" s="338">
        <f t="shared" si="19"/>
        <v>0.46250000000000002</v>
      </c>
      <c r="X22" s="338">
        <f t="shared" si="19"/>
        <v>0.42499999999999999</v>
      </c>
      <c r="Y22" s="338">
        <f t="shared" si="19"/>
        <v>0.4375</v>
      </c>
      <c r="Z22" s="338">
        <f t="shared" si="19"/>
        <v>0.42499999999999999</v>
      </c>
      <c r="AA22" s="338">
        <f t="shared" si="19"/>
        <v>0.48749999999999999</v>
      </c>
      <c r="AB22" s="338">
        <f t="shared" si="19"/>
        <v>0.65</v>
      </c>
      <c r="AC22" s="338">
        <f t="shared" si="19"/>
        <v>0.66249999999999998</v>
      </c>
      <c r="AD22" s="197" t="s">
        <v>2068</v>
      </c>
      <c r="AE22" s="207">
        <v>0.4</v>
      </c>
      <c r="AG22" s="331"/>
      <c r="AH22" s="331"/>
      <c r="AI22" s="331"/>
      <c r="AJ22" s="331"/>
      <c r="AK22" s="331"/>
      <c r="AL22" s="331"/>
      <c r="AM22" s="332"/>
      <c r="AN22" s="332"/>
      <c r="AO22" s="332"/>
    </row>
    <row r="23" spans="2:41" s="381" customFormat="1" ht="17.649999999999999" customHeight="1">
      <c r="B23" s="508" t="s">
        <v>2066</v>
      </c>
      <c r="C23" s="508"/>
      <c r="D23" s="337" t="s">
        <v>2059</v>
      </c>
      <c r="E23" s="336">
        <f t="shared" ref="E23:AC23" si="20">E19+E16</f>
        <v>279</v>
      </c>
      <c r="F23" s="336">
        <f t="shared" si="20"/>
        <v>280</v>
      </c>
      <c r="G23" s="336">
        <f t="shared" si="20"/>
        <v>296</v>
      </c>
      <c r="H23" s="336">
        <f t="shared" si="20"/>
        <v>298</v>
      </c>
      <c r="I23" s="336">
        <f t="shared" si="20"/>
        <v>301</v>
      </c>
      <c r="J23" s="336">
        <f t="shared" si="20"/>
        <v>297</v>
      </c>
      <c r="K23" s="336">
        <f t="shared" si="20"/>
        <v>288</v>
      </c>
      <c r="L23" s="336">
        <f t="shared" si="20"/>
        <v>297</v>
      </c>
      <c r="M23" s="336">
        <f t="shared" si="20"/>
        <v>296</v>
      </c>
      <c r="N23" s="336">
        <f t="shared" si="20"/>
        <v>301</v>
      </c>
      <c r="O23" s="336">
        <f t="shared" si="20"/>
        <v>301</v>
      </c>
      <c r="P23" s="336">
        <f t="shared" si="20"/>
        <v>304</v>
      </c>
      <c r="Q23" s="336">
        <f t="shared" si="20"/>
        <v>313</v>
      </c>
      <c r="R23" s="336">
        <f t="shared" si="20"/>
        <v>301</v>
      </c>
      <c r="S23" s="336">
        <f t="shared" si="20"/>
        <v>304</v>
      </c>
      <c r="T23" s="336">
        <f t="shared" si="20"/>
        <v>296</v>
      </c>
      <c r="U23" s="336">
        <f t="shared" si="20"/>
        <v>309</v>
      </c>
      <c r="V23" s="336">
        <f t="shared" si="20"/>
        <v>305</v>
      </c>
      <c r="W23" s="336">
        <f t="shared" si="20"/>
        <v>306</v>
      </c>
      <c r="X23" s="336">
        <f t="shared" si="20"/>
        <v>303</v>
      </c>
      <c r="Y23" s="336">
        <f t="shared" si="20"/>
        <v>312</v>
      </c>
      <c r="Z23" s="336">
        <f t="shared" si="20"/>
        <v>303</v>
      </c>
      <c r="AA23" s="336">
        <f t="shared" si="20"/>
        <v>315</v>
      </c>
      <c r="AB23" s="336">
        <f t="shared" si="20"/>
        <v>330</v>
      </c>
      <c r="AC23" s="336">
        <f t="shared" si="20"/>
        <v>333</v>
      </c>
      <c r="AD23" s="523" t="s">
        <v>2067</v>
      </c>
      <c r="AE23" s="201"/>
      <c r="AG23" s="331"/>
      <c r="AH23" s="331"/>
      <c r="AI23" s="331"/>
      <c r="AJ23" s="331"/>
      <c r="AK23" s="331"/>
      <c r="AL23" s="331"/>
      <c r="AM23" s="332"/>
      <c r="AN23" s="332"/>
      <c r="AO23" s="332"/>
    </row>
    <row r="24" spans="2:41" s="381" customFormat="1" ht="17.649999999999999" customHeight="1">
      <c r="B24" s="508" t="s">
        <v>2072</v>
      </c>
      <c r="C24" s="508"/>
      <c r="D24" s="508"/>
      <c r="E24" s="338">
        <f t="shared" ref="E24:AC24" si="21">E23/365</f>
        <v>0.76438356164383559</v>
      </c>
      <c r="F24" s="338">
        <f t="shared" si="21"/>
        <v>0.76712328767123283</v>
      </c>
      <c r="G24" s="338">
        <f t="shared" si="21"/>
        <v>0.81095890410958904</v>
      </c>
      <c r="H24" s="338">
        <f t="shared" si="21"/>
        <v>0.81643835616438354</v>
      </c>
      <c r="I24" s="338">
        <f t="shared" si="21"/>
        <v>0.8246575342465754</v>
      </c>
      <c r="J24" s="338">
        <f t="shared" si="21"/>
        <v>0.81369863013698629</v>
      </c>
      <c r="K24" s="338">
        <f t="shared" si="21"/>
        <v>0.78904109589041094</v>
      </c>
      <c r="L24" s="338">
        <f t="shared" si="21"/>
        <v>0.81369863013698629</v>
      </c>
      <c r="M24" s="338">
        <f t="shared" si="21"/>
        <v>0.81095890410958904</v>
      </c>
      <c r="N24" s="338">
        <f t="shared" si="21"/>
        <v>0.8246575342465754</v>
      </c>
      <c r="O24" s="338">
        <f t="shared" si="21"/>
        <v>0.8246575342465754</v>
      </c>
      <c r="P24" s="338">
        <f t="shared" si="21"/>
        <v>0.83287671232876714</v>
      </c>
      <c r="Q24" s="338">
        <f t="shared" si="21"/>
        <v>0.8575342465753425</v>
      </c>
      <c r="R24" s="338">
        <f t="shared" si="21"/>
        <v>0.8246575342465754</v>
      </c>
      <c r="S24" s="338">
        <f t="shared" si="21"/>
        <v>0.83287671232876714</v>
      </c>
      <c r="T24" s="338">
        <f t="shared" si="21"/>
        <v>0.81095890410958904</v>
      </c>
      <c r="U24" s="338">
        <f t="shared" si="21"/>
        <v>0.84657534246575339</v>
      </c>
      <c r="V24" s="338">
        <f t="shared" si="21"/>
        <v>0.83561643835616439</v>
      </c>
      <c r="W24" s="338">
        <f t="shared" si="21"/>
        <v>0.83835616438356164</v>
      </c>
      <c r="X24" s="338">
        <f t="shared" si="21"/>
        <v>0.83013698630136989</v>
      </c>
      <c r="Y24" s="338">
        <f t="shared" si="21"/>
        <v>0.85479452054794525</v>
      </c>
      <c r="Z24" s="338">
        <f t="shared" si="21"/>
        <v>0.83013698630136989</v>
      </c>
      <c r="AA24" s="338">
        <f t="shared" si="21"/>
        <v>0.86301369863013699</v>
      </c>
      <c r="AB24" s="338">
        <f t="shared" si="21"/>
        <v>0.90410958904109584</v>
      </c>
      <c r="AC24" s="338">
        <f t="shared" si="21"/>
        <v>0.9123287671232877</v>
      </c>
      <c r="AD24" s="524"/>
      <c r="AE24" s="201"/>
      <c r="AG24" s="331"/>
      <c r="AH24" s="331"/>
      <c r="AI24" s="331"/>
      <c r="AJ24" s="331"/>
      <c r="AK24" s="331"/>
      <c r="AL24" s="331"/>
      <c r="AM24" s="332"/>
      <c r="AN24" s="332"/>
      <c r="AO24" s="332"/>
    </row>
    <row r="25" spans="2:41" s="381" customFormat="1" ht="17.649999999999999" customHeight="1">
      <c r="B25" s="340"/>
      <c r="C25" s="340"/>
      <c r="D25" s="332"/>
      <c r="E25" s="340"/>
      <c r="F25" s="340"/>
      <c r="G25" s="340"/>
      <c r="H25" s="340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T25" s="340"/>
      <c r="U25" s="340"/>
      <c r="AE25" s="340"/>
      <c r="AF25" s="331"/>
      <c r="AG25" s="331"/>
      <c r="AH25" s="331"/>
      <c r="AI25" s="331"/>
      <c r="AJ25" s="331"/>
      <c r="AK25" s="331"/>
      <c r="AL25" s="331"/>
      <c r="AM25" s="332"/>
      <c r="AN25" s="332"/>
      <c r="AO25" s="332"/>
    </row>
    <row r="26" spans="2:41" s="381" customFormat="1" ht="17.649999999999999" customHeight="1">
      <c r="B26" s="340"/>
      <c r="C26" s="340"/>
      <c r="D26" s="332"/>
      <c r="E26" s="340"/>
      <c r="F26" s="340"/>
      <c r="G26" s="340"/>
      <c r="H26" s="340"/>
      <c r="I26" s="340"/>
      <c r="J26" s="340"/>
      <c r="K26" s="340"/>
      <c r="L26" s="340"/>
      <c r="M26" s="340"/>
      <c r="N26" s="340"/>
      <c r="O26" s="340"/>
      <c r="P26" s="340"/>
      <c r="Q26" s="340"/>
      <c r="R26" s="340"/>
      <c r="T26" s="340"/>
      <c r="U26" s="340"/>
      <c r="AE26" s="340"/>
      <c r="AF26" s="331"/>
      <c r="AG26" s="331"/>
      <c r="AH26" s="331"/>
      <c r="AI26" s="331"/>
      <c r="AJ26" s="331"/>
      <c r="AK26" s="331"/>
      <c r="AL26" s="331"/>
      <c r="AM26" s="332"/>
      <c r="AN26" s="332"/>
      <c r="AO26" s="332"/>
    </row>
    <row r="27" spans="2:41" s="381" customFormat="1" ht="17.649999999999999" customHeight="1">
      <c r="B27" s="327" t="s">
        <v>2073</v>
      </c>
      <c r="C27" s="328"/>
      <c r="D27" s="230"/>
      <c r="E27" s="230" t="s">
        <v>2000</v>
      </c>
      <c r="F27" s="230" t="s">
        <v>2001</v>
      </c>
      <c r="G27" s="230" t="s">
        <v>2002</v>
      </c>
      <c r="H27" s="230" t="s">
        <v>2003</v>
      </c>
      <c r="I27" s="230" t="s">
        <v>2004</v>
      </c>
      <c r="J27" s="230" t="s">
        <v>2005</v>
      </c>
      <c r="K27" s="230" t="s">
        <v>2006</v>
      </c>
      <c r="L27" s="230" t="s">
        <v>2007</v>
      </c>
      <c r="M27" s="230" t="s">
        <v>2008</v>
      </c>
      <c r="N27" s="230" t="s">
        <v>2009</v>
      </c>
      <c r="O27" s="330" t="s">
        <v>2010</v>
      </c>
      <c r="P27" s="330" t="s">
        <v>2011</v>
      </c>
      <c r="Q27" s="330" t="s">
        <v>2012</v>
      </c>
      <c r="R27" s="330" t="s">
        <v>2013</v>
      </c>
      <c r="S27" s="330" t="s">
        <v>2014</v>
      </c>
      <c r="T27" s="330" t="s">
        <v>2015</v>
      </c>
      <c r="U27" s="330" t="s">
        <v>2016</v>
      </c>
      <c r="V27" s="330" t="s">
        <v>2017</v>
      </c>
      <c r="W27" s="330" t="s">
        <v>2018</v>
      </c>
      <c r="X27" s="330" t="s">
        <v>2019</v>
      </c>
      <c r="Y27" s="330" t="s">
        <v>2020</v>
      </c>
      <c r="Z27" s="330" t="s">
        <v>2021</v>
      </c>
      <c r="AA27" s="330" t="s">
        <v>2022</v>
      </c>
      <c r="AB27" s="330" t="s">
        <v>2023</v>
      </c>
      <c r="AC27" s="327" t="s">
        <v>2024</v>
      </c>
      <c r="AD27" s="521" t="s">
        <v>2025</v>
      </c>
      <c r="AE27" s="527" t="s">
        <v>2026</v>
      </c>
      <c r="AG27" s="331"/>
      <c r="AH27" s="331"/>
      <c r="AI27" s="331"/>
      <c r="AJ27" s="331"/>
      <c r="AK27" s="331"/>
      <c r="AL27" s="331"/>
      <c r="AM27" s="332"/>
      <c r="AN27" s="332"/>
      <c r="AO27" s="332"/>
    </row>
    <row r="28" spans="2:41" s="381" customFormat="1" ht="17.649999999999999" customHeight="1">
      <c r="B28" s="333" t="s">
        <v>2027</v>
      </c>
      <c r="C28" s="333" t="s">
        <v>2028</v>
      </c>
      <c r="D28" s="333" t="s">
        <v>2029</v>
      </c>
      <c r="E28" s="333" t="s">
        <v>2030</v>
      </c>
      <c r="F28" s="329" t="s">
        <v>2031</v>
      </c>
      <c r="G28" s="329" t="s">
        <v>2032</v>
      </c>
      <c r="H28" s="329" t="s">
        <v>2033</v>
      </c>
      <c r="I28" s="329" t="s">
        <v>2034</v>
      </c>
      <c r="J28" s="329" t="s">
        <v>2035</v>
      </c>
      <c r="K28" s="329" t="s">
        <v>2036</v>
      </c>
      <c r="L28" s="329" t="s">
        <v>2037</v>
      </c>
      <c r="M28" s="329" t="s">
        <v>2038</v>
      </c>
      <c r="N28" s="329" t="s">
        <v>2039</v>
      </c>
      <c r="O28" s="329" t="s">
        <v>2040</v>
      </c>
      <c r="P28" s="329" t="s">
        <v>2041</v>
      </c>
      <c r="Q28" s="329" t="s">
        <v>2042</v>
      </c>
      <c r="R28" s="329" t="s">
        <v>2043</v>
      </c>
      <c r="S28" s="329" t="s">
        <v>2044</v>
      </c>
      <c r="T28" s="329" t="s">
        <v>2045</v>
      </c>
      <c r="U28" s="329" t="s">
        <v>2046</v>
      </c>
      <c r="V28" s="329" t="s">
        <v>2047</v>
      </c>
      <c r="W28" s="329" t="s">
        <v>2048</v>
      </c>
      <c r="X28" s="329" t="s">
        <v>2049</v>
      </c>
      <c r="Y28" s="329" t="s">
        <v>2050</v>
      </c>
      <c r="Z28" s="329" t="s">
        <v>2051</v>
      </c>
      <c r="AA28" s="329" t="s">
        <v>2052</v>
      </c>
      <c r="AB28" s="329" t="s">
        <v>2053</v>
      </c>
      <c r="AC28" s="334" t="s">
        <v>2054</v>
      </c>
      <c r="AD28" s="521"/>
      <c r="AE28" s="527"/>
      <c r="AG28" s="331"/>
      <c r="AH28" s="331"/>
      <c r="AI28" s="331"/>
      <c r="AJ28" s="331"/>
      <c r="AK28" s="331"/>
      <c r="AL28" s="331"/>
      <c r="AM28" s="332"/>
      <c r="AN28" s="332"/>
      <c r="AO28" s="332"/>
    </row>
    <row r="29" spans="2:41" s="381" customFormat="1" ht="17.649999999999999" customHeight="1">
      <c r="B29" s="520" t="s">
        <v>2055</v>
      </c>
      <c r="C29" s="520" t="s">
        <v>2056</v>
      </c>
      <c r="D29" s="197" t="s">
        <v>2057</v>
      </c>
      <c r="E29" s="335">
        <f t="shared" ref="E29:AC29" si="22">COUNTIFS($C$433:$C$797,$B$29,$D$433:$D$797,$C$29,AE$433:AE$797,"&gt;0",AE$433:AE$797,"&lt;=5")</f>
        <v>118</v>
      </c>
      <c r="F29" s="335">
        <f t="shared" si="22"/>
        <v>118</v>
      </c>
      <c r="G29" s="335">
        <f t="shared" si="22"/>
        <v>110</v>
      </c>
      <c r="H29" s="335">
        <f t="shared" si="22"/>
        <v>111</v>
      </c>
      <c r="I29" s="335">
        <f t="shared" si="22"/>
        <v>115</v>
      </c>
      <c r="J29" s="335">
        <f t="shared" si="22"/>
        <v>115</v>
      </c>
      <c r="K29" s="335">
        <f t="shared" si="22"/>
        <v>128</v>
      </c>
      <c r="L29" s="335">
        <f t="shared" si="22"/>
        <v>115</v>
      </c>
      <c r="M29" s="335">
        <f t="shared" si="22"/>
        <v>126</v>
      </c>
      <c r="N29" s="335">
        <f t="shared" si="22"/>
        <v>115</v>
      </c>
      <c r="O29" s="335">
        <f t="shared" si="22"/>
        <v>115</v>
      </c>
      <c r="P29" s="335">
        <f t="shared" si="22"/>
        <v>129</v>
      </c>
      <c r="Q29" s="335">
        <f t="shared" si="22"/>
        <v>122</v>
      </c>
      <c r="R29" s="335">
        <f t="shared" si="22"/>
        <v>131</v>
      </c>
      <c r="S29" s="335">
        <f t="shared" si="22"/>
        <v>140</v>
      </c>
      <c r="T29" s="335">
        <f t="shared" si="22"/>
        <v>123</v>
      </c>
      <c r="U29" s="335">
        <f t="shared" si="22"/>
        <v>134</v>
      </c>
      <c r="V29" s="335">
        <f t="shared" si="22"/>
        <v>130</v>
      </c>
      <c r="W29" s="335">
        <f t="shared" si="22"/>
        <v>131</v>
      </c>
      <c r="X29" s="335">
        <f t="shared" si="22"/>
        <v>131</v>
      </c>
      <c r="Y29" s="335">
        <f t="shared" si="22"/>
        <v>131</v>
      </c>
      <c r="Z29" s="335">
        <f t="shared" si="22"/>
        <v>124</v>
      </c>
      <c r="AA29" s="335">
        <f t="shared" si="22"/>
        <v>118</v>
      </c>
      <c r="AB29" s="335">
        <f t="shared" si="22"/>
        <v>128</v>
      </c>
      <c r="AC29" s="335">
        <f t="shared" si="22"/>
        <v>133</v>
      </c>
      <c r="AD29" s="522" t="s">
        <v>2058</v>
      </c>
      <c r="AE29" s="201"/>
      <c r="AG29" s="331"/>
      <c r="AH29" s="331"/>
      <c r="AI29" s="331"/>
      <c r="AJ29" s="331"/>
      <c r="AK29" s="331"/>
      <c r="AL29" s="331"/>
      <c r="AM29" s="332"/>
      <c r="AN29" s="332"/>
      <c r="AO29" s="332"/>
    </row>
    <row r="30" spans="2:41" s="381" customFormat="1" ht="17.649999999999999" customHeight="1">
      <c r="B30" s="520"/>
      <c r="C30" s="520"/>
      <c r="D30" s="197" t="s">
        <v>2059</v>
      </c>
      <c r="E30" s="335">
        <f t="shared" ref="E30:AC30" si="23">COUNTIFS($C$433:$C$797,$B$29,$D$433:$D$797,$C$29,AE$433:AE$797,"&gt;0",AE$433:AE$797,"&lt;=10")</f>
        <v>151</v>
      </c>
      <c r="F30" s="335">
        <f t="shared" si="23"/>
        <v>152</v>
      </c>
      <c r="G30" s="335">
        <f t="shared" si="23"/>
        <v>142</v>
      </c>
      <c r="H30" s="335">
        <f t="shared" si="23"/>
        <v>148</v>
      </c>
      <c r="I30" s="335">
        <f t="shared" si="23"/>
        <v>149</v>
      </c>
      <c r="J30" s="335">
        <f t="shared" si="23"/>
        <v>151</v>
      </c>
      <c r="K30" s="335">
        <f t="shared" si="23"/>
        <v>153</v>
      </c>
      <c r="L30" s="335">
        <f t="shared" si="23"/>
        <v>151</v>
      </c>
      <c r="M30" s="335">
        <f t="shared" si="23"/>
        <v>155</v>
      </c>
      <c r="N30" s="335">
        <f t="shared" si="23"/>
        <v>155</v>
      </c>
      <c r="O30" s="335">
        <f t="shared" si="23"/>
        <v>155</v>
      </c>
      <c r="P30" s="335">
        <f t="shared" si="23"/>
        <v>170</v>
      </c>
      <c r="Q30" s="335">
        <f t="shared" si="23"/>
        <v>158</v>
      </c>
      <c r="R30" s="335">
        <f t="shared" si="23"/>
        <v>167</v>
      </c>
      <c r="S30" s="335">
        <f t="shared" si="23"/>
        <v>169</v>
      </c>
      <c r="T30" s="335">
        <f t="shared" si="23"/>
        <v>166</v>
      </c>
      <c r="U30" s="335">
        <f t="shared" si="23"/>
        <v>168</v>
      </c>
      <c r="V30" s="335">
        <f t="shared" si="23"/>
        <v>165</v>
      </c>
      <c r="W30" s="335">
        <f t="shared" si="23"/>
        <v>165</v>
      </c>
      <c r="X30" s="335">
        <f t="shared" si="23"/>
        <v>164</v>
      </c>
      <c r="Y30" s="335">
        <f t="shared" si="23"/>
        <v>167</v>
      </c>
      <c r="Z30" s="335">
        <f t="shared" si="23"/>
        <v>167</v>
      </c>
      <c r="AA30" s="335">
        <f t="shared" si="23"/>
        <v>171</v>
      </c>
      <c r="AB30" s="335">
        <f t="shared" si="23"/>
        <v>170</v>
      </c>
      <c r="AC30" s="335">
        <f t="shared" si="23"/>
        <v>173</v>
      </c>
      <c r="AD30" s="522"/>
      <c r="AE30" s="201"/>
      <c r="AG30" s="331"/>
      <c r="AH30" s="331"/>
      <c r="AI30" s="331"/>
      <c r="AJ30" s="331"/>
      <c r="AK30" s="331"/>
      <c r="AL30" s="331"/>
      <c r="AM30" s="332"/>
      <c r="AN30" s="332"/>
      <c r="AO30" s="332"/>
    </row>
    <row r="31" spans="2:41" s="381" customFormat="1" ht="17.649999999999999" customHeight="1">
      <c r="B31" s="520"/>
      <c r="C31" s="520"/>
      <c r="D31" s="197" t="s">
        <v>2060</v>
      </c>
      <c r="E31" s="335">
        <f t="shared" ref="E31:AC31" si="24">COUNTIFS($C$433:$C$797,$B$29,$D$433:$D$797,$C$29,AE$433:AE$797,"&gt;0",AE$433:AE$797,"&lt;=50")</f>
        <v>174</v>
      </c>
      <c r="F31" s="335">
        <f t="shared" si="24"/>
        <v>173</v>
      </c>
      <c r="G31" s="335">
        <f t="shared" si="24"/>
        <v>173</v>
      </c>
      <c r="H31" s="335">
        <f t="shared" si="24"/>
        <v>174</v>
      </c>
      <c r="I31" s="335">
        <f t="shared" si="24"/>
        <v>173</v>
      </c>
      <c r="J31" s="335">
        <f t="shared" si="24"/>
        <v>173</v>
      </c>
      <c r="K31" s="335">
        <f t="shared" si="24"/>
        <v>174</v>
      </c>
      <c r="L31" s="335">
        <f t="shared" si="24"/>
        <v>173</v>
      </c>
      <c r="M31" s="335">
        <f t="shared" si="24"/>
        <v>174</v>
      </c>
      <c r="N31" s="335">
        <f t="shared" si="24"/>
        <v>174</v>
      </c>
      <c r="O31" s="335">
        <f t="shared" si="24"/>
        <v>174</v>
      </c>
      <c r="P31" s="335">
        <f t="shared" si="24"/>
        <v>174</v>
      </c>
      <c r="Q31" s="335">
        <f t="shared" si="24"/>
        <v>174</v>
      </c>
      <c r="R31" s="335">
        <f t="shared" si="24"/>
        <v>174</v>
      </c>
      <c r="S31" s="335">
        <f t="shared" si="24"/>
        <v>174</v>
      </c>
      <c r="T31" s="335">
        <f t="shared" si="24"/>
        <v>174</v>
      </c>
      <c r="U31" s="335">
        <f t="shared" si="24"/>
        <v>174</v>
      </c>
      <c r="V31" s="335">
        <f t="shared" si="24"/>
        <v>175</v>
      </c>
      <c r="W31" s="335">
        <f t="shared" si="24"/>
        <v>174</v>
      </c>
      <c r="X31" s="335">
        <f t="shared" si="24"/>
        <v>175</v>
      </c>
      <c r="Y31" s="335">
        <f t="shared" si="24"/>
        <v>174</v>
      </c>
      <c r="Z31" s="335">
        <f t="shared" si="24"/>
        <v>172</v>
      </c>
      <c r="AA31" s="335">
        <f t="shared" si="24"/>
        <v>173</v>
      </c>
      <c r="AB31" s="335">
        <f t="shared" si="24"/>
        <v>174</v>
      </c>
      <c r="AC31" s="335">
        <f t="shared" si="24"/>
        <v>174</v>
      </c>
      <c r="AD31" s="522"/>
      <c r="AE31" s="201"/>
      <c r="AG31" s="331"/>
      <c r="AH31" s="331"/>
      <c r="AI31" s="331"/>
      <c r="AJ31" s="331"/>
      <c r="AK31" s="331"/>
      <c r="AL31" s="331"/>
      <c r="AM31" s="332"/>
      <c r="AN31" s="332"/>
      <c r="AO31" s="332"/>
    </row>
    <row r="32" spans="2:41" s="381" customFormat="1" ht="17.649999999999999" customHeight="1">
      <c r="B32" s="520" t="s">
        <v>2061</v>
      </c>
      <c r="C32" s="520" t="s">
        <v>2056</v>
      </c>
      <c r="D32" s="197" t="s">
        <v>2057</v>
      </c>
      <c r="E32" s="335">
        <f t="shared" ref="E32:AC32" si="25">COUNTIFS($C$433:$C$797,$B$32,$D$433:$D$797,$C$32,AE$433:AE$797,"&gt;0",AE$433:AE$797,"&lt;=5")</f>
        <v>1</v>
      </c>
      <c r="F32" s="335">
        <f t="shared" si="25"/>
        <v>2</v>
      </c>
      <c r="G32" s="335">
        <f t="shared" si="25"/>
        <v>2</v>
      </c>
      <c r="H32" s="335">
        <f t="shared" si="25"/>
        <v>2</v>
      </c>
      <c r="I32" s="335">
        <f t="shared" si="25"/>
        <v>1</v>
      </c>
      <c r="J32" s="335">
        <f t="shared" si="25"/>
        <v>1</v>
      </c>
      <c r="K32" s="335">
        <f t="shared" si="25"/>
        <v>2</v>
      </c>
      <c r="L32" s="335">
        <f t="shared" si="25"/>
        <v>1</v>
      </c>
      <c r="M32" s="335">
        <f t="shared" si="25"/>
        <v>1</v>
      </c>
      <c r="N32" s="335">
        <f t="shared" si="25"/>
        <v>1</v>
      </c>
      <c r="O32" s="335">
        <f t="shared" si="25"/>
        <v>1</v>
      </c>
      <c r="P32" s="335">
        <f t="shared" si="25"/>
        <v>1</v>
      </c>
      <c r="Q32" s="335">
        <f t="shared" si="25"/>
        <v>1</v>
      </c>
      <c r="R32" s="335">
        <f t="shared" si="25"/>
        <v>1</v>
      </c>
      <c r="S32" s="335">
        <f t="shared" si="25"/>
        <v>1</v>
      </c>
      <c r="T32" s="335">
        <f t="shared" si="25"/>
        <v>1</v>
      </c>
      <c r="U32" s="335">
        <f t="shared" si="25"/>
        <v>2</v>
      </c>
      <c r="V32" s="335">
        <f t="shared" si="25"/>
        <v>2</v>
      </c>
      <c r="W32" s="335">
        <f t="shared" si="25"/>
        <v>1</v>
      </c>
      <c r="X32" s="335">
        <f t="shared" si="25"/>
        <v>2</v>
      </c>
      <c r="Y32" s="335">
        <f t="shared" si="25"/>
        <v>2</v>
      </c>
      <c r="Z32" s="335">
        <f t="shared" si="25"/>
        <v>1</v>
      </c>
      <c r="AA32" s="335">
        <f t="shared" si="25"/>
        <v>1</v>
      </c>
      <c r="AB32" s="335">
        <f t="shared" si="25"/>
        <v>0</v>
      </c>
      <c r="AC32" s="335">
        <f t="shared" si="25"/>
        <v>2</v>
      </c>
      <c r="AD32" s="522" t="s">
        <v>2062</v>
      </c>
      <c r="AE32" s="201"/>
      <c r="AG32" s="331"/>
      <c r="AH32" s="331"/>
      <c r="AI32" s="331"/>
      <c r="AJ32" s="331"/>
      <c r="AK32" s="331"/>
      <c r="AL32" s="331"/>
      <c r="AM32" s="332"/>
      <c r="AN32" s="332"/>
      <c r="AO32" s="332"/>
    </row>
    <row r="33" spans="2:41" s="381" customFormat="1" ht="17.649999999999999" customHeight="1">
      <c r="B33" s="520"/>
      <c r="C33" s="520"/>
      <c r="D33" s="197" t="s">
        <v>2059</v>
      </c>
      <c r="E33" s="335">
        <f t="shared" ref="E33:AC33" si="26">COUNTIFS($C$433:$C$797,$B$32,$D$433:$D$797,$C$32,AE$433:AE$797,"&gt;0",AE$433:AE$797,"&lt;=10")</f>
        <v>2</v>
      </c>
      <c r="F33" s="335">
        <f t="shared" si="26"/>
        <v>2</v>
      </c>
      <c r="G33" s="335">
        <f t="shared" si="26"/>
        <v>2</v>
      </c>
      <c r="H33" s="335">
        <f t="shared" si="26"/>
        <v>2</v>
      </c>
      <c r="I33" s="335">
        <f t="shared" si="26"/>
        <v>2</v>
      </c>
      <c r="J33" s="335">
        <f t="shared" si="26"/>
        <v>2</v>
      </c>
      <c r="K33" s="335">
        <f t="shared" si="26"/>
        <v>2</v>
      </c>
      <c r="L33" s="335">
        <f t="shared" si="26"/>
        <v>2</v>
      </c>
      <c r="M33" s="335">
        <f t="shared" si="26"/>
        <v>1</v>
      </c>
      <c r="N33" s="335">
        <f t="shared" si="26"/>
        <v>2</v>
      </c>
      <c r="O33" s="335">
        <f t="shared" si="26"/>
        <v>2</v>
      </c>
      <c r="P33" s="335">
        <f t="shared" si="26"/>
        <v>1</v>
      </c>
      <c r="Q33" s="335">
        <f t="shared" si="26"/>
        <v>2</v>
      </c>
      <c r="R33" s="335">
        <f t="shared" si="26"/>
        <v>2</v>
      </c>
      <c r="S33" s="335">
        <f t="shared" si="26"/>
        <v>2</v>
      </c>
      <c r="T33" s="335">
        <f t="shared" si="26"/>
        <v>2</v>
      </c>
      <c r="U33" s="335">
        <f t="shared" si="26"/>
        <v>2</v>
      </c>
      <c r="V33" s="335">
        <f t="shared" si="26"/>
        <v>2</v>
      </c>
      <c r="W33" s="335">
        <f t="shared" si="26"/>
        <v>2</v>
      </c>
      <c r="X33" s="335">
        <f t="shared" si="26"/>
        <v>2</v>
      </c>
      <c r="Y33" s="335">
        <f t="shared" si="26"/>
        <v>2</v>
      </c>
      <c r="Z33" s="335">
        <f t="shared" si="26"/>
        <v>2</v>
      </c>
      <c r="AA33" s="335">
        <f t="shared" si="26"/>
        <v>2</v>
      </c>
      <c r="AB33" s="335">
        <f t="shared" si="26"/>
        <v>1</v>
      </c>
      <c r="AC33" s="335">
        <f t="shared" si="26"/>
        <v>2</v>
      </c>
      <c r="AD33" s="522"/>
      <c r="AE33" s="201"/>
      <c r="AG33" s="331"/>
      <c r="AH33" s="331"/>
      <c r="AI33" s="331"/>
      <c r="AJ33" s="331"/>
      <c r="AK33" s="331"/>
      <c r="AL33" s="331"/>
      <c r="AM33" s="332"/>
      <c r="AN33" s="332"/>
      <c r="AO33" s="332"/>
    </row>
    <row r="34" spans="2:41" s="381" customFormat="1" ht="17.649999999999999" customHeight="1">
      <c r="B34" s="520"/>
      <c r="C34" s="520"/>
      <c r="D34" s="197" t="s">
        <v>2060</v>
      </c>
      <c r="E34" s="335">
        <f t="shared" ref="E34:AC34" si="27">COUNTIFS($C$433:$C$797,$B$32,$D$433:$D$797,$C$32,AE$433:AE$797,"&gt;0",AE$433:AE$797,"&lt;=50")</f>
        <v>2</v>
      </c>
      <c r="F34" s="335">
        <f t="shared" si="27"/>
        <v>2</v>
      </c>
      <c r="G34" s="335">
        <f t="shared" si="27"/>
        <v>2</v>
      </c>
      <c r="H34" s="335">
        <f t="shared" si="27"/>
        <v>2</v>
      </c>
      <c r="I34" s="335">
        <f t="shared" si="27"/>
        <v>2</v>
      </c>
      <c r="J34" s="335">
        <f t="shared" si="27"/>
        <v>2</v>
      </c>
      <c r="K34" s="335">
        <f t="shared" si="27"/>
        <v>2</v>
      </c>
      <c r="L34" s="335">
        <f t="shared" si="27"/>
        <v>2</v>
      </c>
      <c r="M34" s="335">
        <f t="shared" si="27"/>
        <v>2</v>
      </c>
      <c r="N34" s="335">
        <f t="shared" si="27"/>
        <v>2</v>
      </c>
      <c r="O34" s="335">
        <f t="shared" si="27"/>
        <v>2</v>
      </c>
      <c r="P34" s="335">
        <f t="shared" si="27"/>
        <v>2</v>
      </c>
      <c r="Q34" s="335">
        <f t="shared" si="27"/>
        <v>2</v>
      </c>
      <c r="R34" s="335">
        <f t="shared" si="27"/>
        <v>2</v>
      </c>
      <c r="S34" s="335">
        <f t="shared" si="27"/>
        <v>2</v>
      </c>
      <c r="T34" s="335">
        <f t="shared" si="27"/>
        <v>2</v>
      </c>
      <c r="U34" s="335">
        <f t="shared" si="27"/>
        <v>2</v>
      </c>
      <c r="V34" s="335">
        <f t="shared" si="27"/>
        <v>2</v>
      </c>
      <c r="W34" s="335">
        <f t="shared" si="27"/>
        <v>2</v>
      </c>
      <c r="X34" s="335">
        <f t="shared" si="27"/>
        <v>2</v>
      </c>
      <c r="Y34" s="335">
        <f t="shared" si="27"/>
        <v>2</v>
      </c>
      <c r="Z34" s="335">
        <f t="shared" si="27"/>
        <v>2</v>
      </c>
      <c r="AA34" s="335">
        <f t="shared" si="27"/>
        <v>2</v>
      </c>
      <c r="AB34" s="335">
        <f t="shared" si="27"/>
        <v>2</v>
      </c>
      <c r="AC34" s="335">
        <f t="shared" si="27"/>
        <v>2</v>
      </c>
      <c r="AD34" s="522"/>
      <c r="AE34" s="201"/>
      <c r="AG34" s="331"/>
      <c r="AH34" s="331"/>
      <c r="AI34" s="331"/>
      <c r="AJ34" s="331"/>
      <c r="AK34" s="331"/>
      <c r="AL34" s="331"/>
      <c r="AM34" s="332"/>
      <c r="AN34" s="332"/>
      <c r="AO34" s="332"/>
    </row>
    <row r="35" spans="2:41" s="381" customFormat="1" ht="17.649999999999999" customHeight="1">
      <c r="B35" s="520" t="s">
        <v>2055</v>
      </c>
      <c r="C35" s="520" t="s">
        <v>2063</v>
      </c>
      <c r="D35" s="197" t="s">
        <v>2057</v>
      </c>
      <c r="E35" s="335">
        <f t="shared" ref="E35:AC35" si="28">COUNTIFS($C$433:$C$797,$B$35,$D$433:$D$797,$C$35,AE$433:AE$797,"&gt;0",AE$433:AE$797,"&lt;=5")</f>
        <v>19</v>
      </c>
      <c r="F35" s="335">
        <f t="shared" si="28"/>
        <v>14</v>
      </c>
      <c r="G35" s="335">
        <f t="shared" si="28"/>
        <v>17</v>
      </c>
      <c r="H35" s="335">
        <f t="shared" si="28"/>
        <v>16</v>
      </c>
      <c r="I35" s="335">
        <f t="shared" si="28"/>
        <v>15</v>
      </c>
      <c r="J35" s="335">
        <f t="shared" si="28"/>
        <v>18</v>
      </c>
      <c r="K35" s="335">
        <f t="shared" si="28"/>
        <v>17</v>
      </c>
      <c r="L35" s="335">
        <f t="shared" si="28"/>
        <v>18</v>
      </c>
      <c r="M35" s="335">
        <f t="shared" si="28"/>
        <v>21</v>
      </c>
      <c r="N35" s="335">
        <f t="shared" si="28"/>
        <v>16</v>
      </c>
      <c r="O35" s="335">
        <f t="shared" si="28"/>
        <v>16</v>
      </c>
      <c r="P35" s="335">
        <f t="shared" si="28"/>
        <v>18</v>
      </c>
      <c r="Q35" s="335">
        <f t="shared" si="28"/>
        <v>17</v>
      </c>
      <c r="R35" s="335">
        <f t="shared" si="28"/>
        <v>19</v>
      </c>
      <c r="S35" s="335">
        <f t="shared" si="28"/>
        <v>19</v>
      </c>
      <c r="T35" s="335">
        <f t="shared" si="28"/>
        <v>17</v>
      </c>
      <c r="U35" s="335">
        <f t="shared" si="28"/>
        <v>20</v>
      </c>
      <c r="V35" s="335">
        <f t="shared" si="28"/>
        <v>20</v>
      </c>
      <c r="W35" s="335">
        <f t="shared" si="28"/>
        <v>16</v>
      </c>
      <c r="X35" s="335">
        <f t="shared" si="28"/>
        <v>16</v>
      </c>
      <c r="Y35" s="335">
        <f t="shared" si="28"/>
        <v>15</v>
      </c>
      <c r="Z35" s="335">
        <f t="shared" si="28"/>
        <v>20</v>
      </c>
      <c r="AA35" s="335">
        <f t="shared" si="28"/>
        <v>12</v>
      </c>
      <c r="AB35" s="335">
        <f t="shared" si="28"/>
        <v>13</v>
      </c>
      <c r="AC35" s="335">
        <f t="shared" si="28"/>
        <v>16</v>
      </c>
      <c r="AD35" s="522" t="s">
        <v>2064</v>
      </c>
      <c r="AE35" s="201"/>
      <c r="AG35" s="331"/>
      <c r="AH35" s="331"/>
      <c r="AI35" s="331"/>
      <c r="AJ35" s="331"/>
      <c r="AK35" s="331"/>
      <c r="AL35" s="331"/>
      <c r="AM35" s="332"/>
      <c r="AN35" s="332"/>
      <c r="AO35" s="332"/>
    </row>
    <row r="36" spans="2:41" s="381" customFormat="1" ht="17.649999999999999" customHeight="1">
      <c r="B36" s="520"/>
      <c r="C36" s="520"/>
      <c r="D36" s="197" t="s">
        <v>2059</v>
      </c>
      <c r="E36" s="335">
        <f t="shared" ref="E36:AC36" si="29">COUNTIFS($C$433:$C$797,$B$35,$D$433:$D$797,$C$35,AE$433:AE$797,"&gt;0",AE$433:AE$797,"&lt;=10")</f>
        <v>21</v>
      </c>
      <c r="F36" s="335">
        <f t="shared" si="29"/>
        <v>24</v>
      </c>
      <c r="G36" s="335">
        <f t="shared" si="29"/>
        <v>21</v>
      </c>
      <c r="H36" s="335">
        <f t="shared" si="29"/>
        <v>20</v>
      </c>
      <c r="I36" s="335">
        <f t="shared" si="29"/>
        <v>23</v>
      </c>
      <c r="J36" s="335">
        <f t="shared" si="29"/>
        <v>23</v>
      </c>
      <c r="K36" s="335">
        <f t="shared" si="29"/>
        <v>23</v>
      </c>
      <c r="L36" s="335">
        <f t="shared" si="29"/>
        <v>23</v>
      </c>
      <c r="M36" s="335">
        <f t="shared" si="29"/>
        <v>24</v>
      </c>
      <c r="N36" s="335">
        <f t="shared" si="29"/>
        <v>23</v>
      </c>
      <c r="O36" s="335">
        <f t="shared" si="29"/>
        <v>23</v>
      </c>
      <c r="P36" s="335">
        <f t="shared" si="29"/>
        <v>23</v>
      </c>
      <c r="Q36" s="335">
        <f t="shared" si="29"/>
        <v>23</v>
      </c>
      <c r="R36" s="335">
        <f t="shared" si="29"/>
        <v>25</v>
      </c>
      <c r="S36" s="335">
        <f t="shared" si="29"/>
        <v>25</v>
      </c>
      <c r="T36" s="335">
        <f t="shared" si="29"/>
        <v>23</v>
      </c>
      <c r="U36" s="335">
        <f t="shared" si="29"/>
        <v>24</v>
      </c>
      <c r="V36" s="335">
        <f t="shared" si="29"/>
        <v>23</v>
      </c>
      <c r="W36" s="335">
        <f t="shared" si="29"/>
        <v>25</v>
      </c>
      <c r="X36" s="335">
        <f t="shared" si="29"/>
        <v>25</v>
      </c>
      <c r="Y36" s="335">
        <f t="shared" si="29"/>
        <v>25</v>
      </c>
      <c r="Z36" s="335">
        <f t="shared" si="29"/>
        <v>24</v>
      </c>
      <c r="AA36" s="335">
        <f t="shared" si="29"/>
        <v>25</v>
      </c>
      <c r="AB36" s="335">
        <f t="shared" si="29"/>
        <v>23</v>
      </c>
      <c r="AC36" s="335">
        <f t="shared" si="29"/>
        <v>24</v>
      </c>
      <c r="AD36" s="522"/>
      <c r="AE36" s="201"/>
      <c r="AG36" s="331"/>
      <c r="AH36" s="331"/>
      <c r="AI36" s="331"/>
      <c r="AJ36" s="331"/>
      <c r="AK36" s="331"/>
      <c r="AL36" s="331"/>
      <c r="AM36" s="332"/>
      <c r="AN36" s="332"/>
      <c r="AO36" s="332"/>
    </row>
    <row r="37" spans="2:41" s="381" customFormat="1" ht="17.649999999999999" customHeight="1">
      <c r="B37" s="520"/>
      <c r="C37" s="520"/>
      <c r="D37" s="197" t="s">
        <v>2060</v>
      </c>
      <c r="E37" s="335">
        <f t="shared" ref="E37:AC37" si="30">COUNTIFS($C$433:$C$797,$B$35,$D$433:$D$797,$C$35,AE$433:AE$797,"&gt;0",AE$433:AE$797,"&lt;=50")</f>
        <v>25</v>
      </c>
      <c r="F37" s="335">
        <f t="shared" si="30"/>
        <v>25</v>
      </c>
      <c r="G37" s="335">
        <f t="shared" si="30"/>
        <v>26</v>
      </c>
      <c r="H37" s="335">
        <f t="shared" si="30"/>
        <v>26</v>
      </c>
      <c r="I37" s="335">
        <f t="shared" si="30"/>
        <v>26</v>
      </c>
      <c r="J37" s="335">
        <f t="shared" si="30"/>
        <v>25</v>
      </c>
      <c r="K37" s="335">
        <f t="shared" si="30"/>
        <v>26</v>
      </c>
      <c r="L37" s="335">
        <f t="shared" si="30"/>
        <v>25</v>
      </c>
      <c r="M37" s="335">
        <f t="shared" si="30"/>
        <v>26</v>
      </c>
      <c r="N37" s="335">
        <f t="shared" si="30"/>
        <v>26</v>
      </c>
      <c r="O37" s="335">
        <f t="shared" si="30"/>
        <v>26</v>
      </c>
      <c r="P37" s="335">
        <f t="shared" si="30"/>
        <v>26</v>
      </c>
      <c r="Q37" s="335">
        <f t="shared" si="30"/>
        <v>26</v>
      </c>
      <c r="R37" s="335">
        <f t="shared" si="30"/>
        <v>26</v>
      </c>
      <c r="S37" s="335">
        <f t="shared" si="30"/>
        <v>26</v>
      </c>
      <c r="T37" s="335">
        <f t="shared" si="30"/>
        <v>26</v>
      </c>
      <c r="U37" s="335">
        <f t="shared" si="30"/>
        <v>26</v>
      </c>
      <c r="V37" s="335">
        <f t="shared" si="30"/>
        <v>26</v>
      </c>
      <c r="W37" s="335">
        <f t="shared" si="30"/>
        <v>26</v>
      </c>
      <c r="X37" s="335">
        <f t="shared" si="30"/>
        <v>26</v>
      </c>
      <c r="Y37" s="335">
        <f t="shared" si="30"/>
        <v>25</v>
      </c>
      <c r="Z37" s="335">
        <f t="shared" si="30"/>
        <v>26</v>
      </c>
      <c r="AA37" s="335">
        <f t="shared" si="30"/>
        <v>26</v>
      </c>
      <c r="AB37" s="335">
        <f t="shared" si="30"/>
        <v>26</v>
      </c>
      <c r="AC37" s="335">
        <f t="shared" si="30"/>
        <v>26</v>
      </c>
      <c r="AD37" s="522"/>
      <c r="AE37" s="201"/>
      <c r="AG37" s="331"/>
      <c r="AH37" s="331"/>
      <c r="AI37" s="331"/>
      <c r="AJ37" s="331"/>
      <c r="AK37" s="331"/>
      <c r="AL37" s="331"/>
      <c r="AM37" s="332"/>
      <c r="AN37" s="332"/>
      <c r="AO37" s="332"/>
    </row>
    <row r="38" spans="2:41" s="381" customFormat="1" ht="17.649999999999999" customHeight="1">
      <c r="B38" s="520" t="s">
        <v>2061</v>
      </c>
      <c r="C38" s="520" t="s">
        <v>2063</v>
      </c>
      <c r="D38" s="197" t="s">
        <v>2057</v>
      </c>
      <c r="E38" s="335">
        <f t="shared" ref="E38:AC38" si="31">COUNTIFS($C$433:$C$797,$B$38,$D$433:$D$797,$C$38,AE$433:AE$797,"&gt;0",AE$433:AE$797,"&lt;=5")</f>
        <v>1</v>
      </c>
      <c r="F38" s="335">
        <f t="shared" si="31"/>
        <v>1</v>
      </c>
      <c r="G38" s="335">
        <f t="shared" si="31"/>
        <v>1</v>
      </c>
      <c r="H38" s="335">
        <f t="shared" si="31"/>
        <v>5</v>
      </c>
      <c r="I38" s="335">
        <f t="shared" si="31"/>
        <v>3</v>
      </c>
      <c r="J38" s="335">
        <f t="shared" si="31"/>
        <v>5</v>
      </c>
      <c r="K38" s="335">
        <f t="shared" si="31"/>
        <v>6</v>
      </c>
      <c r="L38" s="335">
        <f t="shared" si="31"/>
        <v>5</v>
      </c>
      <c r="M38" s="335">
        <f t="shared" si="31"/>
        <v>7</v>
      </c>
      <c r="N38" s="335">
        <f t="shared" si="31"/>
        <v>6</v>
      </c>
      <c r="O38" s="335">
        <f t="shared" si="31"/>
        <v>6</v>
      </c>
      <c r="P38" s="335">
        <f t="shared" si="31"/>
        <v>7</v>
      </c>
      <c r="Q38" s="335">
        <f t="shared" si="31"/>
        <v>6</v>
      </c>
      <c r="R38" s="335">
        <f t="shared" si="31"/>
        <v>7</v>
      </c>
      <c r="S38" s="335">
        <f t="shared" si="31"/>
        <v>8</v>
      </c>
      <c r="T38" s="335">
        <f t="shared" si="31"/>
        <v>5</v>
      </c>
      <c r="U38" s="335">
        <f t="shared" si="31"/>
        <v>8</v>
      </c>
      <c r="V38" s="335">
        <f t="shared" si="31"/>
        <v>8</v>
      </c>
      <c r="W38" s="335">
        <f t="shared" si="31"/>
        <v>9</v>
      </c>
      <c r="X38" s="335">
        <f t="shared" si="31"/>
        <v>5</v>
      </c>
      <c r="Y38" s="335">
        <f t="shared" si="31"/>
        <v>6</v>
      </c>
      <c r="Z38" s="335">
        <f t="shared" si="31"/>
        <v>5</v>
      </c>
      <c r="AA38" s="335">
        <f t="shared" si="31"/>
        <v>8</v>
      </c>
      <c r="AB38" s="335">
        <f t="shared" si="31"/>
        <v>6</v>
      </c>
      <c r="AC38" s="335">
        <f t="shared" si="31"/>
        <v>9</v>
      </c>
      <c r="AD38" s="522" t="s">
        <v>2065</v>
      </c>
      <c r="AE38" s="201"/>
      <c r="AG38" s="331"/>
      <c r="AH38" s="331"/>
      <c r="AI38" s="331"/>
      <c r="AJ38" s="331"/>
      <c r="AK38" s="331"/>
      <c r="AL38" s="331"/>
      <c r="AM38" s="332"/>
      <c r="AN38" s="332"/>
      <c r="AO38" s="332"/>
    </row>
    <row r="39" spans="2:41" s="381" customFormat="1" ht="17.649999999999999" customHeight="1">
      <c r="B39" s="520"/>
      <c r="C39" s="520"/>
      <c r="D39" s="197" t="s">
        <v>2059</v>
      </c>
      <c r="E39" s="335">
        <f t="shared" ref="E39:AC39" si="32">COUNTIFS($C$433:$C$797,$B$38,$D$433:$D$797,$C$38,AE$433:AE$797,"&gt;0",AE$433:AE$797,"&lt;=10")</f>
        <v>2</v>
      </c>
      <c r="F39" s="335">
        <f t="shared" si="32"/>
        <v>2</v>
      </c>
      <c r="G39" s="335">
        <f t="shared" si="32"/>
        <v>3</v>
      </c>
      <c r="H39" s="335">
        <f t="shared" si="32"/>
        <v>7</v>
      </c>
      <c r="I39" s="335">
        <f t="shared" si="32"/>
        <v>4</v>
      </c>
      <c r="J39" s="335">
        <f t="shared" si="32"/>
        <v>7</v>
      </c>
      <c r="K39" s="335">
        <f t="shared" si="32"/>
        <v>7</v>
      </c>
      <c r="L39" s="335">
        <f t="shared" si="32"/>
        <v>7</v>
      </c>
      <c r="M39" s="335">
        <f t="shared" si="32"/>
        <v>7</v>
      </c>
      <c r="N39" s="335">
        <f t="shared" si="32"/>
        <v>7</v>
      </c>
      <c r="O39" s="335">
        <f t="shared" si="32"/>
        <v>7</v>
      </c>
      <c r="P39" s="335">
        <f t="shared" si="32"/>
        <v>9</v>
      </c>
      <c r="Q39" s="335">
        <f t="shared" si="32"/>
        <v>14</v>
      </c>
      <c r="R39" s="335">
        <f t="shared" si="32"/>
        <v>9</v>
      </c>
      <c r="S39" s="335">
        <f t="shared" si="32"/>
        <v>10</v>
      </c>
      <c r="T39" s="335">
        <f t="shared" si="32"/>
        <v>9</v>
      </c>
      <c r="U39" s="335">
        <f t="shared" si="32"/>
        <v>11</v>
      </c>
      <c r="V39" s="335">
        <f t="shared" si="32"/>
        <v>11</v>
      </c>
      <c r="W39" s="335">
        <f t="shared" si="32"/>
        <v>10</v>
      </c>
      <c r="X39" s="335">
        <f t="shared" si="32"/>
        <v>8</v>
      </c>
      <c r="Y39" s="335">
        <f t="shared" si="32"/>
        <v>10</v>
      </c>
      <c r="Z39" s="335">
        <f t="shared" si="32"/>
        <v>12</v>
      </c>
      <c r="AA39" s="335">
        <f t="shared" si="32"/>
        <v>16</v>
      </c>
      <c r="AB39" s="335">
        <f t="shared" si="32"/>
        <v>15</v>
      </c>
      <c r="AC39" s="335">
        <f t="shared" si="32"/>
        <v>15</v>
      </c>
      <c r="AD39" s="522"/>
      <c r="AE39" s="201"/>
      <c r="AG39" s="331"/>
      <c r="AH39" s="331"/>
      <c r="AI39" s="331"/>
      <c r="AJ39" s="331"/>
      <c r="AK39" s="331"/>
      <c r="AL39" s="331"/>
      <c r="AM39" s="332"/>
      <c r="AN39" s="332"/>
      <c r="AO39" s="332"/>
    </row>
    <row r="40" spans="2:41" s="381" customFormat="1" ht="17.649999999999999" customHeight="1">
      <c r="B40" s="520"/>
      <c r="C40" s="520"/>
      <c r="D40" s="197" t="s">
        <v>2060</v>
      </c>
      <c r="E40" s="335">
        <f t="shared" ref="E40:AC40" si="33">COUNTIFS($C$433:$C$797,$B$38,$D$433:$D$797,$C$38,AE$433:AE$797,"&gt;0",AE$433:AE$797,"&lt;=50")</f>
        <v>3</v>
      </c>
      <c r="F40" s="335">
        <f t="shared" si="33"/>
        <v>2</v>
      </c>
      <c r="G40" s="335">
        <f t="shared" si="33"/>
        <v>7</v>
      </c>
      <c r="H40" s="335">
        <f t="shared" si="33"/>
        <v>10</v>
      </c>
      <c r="I40" s="335">
        <f t="shared" si="33"/>
        <v>9</v>
      </c>
      <c r="J40" s="335">
        <f t="shared" si="33"/>
        <v>11</v>
      </c>
      <c r="K40" s="335">
        <f t="shared" si="33"/>
        <v>10</v>
      </c>
      <c r="L40" s="335">
        <f t="shared" si="33"/>
        <v>11</v>
      </c>
      <c r="M40" s="335">
        <f t="shared" si="33"/>
        <v>14</v>
      </c>
      <c r="N40" s="335">
        <f t="shared" si="33"/>
        <v>12</v>
      </c>
      <c r="O40" s="335">
        <f t="shared" si="33"/>
        <v>12</v>
      </c>
      <c r="P40" s="335">
        <f t="shared" si="33"/>
        <v>15</v>
      </c>
      <c r="Q40" s="335">
        <f t="shared" si="33"/>
        <v>18</v>
      </c>
      <c r="R40" s="335">
        <f t="shared" si="33"/>
        <v>15</v>
      </c>
      <c r="S40" s="335">
        <f t="shared" si="33"/>
        <v>17</v>
      </c>
      <c r="T40" s="335">
        <f t="shared" si="33"/>
        <v>14</v>
      </c>
      <c r="U40" s="335">
        <f t="shared" si="33"/>
        <v>16</v>
      </c>
      <c r="V40" s="335">
        <f t="shared" si="33"/>
        <v>15</v>
      </c>
      <c r="W40" s="335">
        <f t="shared" si="33"/>
        <v>14</v>
      </c>
      <c r="X40" s="335">
        <f t="shared" si="33"/>
        <v>12</v>
      </c>
      <c r="Y40" s="335">
        <f t="shared" si="33"/>
        <v>15</v>
      </c>
      <c r="Z40" s="335">
        <f t="shared" si="33"/>
        <v>16</v>
      </c>
      <c r="AA40" s="335">
        <f t="shared" si="33"/>
        <v>18</v>
      </c>
      <c r="AB40" s="335">
        <f t="shared" si="33"/>
        <v>17</v>
      </c>
      <c r="AC40" s="335">
        <f t="shared" si="33"/>
        <v>19</v>
      </c>
      <c r="AD40" s="522"/>
      <c r="AE40" s="201"/>
      <c r="AG40" s="331"/>
      <c r="AH40" s="331"/>
      <c r="AI40" s="331"/>
      <c r="AJ40" s="331"/>
      <c r="AK40" s="331"/>
      <c r="AL40" s="331"/>
      <c r="AM40" s="332"/>
      <c r="AN40" s="332"/>
      <c r="AO40" s="332"/>
    </row>
    <row r="41" spans="2:41" s="381" customFormat="1" ht="17.649999999999999" customHeight="1">
      <c r="B41" s="520" t="s">
        <v>2055</v>
      </c>
      <c r="C41" s="520" t="s">
        <v>2066</v>
      </c>
      <c r="D41" s="197" t="s">
        <v>2057</v>
      </c>
      <c r="E41" s="335">
        <f t="shared" ref="E41:AC41" si="34">COUNTIFS($C$433:$C$797,$B$41,AE$433:AE$797,"&gt;0",AE$433:AE$797,"&lt;=5")</f>
        <v>194</v>
      </c>
      <c r="F41" s="335">
        <f t="shared" si="34"/>
        <v>182</v>
      </c>
      <c r="G41" s="335">
        <f t="shared" si="34"/>
        <v>174</v>
      </c>
      <c r="H41" s="335">
        <f t="shared" si="34"/>
        <v>176</v>
      </c>
      <c r="I41" s="335">
        <f t="shared" si="34"/>
        <v>179</v>
      </c>
      <c r="J41" s="335">
        <f t="shared" si="34"/>
        <v>188</v>
      </c>
      <c r="K41" s="335">
        <f t="shared" si="34"/>
        <v>208</v>
      </c>
      <c r="L41" s="335">
        <f t="shared" si="34"/>
        <v>188</v>
      </c>
      <c r="M41" s="335">
        <f t="shared" si="34"/>
        <v>201</v>
      </c>
      <c r="N41" s="335">
        <f t="shared" si="34"/>
        <v>188</v>
      </c>
      <c r="O41" s="335">
        <f t="shared" si="34"/>
        <v>188</v>
      </c>
      <c r="P41" s="335">
        <f t="shared" si="34"/>
        <v>203</v>
      </c>
      <c r="Q41" s="335">
        <f t="shared" si="34"/>
        <v>195</v>
      </c>
      <c r="R41" s="335">
        <f t="shared" si="34"/>
        <v>213</v>
      </c>
      <c r="S41" s="335">
        <f t="shared" si="34"/>
        <v>215</v>
      </c>
      <c r="T41" s="335">
        <f t="shared" si="34"/>
        <v>190</v>
      </c>
      <c r="U41" s="335">
        <f t="shared" si="34"/>
        <v>211</v>
      </c>
      <c r="V41" s="335">
        <f t="shared" si="34"/>
        <v>210</v>
      </c>
      <c r="W41" s="335">
        <f t="shared" si="34"/>
        <v>201</v>
      </c>
      <c r="X41" s="335">
        <f t="shared" si="34"/>
        <v>198</v>
      </c>
      <c r="Y41" s="335">
        <f t="shared" si="34"/>
        <v>199</v>
      </c>
      <c r="Z41" s="335">
        <f t="shared" si="34"/>
        <v>198</v>
      </c>
      <c r="AA41" s="335">
        <f t="shared" si="34"/>
        <v>178</v>
      </c>
      <c r="AB41" s="335">
        <f t="shared" si="34"/>
        <v>198</v>
      </c>
      <c r="AC41" s="335">
        <f t="shared" si="34"/>
        <v>205</v>
      </c>
      <c r="AD41" s="522" t="s">
        <v>2067</v>
      </c>
      <c r="AE41" s="201"/>
      <c r="AG41" s="331"/>
      <c r="AH41" s="331"/>
      <c r="AI41" s="331"/>
      <c r="AJ41" s="331"/>
      <c r="AK41" s="331"/>
      <c r="AL41" s="331"/>
      <c r="AM41" s="332"/>
      <c r="AN41" s="332"/>
      <c r="AO41" s="332"/>
    </row>
    <row r="42" spans="2:41" s="381" customFormat="1" ht="17.649999999999999" customHeight="1">
      <c r="B42" s="520"/>
      <c r="C42" s="520"/>
      <c r="D42" s="197" t="s">
        <v>2059</v>
      </c>
      <c r="E42" s="335">
        <f t="shared" ref="E42:AC42" si="35">COUNTIFS($C$433:$C$797,$B$41,AE$433:AE$797,"&gt;0",AE$433:AE$797,"&lt;=10")</f>
        <v>246</v>
      </c>
      <c r="F42" s="335">
        <f t="shared" si="35"/>
        <v>247</v>
      </c>
      <c r="G42" s="335">
        <f t="shared" si="35"/>
        <v>232</v>
      </c>
      <c r="H42" s="335">
        <f t="shared" si="35"/>
        <v>239</v>
      </c>
      <c r="I42" s="335">
        <f t="shared" si="35"/>
        <v>248</v>
      </c>
      <c r="J42" s="335">
        <f t="shared" si="35"/>
        <v>254</v>
      </c>
      <c r="K42" s="335">
        <f t="shared" si="35"/>
        <v>257</v>
      </c>
      <c r="L42" s="335">
        <f t="shared" si="35"/>
        <v>254</v>
      </c>
      <c r="M42" s="335">
        <f t="shared" si="35"/>
        <v>257</v>
      </c>
      <c r="N42" s="335">
        <f t="shared" si="35"/>
        <v>255</v>
      </c>
      <c r="O42" s="335">
        <f t="shared" si="35"/>
        <v>255</v>
      </c>
      <c r="P42" s="335">
        <f t="shared" si="35"/>
        <v>272</v>
      </c>
      <c r="Q42" s="335">
        <f t="shared" si="35"/>
        <v>260</v>
      </c>
      <c r="R42" s="335">
        <f t="shared" si="35"/>
        <v>271</v>
      </c>
      <c r="S42" s="335">
        <f t="shared" si="35"/>
        <v>269</v>
      </c>
      <c r="T42" s="335">
        <f t="shared" si="35"/>
        <v>266</v>
      </c>
      <c r="U42" s="335">
        <f t="shared" si="35"/>
        <v>270</v>
      </c>
      <c r="V42" s="335">
        <f t="shared" si="35"/>
        <v>270</v>
      </c>
      <c r="W42" s="335">
        <f t="shared" si="35"/>
        <v>269</v>
      </c>
      <c r="X42" s="335">
        <f t="shared" si="35"/>
        <v>266</v>
      </c>
      <c r="Y42" s="335">
        <f t="shared" si="35"/>
        <v>267</v>
      </c>
      <c r="Z42" s="335">
        <f t="shared" si="35"/>
        <v>267</v>
      </c>
      <c r="AA42" s="335">
        <f t="shared" si="35"/>
        <v>275</v>
      </c>
      <c r="AB42" s="335">
        <f t="shared" si="35"/>
        <v>270</v>
      </c>
      <c r="AC42" s="335">
        <f t="shared" si="35"/>
        <v>278</v>
      </c>
      <c r="AD42" s="522"/>
      <c r="AE42" s="201"/>
      <c r="AG42" s="331"/>
      <c r="AH42" s="331"/>
      <c r="AI42" s="331"/>
      <c r="AJ42" s="331"/>
      <c r="AK42" s="331"/>
      <c r="AL42" s="331"/>
      <c r="AM42" s="332"/>
      <c r="AN42" s="332"/>
      <c r="AO42" s="332"/>
    </row>
    <row r="43" spans="2:41" s="381" customFormat="1" ht="17.649999999999999" customHeight="1">
      <c r="B43" s="520"/>
      <c r="C43" s="520"/>
      <c r="D43" s="197" t="s">
        <v>2060</v>
      </c>
      <c r="E43" s="335">
        <f t="shared" ref="E43:AC43" si="36">COUNTIFS($C$433:$C$797,$B$41,AE$433:AE$797,"&gt;0",AE$433:AE$797,"&lt;=50")</f>
        <v>281</v>
      </c>
      <c r="F43" s="335">
        <f t="shared" si="36"/>
        <v>281</v>
      </c>
      <c r="G43" s="335">
        <f t="shared" si="36"/>
        <v>282</v>
      </c>
      <c r="H43" s="335">
        <f t="shared" si="36"/>
        <v>283</v>
      </c>
      <c r="I43" s="335">
        <f t="shared" si="36"/>
        <v>283</v>
      </c>
      <c r="J43" s="335">
        <f t="shared" si="36"/>
        <v>281</v>
      </c>
      <c r="K43" s="335">
        <f t="shared" si="36"/>
        <v>283</v>
      </c>
      <c r="L43" s="335">
        <f t="shared" si="36"/>
        <v>281</v>
      </c>
      <c r="M43" s="335">
        <f t="shared" si="36"/>
        <v>284</v>
      </c>
      <c r="N43" s="335">
        <f t="shared" si="36"/>
        <v>284</v>
      </c>
      <c r="O43" s="335">
        <f t="shared" si="36"/>
        <v>284</v>
      </c>
      <c r="P43" s="335">
        <f t="shared" si="36"/>
        <v>283</v>
      </c>
      <c r="Q43" s="335">
        <f t="shared" si="36"/>
        <v>284</v>
      </c>
      <c r="R43" s="335">
        <f t="shared" si="36"/>
        <v>283</v>
      </c>
      <c r="S43" s="335">
        <f t="shared" si="36"/>
        <v>284</v>
      </c>
      <c r="T43" s="335">
        <f t="shared" si="36"/>
        <v>284</v>
      </c>
      <c r="U43" s="335">
        <f t="shared" si="36"/>
        <v>283</v>
      </c>
      <c r="V43" s="335">
        <f t="shared" si="36"/>
        <v>285</v>
      </c>
      <c r="W43" s="335">
        <f t="shared" si="36"/>
        <v>283</v>
      </c>
      <c r="X43" s="335">
        <f t="shared" si="36"/>
        <v>284</v>
      </c>
      <c r="Y43" s="335">
        <f t="shared" si="36"/>
        <v>281</v>
      </c>
      <c r="Z43" s="335">
        <f t="shared" si="36"/>
        <v>282</v>
      </c>
      <c r="AA43" s="335">
        <f t="shared" si="36"/>
        <v>283</v>
      </c>
      <c r="AB43" s="335">
        <f t="shared" si="36"/>
        <v>284</v>
      </c>
      <c r="AC43" s="335">
        <f t="shared" si="36"/>
        <v>284</v>
      </c>
      <c r="AD43" s="522"/>
      <c r="AE43" s="201"/>
      <c r="AG43" s="331"/>
      <c r="AH43" s="331"/>
      <c r="AI43" s="331"/>
      <c r="AJ43" s="331"/>
      <c r="AK43" s="331"/>
      <c r="AL43" s="331"/>
      <c r="AM43" s="332"/>
      <c r="AN43" s="332"/>
      <c r="AO43" s="332"/>
    </row>
    <row r="44" spans="2:41" s="381" customFormat="1" ht="17.649999999999999" customHeight="1">
      <c r="B44" s="520" t="s">
        <v>2061</v>
      </c>
      <c r="C44" s="520" t="s">
        <v>2066</v>
      </c>
      <c r="D44" s="197" t="s">
        <v>2057</v>
      </c>
      <c r="E44" s="335">
        <f t="shared" ref="E44:AC44" si="37">COUNTIFS($C$433:$C$797,$B$44,AE$433:AE$797,"&gt;0",AE$433:AE$797,"&lt;=5")</f>
        <v>12</v>
      </c>
      <c r="F44" s="335">
        <f t="shared" si="37"/>
        <v>10</v>
      </c>
      <c r="G44" s="335">
        <f t="shared" si="37"/>
        <v>13</v>
      </c>
      <c r="H44" s="335">
        <f t="shared" si="37"/>
        <v>21</v>
      </c>
      <c r="I44" s="335">
        <f t="shared" si="37"/>
        <v>17</v>
      </c>
      <c r="J44" s="335">
        <f t="shared" si="37"/>
        <v>14</v>
      </c>
      <c r="K44" s="335">
        <f t="shared" si="37"/>
        <v>20</v>
      </c>
      <c r="L44" s="335">
        <f t="shared" si="37"/>
        <v>14</v>
      </c>
      <c r="M44" s="335">
        <f t="shared" si="37"/>
        <v>18</v>
      </c>
      <c r="N44" s="335">
        <f t="shared" si="37"/>
        <v>20</v>
      </c>
      <c r="O44" s="335">
        <f t="shared" si="37"/>
        <v>20</v>
      </c>
      <c r="P44" s="335">
        <f t="shared" si="37"/>
        <v>21</v>
      </c>
      <c r="Q44" s="335">
        <f t="shared" si="37"/>
        <v>20</v>
      </c>
      <c r="R44" s="335">
        <f t="shared" si="37"/>
        <v>28</v>
      </c>
      <c r="S44" s="335">
        <f t="shared" si="37"/>
        <v>24</v>
      </c>
      <c r="T44" s="335">
        <f t="shared" si="37"/>
        <v>19</v>
      </c>
      <c r="U44" s="335">
        <f t="shared" si="37"/>
        <v>27</v>
      </c>
      <c r="V44" s="335">
        <f t="shared" si="37"/>
        <v>29</v>
      </c>
      <c r="W44" s="335">
        <f t="shared" si="37"/>
        <v>25</v>
      </c>
      <c r="X44" s="335">
        <f t="shared" si="37"/>
        <v>23</v>
      </c>
      <c r="Y44" s="335">
        <f t="shared" si="37"/>
        <v>22</v>
      </c>
      <c r="Z44" s="335">
        <f t="shared" si="37"/>
        <v>20</v>
      </c>
      <c r="AA44" s="335">
        <f t="shared" si="37"/>
        <v>24</v>
      </c>
      <c r="AB44" s="335">
        <f t="shared" si="37"/>
        <v>22</v>
      </c>
      <c r="AC44" s="335">
        <f t="shared" si="37"/>
        <v>24</v>
      </c>
      <c r="AD44" s="522" t="s">
        <v>2068</v>
      </c>
      <c r="AE44" s="201"/>
      <c r="AG44" s="331"/>
      <c r="AH44" s="331"/>
      <c r="AI44" s="331"/>
      <c r="AJ44" s="331"/>
      <c r="AK44" s="331"/>
      <c r="AL44" s="331"/>
      <c r="AM44" s="332"/>
      <c r="AN44" s="332"/>
      <c r="AO44" s="332"/>
    </row>
    <row r="45" spans="2:41" s="381" customFormat="1" ht="17.649999999999999" customHeight="1">
      <c r="B45" s="520"/>
      <c r="C45" s="520"/>
      <c r="D45" s="197" t="s">
        <v>2059</v>
      </c>
      <c r="E45" s="335">
        <f t="shared" ref="E45:AC45" si="38">COUNTIFS($C$433:$C$797,$B$44,AE$433:AE$797,"&gt;0",AE$433:AE$797,"&lt;=10")</f>
        <v>18</v>
      </c>
      <c r="F45" s="335">
        <f t="shared" si="38"/>
        <v>14</v>
      </c>
      <c r="G45" s="335">
        <f t="shared" si="38"/>
        <v>17</v>
      </c>
      <c r="H45" s="335">
        <f t="shared" si="38"/>
        <v>26</v>
      </c>
      <c r="I45" s="335">
        <f t="shared" si="38"/>
        <v>22</v>
      </c>
      <c r="J45" s="335">
        <f t="shared" si="38"/>
        <v>22</v>
      </c>
      <c r="K45" s="335">
        <f t="shared" si="38"/>
        <v>22</v>
      </c>
      <c r="L45" s="335">
        <f t="shared" si="38"/>
        <v>22</v>
      </c>
      <c r="M45" s="335">
        <f t="shared" si="38"/>
        <v>26</v>
      </c>
      <c r="N45" s="335">
        <f t="shared" si="38"/>
        <v>25</v>
      </c>
      <c r="O45" s="335">
        <f t="shared" si="38"/>
        <v>25</v>
      </c>
      <c r="P45" s="335">
        <f t="shared" si="38"/>
        <v>29</v>
      </c>
      <c r="Q45" s="335">
        <f t="shared" si="38"/>
        <v>34</v>
      </c>
      <c r="R45" s="335">
        <f t="shared" si="38"/>
        <v>38</v>
      </c>
      <c r="S45" s="335">
        <f t="shared" si="38"/>
        <v>35</v>
      </c>
      <c r="T45" s="335">
        <f t="shared" si="38"/>
        <v>31</v>
      </c>
      <c r="U45" s="335">
        <f t="shared" si="38"/>
        <v>36</v>
      </c>
      <c r="V45" s="335">
        <f t="shared" si="38"/>
        <v>38</v>
      </c>
      <c r="W45" s="335">
        <f t="shared" si="38"/>
        <v>35</v>
      </c>
      <c r="X45" s="335">
        <f t="shared" si="38"/>
        <v>33</v>
      </c>
      <c r="Y45" s="335">
        <f t="shared" si="38"/>
        <v>32</v>
      </c>
      <c r="Z45" s="335">
        <f t="shared" si="38"/>
        <v>35</v>
      </c>
      <c r="AA45" s="335">
        <f t="shared" si="38"/>
        <v>44</v>
      </c>
      <c r="AB45" s="335">
        <f t="shared" si="38"/>
        <v>46</v>
      </c>
      <c r="AC45" s="335">
        <f t="shared" si="38"/>
        <v>50</v>
      </c>
      <c r="AD45" s="522"/>
      <c r="AE45" s="201"/>
      <c r="AG45" s="331"/>
      <c r="AH45" s="331"/>
      <c r="AI45" s="331"/>
      <c r="AJ45" s="331"/>
      <c r="AK45" s="331"/>
      <c r="AL45" s="331"/>
      <c r="AM45" s="332"/>
      <c r="AN45" s="332"/>
      <c r="AO45" s="332"/>
    </row>
    <row r="46" spans="2:41" s="381" customFormat="1" ht="17.649999999999999" customHeight="1">
      <c r="B46" s="520"/>
      <c r="C46" s="520"/>
      <c r="D46" s="197" t="s">
        <v>2060</v>
      </c>
      <c r="E46" s="335">
        <f t="shared" ref="E46:AC46" si="39">COUNTIFS($C$433:$C$797,$B$44,AE$433:AE$797,"&gt;0",AE$433:AE$797,"&lt;=50")</f>
        <v>33</v>
      </c>
      <c r="F46" s="335">
        <f t="shared" si="39"/>
        <v>25</v>
      </c>
      <c r="G46" s="335">
        <f t="shared" si="39"/>
        <v>29</v>
      </c>
      <c r="H46" s="335">
        <f t="shared" si="39"/>
        <v>37</v>
      </c>
      <c r="I46" s="335">
        <f t="shared" si="39"/>
        <v>35</v>
      </c>
      <c r="J46" s="335">
        <f t="shared" si="39"/>
        <v>36</v>
      </c>
      <c r="K46" s="335">
        <f t="shared" si="39"/>
        <v>35</v>
      </c>
      <c r="L46" s="335">
        <f t="shared" si="39"/>
        <v>36</v>
      </c>
      <c r="M46" s="335">
        <f t="shared" si="39"/>
        <v>45</v>
      </c>
      <c r="N46" s="335">
        <f t="shared" si="39"/>
        <v>42</v>
      </c>
      <c r="O46" s="335">
        <f t="shared" si="39"/>
        <v>42</v>
      </c>
      <c r="P46" s="335">
        <f t="shared" si="39"/>
        <v>49</v>
      </c>
      <c r="Q46" s="335">
        <f t="shared" si="39"/>
        <v>52</v>
      </c>
      <c r="R46" s="335">
        <f t="shared" si="39"/>
        <v>53</v>
      </c>
      <c r="S46" s="335">
        <f t="shared" si="39"/>
        <v>53</v>
      </c>
      <c r="T46" s="335">
        <f t="shared" si="39"/>
        <v>50</v>
      </c>
      <c r="U46" s="335">
        <f t="shared" si="39"/>
        <v>51</v>
      </c>
      <c r="V46" s="335">
        <f t="shared" si="39"/>
        <v>50</v>
      </c>
      <c r="W46" s="335">
        <f t="shared" si="39"/>
        <v>47</v>
      </c>
      <c r="X46" s="335">
        <f t="shared" si="39"/>
        <v>44</v>
      </c>
      <c r="Y46" s="335">
        <f t="shared" si="39"/>
        <v>48</v>
      </c>
      <c r="Z46" s="335">
        <f t="shared" si="39"/>
        <v>50</v>
      </c>
      <c r="AA46" s="335">
        <f t="shared" si="39"/>
        <v>51</v>
      </c>
      <c r="AB46" s="335">
        <f t="shared" si="39"/>
        <v>57</v>
      </c>
      <c r="AC46" s="335">
        <f t="shared" si="39"/>
        <v>60</v>
      </c>
      <c r="AD46" s="522"/>
      <c r="AE46" s="201"/>
      <c r="AG46" s="331"/>
      <c r="AH46" s="331"/>
      <c r="AI46" s="331"/>
      <c r="AJ46" s="331"/>
      <c r="AK46" s="331"/>
      <c r="AL46" s="331"/>
      <c r="AM46" s="332"/>
      <c r="AN46" s="332"/>
      <c r="AO46" s="332"/>
    </row>
    <row r="47" spans="2:41" s="381" customFormat="1" ht="17.649999999999999" customHeight="1">
      <c r="B47" s="509" t="s">
        <v>2069</v>
      </c>
      <c r="C47" s="510"/>
      <c r="D47" s="337" t="s">
        <v>2059</v>
      </c>
      <c r="E47" s="338">
        <f t="shared" ref="E47:AC47" si="40">E42/200</f>
        <v>1.23</v>
      </c>
      <c r="F47" s="338">
        <f t="shared" si="40"/>
        <v>1.2350000000000001</v>
      </c>
      <c r="G47" s="338">
        <f t="shared" si="40"/>
        <v>1.1599999999999999</v>
      </c>
      <c r="H47" s="338">
        <f t="shared" si="40"/>
        <v>1.1950000000000001</v>
      </c>
      <c r="I47" s="338">
        <f t="shared" si="40"/>
        <v>1.24</v>
      </c>
      <c r="J47" s="338">
        <f t="shared" si="40"/>
        <v>1.27</v>
      </c>
      <c r="K47" s="338">
        <f t="shared" si="40"/>
        <v>1.2849999999999999</v>
      </c>
      <c r="L47" s="338">
        <f t="shared" si="40"/>
        <v>1.27</v>
      </c>
      <c r="M47" s="338">
        <f t="shared" si="40"/>
        <v>1.2849999999999999</v>
      </c>
      <c r="N47" s="338">
        <f t="shared" si="40"/>
        <v>1.2749999999999999</v>
      </c>
      <c r="O47" s="338">
        <f t="shared" si="40"/>
        <v>1.2749999999999999</v>
      </c>
      <c r="P47" s="338">
        <f t="shared" si="40"/>
        <v>1.36</v>
      </c>
      <c r="Q47" s="338">
        <f t="shared" si="40"/>
        <v>1.3</v>
      </c>
      <c r="R47" s="338">
        <f t="shared" si="40"/>
        <v>1.355</v>
      </c>
      <c r="S47" s="338">
        <f t="shared" si="40"/>
        <v>1.345</v>
      </c>
      <c r="T47" s="338">
        <f t="shared" si="40"/>
        <v>1.33</v>
      </c>
      <c r="U47" s="338">
        <f t="shared" si="40"/>
        <v>1.35</v>
      </c>
      <c r="V47" s="338">
        <f t="shared" si="40"/>
        <v>1.35</v>
      </c>
      <c r="W47" s="338">
        <f t="shared" si="40"/>
        <v>1.345</v>
      </c>
      <c r="X47" s="338">
        <f t="shared" si="40"/>
        <v>1.33</v>
      </c>
      <c r="Y47" s="338">
        <f t="shared" si="40"/>
        <v>1.335</v>
      </c>
      <c r="Z47" s="338">
        <f t="shared" si="40"/>
        <v>1.335</v>
      </c>
      <c r="AA47" s="338">
        <f t="shared" si="40"/>
        <v>1.375</v>
      </c>
      <c r="AB47" s="338">
        <f t="shared" si="40"/>
        <v>1.35</v>
      </c>
      <c r="AC47" s="338">
        <f t="shared" si="40"/>
        <v>1.39</v>
      </c>
      <c r="AD47" s="339" t="s">
        <v>2070</v>
      </c>
      <c r="AE47" s="207">
        <v>0.95499999999999996</v>
      </c>
      <c r="AG47" s="331"/>
      <c r="AH47" s="331"/>
      <c r="AI47" s="331"/>
      <c r="AJ47" s="331"/>
      <c r="AK47" s="331"/>
      <c r="AL47" s="331"/>
      <c r="AM47" s="332"/>
      <c r="AN47" s="332"/>
      <c r="AO47" s="332"/>
    </row>
    <row r="48" spans="2:41" s="381" customFormat="1" ht="17.649999999999999" customHeight="1">
      <c r="B48" s="509" t="s">
        <v>2071</v>
      </c>
      <c r="C48" s="510"/>
      <c r="D48" s="337" t="s">
        <v>2059</v>
      </c>
      <c r="E48" s="338">
        <f t="shared" ref="E48:AC48" si="41">E45/80</f>
        <v>0.22500000000000001</v>
      </c>
      <c r="F48" s="338">
        <f t="shared" si="41"/>
        <v>0.17499999999999999</v>
      </c>
      <c r="G48" s="338">
        <f t="shared" si="41"/>
        <v>0.21249999999999999</v>
      </c>
      <c r="H48" s="338">
        <f t="shared" si="41"/>
        <v>0.32500000000000001</v>
      </c>
      <c r="I48" s="338">
        <f t="shared" si="41"/>
        <v>0.27500000000000002</v>
      </c>
      <c r="J48" s="338">
        <f t="shared" si="41"/>
        <v>0.27500000000000002</v>
      </c>
      <c r="K48" s="338">
        <f t="shared" si="41"/>
        <v>0.27500000000000002</v>
      </c>
      <c r="L48" s="338">
        <f t="shared" si="41"/>
        <v>0.27500000000000002</v>
      </c>
      <c r="M48" s="338">
        <f t="shared" si="41"/>
        <v>0.32500000000000001</v>
      </c>
      <c r="N48" s="338">
        <f t="shared" si="41"/>
        <v>0.3125</v>
      </c>
      <c r="O48" s="338">
        <f t="shared" si="41"/>
        <v>0.3125</v>
      </c>
      <c r="P48" s="338">
        <f t="shared" si="41"/>
        <v>0.36249999999999999</v>
      </c>
      <c r="Q48" s="338">
        <f t="shared" si="41"/>
        <v>0.42499999999999999</v>
      </c>
      <c r="R48" s="338">
        <f t="shared" si="41"/>
        <v>0.47499999999999998</v>
      </c>
      <c r="S48" s="338">
        <f t="shared" si="41"/>
        <v>0.4375</v>
      </c>
      <c r="T48" s="338">
        <f t="shared" si="41"/>
        <v>0.38750000000000001</v>
      </c>
      <c r="U48" s="338">
        <f t="shared" si="41"/>
        <v>0.45</v>
      </c>
      <c r="V48" s="338">
        <f t="shared" si="41"/>
        <v>0.47499999999999998</v>
      </c>
      <c r="W48" s="338">
        <f t="shared" si="41"/>
        <v>0.4375</v>
      </c>
      <c r="X48" s="338">
        <f t="shared" si="41"/>
        <v>0.41249999999999998</v>
      </c>
      <c r="Y48" s="338">
        <f t="shared" si="41"/>
        <v>0.4</v>
      </c>
      <c r="Z48" s="338">
        <f t="shared" si="41"/>
        <v>0.4375</v>
      </c>
      <c r="AA48" s="338">
        <f t="shared" si="41"/>
        <v>0.55000000000000004</v>
      </c>
      <c r="AB48" s="338">
        <f t="shared" si="41"/>
        <v>0.57499999999999996</v>
      </c>
      <c r="AC48" s="338">
        <f t="shared" si="41"/>
        <v>0.625</v>
      </c>
      <c r="AD48" s="197" t="s">
        <v>2068</v>
      </c>
      <c r="AE48" s="207">
        <v>0.4</v>
      </c>
      <c r="AG48" s="331"/>
      <c r="AH48" s="331"/>
      <c r="AI48" s="331"/>
      <c r="AJ48" s="331"/>
      <c r="AK48" s="331"/>
      <c r="AL48" s="331"/>
      <c r="AM48" s="332"/>
      <c r="AN48" s="332"/>
      <c r="AO48" s="332"/>
    </row>
    <row r="49" spans="1:55" s="381" customFormat="1" ht="17.649999999999999" customHeight="1">
      <c r="B49" s="508" t="s">
        <v>2066</v>
      </c>
      <c r="C49" s="508"/>
      <c r="D49" s="337" t="s">
        <v>2059</v>
      </c>
      <c r="E49" s="336">
        <f t="shared" ref="E49:AC49" si="42">E45+E42</f>
        <v>264</v>
      </c>
      <c r="F49" s="336">
        <f t="shared" si="42"/>
        <v>261</v>
      </c>
      <c r="G49" s="336">
        <f t="shared" si="42"/>
        <v>249</v>
      </c>
      <c r="H49" s="336">
        <f t="shared" si="42"/>
        <v>265</v>
      </c>
      <c r="I49" s="336">
        <f t="shared" si="42"/>
        <v>270</v>
      </c>
      <c r="J49" s="336">
        <f t="shared" si="42"/>
        <v>276</v>
      </c>
      <c r="K49" s="336">
        <f t="shared" si="42"/>
        <v>279</v>
      </c>
      <c r="L49" s="336">
        <f t="shared" si="42"/>
        <v>276</v>
      </c>
      <c r="M49" s="336">
        <f t="shared" si="42"/>
        <v>283</v>
      </c>
      <c r="N49" s="336">
        <f t="shared" si="42"/>
        <v>280</v>
      </c>
      <c r="O49" s="336">
        <f t="shared" si="42"/>
        <v>280</v>
      </c>
      <c r="P49" s="336">
        <f t="shared" si="42"/>
        <v>301</v>
      </c>
      <c r="Q49" s="336">
        <f t="shared" si="42"/>
        <v>294</v>
      </c>
      <c r="R49" s="336">
        <f t="shared" si="42"/>
        <v>309</v>
      </c>
      <c r="S49" s="336">
        <f t="shared" si="42"/>
        <v>304</v>
      </c>
      <c r="T49" s="336">
        <f t="shared" si="42"/>
        <v>297</v>
      </c>
      <c r="U49" s="336">
        <f t="shared" si="42"/>
        <v>306</v>
      </c>
      <c r="V49" s="336">
        <f t="shared" si="42"/>
        <v>308</v>
      </c>
      <c r="W49" s="336">
        <f t="shared" si="42"/>
        <v>304</v>
      </c>
      <c r="X49" s="336">
        <f t="shared" si="42"/>
        <v>299</v>
      </c>
      <c r="Y49" s="336">
        <f t="shared" si="42"/>
        <v>299</v>
      </c>
      <c r="Z49" s="336">
        <f t="shared" si="42"/>
        <v>302</v>
      </c>
      <c r="AA49" s="336">
        <f t="shared" si="42"/>
        <v>319</v>
      </c>
      <c r="AB49" s="336">
        <f t="shared" si="42"/>
        <v>316</v>
      </c>
      <c r="AC49" s="336">
        <f t="shared" si="42"/>
        <v>328</v>
      </c>
      <c r="AD49" s="523" t="s">
        <v>2074</v>
      </c>
      <c r="AE49" s="201"/>
      <c r="AG49" s="331"/>
      <c r="AH49" s="331"/>
      <c r="AI49" s="331"/>
      <c r="AJ49" s="331"/>
      <c r="AK49" s="331"/>
      <c r="AL49" s="331"/>
      <c r="AM49" s="332"/>
      <c r="AN49" s="332"/>
      <c r="AO49" s="332"/>
    </row>
    <row r="50" spans="1:55" s="381" customFormat="1" ht="17.649999999999999" customHeight="1">
      <c r="B50" s="508" t="s">
        <v>2075</v>
      </c>
      <c r="C50" s="508"/>
      <c r="D50" s="508"/>
      <c r="E50" s="338">
        <f t="shared" ref="E50:AC50" si="43">E49/365</f>
        <v>0.72328767123287674</v>
      </c>
      <c r="F50" s="338">
        <f t="shared" si="43"/>
        <v>0.71506849315068488</v>
      </c>
      <c r="G50" s="338">
        <f t="shared" si="43"/>
        <v>0.68219178082191778</v>
      </c>
      <c r="H50" s="338">
        <f t="shared" si="43"/>
        <v>0.72602739726027399</v>
      </c>
      <c r="I50" s="338">
        <f t="shared" si="43"/>
        <v>0.73972602739726023</v>
      </c>
      <c r="J50" s="338">
        <f t="shared" si="43"/>
        <v>0.75616438356164384</v>
      </c>
      <c r="K50" s="338">
        <f t="shared" si="43"/>
        <v>0.76438356164383559</v>
      </c>
      <c r="L50" s="338">
        <f t="shared" si="43"/>
        <v>0.75616438356164384</v>
      </c>
      <c r="M50" s="338">
        <f t="shared" si="43"/>
        <v>0.77534246575342469</v>
      </c>
      <c r="N50" s="338">
        <f t="shared" si="43"/>
        <v>0.76712328767123283</v>
      </c>
      <c r="O50" s="338">
        <f t="shared" si="43"/>
        <v>0.76712328767123283</v>
      </c>
      <c r="P50" s="338">
        <f t="shared" si="43"/>
        <v>0.8246575342465754</v>
      </c>
      <c r="Q50" s="338">
        <f t="shared" si="43"/>
        <v>0.80547945205479454</v>
      </c>
      <c r="R50" s="338">
        <f t="shared" si="43"/>
        <v>0.84657534246575339</v>
      </c>
      <c r="S50" s="338">
        <f t="shared" si="43"/>
        <v>0.83287671232876714</v>
      </c>
      <c r="T50" s="338">
        <f t="shared" si="43"/>
        <v>0.81369863013698629</v>
      </c>
      <c r="U50" s="338">
        <f t="shared" si="43"/>
        <v>0.83835616438356164</v>
      </c>
      <c r="V50" s="338">
        <f t="shared" si="43"/>
        <v>0.84383561643835614</v>
      </c>
      <c r="W50" s="338">
        <f t="shared" si="43"/>
        <v>0.83287671232876714</v>
      </c>
      <c r="X50" s="338">
        <f t="shared" si="43"/>
        <v>0.81917808219178079</v>
      </c>
      <c r="Y50" s="338">
        <f t="shared" si="43"/>
        <v>0.81917808219178079</v>
      </c>
      <c r="Z50" s="338">
        <f t="shared" si="43"/>
        <v>0.82739726027397265</v>
      </c>
      <c r="AA50" s="338">
        <f t="shared" si="43"/>
        <v>0.87397260273972599</v>
      </c>
      <c r="AB50" s="338">
        <f t="shared" si="43"/>
        <v>0.86575342465753424</v>
      </c>
      <c r="AC50" s="338">
        <f t="shared" si="43"/>
        <v>0.89863013698630134</v>
      </c>
      <c r="AD50" s="524"/>
      <c r="AE50" s="201"/>
      <c r="AG50" s="331"/>
      <c r="AH50" s="331"/>
      <c r="AI50" s="331"/>
      <c r="AJ50" s="331"/>
      <c r="AK50" s="331"/>
      <c r="AL50" s="331"/>
      <c r="AM50" s="332"/>
      <c r="AN50" s="332"/>
      <c r="AO50" s="332"/>
    </row>
    <row r="51" spans="1:55" s="381" customFormat="1" ht="17.649999999999999" customHeight="1">
      <c r="B51" s="340"/>
      <c r="C51" s="340"/>
      <c r="D51" s="332"/>
      <c r="E51" s="340"/>
      <c r="F51" s="340"/>
      <c r="G51" s="340"/>
      <c r="H51" s="340"/>
      <c r="I51" s="340"/>
      <c r="J51" s="340"/>
      <c r="K51" s="340"/>
      <c r="L51" s="340"/>
      <c r="M51" s="340"/>
      <c r="N51" s="340"/>
      <c r="O51" s="340"/>
      <c r="P51" s="340"/>
      <c r="Q51" s="340"/>
      <c r="R51" s="340"/>
      <c r="S51" s="340"/>
      <c r="T51" s="340"/>
      <c r="U51" s="340"/>
      <c r="V51" s="340"/>
      <c r="W51" s="340"/>
      <c r="X51" s="340"/>
      <c r="Y51" s="340"/>
      <c r="Z51" s="340"/>
      <c r="AA51" s="340"/>
      <c r="AB51" s="340"/>
      <c r="AC51" s="340"/>
      <c r="AD51" s="340"/>
      <c r="AE51" s="331"/>
      <c r="AF51" s="331"/>
      <c r="AG51" s="331"/>
      <c r="AH51" s="331"/>
      <c r="AI51" s="331"/>
      <c r="AJ51" s="331"/>
      <c r="AK51" s="331"/>
      <c r="AL51" s="331"/>
      <c r="AM51" s="332"/>
      <c r="AN51" s="332"/>
      <c r="AO51" s="332"/>
    </row>
    <row r="52" spans="1:55" s="381" customFormat="1" ht="17.649999999999999" customHeight="1">
      <c r="B52" s="340"/>
      <c r="C52" s="340"/>
      <c r="D52" s="332"/>
      <c r="E52" s="340"/>
      <c r="F52" s="340"/>
      <c r="G52" s="340"/>
      <c r="H52" s="340"/>
      <c r="I52" s="340"/>
      <c r="J52" s="340"/>
      <c r="K52" s="340"/>
      <c r="L52" s="340"/>
      <c r="M52" s="340"/>
      <c r="N52" s="340"/>
      <c r="O52" s="340"/>
      <c r="P52" s="340"/>
      <c r="Q52" s="340"/>
      <c r="R52" s="340"/>
      <c r="S52" s="340"/>
      <c r="T52" s="340"/>
      <c r="U52" s="340"/>
      <c r="V52" s="340"/>
      <c r="W52" s="340"/>
      <c r="X52" s="340"/>
      <c r="Y52" s="340"/>
      <c r="Z52" s="340"/>
      <c r="AA52" s="340"/>
      <c r="AB52" s="340"/>
      <c r="AC52" s="340"/>
      <c r="AD52" s="340"/>
      <c r="AE52" s="331"/>
      <c r="AF52" s="331"/>
      <c r="AG52" s="331"/>
      <c r="AH52" s="331"/>
      <c r="AI52" s="331"/>
      <c r="AJ52" s="331"/>
      <c r="AK52" s="331"/>
      <c r="AL52" s="331"/>
      <c r="AM52" s="332"/>
      <c r="AN52" s="332"/>
      <c r="AO52" s="332"/>
    </row>
    <row r="53" spans="1:55" s="381" customFormat="1" ht="17.649999999999999" customHeight="1">
      <c r="B53" s="340"/>
      <c r="C53" s="340"/>
      <c r="D53" s="332"/>
      <c r="E53" s="340"/>
      <c r="F53" s="340"/>
      <c r="G53" s="340"/>
      <c r="H53" s="340"/>
      <c r="I53" s="340"/>
      <c r="J53" s="340"/>
      <c r="K53" s="340"/>
      <c r="L53" s="340"/>
      <c r="M53" s="340"/>
      <c r="N53" s="340"/>
      <c r="O53" s="340"/>
      <c r="P53" s="340"/>
      <c r="Q53" s="340"/>
      <c r="R53" s="340"/>
      <c r="S53" s="340"/>
      <c r="T53" s="340"/>
      <c r="U53" s="340"/>
      <c r="V53" s="340"/>
      <c r="W53" s="340"/>
      <c r="X53" s="340"/>
      <c r="Y53" s="340"/>
      <c r="Z53" s="340"/>
      <c r="AA53" s="340"/>
      <c r="AB53" s="340"/>
      <c r="AC53" s="340"/>
      <c r="AD53" s="340"/>
      <c r="AE53" s="331"/>
      <c r="AF53" s="331"/>
      <c r="AG53" s="331"/>
      <c r="AH53" s="331"/>
      <c r="AI53" s="331"/>
      <c r="AJ53" s="331"/>
      <c r="AK53" s="331"/>
      <c r="AL53" s="331"/>
      <c r="AM53" s="332"/>
      <c r="AN53" s="332"/>
      <c r="AO53" s="332"/>
    </row>
    <row r="54" spans="1:55" s="381" customFormat="1" ht="17.649999999999999" customHeight="1">
      <c r="B54" s="340"/>
      <c r="C54" s="340"/>
      <c r="D54" s="340"/>
      <c r="E54" s="340"/>
      <c r="F54" s="340"/>
      <c r="G54" s="340"/>
      <c r="H54" s="340"/>
      <c r="I54" s="340"/>
      <c r="J54" s="340"/>
      <c r="K54" s="340"/>
      <c r="L54" s="340"/>
      <c r="M54" s="340"/>
      <c r="N54" s="340"/>
      <c r="O54" s="340"/>
      <c r="P54" s="340"/>
      <c r="Q54" s="340"/>
      <c r="R54" s="340"/>
      <c r="S54" s="340"/>
      <c r="T54" s="340"/>
      <c r="U54" s="340"/>
      <c r="V54" s="340"/>
      <c r="W54" s="340"/>
      <c r="X54" s="340"/>
      <c r="Y54" s="340"/>
      <c r="Z54" s="340"/>
      <c r="AA54" s="340"/>
      <c r="AB54" s="340"/>
      <c r="AC54" s="340"/>
      <c r="AD54" s="340"/>
      <c r="AE54" s="331"/>
      <c r="AF54" s="331"/>
      <c r="AG54" s="331"/>
      <c r="AH54" s="331"/>
      <c r="AI54" s="331"/>
      <c r="AJ54" s="331"/>
      <c r="AK54" s="331"/>
      <c r="AL54" s="331"/>
      <c r="AM54" s="332"/>
      <c r="AN54" s="332"/>
      <c r="AO54" s="332"/>
    </row>
    <row r="55" spans="1:55" s="381" customFormat="1" ht="17.649999999999999" customHeight="1">
      <c r="B55" s="340"/>
      <c r="C55" s="340"/>
      <c r="D55" s="340"/>
      <c r="E55" s="340"/>
      <c r="F55" s="340"/>
      <c r="G55" s="340"/>
      <c r="H55" s="340"/>
      <c r="I55" s="340"/>
      <c r="J55" s="340"/>
      <c r="K55" s="340"/>
      <c r="L55" s="340"/>
      <c r="M55" s="340"/>
      <c r="N55" s="340"/>
      <c r="O55" s="340"/>
      <c r="P55" s="340"/>
      <c r="Q55" s="340"/>
      <c r="R55" s="340"/>
      <c r="S55" s="340"/>
      <c r="T55" s="340"/>
      <c r="U55" s="340"/>
      <c r="V55" s="340"/>
      <c r="W55" s="340"/>
      <c r="X55" s="340"/>
      <c r="Y55" s="340"/>
      <c r="Z55" s="340"/>
      <c r="AA55" s="340"/>
      <c r="AB55" s="340"/>
      <c r="AC55" s="340"/>
      <c r="AD55" s="340"/>
      <c r="AE55" s="331"/>
      <c r="AF55" s="331"/>
      <c r="AG55" s="331"/>
      <c r="AH55" s="331"/>
      <c r="AI55" s="331"/>
      <c r="AJ55" s="331"/>
      <c r="AK55" s="331"/>
      <c r="AL55" s="331"/>
      <c r="AM55" s="332"/>
      <c r="AN55" s="332"/>
      <c r="AO55" s="332"/>
    </row>
    <row r="56" spans="1:55" ht="16.75" customHeight="1"/>
    <row r="57" spans="1:55" s="381" customFormat="1" ht="17.649999999999999" customHeight="1">
      <c r="A57" s="516" t="s">
        <v>2076</v>
      </c>
      <c r="B57" s="516" t="s">
        <v>2077</v>
      </c>
      <c r="C57" s="516" t="s">
        <v>2027</v>
      </c>
      <c r="D57" s="516" t="s">
        <v>2028</v>
      </c>
      <c r="E57" s="511" t="s">
        <v>2078</v>
      </c>
      <c r="F57" s="512"/>
      <c r="G57" s="512"/>
      <c r="H57" s="512"/>
      <c r="I57" s="512"/>
      <c r="J57" s="512"/>
      <c r="K57" s="512"/>
      <c r="L57" s="512"/>
      <c r="M57" s="512"/>
      <c r="N57" s="512"/>
      <c r="O57" s="513"/>
      <c r="P57" s="341"/>
      <c r="Q57" s="341"/>
      <c r="R57" s="341"/>
      <c r="S57" s="341"/>
      <c r="T57" s="341"/>
      <c r="U57" s="341"/>
      <c r="V57" s="341"/>
      <c r="W57" s="341"/>
      <c r="X57" s="341"/>
      <c r="Y57" s="341"/>
      <c r="Z57" s="341"/>
      <c r="AA57" s="341"/>
      <c r="AB57" s="341"/>
      <c r="AC57" s="341"/>
      <c r="AD57" s="342"/>
      <c r="AE57" s="514" t="s">
        <v>1999</v>
      </c>
      <c r="AF57" s="515"/>
      <c r="AG57" s="515"/>
      <c r="AH57" s="515"/>
      <c r="AI57" s="515"/>
      <c r="AJ57" s="515"/>
      <c r="AK57" s="515"/>
      <c r="AL57" s="515"/>
      <c r="AM57" s="515"/>
      <c r="AN57" s="515"/>
      <c r="AO57" s="515"/>
      <c r="AP57" s="515"/>
      <c r="AQ57" s="515"/>
      <c r="AR57" s="515"/>
      <c r="AS57" s="515"/>
      <c r="AT57" s="515"/>
      <c r="AU57" s="515"/>
      <c r="AV57" s="515"/>
      <c r="AW57" s="515"/>
      <c r="AX57" s="515"/>
      <c r="AY57" s="515"/>
      <c r="AZ57" s="515"/>
      <c r="BA57" s="515"/>
      <c r="BB57" s="515"/>
      <c r="BC57" s="515"/>
    </row>
    <row r="58" spans="1:55" s="381" customFormat="1" ht="17.649999999999999" customHeight="1">
      <c r="A58" s="517"/>
      <c r="B58" s="516"/>
      <c r="C58" s="516"/>
      <c r="D58" s="516"/>
      <c r="E58" s="516" t="s">
        <v>2000</v>
      </c>
      <c r="F58" s="516" t="s">
        <v>2001</v>
      </c>
      <c r="G58" s="516" t="s">
        <v>2002</v>
      </c>
      <c r="H58" s="516" t="s">
        <v>2003</v>
      </c>
      <c r="I58" s="516" t="s">
        <v>2004</v>
      </c>
      <c r="J58" s="516" t="s">
        <v>2005</v>
      </c>
      <c r="K58" s="516" t="s">
        <v>2006</v>
      </c>
      <c r="L58" s="516" t="s">
        <v>2007</v>
      </c>
      <c r="M58" s="516" t="s">
        <v>2008</v>
      </c>
      <c r="N58" s="516" t="s">
        <v>2009</v>
      </c>
      <c r="O58" s="516" t="s">
        <v>2010</v>
      </c>
      <c r="P58" s="516" t="s">
        <v>2011</v>
      </c>
      <c r="Q58" s="516" t="s">
        <v>2012</v>
      </c>
      <c r="R58" s="516" t="s">
        <v>2013</v>
      </c>
      <c r="S58" s="516" t="s">
        <v>2014</v>
      </c>
      <c r="T58" s="516" t="s">
        <v>2015</v>
      </c>
      <c r="U58" s="516" t="s">
        <v>2016</v>
      </c>
      <c r="V58" s="516" t="s">
        <v>2017</v>
      </c>
      <c r="W58" s="516" t="s">
        <v>2018</v>
      </c>
      <c r="X58" s="516" t="s">
        <v>2019</v>
      </c>
      <c r="Y58" s="516" t="s">
        <v>2020</v>
      </c>
      <c r="Z58" s="516" t="s">
        <v>2021</v>
      </c>
      <c r="AA58" s="516" t="s">
        <v>2022</v>
      </c>
      <c r="AB58" s="516" t="s">
        <v>2023</v>
      </c>
      <c r="AC58" s="516" t="s">
        <v>2024</v>
      </c>
      <c r="AD58" s="525" t="s">
        <v>2079</v>
      </c>
      <c r="AE58" s="528" t="s">
        <v>2000</v>
      </c>
      <c r="AF58" s="528" t="s">
        <v>2001</v>
      </c>
      <c r="AG58" s="528" t="s">
        <v>2002</v>
      </c>
      <c r="AH58" s="528" t="s">
        <v>2003</v>
      </c>
      <c r="AI58" s="528" t="s">
        <v>2004</v>
      </c>
      <c r="AJ58" s="528" t="s">
        <v>2005</v>
      </c>
      <c r="AK58" s="528" t="s">
        <v>2006</v>
      </c>
      <c r="AL58" s="528" t="s">
        <v>2007</v>
      </c>
      <c r="AM58" s="528" t="s">
        <v>2008</v>
      </c>
      <c r="AN58" s="528" t="s">
        <v>2009</v>
      </c>
      <c r="AO58" s="528" t="s">
        <v>2080</v>
      </c>
      <c r="AP58" s="528" t="s">
        <v>2011</v>
      </c>
      <c r="AQ58" s="528" t="s">
        <v>2012</v>
      </c>
      <c r="AR58" s="516" t="s">
        <v>2013</v>
      </c>
      <c r="AS58" s="516" t="s">
        <v>2014</v>
      </c>
      <c r="AT58" s="516" t="s">
        <v>2015</v>
      </c>
      <c r="AU58" s="516" t="s">
        <v>2016</v>
      </c>
      <c r="AV58" s="516" t="s">
        <v>2017</v>
      </c>
      <c r="AW58" s="516" t="s">
        <v>2018</v>
      </c>
      <c r="AX58" s="516" t="s">
        <v>2019</v>
      </c>
      <c r="AY58" s="516" t="s">
        <v>2020</v>
      </c>
      <c r="AZ58" s="516" t="s">
        <v>2021</v>
      </c>
      <c r="BA58" s="516" t="s">
        <v>2022</v>
      </c>
      <c r="BB58" s="516" t="s">
        <v>2023</v>
      </c>
      <c r="BC58" s="516" t="s">
        <v>2024</v>
      </c>
    </row>
    <row r="59" spans="1:55" s="381" customFormat="1" ht="17.649999999999999" customHeight="1">
      <c r="A59" s="517"/>
      <c r="B59" s="516"/>
      <c r="C59" s="516"/>
      <c r="D59" s="516"/>
      <c r="E59" s="516"/>
      <c r="F59" s="516"/>
      <c r="G59" s="516"/>
      <c r="H59" s="516"/>
      <c r="I59" s="516"/>
      <c r="J59" s="516"/>
      <c r="K59" s="516"/>
      <c r="L59" s="516"/>
      <c r="M59" s="516"/>
      <c r="N59" s="516"/>
      <c r="O59" s="516"/>
      <c r="P59" s="516"/>
      <c r="Q59" s="516"/>
      <c r="R59" s="516"/>
      <c r="S59" s="516"/>
      <c r="T59" s="516"/>
      <c r="U59" s="516"/>
      <c r="V59" s="516"/>
      <c r="W59" s="516"/>
      <c r="X59" s="516"/>
      <c r="Y59" s="516"/>
      <c r="Z59" s="516"/>
      <c r="AA59" s="516"/>
      <c r="AB59" s="516"/>
      <c r="AC59" s="516"/>
      <c r="AD59" s="525"/>
      <c r="AE59" s="516"/>
      <c r="AF59" s="516"/>
      <c r="AG59" s="516"/>
      <c r="AH59" s="516"/>
      <c r="AI59" s="516"/>
      <c r="AJ59" s="516"/>
      <c r="AK59" s="516"/>
      <c r="AL59" s="516"/>
      <c r="AM59" s="516"/>
      <c r="AN59" s="516"/>
      <c r="AO59" s="516"/>
      <c r="AP59" s="516"/>
      <c r="AQ59" s="516"/>
      <c r="AR59" s="516"/>
      <c r="AS59" s="516"/>
      <c r="AT59" s="516"/>
      <c r="AU59" s="516"/>
      <c r="AV59" s="516"/>
      <c r="AW59" s="516"/>
      <c r="AX59" s="516"/>
      <c r="AY59" s="516"/>
      <c r="AZ59" s="516"/>
      <c r="BA59" s="516"/>
      <c r="BB59" s="516"/>
      <c r="BC59" s="516"/>
    </row>
    <row r="60" spans="1:55" s="381" customFormat="1" ht="17.649999999999999" customHeight="1">
      <c r="A60" s="517"/>
      <c r="B60" s="516"/>
      <c r="C60" s="516"/>
      <c r="D60" s="516"/>
      <c r="E60" s="334" t="s">
        <v>2081</v>
      </c>
      <c r="F60" s="334" t="s">
        <v>2031</v>
      </c>
      <c r="G60" s="334" t="s">
        <v>2032</v>
      </c>
      <c r="H60" s="334" t="s">
        <v>2033</v>
      </c>
      <c r="I60" s="334" t="s">
        <v>2034</v>
      </c>
      <c r="J60" s="334" t="s">
        <v>2035</v>
      </c>
      <c r="K60" s="334" t="s">
        <v>2036</v>
      </c>
      <c r="L60" s="334" t="s">
        <v>2037</v>
      </c>
      <c r="M60" s="334" t="s">
        <v>2038</v>
      </c>
      <c r="N60" s="334" t="s">
        <v>2039</v>
      </c>
      <c r="O60" s="334" t="s">
        <v>2040</v>
      </c>
      <c r="P60" s="334" t="s">
        <v>2041</v>
      </c>
      <c r="Q60" s="334" t="s">
        <v>2042</v>
      </c>
      <c r="R60" s="334" t="s">
        <v>2043</v>
      </c>
      <c r="S60" s="334" t="s">
        <v>2044</v>
      </c>
      <c r="T60" s="334" t="s">
        <v>2045</v>
      </c>
      <c r="U60" s="334" t="s">
        <v>2046</v>
      </c>
      <c r="V60" s="334" t="s">
        <v>2047</v>
      </c>
      <c r="W60" s="334" t="s">
        <v>2048</v>
      </c>
      <c r="X60" s="334" t="s">
        <v>2049</v>
      </c>
      <c r="Y60" s="334" t="s">
        <v>2050</v>
      </c>
      <c r="Z60" s="334" t="s">
        <v>2051</v>
      </c>
      <c r="AA60" s="334" t="s">
        <v>2052</v>
      </c>
      <c r="AB60" s="334" t="s">
        <v>2053</v>
      </c>
      <c r="AC60" s="334" t="s">
        <v>2054</v>
      </c>
      <c r="AD60" s="526"/>
      <c r="AE60" s="334" t="s">
        <v>2081</v>
      </c>
      <c r="AF60" s="334" t="s">
        <v>2031</v>
      </c>
      <c r="AG60" s="334" t="s">
        <v>2032</v>
      </c>
      <c r="AH60" s="329" t="s">
        <v>2033</v>
      </c>
      <c r="AI60" s="329" t="s">
        <v>2034</v>
      </c>
      <c r="AJ60" s="329" t="s">
        <v>2035</v>
      </c>
      <c r="AK60" s="329" t="s">
        <v>2036</v>
      </c>
      <c r="AL60" s="329" t="s">
        <v>2037</v>
      </c>
      <c r="AM60" s="329" t="s">
        <v>2038</v>
      </c>
      <c r="AN60" s="329" t="s">
        <v>2039</v>
      </c>
      <c r="AO60" s="329" t="s">
        <v>2040</v>
      </c>
      <c r="AP60" s="334" t="s">
        <v>2041</v>
      </c>
      <c r="AQ60" s="334" t="s">
        <v>2042</v>
      </c>
      <c r="AR60" s="334" t="s">
        <v>2043</v>
      </c>
      <c r="AS60" s="334" t="s">
        <v>2044</v>
      </c>
      <c r="AT60" s="334" t="s">
        <v>2045</v>
      </c>
      <c r="AU60" s="334" t="s">
        <v>2046</v>
      </c>
      <c r="AV60" s="334" t="s">
        <v>2047</v>
      </c>
      <c r="AW60" s="334" t="s">
        <v>2048</v>
      </c>
      <c r="AX60" s="334" t="s">
        <v>2049</v>
      </c>
      <c r="AY60" s="334" t="s">
        <v>2050</v>
      </c>
      <c r="AZ60" s="334" t="s">
        <v>2051</v>
      </c>
      <c r="BA60" s="334" t="s">
        <v>2052</v>
      </c>
      <c r="BB60" s="334" t="s">
        <v>2053</v>
      </c>
      <c r="BC60" s="334" t="s">
        <v>2054</v>
      </c>
    </row>
    <row r="61" spans="1:55" s="381" customFormat="1" ht="17.649999999999999" customHeight="1">
      <c r="A61" s="343">
        <v>1</v>
      </c>
      <c r="B61" s="211" t="s">
        <v>2082</v>
      </c>
      <c r="C61" s="211" t="s">
        <v>2055</v>
      </c>
      <c r="D61" s="211" t="s">
        <v>2063</v>
      </c>
      <c r="E61" s="344">
        <v>31776</v>
      </c>
      <c r="F61" s="344">
        <v>32655</v>
      </c>
      <c r="G61" s="209">
        <v>31461.5</v>
      </c>
      <c r="H61" s="344">
        <v>30031.866666666701</v>
      </c>
      <c r="I61" s="344">
        <v>28985.833333333299</v>
      </c>
      <c r="J61" s="344">
        <v>29912.400000000001</v>
      </c>
      <c r="K61" s="344">
        <v>27534.0333333333</v>
      </c>
      <c r="L61" s="344">
        <f t="shared" ref="L61:L124" si="44">K61/30*7</f>
        <v>6424.60777777777</v>
      </c>
      <c r="M61" s="344">
        <v>18405.566666666698</v>
      </c>
      <c r="N61" s="344">
        <v>20057.099999999999</v>
      </c>
      <c r="O61" s="344">
        <v>21913.0333333333</v>
      </c>
      <c r="P61" s="344">
        <v>28487.200000000001</v>
      </c>
      <c r="Q61" s="344">
        <v>35891.333333333299</v>
      </c>
      <c r="R61" s="344">
        <v>36495.199999999997</v>
      </c>
      <c r="S61" s="344">
        <v>36138.666666666701</v>
      </c>
      <c r="T61" s="344">
        <v>35518</v>
      </c>
      <c r="U61" s="344">
        <v>34866.300000000003</v>
      </c>
      <c r="V61" s="344">
        <v>33183.733333333301</v>
      </c>
      <c r="W61" s="344">
        <v>30678.9</v>
      </c>
      <c r="X61" s="344">
        <v>31428.6</v>
      </c>
      <c r="Y61" s="344">
        <v>30412.666666666701</v>
      </c>
      <c r="Z61" s="344">
        <v>30957.9666666667</v>
      </c>
      <c r="AA61" s="344">
        <v>32439.633333333299</v>
      </c>
      <c r="AB61" s="344">
        <v>32963.466666666704</v>
      </c>
      <c r="AC61" s="344">
        <v>31380.766666666699</v>
      </c>
      <c r="AD61" s="344">
        <f t="shared" ref="AD61:AD124" si="45">AC61-AB61</f>
        <v>-1582.7000000000044</v>
      </c>
      <c r="AE61" s="344">
        <v>17</v>
      </c>
      <c r="AF61" s="344">
        <v>14</v>
      </c>
      <c r="AG61" s="345">
        <v>10</v>
      </c>
      <c r="AH61" s="346">
        <v>5</v>
      </c>
      <c r="AI61" s="197">
        <v>6</v>
      </c>
      <c r="AJ61" s="197">
        <v>11</v>
      </c>
      <c r="AK61" s="197">
        <v>4</v>
      </c>
      <c r="AL61" s="197">
        <v>4</v>
      </c>
      <c r="AM61" s="197">
        <v>10</v>
      </c>
      <c r="AN61" s="197">
        <v>10</v>
      </c>
      <c r="AO61" s="197">
        <v>10</v>
      </c>
      <c r="AP61" s="197">
        <v>10</v>
      </c>
      <c r="AQ61" s="197">
        <v>8</v>
      </c>
      <c r="AR61" s="197">
        <v>9</v>
      </c>
      <c r="AS61" s="197">
        <v>6</v>
      </c>
      <c r="AT61" s="347">
        <v>10</v>
      </c>
      <c r="AU61" s="347">
        <v>9</v>
      </c>
      <c r="AV61" s="347">
        <v>15</v>
      </c>
      <c r="AW61" s="347">
        <v>3</v>
      </c>
      <c r="AX61" s="347">
        <v>9</v>
      </c>
      <c r="AY61" s="347">
        <v>6</v>
      </c>
      <c r="AZ61" s="347">
        <v>1</v>
      </c>
      <c r="BA61" s="347">
        <v>4</v>
      </c>
      <c r="BB61" s="347">
        <v>7</v>
      </c>
      <c r="BC61" s="347">
        <v>3</v>
      </c>
    </row>
    <row r="62" spans="1:55" s="381" customFormat="1" ht="17.649999999999999" customHeight="1">
      <c r="A62" s="343">
        <v>2</v>
      </c>
      <c r="B62" s="211" t="s">
        <v>2083</v>
      </c>
      <c r="C62" s="211" t="s">
        <v>2055</v>
      </c>
      <c r="D62" s="211" t="s">
        <v>2063</v>
      </c>
      <c r="E62" s="344">
        <v>7650</v>
      </c>
      <c r="F62" s="344">
        <v>7847.7</v>
      </c>
      <c r="G62" s="209">
        <v>7493.7333333333299</v>
      </c>
      <c r="H62" s="344">
        <v>7167.0666666666702</v>
      </c>
      <c r="I62" s="344">
        <v>6802.1333333333296</v>
      </c>
      <c r="J62" s="344">
        <v>6931.8666666666704</v>
      </c>
      <c r="K62" s="344">
        <v>6362.7666666666701</v>
      </c>
      <c r="L62" s="344">
        <f t="shared" si="44"/>
        <v>1484.6455555555565</v>
      </c>
      <c r="M62" s="344">
        <v>4421.6666666666697</v>
      </c>
      <c r="N62" s="344">
        <v>4751.1333333333296</v>
      </c>
      <c r="O62" s="344">
        <v>5068</v>
      </c>
      <c r="P62" s="344">
        <v>6289.0333333333301</v>
      </c>
      <c r="Q62" s="344">
        <v>7824.6</v>
      </c>
      <c r="R62" s="344">
        <v>7987.9333333333298</v>
      </c>
      <c r="S62" s="344">
        <v>8080.3333333333303</v>
      </c>
      <c r="T62" s="344">
        <v>8068.2</v>
      </c>
      <c r="U62" s="344">
        <v>7887.1333333333296</v>
      </c>
      <c r="V62" s="344">
        <v>7555.5666666666702</v>
      </c>
      <c r="W62" s="344">
        <v>6896.1666666666697</v>
      </c>
      <c r="X62" s="344">
        <v>6943.7666666666701</v>
      </c>
      <c r="Y62" s="344">
        <v>6632.2666666666701</v>
      </c>
      <c r="Z62" s="344">
        <v>6676.1333333333296</v>
      </c>
      <c r="AA62" s="344">
        <v>6851.6</v>
      </c>
      <c r="AB62" s="344">
        <v>6911.1</v>
      </c>
      <c r="AC62" s="344">
        <v>6455.4</v>
      </c>
      <c r="AD62" s="344">
        <f t="shared" si="45"/>
        <v>-455.70000000000073</v>
      </c>
      <c r="AE62" s="344">
        <v>26</v>
      </c>
      <c r="AF62" s="344">
        <v>32</v>
      </c>
      <c r="AG62" s="345">
        <v>27</v>
      </c>
      <c r="AH62" s="346">
        <v>38</v>
      </c>
      <c r="AI62" s="197">
        <v>33</v>
      </c>
      <c r="AJ62" s="197">
        <v>26</v>
      </c>
      <c r="AK62" s="197">
        <v>31</v>
      </c>
      <c r="AL62" s="197">
        <v>13</v>
      </c>
      <c r="AM62" s="197">
        <v>20</v>
      </c>
      <c r="AN62" s="197">
        <v>35</v>
      </c>
      <c r="AO62" s="197">
        <v>17</v>
      </c>
      <c r="AP62" s="347">
        <v>34</v>
      </c>
      <c r="AQ62" s="347">
        <v>21</v>
      </c>
      <c r="AR62" s="347">
        <v>38</v>
      </c>
      <c r="AS62" s="347">
        <v>33</v>
      </c>
      <c r="AT62" s="347">
        <v>27</v>
      </c>
      <c r="AU62" s="347">
        <v>40</v>
      </c>
      <c r="AV62" s="347">
        <v>44</v>
      </c>
      <c r="AW62" s="347">
        <v>15</v>
      </c>
      <c r="AX62" s="347">
        <v>6</v>
      </c>
      <c r="AY62" s="347">
        <v>5</v>
      </c>
      <c r="AZ62" s="347">
        <v>36</v>
      </c>
      <c r="BA62" s="347">
        <v>42</v>
      </c>
      <c r="BB62" s="347">
        <v>32</v>
      </c>
      <c r="BC62" s="347">
        <v>41</v>
      </c>
    </row>
    <row r="63" spans="1:55" s="381" customFormat="1" ht="17.649999999999999" customHeight="1">
      <c r="A63" s="343">
        <v>3</v>
      </c>
      <c r="B63" s="211" t="s">
        <v>2084</v>
      </c>
      <c r="C63" s="211" t="s">
        <v>2055</v>
      </c>
      <c r="D63" s="211" t="s">
        <v>2063</v>
      </c>
      <c r="E63" s="344">
        <v>854</v>
      </c>
      <c r="F63" s="344">
        <v>899.96666666666704</v>
      </c>
      <c r="G63" s="209">
        <v>946.16666666666697</v>
      </c>
      <c r="H63" s="344">
        <v>958.06666666666695</v>
      </c>
      <c r="I63" s="344">
        <v>960.4</v>
      </c>
      <c r="J63" s="344">
        <v>955.26666666666699</v>
      </c>
      <c r="K63" s="344">
        <v>882.7</v>
      </c>
      <c r="L63" s="344">
        <f t="shared" si="44"/>
        <v>205.96333333333334</v>
      </c>
      <c r="M63" s="344">
        <v>654.26666666666699</v>
      </c>
      <c r="N63" s="344">
        <v>727.76666666666699</v>
      </c>
      <c r="O63" s="344">
        <v>863.56666666666695</v>
      </c>
      <c r="P63" s="344">
        <v>995.63333333333298</v>
      </c>
      <c r="Q63" s="344">
        <v>1121.4000000000001</v>
      </c>
      <c r="R63" s="344">
        <v>1086.4000000000001</v>
      </c>
      <c r="S63" s="344">
        <v>948.26666666666699</v>
      </c>
      <c r="T63" s="344">
        <v>926.56666666666695</v>
      </c>
      <c r="U63" s="344">
        <v>895.76666666666699</v>
      </c>
      <c r="V63" s="344">
        <v>881.53333333333296</v>
      </c>
      <c r="W63" s="344">
        <v>843.03333333333296</v>
      </c>
      <c r="X63" s="344">
        <v>814.1</v>
      </c>
      <c r="Y63" s="344">
        <v>764.16666666666697</v>
      </c>
      <c r="Z63" s="344">
        <v>753.9</v>
      </c>
      <c r="AA63" s="344">
        <v>763.7</v>
      </c>
      <c r="AB63" s="344">
        <v>785.63333333333298</v>
      </c>
      <c r="AC63" s="344">
        <v>781.43333333333305</v>
      </c>
      <c r="AD63" s="344">
        <f t="shared" si="45"/>
        <v>-4.1999999999999318</v>
      </c>
      <c r="AE63" s="344">
        <v>2</v>
      </c>
      <c r="AF63" s="344">
        <v>1</v>
      </c>
      <c r="AG63" s="345">
        <v>1</v>
      </c>
      <c r="AH63" s="346">
        <v>3</v>
      </c>
      <c r="AI63" s="197">
        <v>1</v>
      </c>
      <c r="AJ63" s="197">
        <v>3</v>
      </c>
      <c r="AK63" s="197">
        <v>1</v>
      </c>
      <c r="AL63" s="197">
        <v>1</v>
      </c>
      <c r="AM63" s="197">
        <v>5</v>
      </c>
      <c r="AN63" s="197">
        <v>3</v>
      </c>
      <c r="AO63" s="197">
        <v>4</v>
      </c>
      <c r="AP63" s="197">
        <v>4</v>
      </c>
      <c r="AQ63" s="347">
        <v>1</v>
      </c>
      <c r="AR63" s="197">
        <v>4</v>
      </c>
      <c r="AS63" s="197">
        <v>1</v>
      </c>
      <c r="AT63" s="197">
        <v>3</v>
      </c>
      <c r="AU63" s="347">
        <v>3</v>
      </c>
      <c r="AV63" s="347">
        <v>2</v>
      </c>
      <c r="AW63" s="347">
        <v>3</v>
      </c>
      <c r="AX63" s="347">
        <v>1</v>
      </c>
      <c r="AY63" s="347">
        <v>9</v>
      </c>
      <c r="AZ63" s="347">
        <v>8</v>
      </c>
      <c r="BA63" s="347">
        <v>3</v>
      </c>
      <c r="BB63" s="347">
        <v>3</v>
      </c>
      <c r="BC63" s="347">
        <v>10</v>
      </c>
    </row>
    <row r="64" spans="1:55" s="381" customFormat="1" ht="17.649999999999999" customHeight="1">
      <c r="A64" s="343">
        <v>4</v>
      </c>
      <c r="B64" s="211" t="s">
        <v>2085</v>
      </c>
      <c r="C64" s="211" t="s">
        <v>2055</v>
      </c>
      <c r="D64" s="211" t="s">
        <v>2063</v>
      </c>
      <c r="E64" s="344">
        <v>790</v>
      </c>
      <c r="F64" s="344">
        <v>713.53333333333296</v>
      </c>
      <c r="G64" s="209">
        <v>643.53333333333296</v>
      </c>
      <c r="H64" s="344">
        <v>633.26666666666699</v>
      </c>
      <c r="I64" s="344">
        <v>713.53333333333296</v>
      </c>
      <c r="J64" s="344">
        <v>715.63333333333298</v>
      </c>
      <c r="K64" s="344">
        <v>646.1</v>
      </c>
      <c r="L64" s="344">
        <f t="shared" si="44"/>
        <v>150.75666666666669</v>
      </c>
      <c r="M64" s="344">
        <v>381.73333333333301</v>
      </c>
      <c r="N64" s="344">
        <v>318.5</v>
      </c>
      <c r="O64" s="344">
        <v>286.53333333333302</v>
      </c>
      <c r="P64" s="344">
        <v>354.66666666666703</v>
      </c>
      <c r="Q64" s="344">
        <v>409.26666666666699</v>
      </c>
      <c r="R64" s="344">
        <v>385.933333333333</v>
      </c>
      <c r="S64" s="344">
        <v>376.13333333333298</v>
      </c>
      <c r="T64" s="344">
        <v>351.4</v>
      </c>
      <c r="U64" s="344">
        <v>493.96666666666698</v>
      </c>
      <c r="V64" s="344">
        <v>477.16666666666703</v>
      </c>
      <c r="W64" s="344">
        <v>476.46666666666698</v>
      </c>
      <c r="X64" s="344">
        <v>529.9</v>
      </c>
      <c r="Y64" s="344">
        <v>523.36666666666702</v>
      </c>
      <c r="Z64" s="344">
        <v>573.06666666666695</v>
      </c>
      <c r="AA64" s="344">
        <v>588.23333333333301</v>
      </c>
      <c r="AB64" s="344">
        <v>581.93333333333305</v>
      </c>
      <c r="AC64" s="344">
        <v>511.23333333333301</v>
      </c>
      <c r="AD64" s="344">
        <f t="shared" si="45"/>
        <v>-70.700000000000045</v>
      </c>
      <c r="AE64" s="344">
        <v>1</v>
      </c>
      <c r="AF64" s="344">
        <v>1</v>
      </c>
      <c r="AG64" s="345">
        <v>2</v>
      </c>
      <c r="AH64" s="346">
        <v>1</v>
      </c>
      <c r="AI64" s="197">
        <v>1</v>
      </c>
      <c r="AJ64" s="197">
        <v>1</v>
      </c>
      <c r="AK64" s="197">
        <v>1</v>
      </c>
      <c r="AL64" s="197">
        <v>1</v>
      </c>
      <c r="AM64" s="197">
        <v>3</v>
      </c>
      <c r="AN64" s="197">
        <v>2</v>
      </c>
      <c r="AO64" s="197">
        <v>2</v>
      </c>
      <c r="AP64" s="197">
        <v>1</v>
      </c>
      <c r="AQ64" s="197">
        <v>1</v>
      </c>
      <c r="AR64" s="347">
        <v>1</v>
      </c>
      <c r="AS64" s="197">
        <v>1</v>
      </c>
      <c r="AT64" s="197">
        <v>1</v>
      </c>
      <c r="AU64" s="347">
        <v>10</v>
      </c>
      <c r="AV64" s="347">
        <v>1</v>
      </c>
      <c r="AW64" s="347">
        <v>9</v>
      </c>
      <c r="AX64" s="347">
        <v>1</v>
      </c>
      <c r="AY64" s="347">
        <v>10</v>
      </c>
      <c r="AZ64" s="347">
        <v>1</v>
      </c>
      <c r="BA64" s="347">
        <v>1</v>
      </c>
      <c r="BB64" s="347">
        <v>1</v>
      </c>
      <c r="BC64" s="347">
        <v>8</v>
      </c>
    </row>
    <row r="65" spans="1:55" s="381" customFormat="1" ht="17.649999999999999" customHeight="1">
      <c r="A65" s="343">
        <v>5</v>
      </c>
      <c r="B65" s="211" t="s">
        <v>175</v>
      </c>
      <c r="C65" s="211" t="s">
        <v>2055</v>
      </c>
      <c r="D65" s="211" t="s">
        <v>2063</v>
      </c>
      <c r="E65" s="344">
        <v>745</v>
      </c>
      <c r="F65" s="344">
        <v>726.83333333333303</v>
      </c>
      <c r="G65" s="209">
        <v>688.1</v>
      </c>
      <c r="H65" s="344">
        <v>669.66666666666697</v>
      </c>
      <c r="I65" s="344">
        <v>608.76666666666699</v>
      </c>
      <c r="J65" s="344">
        <v>602.93333333333305</v>
      </c>
      <c r="K65" s="344">
        <v>543.66666666666697</v>
      </c>
      <c r="L65" s="344">
        <f t="shared" si="44"/>
        <v>126.85555555555561</v>
      </c>
      <c r="M65" s="344">
        <v>389.9</v>
      </c>
      <c r="N65" s="344">
        <v>414.63333333333298</v>
      </c>
      <c r="O65" s="344">
        <v>430.96666666666698</v>
      </c>
      <c r="P65" s="344">
        <v>535.26666666666699</v>
      </c>
      <c r="Q65" s="344">
        <v>686.93333333333305</v>
      </c>
      <c r="R65" s="344">
        <v>686.23333333333301</v>
      </c>
      <c r="S65" s="344">
        <v>699.06666666666695</v>
      </c>
      <c r="T65" s="344">
        <v>682.5</v>
      </c>
      <c r="U65" s="344">
        <v>627.9</v>
      </c>
      <c r="V65" s="344">
        <v>621.6</v>
      </c>
      <c r="W65" s="344">
        <v>602.46666666666704</v>
      </c>
      <c r="X65" s="344">
        <v>643.29999999999995</v>
      </c>
      <c r="Y65" s="344">
        <v>631.16666666666697</v>
      </c>
      <c r="Z65" s="344">
        <v>640.73333333333301</v>
      </c>
      <c r="AA65" s="344">
        <v>631.16666666666697</v>
      </c>
      <c r="AB65" s="344">
        <v>603.86666666666702</v>
      </c>
      <c r="AC65" s="344">
        <v>572.13333333333298</v>
      </c>
      <c r="AD65" s="344">
        <f t="shared" si="45"/>
        <v>-31.733333333334031</v>
      </c>
      <c r="AE65" s="344">
        <v>9</v>
      </c>
      <c r="AF65" s="344">
        <v>3</v>
      </c>
      <c r="AG65" s="345">
        <v>3</v>
      </c>
      <c r="AH65" s="346">
        <v>4</v>
      </c>
      <c r="AI65" s="197">
        <v>9</v>
      </c>
      <c r="AJ65" s="197">
        <v>2</v>
      </c>
      <c r="AK65" s="197">
        <v>2</v>
      </c>
      <c r="AL65" s="197">
        <v>2</v>
      </c>
      <c r="AM65" s="197">
        <v>5</v>
      </c>
      <c r="AN65" s="197">
        <v>3</v>
      </c>
      <c r="AO65" s="197">
        <v>4</v>
      </c>
      <c r="AP65" s="347">
        <v>4</v>
      </c>
      <c r="AQ65" s="347">
        <v>1</v>
      </c>
      <c r="AR65" s="197">
        <v>4</v>
      </c>
      <c r="AS65" s="197">
        <v>6</v>
      </c>
      <c r="AT65" s="197">
        <v>8</v>
      </c>
      <c r="AU65" s="347">
        <v>3</v>
      </c>
      <c r="AV65" s="347">
        <v>1</v>
      </c>
      <c r="AW65" s="347">
        <v>3</v>
      </c>
      <c r="AX65" s="347">
        <v>3</v>
      </c>
      <c r="AY65" s="347">
        <v>8</v>
      </c>
      <c r="AZ65" s="347">
        <v>3</v>
      </c>
      <c r="BA65" s="347">
        <v>3</v>
      </c>
      <c r="BB65" s="347">
        <v>3</v>
      </c>
      <c r="BC65" s="347">
        <v>3</v>
      </c>
    </row>
    <row r="66" spans="1:55" s="381" customFormat="1" ht="17.649999999999999" customHeight="1">
      <c r="A66" s="343">
        <v>6</v>
      </c>
      <c r="B66" s="211" t="s">
        <v>2086</v>
      </c>
      <c r="C66" s="211" t="s">
        <v>2055</v>
      </c>
      <c r="D66" s="211" t="s">
        <v>2063</v>
      </c>
      <c r="E66" s="344">
        <v>255</v>
      </c>
      <c r="F66" s="344">
        <v>257.83333333333297</v>
      </c>
      <c r="G66" s="209">
        <v>253.86666666666699</v>
      </c>
      <c r="H66" s="344">
        <v>246.63333333333301</v>
      </c>
      <c r="I66" s="344">
        <v>226.333333333333</v>
      </c>
      <c r="J66" s="344">
        <v>246.63333333333301</v>
      </c>
      <c r="K66" s="344">
        <v>234.96666666666701</v>
      </c>
      <c r="L66" s="344">
        <f t="shared" si="44"/>
        <v>54.825555555555631</v>
      </c>
      <c r="M66" s="344">
        <v>174.53333333333299</v>
      </c>
      <c r="N66" s="344">
        <v>167.53333333333299</v>
      </c>
      <c r="O66" s="344">
        <v>164.26666666666699</v>
      </c>
      <c r="P66" s="344">
        <v>201.6</v>
      </c>
      <c r="Q66" s="344">
        <v>250.6</v>
      </c>
      <c r="R66" s="344">
        <v>258.3</v>
      </c>
      <c r="S66" s="344">
        <v>292.36666666666702</v>
      </c>
      <c r="T66" s="344">
        <v>302.63333333333298</v>
      </c>
      <c r="U66" s="344">
        <v>308</v>
      </c>
      <c r="V66" s="344">
        <v>291.66666666666703</v>
      </c>
      <c r="W66" s="344">
        <v>285.36666666666702</v>
      </c>
      <c r="X66" s="344">
        <v>267.63333333333298</v>
      </c>
      <c r="Y66" s="344">
        <v>250.6</v>
      </c>
      <c r="Z66" s="344">
        <v>251.53333333333299</v>
      </c>
      <c r="AA66" s="344">
        <v>242.666666666667</v>
      </c>
      <c r="AB66" s="344">
        <v>231.46666666666701</v>
      </c>
      <c r="AC66" s="344">
        <v>216.3</v>
      </c>
      <c r="AD66" s="344">
        <f t="shared" si="45"/>
        <v>-15.166666666666998</v>
      </c>
      <c r="AE66" s="344">
        <v>10</v>
      </c>
      <c r="AF66" s="344">
        <v>5</v>
      </c>
      <c r="AG66" s="345">
        <v>3</v>
      </c>
      <c r="AH66" s="346">
        <v>10</v>
      </c>
      <c r="AI66" s="197">
        <v>3</v>
      </c>
      <c r="AJ66" s="197">
        <v>10</v>
      </c>
      <c r="AK66" s="197">
        <v>2</v>
      </c>
      <c r="AL66" s="197">
        <v>2</v>
      </c>
      <c r="AM66" s="197">
        <v>2</v>
      </c>
      <c r="AN66" s="197">
        <v>9</v>
      </c>
      <c r="AO66" s="197">
        <v>9</v>
      </c>
      <c r="AP66" s="197">
        <v>6</v>
      </c>
      <c r="AQ66" s="347">
        <v>4</v>
      </c>
      <c r="AR66" s="197">
        <v>2</v>
      </c>
      <c r="AS66" s="347">
        <v>13</v>
      </c>
      <c r="AT66" s="347">
        <v>4</v>
      </c>
      <c r="AU66" s="347">
        <v>3</v>
      </c>
      <c r="AV66" s="347">
        <v>4</v>
      </c>
      <c r="AW66" s="347">
        <v>5</v>
      </c>
      <c r="AX66" s="347">
        <v>11</v>
      </c>
      <c r="AY66" s="347">
        <v>4</v>
      </c>
      <c r="AZ66" s="347">
        <v>4</v>
      </c>
      <c r="BA66" s="347">
        <v>5</v>
      </c>
      <c r="BB66" s="347">
        <v>4</v>
      </c>
      <c r="BC66" s="347">
        <v>29</v>
      </c>
    </row>
    <row r="67" spans="1:55" s="381" customFormat="1" ht="17.649999999999999" customHeight="1">
      <c r="A67" s="343">
        <v>7</v>
      </c>
      <c r="B67" s="211" t="s">
        <v>2087</v>
      </c>
      <c r="C67" s="211" t="s">
        <v>2055</v>
      </c>
      <c r="D67" s="211" t="s">
        <v>2063</v>
      </c>
      <c r="E67" s="344">
        <v>268</v>
      </c>
      <c r="F67" s="344">
        <v>269.73333333333301</v>
      </c>
      <c r="G67" s="209">
        <v>252.23333333333301</v>
      </c>
      <c r="H67" s="344">
        <v>241.73333333333301</v>
      </c>
      <c r="I67" s="344">
        <v>242.2</v>
      </c>
      <c r="J67" s="344">
        <v>229.36666666666699</v>
      </c>
      <c r="K67" s="344">
        <v>197.63333333333301</v>
      </c>
      <c r="L67" s="344">
        <f t="shared" si="44"/>
        <v>46.114444444444374</v>
      </c>
      <c r="M67" s="344">
        <v>117.833333333333</v>
      </c>
      <c r="N67" s="344">
        <v>135.80000000000001</v>
      </c>
      <c r="O67" s="344">
        <v>150.03333333333299</v>
      </c>
      <c r="P67" s="344">
        <v>195.3</v>
      </c>
      <c r="Q67" s="344">
        <v>249.2</v>
      </c>
      <c r="R67" s="344">
        <v>235.2</v>
      </c>
      <c r="S67" s="344">
        <v>229.6</v>
      </c>
      <c r="T67" s="344">
        <v>219.1</v>
      </c>
      <c r="U67" s="344">
        <v>207.433333333333</v>
      </c>
      <c r="V67" s="344">
        <v>206.26666666666699</v>
      </c>
      <c r="W67" s="344">
        <v>195.76666666666699</v>
      </c>
      <c r="X67" s="344">
        <v>204.4</v>
      </c>
      <c r="Y67" s="344">
        <v>190.63333333333301</v>
      </c>
      <c r="Z67" s="344">
        <v>186.9</v>
      </c>
      <c r="AA67" s="344">
        <v>177.8</v>
      </c>
      <c r="AB67" s="344">
        <v>172.666666666667</v>
      </c>
      <c r="AC67" s="344">
        <v>167.53333333333299</v>
      </c>
      <c r="AD67" s="344">
        <f t="shared" si="45"/>
        <v>-5.1333333333340079</v>
      </c>
      <c r="AE67" s="344">
        <v>3</v>
      </c>
      <c r="AF67" s="344">
        <v>2</v>
      </c>
      <c r="AG67" s="345">
        <v>1</v>
      </c>
      <c r="AH67" s="346">
        <v>1</v>
      </c>
      <c r="AI67" s="197">
        <v>1</v>
      </c>
      <c r="AJ67" s="197">
        <v>5</v>
      </c>
      <c r="AK67" s="197">
        <v>2</v>
      </c>
      <c r="AL67" s="197">
        <v>2</v>
      </c>
      <c r="AM67" s="197">
        <v>1</v>
      </c>
      <c r="AN67" s="197">
        <v>1</v>
      </c>
      <c r="AO67" s="197">
        <v>3</v>
      </c>
      <c r="AP67" s="197">
        <v>1</v>
      </c>
      <c r="AQ67" s="197">
        <v>1</v>
      </c>
      <c r="AR67" s="197">
        <v>1</v>
      </c>
      <c r="AS67" s="197">
        <v>1</v>
      </c>
      <c r="AT67" s="197">
        <v>1</v>
      </c>
      <c r="AU67" s="347">
        <v>1</v>
      </c>
      <c r="AV67" s="347">
        <v>1</v>
      </c>
      <c r="AW67" s="347">
        <v>10</v>
      </c>
      <c r="AX67" s="347">
        <v>1</v>
      </c>
      <c r="AY67" s="347">
        <v>9</v>
      </c>
      <c r="AZ67" s="347">
        <v>8</v>
      </c>
      <c r="BA67" s="347">
        <v>2</v>
      </c>
      <c r="BB67" s="347">
        <v>1</v>
      </c>
      <c r="BC67" s="347">
        <v>2</v>
      </c>
    </row>
    <row r="68" spans="1:55" s="381" customFormat="1" ht="17.649999999999999" customHeight="1">
      <c r="A68" s="343">
        <v>8</v>
      </c>
      <c r="B68" s="211" t="s">
        <v>2088</v>
      </c>
      <c r="C68" s="211" t="s">
        <v>2055</v>
      </c>
      <c r="D68" s="211" t="s">
        <v>2063</v>
      </c>
      <c r="E68" s="344">
        <v>318</v>
      </c>
      <c r="F68" s="344">
        <v>303.8</v>
      </c>
      <c r="G68" s="209">
        <v>283.03333333333302</v>
      </c>
      <c r="H68" s="344">
        <v>258.76666666666699</v>
      </c>
      <c r="I68" s="344">
        <v>247.8</v>
      </c>
      <c r="J68" s="344">
        <v>262.5</v>
      </c>
      <c r="K68" s="344">
        <v>261.33333333333297</v>
      </c>
      <c r="L68" s="344">
        <f t="shared" si="44"/>
        <v>60.977777777777696</v>
      </c>
      <c r="M68" s="344">
        <v>207.666666666667</v>
      </c>
      <c r="N68" s="344">
        <v>216.3</v>
      </c>
      <c r="O68" s="344">
        <v>216.066666666667</v>
      </c>
      <c r="P68" s="344">
        <v>259.933333333333</v>
      </c>
      <c r="Q68" s="344">
        <v>324.8</v>
      </c>
      <c r="R68" s="344">
        <v>336.7</v>
      </c>
      <c r="S68" s="344">
        <v>328.066666666667</v>
      </c>
      <c r="T68" s="344">
        <v>316.39999999999998</v>
      </c>
      <c r="U68" s="344">
        <v>324.10000000000002</v>
      </c>
      <c r="V68" s="344">
        <v>319.2</v>
      </c>
      <c r="W68" s="344">
        <v>287.933333333333</v>
      </c>
      <c r="X68" s="344">
        <v>294.46666666666698</v>
      </c>
      <c r="Y68" s="344">
        <v>269.73333333333301</v>
      </c>
      <c r="Z68" s="344">
        <v>246.63333333333301</v>
      </c>
      <c r="AA68" s="344">
        <v>249.2</v>
      </c>
      <c r="AB68" s="344">
        <v>257.83333333333297</v>
      </c>
      <c r="AC68" s="344">
        <v>252.7</v>
      </c>
      <c r="AD68" s="344">
        <f t="shared" si="45"/>
        <v>-5.1333333333329847</v>
      </c>
      <c r="AE68" s="344">
        <v>1</v>
      </c>
      <c r="AF68" s="344">
        <v>1</v>
      </c>
      <c r="AG68" s="345">
        <v>1</v>
      </c>
      <c r="AH68" s="346">
        <v>1</v>
      </c>
      <c r="AI68" s="197">
        <v>1</v>
      </c>
      <c r="AJ68" s="197">
        <v>1</v>
      </c>
      <c r="AK68" s="197">
        <v>1</v>
      </c>
      <c r="AL68" s="197">
        <v>1</v>
      </c>
      <c r="AM68" s="197">
        <v>10</v>
      </c>
      <c r="AN68" s="197">
        <v>1</v>
      </c>
      <c r="AO68" s="197">
        <v>1</v>
      </c>
      <c r="AP68" s="197">
        <v>1</v>
      </c>
      <c r="AQ68" s="197">
        <v>1</v>
      </c>
      <c r="AR68" s="197">
        <v>1</v>
      </c>
      <c r="AS68" s="197">
        <v>1</v>
      </c>
      <c r="AT68" s="197">
        <v>4</v>
      </c>
      <c r="AU68" s="347">
        <v>1</v>
      </c>
      <c r="AV68" s="347">
        <v>1</v>
      </c>
      <c r="AW68" s="347">
        <v>9</v>
      </c>
      <c r="AX68" s="347">
        <v>1</v>
      </c>
      <c r="AY68" s="347">
        <v>1</v>
      </c>
      <c r="AZ68" s="347">
        <v>2</v>
      </c>
      <c r="BA68" s="347">
        <v>2</v>
      </c>
      <c r="BB68" s="347">
        <v>2</v>
      </c>
      <c r="BC68" s="347">
        <v>1</v>
      </c>
    </row>
    <row r="69" spans="1:55" s="381" customFormat="1" ht="17.649999999999999" customHeight="1">
      <c r="A69" s="343">
        <v>9</v>
      </c>
      <c r="B69" s="211" t="s">
        <v>2089</v>
      </c>
      <c r="C69" s="211" t="s">
        <v>2055</v>
      </c>
      <c r="D69" s="211" t="s">
        <v>2090</v>
      </c>
      <c r="E69" s="344">
        <v>183</v>
      </c>
      <c r="F69" s="344">
        <v>186.666666666667</v>
      </c>
      <c r="G69" s="209">
        <v>179.666666666667</v>
      </c>
      <c r="H69" s="344">
        <v>175.7</v>
      </c>
      <c r="I69" s="344">
        <v>163.80000000000001</v>
      </c>
      <c r="J69" s="344">
        <v>175.23333333333301</v>
      </c>
      <c r="K69" s="344">
        <v>157.96666666666701</v>
      </c>
      <c r="L69" s="344">
        <f t="shared" si="44"/>
        <v>36.85888888888897</v>
      </c>
      <c r="M69" s="344">
        <v>113.166666666667</v>
      </c>
      <c r="N69" s="344">
        <v>126.23333333333299</v>
      </c>
      <c r="O69" s="344">
        <v>140.69999999999999</v>
      </c>
      <c r="P69" s="344">
        <v>179.666666666667</v>
      </c>
      <c r="Q69" s="344">
        <v>210.933333333333</v>
      </c>
      <c r="R69" s="344">
        <v>203.933333333333</v>
      </c>
      <c r="S69" s="344">
        <v>187.36666666666699</v>
      </c>
      <c r="T69" s="344">
        <v>176.63333333333301</v>
      </c>
      <c r="U69" s="344">
        <v>171.5</v>
      </c>
      <c r="V69" s="344">
        <v>164.96666666666701</v>
      </c>
      <c r="W69" s="344">
        <v>158.433333333333</v>
      </c>
      <c r="X69" s="344">
        <v>165.433333333333</v>
      </c>
      <c r="Y69" s="344">
        <v>159.36666666666699</v>
      </c>
      <c r="Z69" s="344">
        <v>163.566666666667</v>
      </c>
      <c r="AA69" s="344">
        <v>163.80000000000001</v>
      </c>
      <c r="AB69" s="344">
        <v>162.4</v>
      </c>
      <c r="AC69" s="344">
        <v>156.566666666667</v>
      </c>
      <c r="AD69" s="344">
        <f t="shared" si="45"/>
        <v>-5.8333333333330017</v>
      </c>
      <c r="AE69" s="344">
        <v>1</v>
      </c>
      <c r="AF69" s="344">
        <v>1</v>
      </c>
      <c r="AG69" s="344">
        <v>1</v>
      </c>
      <c r="AH69" s="346">
        <v>1</v>
      </c>
      <c r="AI69" s="197">
        <v>1</v>
      </c>
      <c r="AJ69" s="197">
        <v>2</v>
      </c>
      <c r="AK69" s="197">
        <v>2</v>
      </c>
      <c r="AL69" s="197">
        <v>2</v>
      </c>
      <c r="AM69" s="197">
        <v>2</v>
      </c>
      <c r="AN69" s="197">
        <v>2</v>
      </c>
      <c r="AO69" s="197">
        <v>1</v>
      </c>
      <c r="AP69" s="197">
        <v>1</v>
      </c>
      <c r="AQ69" s="347">
        <v>1</v>
      </c>
      <c r="AR69" s="197">
        <v>1</v>
      </c>
      <c r="AS69" s="347">
        <v>11</v>
      </c>
      <c r="AT69" s="347">
        <v>2</v>
      </c>
      <c r="AU69" s="347">
        <v>1</v>
      </c>
      <c r="AV69" s="347">
        <v>1</v>
      </c>
      <c r="AW69" s="347">
        <v>1</v>
      </c>
      <c r="AX69" s="347">
        <v>1</v>
      </c>
      <c r="AY69" s="347">
        <v>2</v>
      </c>
      <c r="AZ69" s="347">
        <v>2</v>
      </c>
      <c r="BA69" s="347">
        <v>2</v>
      </c>
      <c r="BB69" s="347">
        <v>1</v>
      </c>
      <c r="BC69" s="347">
        <v>1</v>
      </c>
    </row>
    <row r="70" spans="1:55" s="381" customFormat="1" ht="17.649999999999999" customHeight="1">
      <c r="A70" s="343">
        <v>10</v>
      </c>
      <c r="B70" s="211" t="s">
        <v>2091</v>
      </c>
      <c r="C70" s="211" t="s">
        <v>2055</v>
      </c>
      <c r="D70" s="211" t="s">
        <v>2090</v>
      </c>
      <c r="E70" s="344">
        <v>93</v>
      </c>
      <c r="F70" s="344">
        <v>98</v>
      </c>
      <c r="G70" s="209">
        <v>93.3333333333333</v>
      </c>
      <c r="H70" s="344">
        <v>87.966666666666697</v>
      </c>
      <c r="I70" s="344">
        <v>81.2</v>
      </c>
      <c r="J70" s="344">
        <v>79.099999999999994</v>
      </c>
      <c r="K70" s="344">
        <v>69.533333333333303</v>
      </c>
      <c r="L70" s="344">
        <f t="shared" si="44"/>
        <v>16.224444444444437</v>
      </c>
      <c r="M70" s="344">
        <v>48.3</v>
      </c>
      <c r="N70" s="344">
        <v>52.5</v>
      </c>
      <c r="O70" s="344">
        <v>59.966666666666697</v>
      </c>
      <c r="P70" s="344">
        <v>72.3333333333333</v>
      </c>
      <c r="Q70" s="344">
        <v>86.8</v>
      </c>
      <c r="R70" s="344">
        <v>83.066666666666706</v>
      </c>
      <c r="S70" s="344">
        <v>82.133333333333297</v>
      </c>
      <c r="T70" s="344">
        <v>76.066666666666706</v>
      </c>
      <c r="U70" s="344">
        <v>73.266666666666694</v>
      </c>
      <c r="V70" s="344">
        <v>72.3333333333333</v>
      </c>
      <c r="W70" s="344">
        <v>65.099999999999994</v>
      </c>
      <c r="X70" s="344">
        <v>65.099999999999994</v>
      </c>
      <c r="Y70" s="344">
        <v>65.566666666666706</v>
      </c>
      <c r="Z70" s="344">
        <v>62.533333333333303</v>
      </c>
      <c r="AA70" s="344">
        <v>68.366666666666703</v>
      </c>
      <c r="AB70" s="344">
        <v>76.066666666666706</v>
      </c>
      <c r="AC70" s="344">
        <v>75.599999999999994</v>
      </c>
      <c r="AD70" s="344">
        <f t="shared" si="45"/>
        <v>-0.46666666666671119</v>
      </c>
      <c r="AE70" s="344">
        <v>6</v>
      </c>
      <c r="AF70" s="344">
        <v>6</v>
      </c>
      <c r="AG70" s="345">
        <v>9</v>
      </c>
      <c r="AH70" s="346">
        <v>2</v>
      </c>
      <c r="AI70" s="197">
        <v>3</v>
      </c>
      <c r="AJ70" s="197">
        <v>3</v>
      </c>
      <c r="AK70" s="197">
        <v>4</v>
      </c>
      <c r="AL70" s="197">
        <v>4</v>
      </c>
      <c r="AM70" s="197">
        <v>1</v>
      </c>
      <c r="AN70" s="197">
        <v>1</v>
      </c>
      <c r="AO70" s="197">
        <v>7</v>
      </c>
      <c r="AP70" s="197">
        <v>5</v>
      </c>
      <c r="AQ70" s="197">
        <v>5</v>
      </c>
      <c r="AR70" s="347">
        <v>2</v>
      </c>
      <c r="AS70" s="197">
        <v>4</v>
      </c>
      <c r="AT70" s="197">
        <v>5</v>
      </c>
      <c r="AU70" s="197">
        <v>1</v>
      </c>
      <c r="AV70" s="347">
        <v>3</v>
      </c>
      <c r="AW70" s="347">
        <v>10</v>
      </c>
      <c r="AX70" s="347">
        <v>2</v>
      </c>
      <c r="AY70" s="347">
        <v>7</v>
      </c>
      <c r="AZ70" s="347">
        <v>3</v>
      </c>
      <c r="BA70" s="347">
        <v>4</v>
      </c>
      <c r="BB70" s="347">
        <v>8</v>
      </c>
      <c r="BC70" s="347">
        <v>2</v>
      </c>
    </row>
    <row r="71" spans="1:55" s="381" customFormat="1" ht="17.649999999999999" customHeight="1">
      <c r="A71" s="343">
        <v>11</v>
      </c>
      <c r="B71" s="211" t="s">
        <v>2092</v>
      </c>
      <c r="C71" s="211" t="s">
        <v>2055</v>
      </c>
      <c r="D71" s="211" t="s">
        <v>2090</v>
      </c>
      <c r="E71" s="344">
        <v>38</v>
      </c>
      <c r="F71" s="344">
        <v>39.6666666666667</v>
      </c>
      <c r="G71" s="209">
        <v>38.033333333333303</v>
      </c>
      <c r="H71" s="344">
        <v>35.466666666666697</v>
      </c>
      <c r="I71" s="344">
        <v>35.233333333333299</v>
      </c>
      <c r="J71" s="344">
        <v>31.966666666666701</v>
      </c>
      <c r="K71" s="344">
        <v>30.566666666666698</v>
      </c>
      <c r="L71" s="344">
        <f t="shared" si="44"/>
        <v>7.1322222222222287</v>
      </c>
      <c r="M71" s="344">
        <v>21.7</v>
      </c>
      <c r="N71" s="344">
        <v>21.233333333333299</v>
      </c>
      <c r="O71" s="344">
        <v>23.3333333333333</v>
      </c>
      <c r="P71" s="344">
        <v>27.766666666666701</v>
      </c>
      <c r="Q71" s="344">
        <v>35</v>
      </c>
      <c r="R71" s="344">
        <v>36.1666666666667</v>
      </c>
      <c r="S71" s="344">
        <v>39.200000000000003</v>
      </c>
      <c r="T71" s="344">
        <v>35</v>
      </c>
      <c r="U71" s="344">
        <v>31.966666666666701</v>
      </c>
      <c r="V71" s="344">
        <v>28.466666666666701</v>
      </c>
      <c r="W71" s="344">
        <v>23.8</v>
      </c>
      <c r="X71" s="344">
        <v>21</v>
      </c>
      <c r="Y71" s="344">
        <v>22.1666666666667</v>
      </c>
      <c r="Z71" s="344">
        <v>21</v>
      </c>
      <c r="AA71" s="344">
        <v>20.533333333333299</v>
      </c>
      <c r="AB71" s="344">
        <v>20.533333333333299</v>
      </c>
      <c r="AC71" s="344">
        <v>18.899999999999999</v>
      </c>
      <c r="AD71" s="344">
        <f t="shared" si="45"/>
        <v>-1.6333333333333009</v>
      </c>
      <c r="AE71" s="344">
        <v>1</v>
      </c>
      <c r="AF71" s="344">
        <v>5</v>
      </c>
      <c r="AG71" s="345">
        <v>3</v>
      </c>
      <c r="AH71" s="346">
        <v>4</v>
      </c>
      <c r="AI71" s="197">
        <v>4</v>
      </c>
      <c r="AJ71" s="197">
        <v>4</v>
      </c>
      <c r="AK71" s="197">
        <v>3</v>
      </c>
      <c r="AL71" s="197">
        <v>3</v>
      </c>
      <c r="AM71" s="197">
        <v>2</v>
      </c>
      <c r="AN71" s="197">
        <v>1</v>
      </c>
      <c r="AO71" s="197">
        <v>2</v>
      </c>
      <c r="AP71" s="197">
        <v>8</v>
      </c>
      <c r="AQ71" s="197">
        <v>2</v>
      </c>
      <c r="AR71" s="197">
        <v>5</v>
      </c>
      <c r="AS71" s="197">
        <v>2</v>
      </c>
      <c r="AT71" s="197">
        <v>2</v>
      </c>
      <c r="AU71" s="347">
        <v>1</v>
      </c>
      <c r="AV71" s="347">
        <v>2</v>
      </c>
      <c r="AW71" s="347">
        <v>2</v>
      </c>
      <c r="AX71" s="347">
        <v>9</v>
      </c>
      <c r="AY71" s="347">
        <v>2</v>
      </c>
      <c r="AZ71" s="347">
        <v>3</v>
      </c>
      <c r="BA71" s="347">
        <v>4</v>
      </c>
      <c r="BB71" s="347">
        <v>8</v>
      </c>
      <c r="BC71" s="347">
        <v>3</v>
      </c>
    </row>
    <row r="72" spans="1:55" s="381" customFormat="1" ht="17.649999999999999" customHeight="1">
      <c r="A72" s="343">
        <v>12</v>
      </c>
      <c r="B72" s="211" t="s">
        <v>2093</v>
      </c>
      <c r="C72" s="211" t="s">
        <v>2055</v>
      </c>
      <c r="D72" s="211" t="s">
        <v>2090</v>
      </c>
      <c r="E72" s="344">
        <v>194</v>
      </c>
      <c r="F72" s="344">
        <v>191.333333333333</v>
      </c>
      <c r="G72" s="209">
        <v>186.2</v>
      </c>
      <c r="H72" s="344">
        <v>179.9</v>
      </c>
      <c r="I72" s="344">
        <v>148.4</v>
      </c>
      <c r="J72" s="344">
        <v>110.133333333333</v>
      </c>
      <c r="K72" s="344">
        <v>108.73333333333299</v>
      </c>
      <c r="L72" s="344">
        <f t="shared" si="44"/>
        <v>25.371111111111034</v>
      </c>
      <c r="M72" s="344">
        <v>74.6666666666667</v>
      </c>
      <c r="N72" s="344">
        <v>92.1666666666667</v>
      </c>
      <c r="O72" s="344">
        <v>101.033333333333</v>
      </c>
      <c r="P72" s="344">
        <v>134.86666666666699</v>
      </c>
      <c r="Q72" s="344">
        <v>165.9</v>
      </c>
      <c r="R72" s="344">
        <v>160.30000000000001</v>
      </c>
      <c r="S72" s="344">
        <v>155.166666666667</v>
      </c>
      <c r="T72" s="344">
        <v>145.6</v>
      </c>
      <c r="U72" s="344">
        <v>147.933333333333</v>
      </c>
      <c r="V72" s="344">
        <v>144.666666666667</v>
      </c>
      <c r="W72" s="344">
        <v>137.9</v>
      </c>
      <c r="X72" s="344">
        <v>134.63333333333301</v>
      </c>
      <c r="Y72" s="344">
        <v>127.4</v>
      </c>
      <c r="Z72" s="344">
        <v>117.133333333333</v>
      </c>
      <c r="AA72" s="344">
        <v>111.76666666666701</v>
      </c>
      <c r="AB72" s="344">
        <v>109.9</v>
      </c>
      <c r="AC72" s="344">
        <v>111.533333333333</v>
      </c>
      <c r="AD72" s="344">
        <f t="shared" si="45"/>
        <v>1.6333333333329989</v>
      </c>
      <c r="AE72" s="344">
        <v>1</v>
      </c>
      <c r="AF72" s="344">
        <v>3</v>
      </c>
      <c r="AG72" s="345">
        <v>1</v>
      </c>
      <c r="AH72" s="346">
        <v>1</v>
      </c>
      <c r="AI72" s="197">
        <v>1</v>
      </c>
      <c r="AJ72" s="197">
        <v>10</v>
      </c>
      <c r="AK72" s="197">
        <v>1</v>
      </c>
      <c r="AL72" s="197">
        <v>1</v>
      </c>
      <c r="AM72" s="197">
        <v>1</v>
      </c>
      <c r="AN72" s="197">
        <v>1</v>
      </c>
      <c r="AO72" s="197">
        <v>1</v>
      </c>
      <c r="AP72" s="197">
        <v>1</v>
      </c>
      <c r="AQ72" s="197">
        <v>7</v>
      </c>
      <c r="AR72" s="197">
        <v>1</v>
      </c>
      <c r="AS72" s="197">
        <v>1</v>
      </c>
      <c r="AT72" s="197">
        <v>1</v>
      </c>
      <c r="AU72" s="347">
        <v>1</v>
      </c>
      <c r="AV72" s="347">
        <v>10</v>
      </c>
      <c r="AW72" s="347">
        <v>8</v>
      </c>
      <c r="AX72" s="347">
        <v>1</v>
      </c>
      <c r="AY72" s="347">
        <v>1</v>
      </c>
      <c r="AZ72" s="347">
        <v>1</v>
      </c>
      <c r="BA72" s="347">
        <v>1</v>
      </c>
      <c r="BB72" s="347">
        <v>1</v>
      </c>
      <c r="BC72" s="347">
        <v>1</v>
      </c>
    </row>
    <row r="73" spans="1:55" s="381" customFormat="1" ht="17.649999999999999" customHeight="1">
      <c r="A73" s="343">
        <v>13</v>
      </c>
      <c r="B73" s="211" t="s">
        <v>2094</v>
      </c>
      <c r="C73" s="211" t="s">
        <v>2055</v>
      </c>
      <c r="D73" s="211" t="s">
        <v>2090</v>
      </c>
      <c r="E73" s="344">
        <v>111</v>
      </c>
      <c r="F73" s="344">
        <v>103.833333333333</v>
      </c>
      <c r="G73" s="209">
        <v>89.8333333333333</v>
      </c>
      <c r="H73" s="344">
        <v>83.533333333333303</v>
      </c>
      <c r="I73" s="344">
        <v>87.5</v>
      </c>
      <c r="J73" s="344">
        <v>87.5</v>
      </c>
      <c r="K73" s="344">
        <v>84.7</v>
      </c>
      <c r="L73" s="344">
        <f t="shared" si="44"/>
        <v>19.763333333333332</v>
      </c>
      <c r="M73" s="344">
        <v>56</v>
      </c>
      <c r="N73" s="344">
        <v>60.433333333333302</v>
      </c>
      <c r="O73" s="344">
        <v>64.400000000000006</v>
      </c>
      <c r="P73" s="344">
        <v>78.866666666666703</v>
      </c>
      <c r="Q73" s="344">
        <v>100.1</v>
      </c>
      <c r="R73" s="344">
        <v>117.366666666667</v>
      </c>
      <c r="S73" s="344">
        <v>119.7</v>
      </c>
      <c r="T73" s="344">
        <v>115.033333333333</v>
      </c>
      <c r="U73" s="344">
        <v>110.133333333333</v>
      </c>
      <c r="V73" s="344">
        <v>95.6666666666667</v>
      </c>
      <c r="W73" s="344">
        <v>81.900000000000006</v>
      </c>
      <c r="X73" s="344">
        <v>82.366666666666703</v>
      </c>
      <c r="Y73" s="344">
        <v>78.633333333333297</v>
      </c>
      <c r="Z73" s="344">
        <v>75.8333333333333</v>
      </c>
      <c r="AA73" s="344">
        <v>82.366666666666703</v>
      </c>
      <c r="AB73" s="344">
        <v>79.099999999999994</v>
      </c>
      <c r="AC73" s="344">
        <v>74.2</v>
      </c>
      <c r="AD73" s="344">
        <f t="shared" si="45"/>
        <v>-4.8999999999999915</v>
      </c>
      <c r="AE73" s="344">
        <v>19</v>
      </c>
      <c r="AF73" s="344">
        <v>21</v>
      </c>
      <c r="AG73" s="345">
        <v>26</v>
      </c>
      <c r="AH73" s="346">
        <v>1</v>
      </c>
      <c r="AI73" s="197">
        <v>1</v>
      </c>
      <c r="AJ73" s="197">
        <v>1</v>
      </c>
      <c r="AK73" s="197">
        <v>1</v>
      </c>
      <c r="AL73" s="197">
        <v>1</v>
      </c>
      <c r="AM73" s="197">
        <v>3</v>
      </c>
      <c r="AN73" s="197">
        <v>8</v>
      </c>
      <c r="AO73" s="197">
        <v>8</v>
      </c>
      <c r="AP73" s="347">
        <v>11</v>
      </c>
      <c r="AQ73" s="347">
        <v>13</v>
      </c>
      <c r="AR73" s="347">
        <v>23</v>
      </c>
      <c r="AS73" s="197">
        <v>3</v>
      </c>
      <c r="AT73" s="197">
        <v>3</v>
      </c>
      <c r="AU73" s="197">
        <v>9</v>
      </c>
      <c r="AV73" s="347">
        <v>3</v>
      </c>
      <c r="AW73" s="347">
        <v>6</v>
      </c>
      <c r="AX73" s="347">
        <v>23</v>
      </c>
      <c r="AY73" s="347">
        <v>3</v>
      </c>
      <c r="AZ73" s="347">
        <v>7</v>
      </c>
      <c r="BA73" s="347">
        <v>9</v>
      </c>
      <c r="BB73" s="347">
        <v>7</v>
      </c>
      <c r="BC73" s="347">
        <v>7</v>
      </c>
    </row>
    <row r="74" spans="1:55" s="381" customFormat="1" ht="17.649999999999999" customHeight="1">
      <c r="A74" s="343">
        <v>14</v>
      </c>
      <c r="B74" s="211" t="s">
        <v>2095</v>
      </c>
      <c r="C74" s="211" t="s">
        <v>2055</v>
      </c>
      <c r="D74" s="211" t="s">
        <v>2090</v>
      </c>
      <c r="E74" s="344">
        <v>64</v>
      </c>
      <c r="F74" s="344">
        <v>61.133333333333297</v>
      </c>
      <c r="G74" s="209">
        <v>57.866666666666703</v>
      </c>
      <c r="H74" s="344">
        <v>57.4</v>
      </c>
      <c r="I74" s="344">
        <v>56.933333333333302</v>
      </c>
      <c r="J74" s="344">
        <v>57.866666666666703</v>
      </c>
      <c r="K74" s="344">
        <v>55.766666666666701</v>
      </c>
      <c r="L74" s="344">
        <f t="shared" si="44"/>
        <v>13.012222222222231</v>
      </c>
      <c r="M74" s="344">
        <v>33.6</v>
      </c>
      <c r="N74" s="344">
        <v>37.566666666666698</v>
      </c>
      <c r="O74" s="344">
        <v>39.200000000000003</v>
      </c>
      <c r="P74" s="344">
        <v>49.466666666666697</v>
      </c>
      <c r="Q74" s="344">
        <v>59.033333333333303</v>
      </c>
      <c r="R74" s="344">
        <v>62.3</v>
      </c>
      <c r="S74" s="344">
        <v>61.133333333333297</v>
      </c>
      <c r="T74" s="344">
        <v>65.566666666666706</v>
      </c>
      <c r="U74" s="344">
        <v>70.466666666666697</v>
      </c>
      <c r="V74" s="344">
        <v>66.966666666666697</v>
      </c>
      <c r="W74" s="344">
        <v>61.133333333333297</v>
      </c>
      <c r="X74" s="344">
        <v>65.099999999999994</v>
      </c>
      <c r="Y74" s="344">
        <v>58.1</v>
      </c>
      <c r="Z74" s="344">
        <v>56.933333333333302</v>
      </c>
      <c r="AA74" s="344">
        <v>63.933333333333302</v>
      </c>
      <c r="AB74" s="344">
        <v>66.733333333333306</v>
      </c>
      <c r="AC74" s="344">
        <v>62.3</v>
      </c>
      <c r="AD74" s="344">
        <f t="shared" si="45"/>
        <v>-4.4333333333333087</v>
      </c>
      <c r="AE74" s="344">
        <v>3</v>
      </c>
      <c r="AF74" s="344">
        <v>3</v>
      </c>
      <c r="AG74" s="344">
        <v>3</v>
      </c>
      <c r="AH74" s="346">
        <v>2</v>
      </c>
      <c r="AI74" s="197">
        <v>1</v>
      </c>
      <c r="AJ74" s="197">
        <v>1</v>
      </c>
      <c r="AK74" s="197">
        <v>3</v>
      </c>
      <c r="AL74" s="197">
        <v>3</v>
      </c>
      <c r="AM74" s="197">
        <v>8</v>
      </c>
      <c r="AN74" s="197">
        <v>6</v>
      </c>
      <c r="AO74" s="197">
        <v>3</v>
      </c>
      <c r="AP74" s="197">
        <v>5</v>
      </c>
      <c r="AQ74" s="197">
        <v>1</v>
      </c>
      <c r="AR74" s="197">
        <v>5</v>
      </c>
      <c r="AS74" s="197">
        <v>10</v>
      </c>
      <c r="AT74" s="197">
        <v>1</v>
      </c>
      <c r="AU74" s="347">
        <v>1</v>
      </c>
      <c r="AV74" s="347">
        <v>1</v>
      </c>
      <c r="AW74" s="347">
        <v>1</v>
      </c>
      <c r="AX74" s="347">
        <v>1</v>
      </c>
      <c r="AY74" s="347">
        <v>1</v>
      </c>
      <c r="AZ74" s="347">
        <v>1</v>
      </c>
      <c r="BA74" s="347">
        <v>1</v>
      </c>
      <c r="BB74" s="347">
        <v>1</v>
      </c>
      <c r="BC74" s="347">
        <v>1</v>
      </c>
    </row>
    <row r="75" spans="1:55" s="381" customFormat="1" ht="17.649999999999999" customHeight="1">
      <c r="A75" s="343">
        <v>15</v>
      </c>
      <c r="B75" s="211" t="s">
        <v>2096</v>
      </c>
      <c r="C75" s="211" t="s">
        <v>2055</v>
      </c>
      <c r="D75" s="211" t="s">
        <v>2090</v>
      </c>
      <c r="E75" s="344">
        <v>2</v>
      </c>
      <c r="F75" s="344">
        <v>2.56666666666667</v>
      </c>
      <c r="G75" s="209">
        <v>3.0333333333333301</v>
      </c>
      <c r="H75" s="344">
        <v>2.3333333333333299</v>
      </c>
      <c r="I75" s="344">
        <v>2.1</v>
      </c>
      <c r="J75" s="344">
        <v>1.86666666666667</v>
      </c>
      <c r="K75" s="344">
        <v>1.4</v>
      </c>
      <c r="L75" s="344">
        <f t="shared" si="44"/>
        <v>0.32666666666666666</v>
      </c>
      <c r="M75" s="344">
        <v>1.1666666666666701</v>
      </c>
      <c r="N75" s="344">
        <v>1.1666666666666701</v>
      </c>
      <c r="O75" s="344">
        <v>1.86666666666667</v>
      </c>
      <c r="P75" s="344">
        <v>1.86666666666667</v>
      </c>
      <c r="Q75" s="344">
        <v>2.56666666666667</v>
      </c>
      <c r="R75" s="344">
        <v>3.2666666666666702</v>
      </c>
      <c r="S75" s="344">
        <v>3.0333333333333301</v>
      </c>
      <c r="T75" s="344">
        <v>2.56666666666667</v>
      </c>
      <c r="U75" s="344">
        <v>3.0333333333333301</v>
      </c>
      <c r="V75" s="344">
        <v>2.56666666666667</v>
      </c>
      <c r="W75" s="344">
        <v>3.0333333333333301</v>
      </c>
      <c r="X75" s="344">
        <v>3.2666666666666702</v>
      </c>
      <c r="Y75" s="344">
        <v>3.2666666666666702</v>
      </c>
      <c r="Z75" s="344">
        <v>2.3333333333333299</v>
      </c>
      <c r="AA75" s="344">
        <v>2.1</v>
      </c>
      <c r="AB75" s="344">
        <v>2.3333333333333299</v>
      </c>
      <c r="AC75" s="344">
        <v>1.4</v>
      </c>
      <c r="AD75" s="344">
        <f t="shared" si="45"/>
        <v>-0.93333333333333002</v>
      </c>
      <c r="AE75" s="344">
        <v>3</v>
      </c>
      <c r="AF75" s="344">
        <v>3</v>
      </c>
      <c r="AG75" s="344">
        <v>3</v>
      </c>
      <c r="AH75" s="346">
        <v>1</v>
      </c>
      <c r="AI75" s="197">
        <v>1</v>
      </c>
      <c r="AJ75" s="197">
        <v>1</v>
      </c>
      <c r="AK75" s="197">
        <v>1</v>
      </c>
      <c r="AL75" s="197">
        <v>1</v>
      </c>
      <c r="AM75" s="197">
        <v>1</v>
      </c>
      <c r="AN75" s="197">
        <v>4</v>
      </c>
      <c r="AO75" s="197">
        <v>5</v>
      </c>
      <c r="AP75" s="347">
        <v>1</v>
      </c>
      <c r="AQ75" s="197">
        <v>1</v>
      </c>
      <c r="AR75" s="197">
        <v>1</v>
      </c>
      <c r="AS75" s="197">
        <v>1</v>
      </c>
      <c r="AT75" s="197">
        <v>10</v>
      </c>
      <c r="AU75" s="347">
        <v>2</v>
      </c>
      <c r="AV75" s="347">
        <v>10</v>
      </c>
      <c r="AW75" s="347">
        <v>1</v>
      </c>
      <c r="AX75" s="347">
        <v>9</v>
      </c>
      <c r="AY75" s="347">
        <v>10</v>
      </c>
      <c r="AZ75" s="347">
        <v>2</v>
      </c>
      <c r="BA75" s="347">
        <v>10</v>
      </c>
      <c r="BB75" s="347">
        <v>2</v>
      </c>
      <c r="BC75" s="347">
        <v>2</v>
      </c>
    </row>
    <row r="76" spans="1:55" s="381" customFormat="1" ht="17.649999999999999" customHeight="1">
      <c r="A76" s="343">
        <v>16</v>
      </c>
      <c r="B76" s="211" t="s">
        <v>2097</v>
      </c>
      <c r="C76" s="211" t="s">
        <v>2055</v>
      </c>
      <c r="D76" s="211" t="s">
        <v>2090</v>
      </c>
      <c r="E76" s="344">
        <v>88</v>
      </c>
      <c r="F76" s="344">
        <v>92.866666666666703</v>
      </c>
      <c r="G76" s="209">
        <v>95.6666666666667</v>
      </c>
      <c r="H76" s="344">
        <v>89.8333333333333</v>
      </c>
      <c r="I76" s="344">
        <v>87.966666666666697</v>
      </c>
      <c r="J76" s="344">
        <v>83.766666666666694</v>
      </c>
      <c r="K76" s="344">
        <v>68.366666666666703</v>
      </c>
      <c r="L76" s="344">
        <f t="shared" si="44"/>
        <v>15.952222222222233</v>
      </c>
      <c r="M76" s="344">
        <v>34.766666666666701</v>
      </c>
      <c r="N76" s="344">
        <v>38.033333333333303</v>
      </c>
      <c r="O76" s="344">
        <v>44.1</v>
      </c>
      <c r="P76" s="344">
        <v>64.633333333333297</v>
      </c>
      <c r="Q76" s="344">
        <v>80.266666666666694</v>
      </c>
      <c r="R76" s="344">
        <v>88.6666666666667</v>
      </c>
      <c r="S76" s="344">
        <v>94.733333333333306</v>
      </c>
      <c r="T76" s="344">
        <v>99.1666666666667</v>
      </c>
      <c r="U76" s="344">
        <v>100.1</v>
      </c>
      <c r="V76" s="344">
        <v>100.566666666667</v>
      </c>
      <c r="W76" s="344">
        <v>82.133333333333297</v>
      </c>
      <c r="X76" s="344">
        <v>85.866666666666703</v>
      </c>
      <c r="Y76" s="344">
        <v>79.8</v>
      </c>
      <c r="Z76" s="344">
        <v>78.866666666666703</v>
      </c>
      <c r="AA76" s="344">
        <v>91</v>
      </c>
      <c r="AB76" s="344">
        <v>89.8333333333333</v>
      </c>
      <c r="AC76" s="344">
        <v>90.766666666666694</v>
      </c>
      <c r="AD76" s="344">
        <f t="shared" si="45"/>
        <v>0.93333333333339397</v>
      </c>
      <c r="AE76" s="344">
        <v>1</v>
      </c>
      <c r="AF76" s="344">
        <v>1</v>
      </c>
      <c r="AG76" s="345">
        <v>1</v>
      </c>
      <c r="AH76" s="346">
        <v>1</v>
      </c>
      <c r="AI76" s="197">
        <v>10</v>
      </c>
      <c r="AJ76" s="197">
        <v>1</v>
      </c>
      <c r="AK76" s="197">
        <v>1</v>
      </c>
      <c r="AL76" s="197">
        <v>1</v>
      </c>
      <c r="AM76" s="197">
        <v>1</v>
      </c>
      <c r="AN76" s="197">
        <v>1</v>
      </c>
      <c r="AO76" s="197">
        <v>1</v>
      </c>
      <c r="AP76" s="197">
        <v>2</v>
      </c>
      <c r="AQ76" s="197">
        <v>1</v>
      </c>
      <c r="AR76" s="197">
        <v>1</v>
      </c>
      <c r="AS76" s="197">
        <v>1</v>
      </c>
      <c r="AT76" s="197">
        <v>1</v>
      </c>
      <c r="AU76" s="347">
        <v>1</v>
      </c>
      <c r="AV76" s="347">
        <v>9</v>
      </c>
      <c r="AW76" s="347">
        <v>1</v>
      </c>
      <c r="AX76" s="347">
        <v>1</v>
      </c>
      <c r="AY76" s="347">
        <v>9</v>
      </c>
      <c r="AZ76" s="347">
        <v>1</v>
      </c>
      <c r="BA76" s="347">
        <v>1</v>
      </c>
      <c r="BB76" s="347">
        <v>1</v>
      </c>
      <c r="BC76" s="347">
        <v>1</v>
      </c>
    </row>
    <row r="77" spans="1:55" s="381" customFormat="1" ht="17.649999999999999" customHeight="1">
      <c r="A77" s="343">
        <v>17</v>
      </c>
      <c r="B77" s="211" t="s">
        <v>2098</v>
      </c>
      <c r="C77" s="211" t="s">
        <v>2055</v>
      </c>
      <c r="D77" s="211" t="s">
        <v>2063</v>
      </c>
      <c r="E77" s="344">
        <v>532</v>
      </c>
      <c r="F77" s="344">
        <v>662.2</v>
      </c>
      <c r="G77" s="209">
        <v>843.03333333333296</v>
      </c>
      <c r="H77" s="344">
        <v>761.36666666666702</v>
      </c>
      <c r="I77" s="344">
        <v>761.6</v>
      </c>
      <c r="J77" s="344">
        <v>825.3</v>
      </c>
      <c r="K77" s="344">
        <v>727.3</v>
      </c>
      <c r="L77" s="344">
        <f t="shared" si="44"/>
        <v>169.70333333333332</v>
      </c>
      <c r="M77" s="344">
        <v>481.6</v>
      </c>
      <c r="N77" s="344">
        <v>855.4</v>
      </c>
      <c r="O77" s="344">
        <v>1184.63333333333</v>
      </c>
      <c r="P77" s="344">
        <v>1474.9</v>
      </c>
      <c r="Q77" s="344">
        <v>1930.36666666667</v>
      </c>
      <c r="R77" s="344">
        <v>1935.7333333333299</v>
      </c>
      <c r="S77" s="344">
        <v>1776.6</v>
      </c>
      <c r="T77" s="344">
        <v>1870.1666666666699</v>
      </c>
      <c r="U77" s="344">
        <v>1678.13333333333</v>
      </c>
      <c r="V77" s="344">
        <v>1654.1</v>
      </c>
      <c r="W77" s="344">
        <v>1538.6</v>
      </c>
      <c r="X77" s="344">
        <v>1839.13333333333</v>
      </c>
      <c r="Y77" s="344">
        <v>2428.5333333333301</v>
      </c>
      <c r="Z77" s="344">
        <v>2571.5666666666698</v>
      </c>
      <c r="AA77" s="344">
        <v>2838.0333333333301</v>
      </c>
      <c r="AB77" s="344">
        <v>3185.2333333333299</v>
      </c>
      <c r="AC77" s="344">
        <v>2851.1</v>
      </c>
      <c r="AD77" s="344">
        <f t="shared" si="45"/>
        <v>-334.13333333333003</v>
      </c>
      <c r="AE77" s="344">
        <v>1</v>
      </c>
      <c r="AF77" s="344">
        <v>1</v>
      </c>
      <c r="AG77" s="345">
        <v>1</v>
      </c>
      <c r="AH77" s="346">
        <v>4</v>
      </c>
      <c r="AI77" s="197">
        <v>4</v>
      </c>
      <c r="AJ77" s="197">
        <v>1</v>
      </c>
      <c r="AK77" s="197">
        <v>1</v>
      </c>
      <c r="AL77" s="197">
        <v>1</v>
      </c>
      <c r="AM77" s="197">
        <v>1</v>
      </c>
      <c r="AN77" s="197">
        <v>1</v>
      </c>
      <c r="AO77" s="197">
        <v>1</v>
      </c>
      <c r="AP77" s="197">
        <v>1</v>
      </c>
      <c r="AQ77" s="197">
        <v>1</v>
      </c>
      <c r="AR77" s="197">
        <v>10</v>
      </c>
      <c r="AS77" s="197">
        <v>1</v>
      </c>
      <c r="AT77" s="347">
        <v>1</v>
      </c>
      <c r="AU77" s="347">
        <v>2</v>
      </c>
      <c r="AV77" s="347">
        <v>1</v>
      </c>
      <c r="AW77" s="347">
        <v>1</v>
      </c>
      <c r="AX77" s="347">
        <v>2</v>
      </c>
      <c r="AY77" s="347">
        <v>1</v>
      </c>
      <c r="AZ77" s="347">
        <v>1</v>
      </c>
      <c r="BA77" s="347">
        <v>2</v>
      </c>
      <c r="BB77" s="347">
        <v>1</v>
      </c>
      <c r="BC77" s="347">
        <v>1</v>
      </c>
    </row>
    <row r="78" spans="1:55" s="381" customFormat="1" ht="17.649999999999999" customHeight="1">
      <c r="A78" s="343">
        <v>18</v>
      </c>
      <c r="B78" s="211" t="s">
        <v>2099</v>
      </c>
      <c r="C78" s="211" t="s">
        <v>2055</v>
      </c>
      <c r="D78" s="211" t="s">
        <v>2063</v>
      </c>
      <c r="E78" s="344">
        <v>1580</v>
      </c>
      <c r="F78" s="344">
        <v>1594.6</v>
      </c>
      <c r="G78" s="209">
        <v>1525.7666666666701</v>
      </c>
      <c r="H78" s="344">
        <v>1457.86666666667</v>
      </c>
      <c r="I78" s="344">
        <v>1371.7666666666701</v>
      </c>
      <c r="J78" s="344">
        <v>1440.13333333333</v>
      </c>
      <c r="K78" s="344">
        <v>1343.7666666666701</v>
      </c>
      <c r="L78" s="344">
        <f t="shared" si="44"/>
        <v>313.54555555555635</v>
      </c>
      <c r="M78" s="344">
        <v>969.26666666666699</v>
      </c>
      <c r="N78" s="344">
        <v>967.63333333333298</v>
      </c>
      <c r="O78" s="344">
        <v>1030.1666666666699</v>
      </c>
      <c r="P78" s="344">
        <v>1255.8</v>
      </c>
      <c r="Q78" s="344">
        <v>1541.63333333333</v>
      </c>
      <c r="R78" s="344">
        <v>1620.2666666666701</v>
      </c>
      <c r="S78" s="344">
        <v>1684.6666666666699</v>
      </c>
      <c r="T78" s="344">
        <v>1676.2666666666701</v>
      </c>
      <c r="U78" s="344">
        <v>1691.43333333333</v>
      </c>
      <c r="V78" s="344">
        <v>1544.2</v>
      </c>
      <c r="W78" s="344">
        <v>1368.5</v>
      </c>
      <c r="X78" s="344">
        <v>1375.2666666666701</v>
      </c>
      <c r="Y78" s="344">
        <v>1270.9666666666701</v>
      </c>
      <c r="Z78" s="344">
        <v>1233.4000000000001</v>
      </c>
      <c r="AA78" s="344">
        <v>1195.13333333333</v>
      </c>
      <c r="AB78" s="344">
        <v>1154.3</v>
      </c>
      <c r="AC78" s="344">
        <v>1068.9000000000001</v>
      </c>
      <c r="AD78" s="344">
        <f t="shared" si="45"/>
        <v>-85.399999999999864</v>
      </c>
      <c r="AE78" s="344">
        <v>20</v>
      </c>
      <c r="AF78" s="344">
        <v>10</v>
      </c>
      <c r="AG78" s="344">
        <v>10</v>
      </c>
      <c r="AH78" s="346">
        <v>7</v>
      </c>
      <c r="AI78" s="197">
        <v>10</v>
      </c>
      <c r="AJ78" s="197">
        <v>13</v>
      </c>
      <c r="AK78" s="197">
        <v>14</v>
      </c>
      <c r="AL78" s="197">
        <v>10</v>
      </c>
      <c r="AM78" s="197">
        <v>12</v>
      </c>
      <c r="AN78" s="197">
        <v>13</v>
      </c>
      <c r="AO78" s="197">
        <v>10</v>
      </c>
      <c r="AP78" s="347">
        <v>14</v>
      </c>
      <c r="AQ78" s="347">
        <v>2</v>
      </c>
      <c r="AR78" s="347">
        <v>13</v>
      </c>
      <c r="AS78" s="347">
        <v>13</v>
      </c>
      <c r="AT78" s="347">
        <v>12</v>
      </c>
      <c r="AU78" s="347">
        <v>12</v>
      </c>
      <c r="AV78" s="347">
        <v>2</v>
      </c>
      <c r="AW78" s="347">
        <v>6</v>
      </c>
      <c r="AX78" s="347">
        <v>5</v>
      </c>
      <c r="AY78" s="347">
        <v>6</v>
      </c>
      <c r="AZ78" s="347">
        <v>12</v>
      </c>
      <c r="BA78" s="347">
        <v>3</v>
      </c>
      <c r="BB78" s="347">
        <v>13</v>
      </c>
      <c r="BC78" s="347">
        <v>5</v>
      </c>
    </row>
    <row r="79" spans="1:55" s="381" customFormat="1" ht="17.649999999999999" customHeight="1">
      <c r="A79" s="343">
        <v>19</v>
      </c>
      <c r="B79" s="211" t="s">
        <v>2100</v>
      </c>
      <c r="C79" s="211" t="s">
        <v>2055</v>
      </c>
      <c r="D79" s="211" t="s">
        <v>2090</v>
      </c>
      <c r="E79" s="344">
        <v>104</v>
      </c>
      <c r="F79" s="344">
        <v>98.466666666666697</v>
      </c>
      <c r="G79" s="209">
        <v>90.066666666666706</v>
      </c>
      <c r="H79" s="344">
        <v>86.3333333333333</v>
      </c>
      <c r="I79" s="344">
        <v>87.5</v>
      </c>
      <c r="J79" s="344">
        <v>84.233333333333306</v>
      </c>
      <c r="K79" s="344">
        <v>79.3333333333333</v>
      </c>
      <c r="L79" s="344">
        <f t="shared" si="44"/>
        <v>18.511111111111106</v>
      </c>
      <c r="M79" s="344">
        <v>48.533333333333303</v>
      </c>
      <c r="N79" s="344">
        <v>61.366666666666703</v>
      </c>
      <c r="O79" s="344">
        <v>62.533333333333303</v>
      </c>
      <c r="P79" s="344">
        <v>79.8</v>
      </c>
      <c r="Q79" s="344">
        <v>96.8333333333333</v>
      </c>
      <c r="R79" s="344">
        <v>89.133333333333297</v>
      </c>
      <c r="S79" s="344">
        <v>86.3333333333333</v>
      </c>
      <c r="T79" s="344">
        <v>81.900000000000006</v>
      </c>
      <c r="U79" s="344">
        <v>73.266666666666694</v>
      </c>
      <c r="V79" s="344">
        <v>65.099999999999994</v>
      </c>
      <c r="W79" s="344">
        <v>61.133333333333297</v>
      </c>
      <c r="X79" s="344">
        <v>63.466666666666697</v>
      </c>
      <c r="Y79" s="344">
        <v>59.5</v>
      </c>
      <c r="Z79" s="344">
        <v>66.033333333333303</v>
      </c>
      <c r="AA79" s="344">
        <v>67.900000000000006</v>
      </c>
      <c r="AB79" s="344">
        <v>65.8</v>
      </c>
      <c r="AC79" s="344">
        <v>61.6</v>
      </c>
      <c r="AD79" s="344">
        <f t="shared" si="45"/>
        <v>-4.1999999999999957</v>
      </c>
      <c r="AE79" s="344">
        <v>1</v>
      </c>
      <c r="AF79" s="344">
        <v>1</v>
      </c>
      <c r="AG79" s="345">
        <v>1</v>
      </c>
      <c r="AH79" s="346">
        <v>1</v>
      </c>
      <c r="AI79" s="197">
        <v>1</v>
      </c>
      <c r="AJ79" s="197">
        <v>1</v>
      </c>
      <c r="AK79" s="197">
        <v>4</v>
      </c>
      <c r="AL79" s="197">
        <v>4</v>
      </c>
      <c r="AM79" s="197">
        <v>1</v>
      </c>
      <c r="AN79" s="197">
        <v>1</v>
      </c>
      <c r="AO79" s="197">
        <v>3</v>
      </c>
      <c r="AP79" s="347">
        <v>1</v>
      </c>
      <c r="AQ79" s="197">
        <v>1</v>
      </c>
      <c r="AR79" s="197">
        <v>1</v>
      </c>
      <c r="AS79" s="197">
        <v>10</v>
      </c>
      <c r="AT79" s="197">
        <v>1</v>
      </c>
      <c r="AU79" s="347">
        <v>3</v>
      </c>
      <c r="AV79" s="347">
        <v>10</v>
      </c>
      <c r="AW79" s="347">
        <v>1</v>
      </c>
      <c r="AX79" s="347">
        <v>2</v>
      </c>
      <c r="AY79" s="347">
        <v>10</v>
      </c>
      <c r="AZ79" s="347">
        <v>1</v>
      </c>
      <c r="BA79" s="347">
        <v>1</v>
      </c>
      <c r="BB79" s="347">
        <v>1</v>
      </c>
      <c r="BC79" s="347">
        <v>1</v>
      </c>
    </row>
    <row r="80" spans="1:55" s="381" customFormat="1" ht="17.649999999999999" customHeight="1">
      <c r="A80" s="343">
        <v>20</v>
      </c>
      <c r="B80" s="211" t="s">
        <v>134</v>
      </c>
      <c r="C80" s="211" t="s">
        <v>2055</v>
      </c>
      <c r="D80" s="211" t="s">
        <v>2063</v>
      </c>
      <c r="E80" s="344">
        <v>1666</v>
      </c>
      <c r="F80" s="344">
        <v>1776.13333333333</v>
      </c>
      <c r="G80" s="209">
        <v>1640.1</v>
      </c>
      <c r="H80" s="344">
        <v>1580.6</v>
      </c>
      <c r="I80" s="344">
        <v>1441.3</v>
      </c>
      <c r="J80" s="344">
        <v>1317.4</v>
      </c>
      <c r="K80" s="344">
        <v>1108.8</v>
      </c>
      <c r="L80" s="344">
        <f t="shared" si="44"/>
        <v>258.72000000000003</v>
      </c>
      <c r="M80" s="344">
        <v>648.66666666666697</v>
      </c>
      <c r="N80" s="344">
        <v>784.7</v>
      </c>
      <c r="O80" s="344">
        <v>923.76666666666699</v>
      </c>
      <c r="P80" s="344">
        <v>1306.9000000000001</v>
      </c>
      <c r="Q80" s="344">
        <v>1727.36666666667</v>
      </c>
      <c r="R80" s="344">
        <v>1904.93333333333</v>
      </c>
      <c r="S80" s="344">
        <v>2048.1999999999998</v>
      </c>
      <c r="T80" s="344">
        <v>2161.36666666667</v>
      </c>
      <c r="U80" s="344">
        <v>2176.0666666666698</v>
      </c>
      <c r="V80" s="344">
        <v>2174.1999999999998</v>
      </c>
      <c r="W80" s="344">
        <v>1982.86666666667</v>
      </c>
      <c r="X80" s="344">
        <v>1906.3333333333301</v>
      </c>
      <c r="Y80" s="344">
        <v>1725.7333333333299</v>
      </c>
      <c r="Z80" s="344">
        <v>1561.93333333333</v>
      </c>
      <c r="AA80" s="344">
        <v>1556.1</v>
      </c>
      <c r="AB80" s="344">
        <v>1477.7</v>
      </c>
      <c r="AC80" s="344">
        <v>1267.2333333333299</v>
      </c>
      <c r="AD80" s="344">
        <f t="shared" si="45"/>
        <v>-210.46666666667011</v>
      </c>
      <c r="AE80" s="344">
        <v>6</v>
      </c>
      <c r="AF80" s="344">
        <v>3</v>
      </c>
      <c r="AG80" s="345">
        <v>1</v>
      </c>
      <c r="AH80" s="346">
        <v>5</v>
      </c>
      <c r="AI80" s="197">
        <v>3</v>
      </c>
      <c r="AJ80" s="197">
        <v>7</v>
      </c>
      <c r="AK80" s="197">
        <v>3</v>
      </c>
      <c r="AL80" s="197">
        <v>3</v>
      </c>
      <c r="AM80" s="197">
        <v>4</v>
      </c>
      <c r="AN80" s="197">
        <v>1</v>
      </c>
      <c r="AO80" s="197">
        <v>6</v>
      </c>
      <c r="AP80" s="347">
        <v>7</v>
      </c>
      <c r="AQ80" s="197">
        <v>3</v>
      </c>
      <c r="AR80" s="197">
        <v>1</v>
      </c>
      <c r="AS80" s="347">
        <v>3</v>
      </c>
      <c r="AT80" s="197">
        <v>3</v>
      </c>
      <c r="AU80" s="347">
        <v>3</v>
      </c>
      <c r="AV80" s="347">
        <v>1</v>
      </c>
      <c r="AW80" s="347">
        <v>1</v>
      </c>
      <c r="AX80" s="347">
        <v>5</v>
      </c>
      <c r="AY80" s="347">
        <v>3</v>
      </c>
      <c r="AZ80" s="347">
        <v>4</v>
      </c>
      <c r="BA80" s="347">
        <v>5</v>
      </c>
      <c r="BB80" s="347">
        <v>1</v>
      </c>
      <c r="BC80" s="347">
        <v>1</v>
      </c>
    </row>
    <row r="81" spans="1:55" s="381" customFormat="1" ht="17.649999999999999" customHeight="1">
      <c r="A81" s="343">
        <v>21</v>
      </c>
      <c r="B81" s="211" t="s">
        <v>2101</v>
      </c>
      <c r="C81" s="211" t="s">
        <v>2055</v>
      </c>
      <c r="D81" s="211" t="s">
        <v>2090</v>
      </c>
      <c r="E81" s="344">
        <v>7</v>
      </c>
      <c r="F81" s="344">
        <v>8.8666666666666707</v>
      </c>
      <c r="G81" s="209">
        <v>9.56666666666667</v>
      </c>
      <c r="H81" s="344">
        <v>8.8666666666666707</v>
      </c>
      <c r="I81" s="344">
        <v>9.1</v>
      </c>
      <c r="J81" s="344">
        <v>8.4</v>
      </c>
      <c r="K81" s="344">
        <v>7.93333333333333</v>
      </c>
      <c r="L81" s="344">
        <f t="shared" si="44"/>
        <v>1.8511111111111103</v>
      </c>
      <c r="M81" s="344">
        <v>6.5333333333333297</v>
      </c>
      <c r="N81" s="344">
        <v>6.7666666666666702</v>
      </c>
      <c r="O81" s="344">
        <v>5.6</v>
      </c>
      <c r="P81" s="344">
        <v>7.4666666666666703</v>
      </c>
      <c r="Q81" s="344">
        <v>8.6333333333333293</v>
      </c>
      <c r="R81" s="344">
        <v>7.7</v>
      </c>
      <c r="S81" s="344">
        <v>6.7666666666666702</v>
      </c>
      <c r="T81" s="344">
        <v>5.8333333333333304</v>
      </c>
      <c r="U81" s="344">
        <v>6.3</v>
      </c>
      <c r="V81" s="344">
        <v>4.6666666666666696</v>
      </c>
      <c r="W81" s="344">
        <v>5.3666666666666698</v>
      </c>
      <c r="X81" s="344">
        <v>4.43333333333333</v>
      </c>
      <c r="Y81" s="344">
        <v>4.43333333333333</v>
      </c>
      <c r="Z81" s="344">
        <v>3.2666666666666702</v>
      </c>
      <c r="AA81" s="344">
        <v>3.0333333333333301</v>
      </c>
      <c r="AB81" s="344">
        <v>2.56666666666667</v>
      </c>
      <c r="AC81" s="344">
        <v>2.1</v>
      </c>
      <c r="AD81" s="344">
        <f t="shared" si="45"/>
        <v>-0.46666666666666989</v>
      </c>
      <c r="AE81" s="344">
        <v>4</v>
      </c>
      <c r="AF81" s="344">
        <v>6</v>
      </c>
      <c r="AG81" s="345">
        <v>8</v>
      </c>
      <c r="AH81" s="346">
        <v>2</v>
      </c>
      <c r="AI81" s="197">
        <v>5</v>
      </c>
      <c r="AJ81" s="197">
        <v>3</v>
      </c>
      <c r="AK81" s="197">
        <v>3</v>
      </c>
      <c r="AL81" s="197">
        <v>3</v>
      </c>
      <c r="AM81" s="197">
        <v>3</v>
      </c>
      <c r="AN81" s="197">
        <v>5</v>
      </c>
      <c r="AO81" s="197">
        <v>5</v>
      </c>
      <c r="AP81" s="197">
        <v>5</v>
      </c>
      <c r="AQ81" s="197">
        <v>7</v>
      </c>
      <c r="AR81" s="197">
        <v>4</v>
      </c>
      <c r="AS81" s="197">
        <v>3</v>
      </c>
      <c r="AT81" s="197">
        <v>7</v>
      </c>
      <c r="AU81" s="347">
        <v>8</v>
      </c>
      <c r="AV81" s="347">
        <v>5</v>
      </c>
      <c r="AW81" s="347">
        <v>1</v>
      </c>
      <c r="AX81" s="347">
        <v>2</v>
      </c>
      <c r="AY81" s="347">
        <v>3</v>
      </c>
      <c r="AZ81" s="347">
        <v>2</v>
      </c>
      <c r="BA81" s="347">
        <v>4</v>
      </c>
      <c r="BB81" s="347">
        <v>5</v>
      </c>
      <c r="BC81" s="347">
        <v>4</v>
      </c>
    </row>
    <row r="82" spans="1:55" s="381" customFormat="1" ht="17.649999999999999" customHeight="1">
      <c r="A82" s="343">
        <v>22</v>
      </c>
      <c r="B82" s="211" t="s">
        <v>2102</v>
      </c>
      <c r="C82" s="211" t="s">
        <v>2055</v>
      </c>
      <c r="D82" s="211" t="s">
        <v>2090</v>
      </c>
      <c r="E82" s="344">
        <v>5</v>
      </c>
      <c r="F82" s="344">
        <v>4.6666666666666696</v>
      </c>
      <c r="G82" s="209">
        <v>3.9666666666666699</v>
      </c>
      <c r="H82" s="344">
        <v>3.5</v>
      </c>
      <c r="I82" s="344">
        <v>3.5</v>
      </c>
      <c r="J82" s="344">
        <v>3.5</v>
      </c>
      <c r="K82" s="344">
        <v>3.9666666666666699</v>
      </c>
      <c r="L82" s="344">
        <f t="shared" si="44"/>
        <v>0.92555555555555624</v>
      </c>
      <c r="M82" s="344">
        <v>3.5</v>
      </c>
      <c r="N82" s="344">
        <v>3.9666666666666699</v>
      </c>
      <c r="O82" s="344">
        <v>4.2</v>
      </c>
      <c r="P82" s="344">
        <v>4.43333333333333</v>
      </c>
      <c r="Q82" s="344">
        <v>6.3</v>
      </c>
      <c r="R82" s="344">
        <v>5.3666666666666698</v>
      </c>
      <c r="S82" s="344">
        <v>4.43333333333333</v>
      </c>
      <c r="T82" s="344">
        <v>4.43333333333333</v>
      </c>
      <c r="U82" s="344">
        <v>4.2</v>
      </c>
      <c r="V82" s="344">
        <v>4.43333333333333</v>
      </c>
      <c r="W82" s="344">
        <v>5.1333333333333302</v>
      </c>
      <c r="X82" s="344">
        <v>5.8333333333333304</v>
      </c>
      <c r="Y82" s="344">
        <v>5.6</v>
      </c>
      <c r="Z82" s="344">
        <v>6.7666666666666702</v>
      </c>
      <c r="AA82" s="344">
        <v>6.3</v>
      </c>
      <c r="AB82" s="344">
        <v>5.6</v>
      </c>
      <c r="AC82" s="344">
        <v>3.5</v>
      </c>
      <c r="AD82" s="344">
        <f t="shared" si="45"/>
        <v>-2.0999999999999996</v>
      </c>
      <c r="AE82" s="344">
        <v>3</v>
      </c>
      <c r="AF82" s="344">
        <v>3</v>
      </c>
      <c r="AG82" s="345">
        <v>1</v>
      </c>
      <c r="AH82" s="346">
        <v>5</v>
      </c>
      <c r="AI82" s="197">
        <v>1</v>
      </c>
      <c r="AJ82" s="197">
        <v>1</v>
      </c>
      <c r="AK82" s="197">
        <v>1</v>
      </c>
      <c r="AL82" s="197">
        <v>1</v>
      </c>
      <c r="AM82" s="197">
        <v>1</v>
      </c>
      <c r="AN82" s="197">
        <v>1</v>
      </c>
      <c r="AO82" s="197">
        <v>3</v>
      </c>
      <c r="AP82" s="197">
        <v>5</v>
      </c>
      <c r="AQ82" s="197">
        <v>1</v>
      </c>
      <c r="AR82" s="197">
        <v>1</v>
      </c>
      <c r="AS82" s="197">
        <v>1</v>
      </c>
      <c r="AT82" s="197">
        <v>6</v>
      </c>
      <c r="AU82" s="347">
        <v>8</v>
      </c>
      <c r="AV82" s="347">
        <v>1</v>
      </c>
      <c r="AW82" s="347">
        <v>1</v>
      </c>
      <c r="AX82" s="347">
        <v>1</v>
      </c>
      <c r="AY82" s="347">
        <v>1</v>
      </c>
      <c r="AZ82" s="347">
        <v>3</v>
      </c>
      <c r="BA82" s="347">
        <v>7</v>
      </c>
      <c r="BB82" s="347">
        <v>3</v>
      </c>
      <c r="BC82" s="347">
        <v>2</v>
      </c>
    </row>
    <row r="83" spans="1:55" s="381" customFormat="1" ht="17.649999999999999" customHeight="1">
      <c r="A83" s="343">
        <v>23</v>
      </c>
      <c r="B83" s="211" t="s">
        <v>211</v>
      </c>
      <c r="C83" s="211" t="s">
        <v>2055</v>
      </c>
      <c r="D83" s="211" t="s">
        <v>2063</v>
      </c>
      <c r="E83" s="344">
        <v>574</v>
      </c>
      <c r="F83" s="344">
        <v>602.23333333333301</v>
      </c>
      <c r="G83" s="209">
        <v>617.16666666666697</v>
      </c>
      <c r="H83" s="344">
        <v>619.73333333333301</v>
      </c>
      <c r="I83" s="344">
        <v>585.66666666666697</v>
      </c>
      <c r="J83" s="344">
        <v>573.29999999999995</v>
      </c>
      <c r="K83" s="344">
        <v>515.9</v>
      </c>
      <c r="L83" s="344">
        <f t="shared" si="44"/>
        <v>120.37666666666667</v>
      </c>
      <c r="M83" s="344">
        <v>373.566666666667</v>
      </c>
      <c r="N83" s="344">
        <v>419.3</v>
      </c>
      <c r="O83" s="344">
        <v>477.4</v>
      </c>
      <c r="P83" s="344">
        <v>582.86666666666702</v>
      </c>
      <c r="Q83" s="344">
        <v>715.4</v>
      </c>
      <c r="R83" s="344">
        <v>732.2</v>
      </c>
      <c r="S83" s="344">
        <v>714.23333333333301</v>
      </c>
      <c r="T83" s="344">
        <v>712.6</v>
      </c>
      <c r="U83" s="344">
        <v>688.1</v>
      </c>
      <c r="V83" s="344">
        <v>642.83333333333303</v>
      </c>
      <c r="W83" s="344">
        <v>570.03333333333296</v>
      </c>
      <c r="X83" s="344">
        <v>540.4</v>
      </c>
      <c r="Y83" s="344">
        <v>489.53333333333302</v>
      </c>
      <c r="Z83" s="344">
        <v>470.16666666666703</v>
      </c>
      <c r="AA83" s="344">
        <v>487.66666666666703</v>
      </c>
      <c r="AB83" s="344">
        <v>487.66666666666703</v>
      </c>
      <c r="AC83" s="344">
        <v>471.8</v>
      </c>
      <c r="AD83" s="344">
        <f t="shared" si="45"/>
        <v>-15.866666666667015</v>
      </c>
      <c r="AE83" s="344">
        <v>3</v>
      </c>
      <c r="AF83" s="344">
        <v>3</v>
      </c>
      <c r="AG83" s="345">
        <v>1</v>
      </c>
      <c r="AH83" s="346">
        <v>2</v>
      </c>
      <c r="AI83" s="197">
        <v>1</v>
      </c>
      <c r="AJ83" s="197">
        <v>2</v>
      </c>
      <c r="AK83" s="197">
        <v>1</v>
      </c>
      <c r="AL83" s="197">
        <v>1</v>
      </c>
      <c r="AM83" s="197">
        <v>2</v>
      </c>
      <c r="AN83" s="197">
        <v>3</v>
      </c>
      <c r="AO83" s="197">
        <v>1</v>
      </c>
      <c r="AP83" s="197">
        <v>1</v>
      </c>
      <c r="AQ83" s="197">
        <v>1</v>
      </c>
      <c r="AR83" s="347">
        <v>11</v>
      </c>
      <c r="AS83" s="347">
        <v>1</v>
      </c>
      <c r="AT83" s="197">
        <v>2</v>
      </c>
      <c r="AU83" s="347">
        <v>1</v>
      </c>
      <c r="AV83" s="347">
        <v>1</v>
      </c>
      <c r="AW83" s="347">
        <v>1</v>
      </c>
      <c r="AX83" s="347">
        <v>1</v>
      </c>
      <c r="AY83" s="347">
        <v>2</v>
      </c>
      <c r="AZ83" s="347">
        <v>2</v>
      </c>
      <c r="BA83" s="347">
        <v>8</v>
      </c>
      <c r="BB83" s="347">
        <v>1</v>
      </c>
      <c r="BC83" s="347">
        <v>2</v>
      </c>
    </row>
    <row r="84" spans="1:55" s="381" customFormat="1" ht="17.649999999999999" customHeight="1">
      <c r="A84" s="343">
        <v>24</v>
      </c>
      <c r="B84" s="211" t="s">
        <v>2103</v>
      </c>
      <c r="C84" s="211" t="s">
        <v>2055</v>
      </c>
      <c r="D84" s="211" t="s">
        <v>2090</v>
      </c>
      <c r="E84" s="344">
        <v>21</v>
      </c>
      <c r="F84" s="344">
        <v>20.533333333333299</v>
      </c>
      <c r="G84" s="209">
        <v>17.5</v>
      </c>
      <c r="H84" s="344">
        <v>17.733333333333299</v>
      </c>
      <c r="I84" s="344">
        <v>16.566666666666698</v>
      </c>
      <c r="J84" s="344">
        <v>17.5</v>
      </c>
      <c r="K84" s="344">
        <v>17.266666666666701</v>
      </c>
      <c r="L84" s="344">
        <f t="shared" si="44"/>
        <v>4.028888888888897</v>
      </c>
      <c r="M84" s="344">
        <v>14.466666666666701</v>
      </c>
      <c r="N84" s="344">
        <v>11.2</v>
      </c>
      <c r="O84" s="344">
        <v>11.2</v>
      </c>
      <c r="P84" s="344">
        <v>18.433333333333302</v>
      </c>
      <c r="Q84" s="344">
        <v>28.7</v>
      </c>
      <c r="R84" s="344">
        <v>32.200000000000003</v>
      </c>
      <c r="S84" s="344">
        <v>36.1666666666667</v>
      </c>
      <c r="T84" s="344">
        <v>32.9</v>
      </c>
      <c r="U84" s="344">
        <v>29.4</v>
      </c>
      <c r="V84" s="344">
        <v>26.133333333333301</v>
      </c>
      <c r="W84" s="344">
        <v>21.7</v>
      </c>
      <c r="X84" s="344">
        <v>20.066666666666698</v>
      </c>
      <c r="Y84" s="344">
        <v>17.5</v>
      </c>
      <c r="Z84" s="344">
        <v>19.8333333333333</v>
      </c>
      <c r="AA84" s="344">
        <v>29.4</v>
      </c>
      <c r="AB84" s="344">
        <v>31.966666666666701</v>
      </c>
      <c r="AC84" s="344">
        <v>32.9</v>
      </c>
      <c r="AD84" s="344">
        <f t="shared" si="45"/>
        <v>0.93333333333329804</v>
      </c>
      <c r="AE84" s="344">
        <v>10</v>
      </c>
      <c r="AF84" s="344">
        <v>10</v>
      </c>
      <c r="AG84" s="345">
        <v>4</v>
      </c>
      <c r="AH84" s="346">
        <v>5</v>
      </c>
      <c r="AI84" s="197">
        <v>2</v>
      </c>
      <c r="AJ84" s="197">
        <v>9</v>
      </c>
      <c r="AK84" s="197">
        <v>3</v>
      </c>
      <c r="AL84" s="197">
        <v>3</v>
      </c>
      <c r="AM84" s="197">
        <v>3</v>
      </c>
      <c r="AN84" s="197">
        <v>3</v>
      </c>
      <c r="AO84" s="197">
        <v>4</v>
      </c>
      <c r="AP84" s="347">
        <v>3</v>
      </c>
      <c r="AQ84" s="197">
        <v>10</v>
      </c>
      <c r="AR84" s="197">
        <v>3</v>
      </c>
      <c r="AS84" s="197">
        <v>3</v>
      </c>
      <c r="AT84" s="197">
        <v>3</v>
      </c>
      <c r="AU84" s="347">
        <v>3</v>
      </c>
      <c r="AV84" s="347">
        <v>3</v>
      </c>
      <c r="AW84" s="347">
        <v>6</v>
      </c>
      <c r="AX84" s="197">
        <v>51</v>
      </c>
      <c r="AY84" s="347">
        <v>3</v>
      </c>
      <c r="AZ84" s="347">
        <v>8</v>
      </c>
      <c r="BA84" s="347">
        <v>7</v>
      </c>
      <c r="BB84" s="347">
        <v>7</v>
      </c>
      <c r="BC84" s="347">
        <v>7</v>
      </c>
    </row>
    <row r="85" spans="1:55" s="381" customFormat="1" ht="17.649999999999999" customHeight="1">
      <c r="A85" s="343">
        <v>25</v>
      </c>
      <c r="B85" s="211" t="s">
        <v>2104</v>
      </c>
      <c r="C85" s="211" t="s">
        <v>2055</v>
      </c>
      <c r="D85" s="211" t="s">
        <v>2090</v>
      </c>
      <c r="E85" s="344">
        <v>34</v>
      </c>
      <c r="F85" s="344">
        <v>34.066666666666698</v>
      </c>
      <c r="G85" s="209">
        <v>34.299999999999997</v>
      </c>
      <c r="H85" s="344">
        <v>33.133333333333297</v>
      </c>
      <c r="I85" s="344">
        <v>32.200000000000003</v>
      </c>
      <c r="J85" s="344">
        <v>31.5</v>
      </c>
      <c r="K85" s="344">
        <v>26.6</v>
      </c>
      <c r="L85" s="344">
        <f t="shared" si="44"/>
        <v>6.206666666666667</v>
      </c>
      <c r="M85" s="344">
        <v>20.766666666666701</v>
      </c>
      <c r="N85" s="344">
        <v>25.433333333333302</v>
      </c>
      <c r="O85" s="344">
        <v>30.3333333333333</v>
      </c>
      <c r="P85" s="344">
        <v>38.5</v>
      </c>
      <c r="Q85" s="344">
        <v>43.633333333333297</v>
      </c>
      <c r="R85" s="344">
        <v>40.6</v>
      </c>
      <c r="S85" s="344">
        <v>37.566666666666698</v>
      </c>
      <c r="T85" s="344">
        <v>32.6666666666667</v>
      </c>
      <c r="U85" s="344">
        <v>33.133333333333297</v>
      </c>
      <c r="V85" s="344">
        <v>26.6</v>
      </c>
      <c r="W85" s="344">
        <v>27.066666666666698</v>
      </c>
      <c r="X85" s="344">
        <v>31.5</v>
      </c>
      <c r="Y85" s="344">
        <v>29.633333333333301</v>
      </c>
      <c r="Z85" s="344">
        <v>29.866666666666699</v>
      </c>
      <c r="AA85" s="344">
        <v>28.933333333333302</v>
      </c>
      <c r="AB85" s="344">
        <v>26.366666666666699</v>
      </c>
      <c r="AC85" s="344">
        <v>22.1666666666667</v>
      </c>
      <c r="AD85" s="344">
        <f t="shared" si="45"/>
        <v>-4.1999999999999993</v>
      </c>
      <c r="AE85" s="344">
        <v>3</v>
      </c>
      <c r="AF85" s="344">
        <v>3</v>
      </c>
      <c r="AG85" s="345">
        <v>1</v>
      </c>
      <c r="AH85" s="346">
        <v>1</v>
      </c>
      <c r="AI85" s="197">
        <v>1</v>
      </c>
      <c r="AJ85" s="197">
        <v>1</v>
      </c>
      <c r="AK85" s="197">
        <v>1</v>
      </c>
      <c r="AL85" s="197">
        <v>1</v>
      </c>
      <c r="AM85" s="197">
        <v>1</v>
      </c>
      <c r="AN85" s="197">
        <v>1</v>
      </c>
      <c r="AO85" s="197">
        <v>3</v>
      </c>
      <c r="AP85" s="197">
        <v>1</v>
      </c>
      <c r="AQ85" s="197">
        <v>1</v>
      </c>
      <c r="AR85" s="197">
        <v>7</v>
      </c>
      <c r="AS85" s="197">
        <v>1</v>
      </c>
      <c r="AT85" s="197">
        <v>2</v>
      </c>
      <c r="AU85" s="347">
        <v>1</v>
      </c>
      <c r="AV85" s="347">
        <v>1</v>
      </c>
      <c r="AW85" s="347">
        <v>1</v>
      </c>
      <c r="AX85" s="347">
        <v>1</v>
      </c>
      <c r="AY85" s="347">
        <v>1</v>
      </c>
      <c r="AZ85" s="347">
        <v>2</v>
      </c>
      <c r="BA85" s="347">
        <v>8</v>
      </c>
      <c r="BB85" s="347">
        <v>9</v>
      </c>
      <c r="BC85" s="347">
        <v>2</v>
      </c>
    </row>
    <row r="86" spans="1:55" s="381" customFormat="1" ht="17.649999999999999" customHeight="1">
      <c r="A86" s="343">
        <v>26</v>
      </c>
      <c r="B86" s="211" t="s">
        <v>2105</v>
      </c>
      <c r="C86" s="211" t="s">
        <v>2055</v>
      </c>
      <c r="D86" s="211" t="s">
        <v>2090</v>
      </c>
      <c r="E86" s="344">
        <v>118</v>
      </c>
      <c r="F86" s="344">
        <v>118.533333333333</v>
      </c>
      <c r="G86" s="209">
        <v>109.9</v>
      </c>
      <c r="H86" s="344">
        <v>101.966666666667</v>
      </c>
      <c r="I86" s="344">
        <v>84.7</v>
      </c>
      <c r="J86" s="344">
        <v>81.900000000000006</v>
      </c>
      <c r="K86" s="344">
        <v>69.066666666666706</v>
      </c>
      <c r="L86" s="344">
        <f t="shared" si="44"/>
        <v>16.115555555555567</v>
      </c>
      <c r="M86" s="344">
        <v>45.266666666666701</v>
      </c>
      <c r="N86" s="344">
        <v>70</v>
      </c>
      <c r="O86" s="344">
        <v>77.7</v>
      </c>
      <c r="P86" s="344">
        <v>93.3333333333333</v>
      </c>
      <c r="Q86" s="344">
        <v>108.26666666666701</v>
      </c>
      <c r="R86" s="344">
        <v>91.933333333333294</v>
      </c>
      <c r="S86" s="344">
        <v>89.6</v>
      </c>
      <c r="T86" s="344">
        <v>95.2</v>
      </c>
      <c r="U86" s="344">
        <v>95.9</v>
      </c>
      <c r="V86" s="344">
        <v>94.5</v>
      </c>
      <c r="W86" s="344">
        <v>102.433333333333</v>
      </c>
      <c r="X86" s="344">
        <v>99.633333333333297</v>
      </c>
      <c r="Y86" s="344">
        <v>94.266666666666694</v>
      </c>
      <c r="Z86" s="344">
        <v>89.133333333333297</v>
      </c>
      <c r="AA86" s="344">
        <v>79.8</v>
      </c>
      <c r="AB86" s="344">
        <v>74.900000000000006</v>
      </c>
      <c r="AC86" s="344">
        <v>65.8</v>
      </c>
      <c r="AD86" s="344">
        <f t="shared" si="45"/>
        <v>-9.1000000000000085</v>
      </c>
      <c r="AE86" s="344">
        <v>2</v>
      </c>
      <c r="AF86" s="344">
        <v>1</v>
      </c>
      <c r="AG86" s="345">
        <v>1</v>
      </c>
      <c r="AH86" s="346">
        <v>1</v>
      </c>
      <c r="AI86" s="197">
        <v>10</v>
      </c>
      <c r="AJ86" s="197">
        <v>2</v>
      </c>
      <c r="AK86" s="197">
        <v>2</v>
      </c>
      <c r="AL86" s="197">
        <v>2</v>
      </c>
      <c r="AM86" s="197">
        <v>1</v>
      </c>
      <c r="AN86" s="197">
        <v>3</v>
      </c>
      <c r="AO86" s="197">
        <v>2</v>
      </c>
      <c r="AP86" s="197">
        <v>1</v>
      </c>
      <c r="AQ86" s="197">
        <v>2</v>
      </c>
      <c r="AR86" s="197">
        <v>1</v>
      </c>
      <c r="AS86" s="197">
        <v>1</v>
      </c>
      <c r="AT86" s="197">
        <v>2</v>
      </c>
      <c r="AU86" s="347">
        <v>1</v>
      </c>
      <c r="AV86" s="347">
        <v>1</v>
      </c>
      <c r="AW86" s="347">
        <v>1</v>
      </c>
      <c r="AX86" s="347">
        <v>1</v>
      </c>
      <c r="AY86" s="347">
        <v>1</v>
      </c>
      <c r="AZ86" s="347">
        <v>10</v>
      </c>
      <c r="BA86" s="347">
        <v>10</v>
      </c>
      <c r="BB86" s="347">
        <v>1</v>
      </c>
      <c r="BC86" s="347">
        <v>2</v>
      </c>
    </row>
    <row r="87" spans="1:55" s="381" customFormat="1" ht="17.649999999999999" customHeight="1">
      <c r="A87" s="343">
        <v>27</v>
      </c>
      <c r="B87" s="211" t="s">
        <v>2106</v>
      </c>
      <c r="C87" s="211" t="s">
        <v>2055</v>
      </c>
      <c r="D87" s="211" t="s">
        <v>2063</v>
      </c>
      <c r="E87" s="344">
        <v>14552</v>
      </c>
      <c r="F87" s="344">
        <v>14576.1</v>
      </c>
      <c r="G87" s="209">
        <v>13641.6</v>
      </c>
      <c r="H87" s="344">
        <v>13004.3666666667</v>
      </c>
      <c r="I87" s="344">
        <v>12193.766666666699</v>
      </c>
      <c r="J87" s="344">
        <v>12561.266666666699</v>
      </c>
      <c r="K87" s="344">
        <v>11414.2</v>
      </c>
      <c r="L87" s="344">
        <f t="shared" si="44"/>
        <v>2663.3133333333335</v>
      </c>
      <c r="M87" s="344">
        <v>7931.4666666666699</v>
      </c>
      <c r="N87" s="344">
        <v>8420.0666666666693</v>
      </c>
      <c r="O87" s="344">
        <v>9511.3666666666704</v>
      </c>
      <c r="P87" s="344">
        <v>11790.5666666667</v>
      </c>
      <c r="Q87" s="344">
        <v>14871.733333333301</v>
      </c>
      <c r="R87" s="344">
        <v>14827.6333333333</v>
      </c>
      <c r="S87" s="344">
        <v>14328.3</v>
      </c>
      <c r="T87" s="344">
        <v>13839.9333333333</v>
      </c>
      <c r="U87" s="344">
        <v>12782.233333333301</v>
      </c>
      <c r="V87" s="344">
        <v>12359.2</v>
      </c>
      <c r="W87" s="344">
        <v>11739.4666666667</v>
      </c>
      <c r="X87" s="344">
        <v>12170.2</v>
      </c>
      <c r="Y87" s="344">
        <v>11232.4333333333</v>
      </c>
      <c r="Z87" s="344">
        <v>10668.233333333301</v>
      </c>
      <c r="AA87" s="344">
        <v>10195.733333333301</v>
      </c>
      <c r="AB87" s="344">
        <v>9301.3666666666704</v>
      </c>
      <c r="AC87" s="344">
        <v>8865.9666666666708</v>
      </c>
      <c r="AD87" s="344">
        <f t="shared" si="45"/>
        <v>-435.39999999999964</v>
      </c>
      <c r="AE87" s="344">
        <v>6</v>
      </c>
      <c r="AF87" s="344">
        <v>6</v>
      </c>
      <c r="AG87" s="345">
        <v>8</v>
      </c>
      <c r="AH87" s="346">
        <v>8</v>
      </c>
      <c r="AI87" s="197">
        <v>7</v>
      </c>
      <c r="AJ87" s="197">
        <v>6</v>
      </c>
      <c r="AK87" s="197">
        <v>7</v>
      </c>
      <c r="AL87" s="197">
        <v>7</v>
      </c>
      <c r="AM87" s="197">
        <v>8</v>
      </c>
      <c r="AN87" s="197">
        <v>6</v>
      </c>
      <c r="AO87" s="197">
        <v>9</v>
      </c>
      <c r="AP87" s="197">
        <v>2</v>
      </c>
      <c r="AQ87" s="197">
        <v>10</v>
      </c>
      <c r="AR87" s="197">
        <v>9</v>
      </c>
      <c r="AS87" s="197">
        <v>9</v>
      </c>
      <c r="AT87" s="197">
        <v>10</v>
      </c>
      <c r="AU87" s="347">
        <v>11</v>
      </c>
      <c r="AV87" s="347">
        <v>10</v>
      </c>
      <c r="AW87" s="347">
        <v>7</v>
      </c>
      <c r="AX87" s="347">
        <v>9</v>
      </c>
      <c r="AY87" s="347">
        <v>8</v>
      </c>
      <c r="AZ87" s="347">
        <v>8</v>
      </c>
      <c r="BA87" s="347">
        <v>9</v>
      </c>
      <c r="BB87" s="347">
        <v>7</v>
      </c>
      <c r="BC87" s="347">
        <v>3</v>
      </c>
    </row>
    <row r="88" spans="1:55" s="381" customFormat="1" ht="17.649999999999999" customHeight="1">
      <c r="A88" s="343">
        <v>28</v>
      </c>
      <c r="B88" s="211" t="s">
        <v>2107</v>
      </c>
      <c r="C88" s="211" t="s">
        <v>2055</v>
      </c>
      <c r="D88" s="211" t="s">
        <v>2063</v>
      </c>
      <c r="E88" s="344">
        <v>312</v>
      </c>
      <c r="F88" s="344">
        <v>309.16666666666703</v>
      </c>
      <c r="G88" s="209">
        <v>289.8</v>
      </c>
      <c r="H88" s="344">
        <v>280.23333333333301</v>
      </c>
      <c r="I88" s="344">
        <v>262.03333333333302</v>
      </c>
      <c r="J88" s="344">
        <v>259.933333333333</v>
      </c>
      <c r="K88" s="344">
        <v>238.23333333333301</v>
      </c>
      <c r="L88" s="344">
        <f t="shared" si="44"/>
        <v>55.587777777777703</v>
      </c>
      <c r="M88" s="344">
        <v>173.36666666666699</v>
      </c>
      <c r="N88" s="344">
        <v>188.53333333333299</v>
      </c>
      <c r="O88" s="344">
        <v>211.63333333333301</v>
      </c>
      <c r="P88" s="344">
        <v>243.6</v>
      </c>
      <c r="Q88" s="344">
        <v>300.76666666666699</v>
      </c>
      <c r="R88" s="344">
        <v>291.89999999999998</v>
      </c>
      <c r="S88" s="344">
        <v>290.73333333333301</v>
      </c>
      <c r="T88" s="344">
        <v>298.433333333333</v>
      </c>
      <c r="U88" s="344">
        <v>282.10000000000002</v>
      </c>
      <c r="V88" s="344">
        <v>280.7</v>
      </c>
      <c r="W88" s="344">
        <v>268.10000000000002</v>
      </c>
      <c r="X88" s="344">
        <v>281.16666666666703</v>
      </c>
      <c r="Y88" s="344">
        <v>269.73333333333301</v>
      </c>
      <c r="Z88" s="344">
        <v>277.433333333333</v>
      </c>
      <c r="AA88" s="344">
        <v>287.7</v>
      </c>
      <c r="AB88" s="344">
        <v>273.7</v>
      </c>
      <c r="AC88" s="344">
        <v>273.7</v>
      </c>
      <c r="AD88" s="344">
        <f t="shared" si="45"/>
        <v>0</v>
      </c>
      <c r="AE88" s="344">
        <v>5</v>
      </c>
      <c r="AF88" s="344">
        <v>3</v>
      </c>
      <c r="AG88" s="345">
        <v>5</v>
      </c>
      <c r="AH88" s="346">
        <v>4</v>
      </c>
      <c r="AI88" s="197">
        <v>3</v>
      </c>
      <c r="AJ88" s="197">
        <v>5</v>
      </c>
      <c r="AK88" s="197">
        <v>4</v>
      </c>
      <c r="AL88" s="197">
        <v>4</v>
      </c>
      <c r="AM88" s="197">
        <v>7</v>
      </c>
      <c r="AN88" s="197">
        <v>4</v>
      </c>
      <c r="AO88" s="197">
        <v>5</v>
      </c>
      <c r="AP88" s="197">
        <v>7</v>
      </c>
      <c r="AQ88" s="197">
        <v>2</v>
      </c>
      <c r="AR88" s="197">
        <v>2</v>
      </c>
      <c r="AS88" s="197">
        <v>2</v>
      </c>
      <c r="AT88" s="197">
        <v>8</v>
      </c>
      <c r="AU88" s="347">
        <v>8</v>
      </c>
      <c r="AV88" s="347">
        <v>4</v>
      </c>
      <c r="AW88" s="347">
        <v>3</v>
      </c>
      <c r="AX88" s="347">
        <v>4</v>
      </c>
      <c r="AY88" s="347">
        <v>3</v>
      </c>
      <c r="AZ88" s="347">
        <v>3</v>
      </c>
      <c r="BA88" s="347">
        <v>4</v>
      </c>
      <c r="BB88" s="347">
        <v>7</v>
      </c>
      <c r="BC88" s="347">
        <v>3</v>
      </c>
    </row>
    <row r="89" spans="1:55" s="381" customFormat="1" ht="17.649999999999999" customHeight="1">
      <c r="A89" s="343">
        <v>29</v>
      </c>
      <c r="B89" s="211" t="s">
        <v>2108</v>
      </c>
      <c r="C89" s="211" t="s">
        <v>2055</v>
      </c>
      <c r="D89" s="211" t="s">
        <v>2090</v>
      </c>
      <c r="E89" s="344">
        <v>26</v>
      </c>
      <c r="F89" s="344">
        <v>27.766666666666701</v>
      </c>
      <c r="G89" s="209">
        <v>30.3333333333333</v>
      </c>
      <c r="H89" s="344">
        <v>32.6666666666667</v>
      </c>
      <c r="I89" s="344">
        <v>39.9</v>
      </c>
      <c r="J89" s="344">
        <v>39.9</v>
      </c>
      <c r="K89" s="344">
        <v>35.466666666666697</v>
      </c>
      <c r="L89" s="344">
        <f t="shared" si="44"/>
        <v>8.2755555555555631</v>
      </c>
      <c r="M89" s="344">
        <v>16.8</v>
      </c>
      <c r="N89" s="344">
        <v>11.6666666666667</v>
      </c>
      <c r="O89" s="344">
        <v>7.7</v>
      </c>
      <c r="P89" s="344">
        <v>7</v>
      </c>
      <c r="Q89" s="344">
        <v>7.7</v>
      </c>
      <c r="R89" s="344">
        <v>6.7666666666666702</v>
      </c>
      <c r="S89" s="344">
        <v>7.4666666666666703</v>
      </c>
      <c r="T89" s="344">
        <v>6.7666666666666702</v>
      </c>
      <c r="U89" s="344">
        <v>9.1</v>
      </c>
      <c r="V89" s="344">
        <v>9.8000000000000007</v>
      </c>
      <c r="W89" s="344">
        <v>9.1</v>
      </c>
      <c r="X89" s="344">
        <v>10.733333333333301</v>
      </c>
      <c r="Y89" s="344">
        <v>10.733333333333301</v>
      </c>
      <c r="Z89" s="344">
        <v>6.7666666666666702</v>
      </c>
      <c r="AA89" s="344">
        <v>5.8333333333333304</v>
      </c>
      <c r="AB89" s="344">
        <v>4.6666666666666696</v>
      </c>
      <c r="AC89" s="344">
        <v>3.2666666666666702</v>
      </c>
      <c r="AD89" s="344">
        <f t="shared" si="45"/>
        <v>-1.3999999999999995</v>
      </c>
      <c r="AE89" s="344">
        <v>10</v>
      </c>
      <c r="AF89" s="344">
        <v>5</v>
      </c>
      <c r="AG89" s="344">
        <v>5</v>
      </c>
      <c r="AH89" s="346">
        <v>5</v>
      </c>
      <c r="AI89" s="197">
        <v>7</v>
      </c>
      <c r="AJ89" s="197">
        <v>9</v>
      </c>
      <c r="AK89" s="197">
        <v>7</v>
      </c>
      <c r="AL89" s="197">
        <v>7</v>
      </c>
      <c r="AM89" s="197">
        <v>8</v>
      </c>
      <c r="AN89" s="197">
        <v>8</v>
      </c>
      <c r="AO89" s="197">
        <v>8</v>
      </c>
      <c r="AP89" s="197">
        <v>6</v>
      </c>
      <c r="AQ89" s="197">
        <v>7</v>
      </c>
      <c r="AR89" s="197">
        <v>5</v>
      </c>
      <c r="AS89" s="197">
        <v>7</v>
      </c>
      <c r="AT89" s="197">
        <v>5</v>
      </c>
      <c r="AU89" s="347">
        <v>8</v>
      </c>
      <c r="AV89" s="347">
        <v>9</v>
      </c>
      <c r="AW89" s="347">
        <v>7</v>
      </c>
      <c r="AX89" s="347">
        <v>6</v>
      </c>
      <c r="AY89" s="347">
        <v>8</v>
      </c>
      <c r="AZ89" s="347">
        <v>8</v>
      </c>
      <c r="BA89" s="347">
        <v>7</v>
      </c>
      <c r="BB89" s="347">
        <v>8</v>
      </c>
      <c r="BC89" s="347">
        <v>7</v>
      </c>
    </row>
    <row r="90" spans="1:55" s="381" customFormat="1" ht="17.649999999999999" customHeight="1">
      <c r="A90" s="343">
        <v>30</v>
      </c>
      <c r="B90" s="211" t="s">
        <v>2109</v>
      </c>
      <c r="C90" s="211" t="s">
        <v>2055</v>
      </c>
      <c r="D90" s="211" t="s">
        <v>2063</v>
      </c>
      <c r="E90" s="344">
        <v>263</v>
      </c>
      <c r="F90" s="344">
        <v>281.86666666666702</v>
      </c>
      <c r="G90" s="209">
        <v>298.433333333333</v>
      </c>
      <c r="H90" s="344">
        <v>300.53333333333302</v>
      </c>
      <c r="I90" s="344">
        <v>304.26666666666699</v>
      </c>
      <c r="J90" s="344">
        <v>301.933333333333</v>
      </c>
      <c r="K90" s="344">
        <v>286.76666666666699</v>
      </c>
      <c r="L90" s="344">
        <f t="shared" si="44"/>
        <v>66.912222222222297</v>
      </c>
      <c r="M90" s="344">
        <v>199.96666666666701</v>
      </c>
      <c r="N90" s="344">
        <v>217.23333333333301</v>
      </c>
      <c r="O90" s="344">
        <v>236.36666666666699</v>
      </c>
      <c r="P90" s="344">
        <v>278.60000000000002</v>
      </c>
      <c r="Q90" s="344">
        <v>321.53333333333302</v>
      </c>
      <c r="R90" s="344">
        <v>311.5</v>
      </c>
      <c r="S90" s="344">
        <v>299.60000000000002</v>
      </c>
      <c r="T90" s="344">
        <v>278.60000000000002</v>
      </c>
      <c r="U90" s="344">
        <v>264.83333333333297</v>
      </c>
      <c r="V90" s="344">
        <v>255.73333333333301</v>
      </c>
      <c r="W90" s="344">
        <v>228.2</v>
      </c>
      <c r="X90" s="344">
        <v>232.4</v>
      </c>
      <c r="Y90" s="344">
        <v>232.63333333333301</v>
      </c>
      <c r="Z90" s="344">
        <v>233.1</v>
      </c>
      <c r="AA90" s="344">
        <v>242.9</v>
      </c>
      <c r="AB90" s="344">
        <v>237.066666666667</v>
      </c>
      <c r="AC90" s="344">
        <v>232.63333333333301</v>
      </c>
      <c r="AD90" s="344">
        <f t="shared" si="45"/>
        <v>-4.4333333333339908</v>
      </c>
      <c r="AE90" s="344">
        <v>9</v>
      </c>
      <c r="AF90" s="344">
        <v>22</v>
      </c>
      <c r="AG90" s="345">
        <v>6</v>
      </c>
      <c r="AH90" s="346">
        <v>8</v>
      </c>
      <c r="AI90" s="197">
        <v>8</v>
      </c>
      <c r="AJ90" s="197">
        <v>1</v>
      </c>
      <c r="AK90" s="197">
        <v>9</v>
      </c>
      <c r="AL90" s="197">
        <v>9</v>
      </c>
      <c r="AM90" s="197">
        <v>3</v>
      </c>
      <c r="AN90" s="197">
        <v>3</v>
      </c>
      <c r="AO90" s="197">
        <v>3</v>
      </c>
      <c r="AP90" s="197">
        <v>4</v>
      </c>
      <c r="AQ90" s="197">
        <v>3</v>
      </c>
      <c r="AR90" s="197">
        <v>9</v>
      </c>
      <c r="AS90" s="197">
        <v>9</v>
      </c>
      <c r="AT90" s="197">
        <v>10</v>
      </c>
      <c r="AU90" s="347">
        <v>1</v>
      </c>
      <c r="AV90" s="347">
        <v>10</v>
      </c>
      <c r="AW90" s="347">
        <v>9</v>
      </c>
      <c r="AX90" s="347">
        <v>11</v>
      </c>
      <c r="AY90" s="347">
        <v>6</v>
      </c>
      <c r="AZ90" s="347">
        <v>11</v>
      </c>
      <c r="BA90" s="347">
        <v>11</v>
      </c>
      <c r="BB90" s="347">
        <v>9</v>
      </c>
      <c r="BC90" s="347">
        <v>8</v>
      </c>
    </row>
    <row r="91" spans="1:55" s="381" customFormat="1" ht="17.649999999999999" customHeight="1">
      <c r="A91" s="343">
        <v>31</v>
      </c>
      <c r="B91" s="211" t="s">
        <v>2110</v>
      </c>
      <c r="C91" s="211" t="s">
        <v>2055</v>
      </c>
      <c r="D91" s="211" t="s">
        <v>2063</v>
      </c>
      <c r="E91" s="344">
        <v>1708</v>
      </c>
      <c r="F91" s="344">
        <v>1986.8333333333301</v>
      </c>
      <c r="G91" s="209">
        <v>2327.7333333333299</v>
      </c>
      <c r="H91" s="344">
        <v>2146.6666666666702</v>
      </c>
      <c r="I91" s="344">
        <v>1886.9666666666701</v>
      </c>
      <c r="J91" s="344">
        <v>1469.5333333333299</v>
      </c>
      <c r="K91" s="344">
        <v>1167.36666666667</v>
      </c>
      <c r="L91" s="344">
        <f t="shared" si="44"/>
        <v>272.38555555555632</v>
      </c>
      <c r="M91" s="344">
        <v>510.53333333333302</v>
      </c>
      <c r="N91" s="344">
        <v>790.53333333333296</v>
      </c>
      <c r="O91" s="344">
        <v>906.5</v>
      </c>
      <c r="P91" s="344">
        <v>1486.1</v>
      </c>
      <c r="Q91" s="344">
        <v>1770.06666666667</v>
      </c>
      <c r="R91" s="344">
        <v>1998.5</v>
      </c>
      <c r="S91" s="344">
        <v>1884.1666666666699</v>
      </c>
      <c r="T91" s="344">
        <v>1329.3</v>
      </c>
      <c r="U91" s="344">
        <v>1174.13333333333</v>
      </c>
      <c r="V91" s="344">
        <v>744.33333333333303</v>
      </c>
      <c r="W91" s="344">
        <v>377.76666666666699</v>
      </c>
      <c r="X91" s="344">
        <v>586.36666666666702</v>
      </c>
      <c r="Y91" s="344">
        <v>614.83333333333303</v>
      </c>
      <c r="Z91" s="344">
        <v>730.56666666666695</v>
      </c>
      <c r="AA91" s="344">
        <v>811.76666666666699</v>
      </c>
      <c r="AB91" s="344">
        <v>774.9</v>
      </c>
      <c r="AC91" s="344">
        <v>794.96666666666704</v>
      </c>
      <c r="AD91" s="344">
        <f t="shared" si="45"/>
        <v>20.066666666667061</v>
      </c>
      <c r="AE91" s="344">
        <v>6</v>
      </c>
      <c r="AF91" s="344">
        <v>5</v>
      </c>
      <c r="AG91" s="345">
        <v>4</v>
      </c>
      <c r="AH91" s="346">
        <v>4</v>
      </c>
      <c r="AI91" s="197">
        <v>6</v>
      </c>
      <c r="AJ91" s="197">
        <v>6</v>
      </c>
      <c r="AK91" s="197">
        <v>3</v>
      </c>
      <c r="AL91" s="197">
        <v>3</v>
      </c>
      <c r="AM91" s="197">
        <v>10</v>
      </c>
      <c r="AN91" s="197">
        <v>7</v>
      </c>
      <c r="AO91" s="197">
        <v>6</v>
      </c>
      <c r="AP91" s="197">
        <v>5</v>
      </c>
      <c r="AQ91" s="197">
        <v>3</v>
      </c>
      <c r="AR91" s="197">
        <v>8</v>
      </c>
      <c r="AS91" s="197">
        <v>5</v>
      </c>
      <c r="AT91" s="197">
        <v>4</v>
      </c>
      <c r="AU91" s="347">
        <v>4</v>
      </c>
      <c r="AV91" s="347">
        <v>4</v>
      </c>
      <c r="AW91" s="347">
        <v>9</v>
      </c>
      <c r="AX91" s="347">
        <v>4</v>
      </c>
      <c r="AY91" s="347">
        <v>2</v>
      </c>
      <c r="AZ91" s="347">
        <v>7</v>
      </c>
      <c r="BA91" s="347">
        <v>2</v>
      </c>
      <c r="BB91" s="347">
        <v>3</v>
      </c>
      <c r="BC91" s="347">
        <v>10</v>
      </c>
    </row>
    <row r="92" spans="1:55" s="381" customFormat="1" ht="17.649999999999999" customHeight="1">
      <c r="A92" s="343">
        <v>32</v>
      </c>
      <c r="B92" s="211" t="s">
        <v>2111</v>
      </c>
      <c r="C92" s="211" t="s">
        <v>2055</v>
      </c>
      <c r="D92" s="211" t="s">
        <v>2090</v>
      </c>
      <c r="E92" s="344">
        <v>9</v>
      </c>
      <c r="F92" s="344">
        <v>7.93333333333333</v>
      </c>
      <c r="G92" s="209">
        <v>8.8666666666666707</v>
      </c>
      <c r="H92" s="344">
        <v>9.1</v>
      </c>
      <c r="I92" s="344">
        <v>10.966666666666701</v>
      </c>
      <c r="J92" s="344">
        <v>11.9</v>
      </c>
      <c r="K92" s="344">
        <v>10.733333333333301</v>
      </c>
      <c r="L92" s="344">
        <f t="shared" si="44"/>
        <v>2.5044444444444367</v>
      </c>
      <c r="M92" s="344">
        <v>3.9666666666666699</v>
      </c>
      <c r="N92" s="344">
        <v>2.56666666666667</v>
      </c>
      <c r="O92" s="344">
        <v>2.56666666666667</v>
      </c>
      <c r="P92" s="344">
        <v>3.0333333333333301</v>
      </c>
      <c r="Q92" s="344">
        <v>3.5</v>
      </c>
      <c r="R92" s="344">
        <v>3.0333333333333301</v>
      </c>
      <c r="S92" s="344">
        <v>2.56666666666667</v>
      </c>
      <c r="T92" s="344">
        <v>2.56666666666667</v>
      </c>
      <c r="U92" s="344">
        <v>2.1</v>
      </c>
      <c r="V92" s="344">
        <v>1.86666666666667</v>
      </c>
      <c r="W92" s="344">
        <v>2.56666666666667</v>
      </c>
      <c r="X92" s="344">
        <v>3.5</v>
      </c>
      <c r="Y92" s="344">
        <v>3.2666666666666702</v>
      </c>
      <c r="Z92" s="344">
        <v>4.2</v>
      </c>
      <c r="AA92" s="344">
        <v>4.2</v>
      </c>
      <c r="AB92" s="344">
        <v>4.43333333333333</v>
      </c>
      <c r="AC92" s="344">
        <v>3.9666666666666699</v>
      </c>
      <c r="AD92" s="344">
        <f t="shared" si="45"/>
        <v>-0.46666666666666012</v>
      </c>
      <c r="AE92" s="344">
        <v>1</v>
      </c>
      <c r="AF92" s="344">
        <v>1</v>
      </c>
      <c r="AG92" s="345">
        <v>1</v>
      </c>
      <c r="AH92" s="346">
        <v>1</v>
      </c>
      <c r="AI92" s="197">
        <v>1</v>
      </c>
      <c r="AJ92" s="197">
        <v>8</v>
      </c>
      <c r="AK92" s="197">
        <v>1</v>
      </c>
      <c r="AL92" s="197">
        <v>1</v>
      </c>
      <c r="AM92" s="197">
        <v>1</v>
      </c>
      <c r="AN92" s="197">
        <v>1</v>
      </c>
      <c r="AO92" s="197">
        <v>1</v>
      </c>
      <c r="AP92" s="197">
        <v>1</v>
      </c>
      <c r="AQ92" s="197">
        <v>1</v>
      </c>
      <c r="AR92" s="197">
        <v>5</v>
      </c>
      <c r="AS92" s="197">
        <v>1</v>
      </c>
      <c r="AT92" s="197">
        <v>1</v>
      </c>
      <c r="AU92" s="347">
        <v>9</v>
      </c>
      <c r="AV92" s="347">
        <v>1</v>
      </c>
      <c r="AW92" s="347">
        <v>1</v>
      </c>
      <c r="AX92" s="347">
        <v>1</v>
      </c>
      <c r="AY92" s="347">
        <v>1</v>
      </c>
      <c r="AZ92" s="347">
        <v>8</v>
      </c>
      <c r="BA92" s="347">
        <v>2</v>
      </c>
      <c r="BB92" s="347">
        <v>2</v>
      </c>
      <c r="BC92" s="347">
        <v>1</v>
      </c>
    </row>
    <row r="93" spans="1:55" s="381" customFormat="1" ht="17.649999999999999" customHeight="1">
      <c r="A93" s="343">
        <v>33</v>
      </c>
      <c r="B93" s="211" t="s">
        <v>223</v>
      </c>
      <c r="C93" s="211" t="s">
        <v>2055</v>
      </c>
      <c r="D93" s="211" t="s">
        <v>2090</v>
      </c>
      <c r="E93" s="344">
        <v>184</v>
      </c>
      <c r="F93" s="344">
        <v>195.53333333333299</v>
      </c>
      <c r="G93" s="209">
        <v>198.333333333333</v>
      </c>
      <c r="H93" s="344">
        <v>202.3</v>
      </c>
      <c r="I93" s="344">
        <v>195.76666666666699</v>
      </c>
      <c r="J93" s="344">
        <v>190.166666666667</v>
      </c>
      <c r="K93" s="344">
        <v>176.63333333333301</v>
      </c>
      <c r="L93" s="344">
        <f t="shared" si="44"/>
        <v>41.214444444444368</v>
      </c>
      <c r="M93" s="344">
        <v>120.4</v>
      </c>
      <c r="N93" s="344">
        <v>125.3</v>
      </c>
      <c r="O93" s="344">
        <v>119.7</v>
      </c>
      <c r="P93" s="344">
        <v>144.9</v>
      </c>
      <c r="Q93" s="344">
        <v>171.96666666666701</v>
      </c>
      <c r="R93" s="344">
        <v>171.96666666666701</v>
      </c>
      <c r="S93" s="344">
        <v>186.9</v>
      </c>
      <c r="T93" s="344">
        <v>190.166666666667</v>
      </c>
      <c r="U93" s="344">
        <v>200.666666666667</v>
      </c>
      <c r="V93" s="344">
        <v>214.433333333333</v>
      </c>
      <c r="W93" s="344">
        <v>213.03333333333299</v>
      </c>
      <c r="X93" s="344">
        <v>229.6</v>
      </c>
      <c r="Y93" s="344">
        <v>227.03333333333299</v>
      </c>
      <c r="Z93" s="344">
        <v>216.53333333333299</v>
      </c>
      <c r="AA93" s="344">
        <v>208.833333333333</v>
      </c>
      <c r="AB93" s="344">
        <v>195.53333333333299</v>
      </c>
      <c r="AC93" s="344">
        <v>172.433333333333</v>
      </c>
      <c r="AD93" s="344">
        <f t="shared" si="45"/>
        <v>-23.099999999999994</v>
      </c>
      <c r="AE93" s="344">
        <v>1</v>
      </c>
      <c r="AF93" s="344">
        <v>1</v>
      </c>
      <c r="AG93" s="345">
        <v>1</v>
      </c>
      <c r="AH93" s="346">
        <v>1</v>
      </c>
      <c r="AI93" s="197">
        <v>1</v>
      </c>
      <c r="AJ93" s="197">
        <v>7</v>
      </c>
      <c r="AK93" s="197">
        <v>1</v>
      </c>
      <c r="AL93" s="197">
        <v>1</v>
      </c>
      <c r="AM93" s="197">
        <v>1</v>
      </c>
      <c r="AN93" s="197">
        <v>2</v>
      </c>
      <c r="AO93" s="197">
        <v>2</v>
      </c>
      <c r="AP93" s="347">
        <v>1</v>
      </c>
      <c r="AQ93" s="197">
        <v>2</v>
      </c>
      <c r="AR93" s="197">
        <v>9</v>
      </c>
      <c r="AS93" s="197">
        <v>2</v>
      </c>
      <c r="AT93" s="197">
        <v>4</v>
      </c>
      <c r="AU93" s="347">
        <v>1</v>
      </c>
      <c r="AV93" s="347">
        <v>2</v>
      </c>
      <c r="AW93" s="347">
        <v>10</v>
      </c>
      <c r="AX93" s="347">
        <v>1</v>
      </c>
      <c r="AY93" s="347">
        <v>1</v>
      </c>
      <c r="AZ93" s="347">
        <v>2</v>
      </c>
      <c r="BA93" s="347">
        <v>4</v>
      </c>
      <c r="BB93" s="347">
        <v>3</v>
      </c>
      <c r="BC93" s="347">
        <v>2</v>
      </c>
    </row>
    <row r="94" spans="1:55" s="381" customFormat="1" ht="17.649999999999999" customHeight="1">
      <c r="A94" s="343">
        <v>34</v>
      </c>
      <c r="B94" s="211" t="s">
        <v>2112</v>
      </c>
      <c r="C94" s="211" t="s">
        <v>2055</v>
      </c>
      <c r="D94" s="211" t="s">
        <v>2090</v>
      </c>
      <c r="E94" s="344">
        <v>133</v>
      </c>
      <c r="F94" s="344">
        <v>123.666666666667</v>
      </c>
      <c r="G94" s="209">
        <v>109.433333333333</v>
      </c>
      <c r="H94" s="344">
        <v>95.6666666666667</v>
      </c>
      <c r="I94" s="344">
        <v>77.7</v>
      </c>
      <c r="J94" s="344">
        <v>49.7</v>
      </c>
      <c r="K94" s="344">
        <v>42.7</v>
      </c>
      <c r="L94" s="344">
        <f t="shared" si="44"/>
        <v>9.9633333333333329</v>
      </c>
      <c r="M94" s="344">
        <v>29.633333333333301</v>
      </c>
      <c r="N94" s="344">
        <v>27.766666666666701</v>
      </c>
      <c r="O94" s="344">
        <v>35.466666666666697</v>
      </c>
      <c r="P94" s="344">
        <v>43.866666666666703</v>
      </c>
      <c r="Q94" s="344">
        <v>60.2</v>
      </c>
      <c r="R94" s="344">
        <v>66.733333333333306</v>
      </c>
      <c r="S94" s="344">
        <v>65.099999999999994</v>
      </c>
      <c r="T94" s="344">
        <v>70.466666666666697</v>
      </c>
      <c r="U94" s="344">
        <v>61.6</v>
      </c>
      <c r="V94" s="344">
        <v>58.3333333333333</v>
      </c>
      <c r="W94" s="344">
        <v>63.933333333333302</v>
      </c>
      <c r="X94" s="344">
        <v>75.366666666666703</v>
      </c>
      <c r="Y94" s="344">
        <v>75.599999999999994</v>
      </c>
      <c r="Z94" s="344">
        <v>80.5</v>
      </c>
      <c r="AA94" s="344">
        <v>82.133333333333297</v>
      </c>
      <c r="AB94" s="344">
        <v>66.033333333333303</v>
      </c>
      <c r="AC94" s="344">
        <v>62.3</v>
      </c>
      <c r="AD94" s="344">
        <f t="shared" si="45"/>
        <v>-3.7333333333333059</v>
      </c>
      <c r="AE94" s="344">
        <v>7</v>
      </c>
      <c r="AF94" s="344">
        <v>3</v>
      </c>
      <c r="AG94" s="345">
        <v>6</v>
      </c>
      <c r="AH94" s="346">
        <v>7</v>
      </c>
      <c r="AI94" s="197">
        <v>5</v>
      </c>
      <c r="AJ94" s="197">
        <v>7</v>
      </c>
      <c r="AK94" s="197">
        <v>6</v>
      </c>
      <c r="AL94" s="197">
        <v>6</v>
      </c>
      <c r="AM94" s="197">
        <v>8</v>
      </c>
      <c r="AN94" s="197">
        <v>4</v>
      </c>
      <c r="AO94" s="197">
        <v>7</v>
      </c>
      <c r="AP94" s="197">
        <v>3</v>
      </c>
      <c r="AQ94" s="197">
        <v>7</v>
      </c>
      <c r="AR94" s="197">
        <v>4</v>
      </c>
      <c r="AS94" s="197">
        <v>4</v>
      </c>
      <c r="AT94" s="197">
        <v>5</v>
      </c>
      <c r="AU94" s="347">
        <v>9</v>
      </c>
      <c r="AV94" s="347">
        <v>2</v>
      </c>
      <c r="AW94" s="347">
        <v>7</v>
      </c>
      <c r="AX94" s="347">
        <v>7</v>
      </c>
      <c r="AY94" s="347">
        <v>6</v>
      </c>
      <c r="AZ94" s="347">
        <v>7</v>
      </c>
      <c r="BA94" s="347">
        <v>7</v>
      </c>
      <c r="BB94" s="347">
        <v>4</v>
      </c>
      <c r="BC94" s="347">
        <v>8</v>
      </c>
    </row>
    <row r="95" spans="1:55" s="381" customFormat="1" ht="17.649999999999999" customHeight="1">
      <c r="A95" s="343">
        <v>35</v>
      </c>
      <c r="B95" s="211" t="s">
        <v>2113</v>
      </c>
      <c r="C95" s="211" t="s">
        <v>2055</v>
      </c>
      <c r="D95" s="211" t="s">
        <v>2090</v>
      </c>
      <c r="E95" s="344">
        <v>131</v>
      </c>
      <c r="F95" s="344">
        <v>137.19999999999999</v>
      </c>
      <c r="G95" s="209">
        <v>122.73333333333299</v>
      </c>
      <c r="H95" s="344">
        <v>115.966666666667</v>
      </c>
      <c r="I95" s="344">
        <v>108.966666666667</v>
      </c>
      <c r="J95" s="344">
        <v>115.033333333333</v>
      </c>
      <c r="K95" s="344">
        <v>104.066666666667</v>
      </c>
      <c r="L95" s="344">
        <f t="shared" si="44"/>
        <v>24.282222222222302</v>
      </c>
      <c r="M95" s="344">
        <v>68.8333333333333</v>
      </c>
      <c r="N95" s="344">
        <v>84.233333333333306</v>
      </c>
      <c r="O95" s="344">
        <v>91.933333333333294</v>
      </c>
      <c r="P95" s="344">
        <v>118.533333333333</v>
      </c>
      <c r="Q95" s="344">
        <v>149.566666666667</v>
      </c>
      <c r="R95" s="344">
        <v>159.833333333333</v>
      </c>
      <c r="S95" s="344">
        <v>156.1</v>
      </c>
      <c r="T95" s="344">
        <v>154.933333333333</v>
      </c>
      <c r="U95" s="344">
        <v>153.30000000000001</v>
      </c>
      <c r="V95" s="344">
        <v>139.53333333333299</v>
      </c>
      <c r="W95" s="344">
        <v>126.466666666667</v>
      </c>
      <c r="X95" s="344">
        <v>136.03333333333299</v>
      </c>
      <c r="Y95" s="344">
        <v>122.966666666667</v>
      </c>
      <c r="Z95" s="344">
        <v>118.76666666666701</v>
      </c>
      <c r="AA95" s="344">
        <v>116.2</v>
      </c>
      <c r="AB95" s="344">
        <v>113.166666666667</v>
      </c>
      <c r="AC95" s="344">
        <v>109.433333333333</v>
      </c>
      <c r="AD95" s="344">
        <f t="shared" si="45"/>
        <v>-3.7333333333340022</v>
      </c>
      <c r="AE95" s="344">
        <v>2</v>
      </c>
      <c r="AF95" s="344">
        <v>2</v>
      </c>
      <c r="AG95" s="345">
        <v>2</v>
      </c>
      <c r="AH95" s="346">
        <v>2</v>
      </c>
      <c r="AI95" s="197">
        <v>2</v>
      </c>
      <c r="AJ95" s="197">
        <v>3</v>
      </c>
      <c r="AK95" s="197">
        <v>2</v>
      </c>
      <c r="AL95" s="197">
        <v>2</v>
      </c>
      <c r="AM95" s="197">
        <v>3</v>
      </c>
      <c r="AN95" s="197">
        <v>3</v>
      </c>
      <c r="AO95" s="197">
        <v>3</v>
      </c>
      <c r="AP95" s="197">
        <v>10</v>
      </c>
      <c r="AQ95" s="197">
        <v>3</v>
      </c>
      <c r="AR95" s="197">
        <v>3</v>
      </c>
      <c r="AS95" s="197">
        <v>5</v>
      </c>
      <c r="AT95" s="197">
        <v>2</v>
      </c>
      <c r="AU95" s="347">
        <v>2</v>
      </c>
      <c r="AV95" s="347">
        <v>1</v>
      </c>
      <c r="AW95" s="347">
        <v>2</v>
      </c>
      <c r="AX95" s="347">
        <v>3</v>
      </c>
      <c r="AY95" s="347">
        <v>7</v>
      </c>
      <c r="AZ95" s="347">
        <v>2</v>
      </c>
      <c r="BA95" s="347">
        <v>2</v>
      </c>
      <c r="BB95" s="347">
        <v>2</v>
      </c>
      <c r="BC95" s="347">
        <v>2</v>
      </c>
    </row>
    <row r="96" spans="1:55" s="381" customFormat="1" ht="17.649999999999999" customHeight="1">
      <c r="A96" s="343">
        <v>36</v>
      </c>
      <c r="B96" s="211" t="s">
        <v>2114</v>
      </c>
      <c r="C96" s="211" t="s">
        <v>2055</v>
      </c>
      <c r="D96" s="211" t="s">
        <v>2063</v>
      </c>
      <c r="E96" s="344">
        <v>221</v>
      </c>
      <c r="F96" s="344">
        <v>219.333333333333</v>
      </c>
      <c r="G96" s="209">
        <v>206.26666666666699</v>
      </c>
      <c r="H96" s="344">
        <v>199.73333333333301</v>
      </c>
      <c r="I96" s="344">
        <v>192.73333333333301</v>
      </c>
      <c r="J96" s="344">
        <v>195.066666666667</v>
      </c>
      <c r="K96" s="344">
        <v>174.76666666666699</v>
      </c>
      <c r="L96" s="344">
        <f t="shared" si="44"/>
        <v>40.778888888888964</v>
      </c>
      <c r="M96" s="344">
        <v>109.666666666667</v>
      </c>
      <c r="N96" s="344">
        <v>149.1</v>
      </c>
      <c r="O96" s="344">
        <v>190.166666666667</v>
      </c>
      <c r="P96" s="344">
        <v>250.36666666666699</v>
      </c>
      <c r="Q96" s="344">
        <v>330.4</v>
      </c>
      <c r="R96" s="344">
        <v>338.1</v>
      </c>
      <c r="S96" s="344">
        <v>358.86666666666702</v>
      </c>
      <c r="T96" s="344">
        <v>351.4</v>
      </c>
      <c r="U96" s="344">
        <v>308.46666666666698</v>
      </c>
      <c r="V96" s="344">
        <v>292.13333333333298</v>
      </c>
      <c r="W96" s="344">
        <v>249.2</v>
      </c>
      <c r="X96" s="344">
        <v>266.7</v>
      </c>
      <c r="Y96" s="344">
        <v>290.5</v>
      </c>
      <c r="Z96" s="344">
        <v>313.60000000000002</v>
      </c>
      <c r="AA96" s="344">
        <v>315.23333333333301</v>
      </c>
      <c r="AB96" s="344">
        <v>317.566666666667</v>
      </c>
      <c r="AC96" s="344">
        <v>274.63333333333298</v>
      </c>
      <c r="AD96" s="344">
        <f t="shared" si="45"/>
        <v>-42.933333333334019</v>
      </c>
      <c r="AE96" s="344">
        <v>7</v>
      </c>
      <c r="AF96" s="344">
        <v>7</v>
      </c>
      <c r="AG96" s="345">
        <v>2</v>
      </c>
      <c r="AH96" s="346">
        <v>2</v>
      </c>
      <c r="AI96" s="197">
        <v>3</v>
      </c>
      <c r="AJ96" s="197">
        <v>1</v>
      </c>
      <c r="AK96" s="197">
        <v>5</v>
      </c>
      <c r="AL96" s="197">
        <v>5</v>
      </c>
      <c r="AM96" s="197">
        <v>4</v>
      </c>
      <c r="AN96" s="197">
        <v>4</v>
      </c>
      <c r="AO96" s="197">
        <v>6</v>
      </c>
      <c r="AP96" s="197">
        <v>4</v>
      </c>
      <c r="AQ96" s="197">
        <v>2</v>
      </c>
      <c r="AR96" s="197">
        <v>5</v>
      </c>
      <c r="AS96" s="347">
        <v>4</v>
      </c>
      <c r="AT96" s="197">
        <v>6</v>
      </c>
      <c r="AU96" s="347">
        <v>9</v>
      </c>
      <c r="AV96" s="347">
        <v>5</v>
      </c>
      <c r="AW96" s="347">
        <v>4</v>
      </c>
      <c r="AX96" s="347">
        <v>5</v>
      </c>
      <c r="AY96" s="347">
        <v>7</v>
      </c>
      <c r="AZ96" s="347">
        <v>8</v>
      </c>
      <c r="BA96" s="347">
        <v>2</v>
      </c>
      <c r="BB96" s="347">
        <v>5</v>
      </c>
      <c r="BC96" s="347">
        <v>6</v>
      </c>
    </row>
    <row r="97" spans="1:55" s="381" customFormat="1" ht="17.649999999999999" customHeight="1">
      <c r="A97" s="343">
        <v>37</v>
      </c>
      <c r="B97" s="211" t="s">
        <v>2115</v>
      </c>
      <c r="C97" s="211" t="s">
        <v>2055</v>
      </c>
      <c r="D97" s="211" t="s">
        <v>2090</v>
      </c>
      <c r="E97" s="344">
        <v>67</v>
      </c>
      <c r="F97" s="344">
        <v>53.9</v>
      </c>
      <c r="G97" s="209">
        <v>45.733333333333299</v>
      </c>
      <c r="H97" s="344">
        <v>34.066666666666698</v>
      </c>
      <c r="I97" s="344">
        <v>33.8333333333333</v>
      </c>
      <c r="J97" s="344">
        <v>37.1</v>
      </c>
      <c r="K97" s="344">
        <v>35.233333333333299</v>
      </c>
      <c r="L97" s="344">
        <f t="shared" si="44"/>
        <v>8.221111111111103</v>
      </c>
      <c r="M97" s="344">
        <v>21</v>
      </c>
      <c r="N97" s="344">
        <v>18.6666666666667</v>
      </c>
      <c r="O97" s="344">
        <v>22.866666666666699</v>
      </c>
      <c r="P97" s="344">
        <v>32.9</v>
      </c>
      <c r="Q97" s="344">
        <v>41.3</v>
      </c>
      <c r="R97" s="344">
        <v>41.533333333333303</v>
      </c>
      <c r="S97" s="344">
        <v>53.6666666666667</v>
      </c>
      <c r="T97" s="344">
        <v>49.466666666666697</v>
      </c>
      <c r="U97" s="344">
        <v>49</v>
      </c>
      <c r="V97" s="344">
        <v>48.066666666666698</v>
      </c>
      <c r="W97" s="344">
        <v>34.299999999999997</v>
      </c>
      <c r="X97" s="344">
        <v>39.6666666666667</v>
      </c>
      <c r="Y97" s="344">
        <v>45.033333333333303</v>
      </c>
      <c r="Z97" s="344">
        <v>45.733333333333299</v>
      </c>
      <c r="AA97" s="344">
        <v>47.6</v>
      </c>
      <c r="AB97" s="344">
        <v>51.566666666666698</v>
      </c>
      <c r="AC97" s="344">
        <v>43.633333333333297</v>
      </c>
      <c r="AD97" s="344">
        <f t="shared" si="45"/>
        <v>-7.9333333333334011</v>
      </c>
      <c r="AE97" s="344">
        <v>1</v>
      </c>
      <c r="AF97" s="344">
        <v>3</v>
      </c>
      <c r="AG97" s="345">
        <v>6</v>
      </c>
      <c r="AH97" s="346">
        <v>1</v>
      </c>
      <c r="AI97" s="197">
        <v>9</v>
      </c>
      <c r="AJ97" s="197">
        <v>2</v>
      </c>
      <c r="AK97" s="197">
        <v>2</v>
      </c>
      <c r="AL97" s="197">
        <v>2</v>
      </c>
      <c r="AM97" s="197">
        <v>2</v>
      </c>
      <c r="AN97" s="197">
        <v>2</v>
      </c>
      <c r="AO97" s="197">
        <v>2</v>
      </c>
      <c r="AP97" s="197">
        <v>3</v>
      </c>
      <c r="AQ97" s="197">
        <v>1</v>
      </c>
      <c r="AR97" s="197">
        <v>1</v>
      </c>
      <c r="AS97" s="197">
        <v>3</v>
      </c>
      <c r="AT97" s="197">
        <v>1</v>
      </c>
      <c r="AU97" s="347">
        <v>1</v>
      </c>
      <c r="AV97" s="347">
        <v>1</v>
      </c>
      <c r="AW97" s="347">
        <v>1</v>
      </c>
      <c r="AX97" s="347">
        <v>1</v>
      </c>
      <c r="AY97" s="347">
        <v>1</v>
      </c>
      <c r="AZ97" s="347">
        <v>2</v>
      </c>
      <c r="BA97" s="347">
        <v>4</v>
      </c>
      <c r="BB97" s="347">
        <v>1</v>
      </c>
      <c r="BC97" s="347">
        <v>1</v>
      </c>
    </row>
    <row r="98" spans="1:55" s="381" customFormat="1" ht="17.649999999999999" customHeight="1">
      <c r="A98" s="343">
        <v>38</v>
      </c>
      <c r="B98" s="211" t="s">
        <v>2116</v>
      </c>
      <c r="C98" s="211" t="s">
        <v>2055</v>
      </c>
      <c r="D98" s="211" t="s">
        <v>2063</v>
      </c>
      <c r="E98" s="344">
        <v>846</v>
      </c>
      <c r="F98" s="344">
        <v>853.06666666666695</v>
      </c>
      <c r="G98" s="209">
        <v>794.73333333333301</v>
      </c>
      <c r="H98" s="344">
        <v>753.9</v>
      </c>
      <c r="I98" s="344">
        <v>675.03333333333296</v>
      </c>
      <c r="J98" s="344">
        <v>708.16666666666697</v>
      </c>
      <c r="K98" s="344">
        <v>642.83333333333303</v>
      </c>
      <c r="L98" s="344">
        <f t="shared" si="44"/>
        <v>149.99444444444435</v>
      </c>
      <c r="M98" s="344">
        <v>413.933333333333</v>
      </c>
      <c r="N98" s="344">
        <v>415.8</v>
      </c>
      <c r="O98" s="344">
        <v>493.73333333333301</v>
      </c>
      <c r="P98" s="344">
        <v>694.63333333333298</v>
      </c>
      <c r="Q98" s="344">
        <v>932.16666666666697</v>
      </c>
      <c r="R98" s="344">
        <v>1041.13333333333</v>
      </c>
      <c r="S98" s="344">
        <v>1086.86666666667</v>
      </c>
      <c r="T98" s="344">
        <v>1131.43333333333</v>
      </c>
      <c r="U98" s="344">
        <v>1202.13333333333</v>
      </c>
      <c r="V98" s="344">
        <v>1177.86666666667</v>
      </c>
      <c r="W98" s="344">
        <v>1083.5999999999999</v>
      </c>
      <c r="X98" s="344">
        <v>1132.5999999999999</v>
      </c>
      <c r="Y98" s="344">
        <v>1039.0333333333299</v>
      </c>
      <c r="Z98" s="344">
        <v>924.23333333333301</v>
      </c>
      <c r="AA98" s="344">
        <v>981.16666666666697</v>
      </c>
      <c r="AB98" s="344">
        <v>998.43333333333305</v>
      </c>
      <c r="AC98" s="344">
        <v>952.23333333333301</v>
      </c>
      <c r="AD98" s="344">
        <f t="shared" si="45"/>
        <v>-46.200000000000045</v>
      </c>
      <c r="AE98" s="344">
        <v>7</v>
      </c>
      <c r="AF98" s="344">
        <v>5</v>
      </c>
      <c r="AG98" s="345">
        <v>6</v>
      </c>
      <c r="AH98" s="346">
        <v>6</v>
      </c>
      <c r="AI98" s="197">
        <v>4</v>
      </c>
      <c r="AJ98" s="197">
        <v>9</v>
      </c>
      <c r="AK98" s="197">
        <v>5</v>
      </c>
      <c r="AL98" s="197">
        <v>5</v>
      </c>
      <c r="AM98" s="197">
        <v>7</v>
      </c>
      <c r="AN98" s="197">
        <v>4</v>
      </c>
      <c r="AO98" s="197">
        <v>7</v>
      </c>
      <c r="AP98" s="347">
        <v>8</v>
      </c>
      <c r="AQ98" s="197">
        <v>3</v>
      </c>
      <c r="AR98" s="197">
        <v>2</v>
      </c>
      <c r="AS98" s="197">
        <v>3</v>
      </c>
      <c r="AT98" s="197">
        <v>3</v>
      </c>
      <c r="AU98" s="347">
        <v>3</v>
      </c>
      <c r="AV98" s="347">
        <v>2</v>
      </c>
      <c r="AW98" s="347">
        <v>3</v>
      </c>
      <c r="AX98" s="347">
        <v>4</v>
      </c>
      <c r="AY98" s="347">
        <v>5</v>
      </c>
      <c r="AZ98" s="347">
        <v>4</v>
      </c>
      <c r="BA98" s="347">
        <v>4</v>
      </c>
      <c r="BB98" s="347">
        <v>5</v>
      </c>
      <c r="BC98" s="347">
        <v>4</v>
      </c>
    </row>
    <row r="99" spans="1:55" s="381" customFormat="1" ht="17.649999999999999" customHeight="1">
      <c r="A99" s="343">
        <v>39</v>
      </c>
      <c r="B99" s="211" t="s">
        <v>2117</v>
      </c>
      <c r="C99" s="211" t="s">
        <v>2055</v>
      </c>
      <c r="D99" s="211" t="s">
        <v>2090</v>
      </c>
      <c r="E99" s="344">
        <v>40</v>
      </c>
      <c r="F99" s="344">
        <v>40.366666666666703</v>
      </c>
      <c r="G99" s="209">
        <v>42</v>
      </c>
      <c r="H99" s="344">
        <v>40.6</v>
      </c>
      <c r="I99" s="344">
        <v>40.366666666666703</v>
      </c>
      <c r="J99" s="344">
        <v>38.266666666666701</v>
      </c>
      <c r="K99" s="344">
        <v>33.6</v>
      </c>
      <c r="L99" s="344">
        <f t="shared" si="44"/>
        <v>7.8400000000000007</v>
      </c>
      <c r="M99" s="344">
        <v>24.033333333333299</v>
      </c>
      <c r="N99" s="344">
        <v>31.966666666666701</v>
      </c>
      <c r="O99" s="344">
        <v>37.566666666666698</v>
      </c>
      <c r="P99" s="344">
        <v>40.8333333333333</v>
      </c>
      <c r="Q99" s="344">
        <v>49.7</v>
      </c>
      <c r="R99" s="344">
        <v>46.2</v>
      </c>
      <c r="S99" s="344">
        <v>45.966666666666697</v>
      </c>
      <c r="T99" s="344">
        <v>51.3333333333333</v>
      </c>
      <c r="U99" s="344">
        <v>50.1666666666667</v>
      </c>
      <c r="V99" s="344">
        <v>50.1666666666667</v>
      </c>
      <c r="W99" s="344">
        <v>45.033333333333303</v>
      </c>
      <c r="X99" s="344">
        <v>39.6666666666667</v>
      </c>
      <c r="Y99" s="344">
        <v>33.133333333333297</v>
      </c>
      <c r="Z99" s="344">
        <v>28.933333333333302</v>
      </c>
      <c r="AA99" s="344">
        <v>31.5</v>
      </c>
      <c r="AB99" s="344">
        <v>35.933333333333302</v>
      </c>
      <c r="AC99" s="344">
        <v>35.933333333333302</v>
      </c>
      <c r="AD99" s="344">
        <f t="shared" si="45"/>
        <v>0</v>
      </c>
      <c r="AE99" s="344">
        <v>1</v>
      </c>
      <c r="AF99" s="344">
        <v>1</v>
      </c>
      <c r="AG99" s="345">
        <v>1</v>
      </c>
      <c r="AH99" s="346">
        <v>1</v>
      </c>
      <c r="AI99" s="197">
        <v>1</v>
      </c>
      <c r="AJ99" s="197">
        <v>1</v>
      </c>
      <c r="AK99" s="197">
        <v>2</v>
      </c>
      <c r="AL99" s="197">
        <v>2</v>
      </c>
      <c r="AM99" s="197">
        <v>1</v>
      </c>
      <c r="AN99" s="197">
        <v>1</v>
      </c>
      <c r="AO99" s="197">
        <v>1</v>
      </c>
      <c r="AP99" s="197">
        <v>1</v>
      </c>
      <c r="AQ99" s="197">
        <v>1</v>
      </c>
      <c r="AR99" s="197">
        <v>2</v>
      </c>
      <c r="AS99" s="347">
        <v>1</v>
      </c>
      <c r="AT99" s="197">
        <v>10</v>
      </c>
      <c r="AU99" s="347">
        <v>1</v>
      </c>
      <c r="AV99" s="347">
        <v>5</v>
      </c>
      <c r="AW99" s="347">
        <v>1</v>
      </c>
      <c r="AX99" s="347">
        <v>1</v>
      </c>
      <c r="AY99" s="347">
        <v>2</v>
      </c>
      <c r="AZ99" s="347">
        <v>2</v>
      </c>
      <c r="BA99" s="347">
        <v>2</v>
      </c>
      <c r="BB99" s="347">
        <v>1</v>
      </c>
      <c r="BC99" s="347">
        <v>2</v>
      </c>
    </row>
    <row r="100" spans="1:55" s="381" customFormat="1" ht="17.649999999999999" customHeight="1">
      <c r="A100" s="343">
        <v>40</v>
      </c>
      <c r="B100" s="211" t="s">
        <v>2118</v>
      </c>
      <c r="C100" s="211" t="s">
        <v>2055</v>
      </c>
      <c r="D100" s="211" t="s">
        <v>2090</v>
      </c>
      <c r="E100" s="344">
        <v>13</v>
      </c>
      <c r="F100" s="344">
        <v>14</v>
      </c>
      <c r="G100" s="209">
        <v>15.633333333333301</v>
      </c>
      <c r="H100" s="344">
        <v>17.733333333333299</v>
      </c>
      <c r="I100" s="344">
        <v>18.899999999999999</v>
      </c>
      <c r="J100" s="344">
        <v>17.266666666666701</v>
      </c>
      <c r="K100" s="344">
        <v>16.3333333333333</v>
      </c>
      <c r="L100" s="344">
        <f t="shared" si="44"/>
        <v>3.8111111111111029</v>
      </c>
      <c r="M100" s="344">
        <v>10.033333333333299</v>
      </c>
      <c r="N100" s="344">
        <v>9.56666666666667</v>
      </c>
      <c r="O100" s="344">
        <v>9.8000000000000007</v>
      </c>
      <c r="P100" s="344">
        <v>15.4</v>
      </c>
      <c r="Q100" s="344">
        <v>20.066666666666698</v>
      </c>
      <c r="R100" s="344">
        <v>21</v>
      </c>
      <c r="S100" s="344">
        <v>21.933333333333302</v>
      </c>
      <c r="T100" s="344">
        <v>19.366666666666699</v>
      </c>
      <c r="U100" s="344">
        <v>18.433333333333302</v>
      </c>
      <c r="V100" s="344">
        <v>14.233333333333301</v>
      </c>
      <c r="W100" s="344">
        <v>12.8333333333333</v>
      </c>
      <c r="X100" s="344">
        <v>13.533333333333299</v>
      </c>
      <c r="Y100" s="344">
        <v>14.233333333333301</v>
      </c>
      <c r="Z100" s="344">
        <v>15.633333333333301</v>
      </c>
      <c r="AA100" s="344">
        <v>16.3333333333333</v>
      </c>
      <c r="AB100" s="344">
        <v>15.633333333333301</v>
      </c>
      <c r="AC100" s="344">
        <v>13.533333333333299</v>
      </c>
      <c r="AD100" s="344">
        <f t="shared" si="45"/>
        <v>-2.1000000000000014</v>
      </c>
      <c r="AE100" s="344">
        <v>2</v>
      </c>
      <c r="AF100" s="344">
        <v>2</v>
      </c>
      <c r="AG100" s="345">
        <v>3</v>
      </c>
      <c r="AH100" s="346">
        <v>3</v>
      </c>
      <c r="AI100" s="197">
        <v>2</v>
      </c>
      <c r="AJ100" s="197">
        <v>1</v>
      </c>
      <c r="AK100" s="197">
        <v>3</v>
      </c>
      <c r="AL100" s="197">
        <v>3</v>
      </c>
      <c r="AM100" s="197">
        <v>6</v>
      </c>
      <c r="AN100" s="197">
        <v>2</v>
      </c>
      <c r="AO100" s="197">
        <v>3</v>
      </c>
      <c r="AP100" s="197">
        <v>2</v>
      </c>
      <c r="AQ100" s="197">
        <v>1</v>
      </c>
      <c r="AR100" s="197">
        <v>2</v>
      </c>
      <c r="AS100" s="197">
        <v>2</v>
      </c>
      <c r="AT100" s="197">
        <v>2</v>
      </c>
      <c r="AU100" s="347">
        <v>2</v>
      </c>
      <c r="AV100" s="347">
        <v>1</v>
      </c>
      <c r="AW100" s="347">
        <v>5</v>
      </c>
      <c r="AX100" s="347">
        <v>3</v>
      </c>
      <c r="AY100" s="347">
        <v>10</v>
      </c>
      <c r="AZ100" s="347">
        <v>2</v>
      </c>
      <c r="BA100" s="347">
        <v>2</v>
      </c>
      <c r="BB100" s="347">
        <v>2</v>
      </c>
      <c r="BC100" s="347">
        <v>2</v>
      </c>
    </row>
    <row r="101" spans="1:55" s="381" customFormat="1" ht="17.649999999999999" customHeight="1">
      <c r="A101" s="343">
        <v>41</v>
      </c>
      <c r="B101" s="211" t="s">
        <v>2119</v>
      </c>
      <c r="C101" s="211" t="s">
        <v>2055</v>
      </c>
      <c r="D101" s="211" t="s">
        <v>2090</v>
      </c>
      <c r="E101" s="344">
        <v>107</v>
      </c>
      <c r="F101" s="344">
        <v>121.566666666667</v>
      </c>
      <c r="G101" s="209">
        <v>123.9</v>
      </c>
      <c r="H101" s="344">
        <v>122.73333333333299</v>
      </c>
      <c r="I101" s="344">
        <v>115.5</v>
      </c>
      <c r="J101" s="344">
        <v>111.533333333333</v>
      </c>
      <c r="K101" s="344">
        <v>97.3</v>
      </c>
      <c r="L101" s="344">
        <f t="shared" si="44"/>
        <v>22.703333333333333</v>
      </c>
      <c r="M101" s="344">
        <v>84.933333333333294</v>
      </c>
      <c r="N101" s="344">
        <v>98.7</v>
      </c>
      <c r="O101" s="344">
        <v>109.666666666667</v>
      </c>
      <c r="P101" s="344">
        <v>130.19999999999999</v>
      </c>
      <c r="Q101" s="344">
        <v>165.433333333333</v>
      </c>
      <c r="R101" s="344">
        <v>163.333333333333</v>
      </c>
      <c r="S101" s="344">
        <v>186.9</v>
      </c>
      <c r="T101" s="344">
        <v>213.26666666666699</v>
      </c>
      <c r="U101" s="344">
        <v>250.36666666666699</v>
      </c>
      <c r="V101" s="344">
        <v>273.23333333333301</v>
      </c>
      <c r="W101" s="344">
        <v>280</v>
      </c>
      <c r="X101" s="344">
        <v>294.933333333333</v>
      </c>
      <c r="Y101" s="344">
        <v>263.2</v>
      </c>
      <c r="Z101" s="344">
        <v>248.73333333333301</v>
      </c>
      <c r="AA101" s="344">
        <v>233.8</v>
      </c>
      <c r="AB101" s="344">
        <v>208.6</v>
      </c>
      <c r="AC101" s="344">
        <v>187.36666666666699</v>
      </c>
      <c r="AD101" s="344">
        <f t="shared" si="45"/>
        <v>-21.233333333333007</v>
      </c>
      <c r="AE101" s="344">
        <v>2</v>
      </c>
      <c r="AF101" s="344">
        <v>2</v>
      </c>
      <c r="AG101" s="345">
        <v>2</v>
      </c>
      <c r="AH101" s="346">
        <v>2</v>
      </c>
      <c r="AI101" s="197">
        <v>3</v>
      </c>
      <c r="AJ101" s="197">
        <v>10</v>
      </c>
      <c r="AK101" s="197">
        <v>2</v>
      </c>
      <c r="AL101" s="197">
        <v>2</v>
      </c>
      <c r="AM101" s="197">
        <v>2</v>
      </c>
      <c r="AN101" s="197">
        <v>2</v>
      </c>
      <c r="AO101" s="197">
        <v>2</v>
      </c>
      <c r="AP101" s="197">
        <v>2</v>
      </c>
      <c r="AQ101" s="197">
        <v>2</v>
      </c>
      <c r="AR101" s="197">
        <v>1</v>
      </c>
      <c r="AS101" s="197">
        <v>1</v>
      </c>
      <c r="AT101" s="197">
        <v>2</v>
      </c>
      <c r="AU101" s="347">
        <v>2</v>
      </c>
      <c r="AV101" s="347">
        <v>2</v>
      </c>
      <c r="AW101" s="347">
        <v>10</v>
      </c>
      <c r="AX101" s="347">
        <v>4</v>
      </c>
      <c r="AY101" s="347">
        <v>1</v>
      </c>
      <c r="AZ101" s="347">
        <v>10</v>
      </c>
      <c r="BA101" s="347">
        <v>2</v>
      </c>
      <c r="BB101" s="347">
        <v>3</v>
      </c>
      <c r="BC101" s="347">
        <v>2</v>
      </c>
    </row>
    <row r="102" spans="1:55" s="381" customFormat="1" ht="17.649999999999999" customHeight="1">
      <c r="A102" s="343">
        <v>42</v>
      </c>
      <c r="B102" s="211" t="s">
        <v>2120</v>
      </c>
      <c r="C102" s="211" t="s">
        <v>2055</v>
      </c>
      <c r="D102" s="211" t="s">
        <v>2090</v>
      </c>
      <c r="E102" s="344">
        <v>12</v>
      </c>
      <c r="F102" s="344">
        <v>10.966666666666701</v>
      </c>
      <c r="G102" s="209">
        <v>10.966666666666701</v>
      </c>
      <c r="H102" s="344">
        <v>10.033333333333299</v>
      </c>
      <c r="I102" s="344">
        <v>11.6666666666667</v>
      </c>
      <c r="J102" s="344">
        <v>10.266666666666699</v>
      </c>
      <c r="K102" s="344">
        <v>10.733333333333301</v>
      </c>
      <c r="L102" s="344">
        <f t="shared" si="44"/>
        <v>2.5044444444444367</v>
      </c>
      <c r="M102" s="344">
        <v>7.7</v>
      </c>
      <c r="N102" s="344">
        <v>5.8333333333333304</v>
      </c>
      <c r="O102" s="344">
        <v>5.6</v>
      </c>
      <c r="P102" s="344">
        <v>5.3666666666666698</v>
      </c>
      <c r="Q102" s="344">
        <v>5.6</v>
      </c>
      <c r="R102" s="344">
        <v>6.5333333333333297</v>
      </c>
      <c r="S102" s="344">
        <v>4.2</v>
      </c>
      <c r="T102" s="344">
        <v>4.2</v>
      </c>
      <c r="U102" s="344">
        <v>3.5</v>
      </c>
      <c r="V102" s="344">
        <v>1.86666666666667</v>
      </c>
      <c r="W102" s="344">
        <v>2.56666666666667</v>
      </c>
      <c r="X102" s="344">
        <v>3.0333333333333301</v>
      </c>
      <c r="Y102" s="344">
        <v>4.6666666666666696</v>
      </c>
      <c r="Z102" s="344">
        <v>5.8333333333333304</v>
      </c>
      <c r="AA102" s="344">
        <v>5.8333333333333304</v>
      </c>
      <c r="AB102" s="344">
        <v>5.8333333333333304</v>
      </c>
      <c r="AC102" s="344">
        <v>4.43333333333333</v>
      </c>
      <c r="AD102" s="344">
        <f t="shared" si="45"/>
        <v>-1.4000000000000004</v>
      </c>
      <c r="AE102" s="344">
        <v>3</v>
      </c>
      <c r="AF102" s="344">
        <v>1</v>
      </c>
      <c r="AG102" s="345">
        <v>1</v>
      </c>
      <c r="AH102" s="346">
        <v>1</v>
      </c>
      <c r="AI102" s="197">
        <v>1</v>
      </c>
      <c r="AJ102" s="197">
        <v>8</v>
      </c>
      <c r="AK102" s="197">
        <v>1</v>
      </c>
      <c r="AL102" s="197">
        <v>1</v>
      </c>
      <c r="AM102" s="197">
        <v>1</v>
      </c>
      <c r="AN102" s="197">
        <v>2</v>
      </c>
      <c r="AO102" s="197">
        <v>1</v>
      </c>
      <c r="AP102" s="197">
        <v>1</v>
      </c>
      <c r="AQ102" s="197">
        <v>1</v>
      </c>
      <c r="AR102" s="197">
        <v>1</v>
      </c>
      <c r="AS102" s="197">
        <v>2</v>
      </c>
      <c r="AT102" s="197">
        <v>2</v>
      </c>
      <c r="AU102" s="347">
        <v>3</v>
      </c>
      <c r="AV102" s="347">
        <v>1</v>
      </c>
      <c r="AW102" s="347">
        <v>1</v>
      </c>
      <c r="AX102" s="347">
        <v>1</v>
      </c>
      <c r="AY102" s="347">
        <v>1</v>
      </c>
      <c r="AZ102" s="347">
        <v>1</v>
      </c>
      <c r="BA102" s="347">
        <v>1</v>
      </c>
      <c r="BB102" s="347">
        <v>1</v>
      </c>
      <c r="BC102" s="347">
        <v>2</v>
      </c>
    </row>
    <row r="103" spans="1:55" s="381" customFormat="1" ht="17.649999999999999" customHeight="1">
      <c r="A103" s="343">
        <v>43</v>
      </c>
      <c r="B103" s="211" t="s">
        <v>2121</v>
      </c>
      <c r="C103" s="211" t="s">
        <v>2055</v>
      </c>
      <c r="D103" s="211" t="s">
        <v>2063</v>
      </c>
      <c r="E103" s="344">
        <v>555</v>
      </c>
      <c r="F103" s="344">
        <v>562.33333333333303</v>
      </c>
      <c r="G103" s="209">
        <v>511.46666666666698</v>
      </c>
      <c r="H103" s="344">
        <v>482.53333333333302</v>
      </c>
      <c r="I103" s="344">
        <v>434.933333333333</v>
      </c>
      <c r="J103" s="344">
        <v>423.5</v>
      </c>
      <c r="K103" s="344">
        <v>378.23333333333301</v>
      </c>
      <c r="L103" s="344">
        <f t="shared" si="44"/>
        <v>88.25444444444436</v>
      </c>
      <c r="M103" s="344">
        <v>269.26666666666699</v>
      </c>
      <c r="N103" s="344">
        <v>284.433333333333</v>
      </c>
      <c r="O103" s="344">
        <v>305.89999999999998</v>
      </c>
      <c r="P103" s="344">
        <v>375.2</v>
      </c>
      <c r="Q103" s="344">
        <v>461.76666666666699</v>
      </c>
      <c r="R103" s="344">
        <v>463.4</v>
      </c>
      <c r="S103" s="344">
        <v>477.16666666666703</v>
      </c>
      <c r="T103" s="344">
        <v>451.03333333333302</v>
      </c>
      <c r="U103" s="344">
        <v>417.433333333333</v>
      </c>
      <c r="V103" s="344">
        <v>389.2</v>
      </c>
      <c r="W103" s="344">
        <v>331.566666666667</v>
      </c>
      <c r="X103" s="344">
        <v>330.16666666666703</v>
      </c>
      <c r="Y103" s="344">
        <v>301.7</v>
      </c>
      <c r="Z103" s="344">
        <v>301.46666666666698</v>
      </c>
      <c r="AA103" s="344">
        <v>298.433333333333</v>
      </c>
      <c r="AB103" s="344">
        <v>272.066666666667</v>
      </c>
      <c r="AC103" s="344">
        <v>253.4</v>
      </c>
      <c r="AD103" s="344">
        <f t="shared" si="45"/>
        <v>-18.666666666666998</v>
      </c>
      <c r="AE103" s="344">
        <v>4</v>
      </c>
      <c r="AF103" s="344">
        <v>7</v>
      </c>
      <c r="AG103" s="345">
        <v>6</v>
      </c>
      <c r="AH103" s="346">
        <v>8</v>
      </c>
      <c r="AI103" s="197">
        <v>4</v>
      </c>
      <c r="AJ103" s="197">
        <v>7</v>
      </c>
      <c r="AK103" s="197">
        <v>3</v>
      </c>
      <c r="AL103" s="197">
        <v>3</v>
      </c>
      <c r="AM103" s="197">
        <v>5</v>
      </c>
      <c r="AN103" s="197">
        <v>2</v>
      </c>
      <c r="AO103" s="197">
        <v>3</v>
      </c>
      <c r="AP103" s="197">
        <v>4</v>
      </c>
      <c r="AQ103" s="197">
        <v>3</v>
      </c>
      <c r="AR103" s="197">
        <v>5</v>
      </c>
      <c r="AS103" s="197">
        <v>3</v>
      </c>
      <c r="AT103" s="197">
        <v>4</v>
      </c>
      <c r="AU103" s="347">
        <v>6</v>
      </c>
      <c r="AV103" s="347">
        <v>5</v>
      </c>
      <c r="AW103" s="347">
        <v>3</v>
      </c>
      <c r="AX103" s="347">
        <v>4</v>
      </c>
      <c r="AY103" s="347">
        <v>9</v>
      </c>
      <c r="AZ103" s="347">
        <v>1</v>
      </c>
      <c r="BA103" s="347">
        <v>9</v>
      </c>
      <c r="BB103" s="347">
        <v>4</v>
      </c>
      <c r="BC103" s="347">
        <v>7</v>
      </c>
    </row>
    <row r="104" spans="1:55" s="381" customFormat="1" ht="17.649999999999999" customHeight="1">
      <c r="A104" s="343">
        <v>44</v>
      </c>
      <c r="B104" s="211" t="s">
        <v>2122</v>
      </c>
      <c r="C104" s="211" t="s">
        <v>2055</v>
      </c>
      <c r="D104" s="211" t="s">
        <v>2063</v>
      </c>
      <c r="E104" s="344">
        <v>284</v>
      </c>
      <c r="F104" s="344">
        <v>248.73333333333301</v>
      </c>
      <c r="G104" s="209">
        <v>199.5</v>
      </c>
      <c r="H104" s="344">
        <v>205.1</v>
      </c>
      <c r="I104" s="344">
        <v>213.03333333333299</v>
      </c>
      <c r="J104" s="344">
        <v>211.63333333333301</v>
      </c>
      <c r="K104" s="344">
        <v>189.933333333333</v>
      </c>
      <c r="L104" s="344">
        <f t="shared" si="44"/>
        <v>44.3177777777777</v>
      </c>
      <c r="M104" s="344">
        <v>100.8</v>
      </c>
      <c r="N104" s="344">
        <v>125.533333333333</v>
      </c>
      <c r="O104" s="344">
        <v>150.73333333333301</v>
      </c>
      <c r="P104" s="344">
        <v>185.26666666666699</v>
      </c>
      <c r="Q104" s="344">
        <v>215.36666666666699</v>
      </c>
      <c r="R104" s="344">
        <v>212.8</v>
      </c>
      <c r="S104" s="344">
        <v>209.76666666666699</v>
      </c>
      <c r="T104" s="344">
        <v>187.6</v>
      </c>
      <c r="U104" s="344">
        <v>191.1</v>
      </c>
      <c r="V104" s="344">
        <v>177.8</v>
      </c>
      <c r="W104" s="344">
        <v>157.73333333333301</v>
      </c>
      <c r="X104" s="344">
        <v>197.63333333333301</v>
      </c>
      <c r="Y104" s="344">
        <v>193.9</v>
      </c>
      <c r="Z104" s="344">
        <v>186.2</v>
      </c>
      <c r="AA104" s="344">
        <v>215.13333333333301</v>
      </c>
      <c r="AB104" s="344">
        <v>201.13333333333301</v>
      </c>
      <c r="AC104" s="344">
        <v>200.9</v>
      </c>
      <c r="AD104" s="344">
        <f t="shared" si="45"/>
        <v>-0.23333333333300743</v>
      </c>
      <c r="AE104" s="344">
        <v>22</v>
      </c>
      <c r="AF104" s="344">
        <v>0</v>
      </c>
      <c r="AG104" s="345">
        <v>51</v>
      </c>
      <c r="AH104" s="346">
        <v>2</v>
      </c>
      <c r="AI104" s="197">
        <v>51</v>
      </c>
      <c r="AJ104" s="197">
        <v>51</v>
      </c>
      <c r="AK104" s="197">
        <v>11</v>
      </c>
      <c r="AL104" s="197">
        <v>11</v>
      </c>
      <c r="AM104" s="197">
        <v>10</v>
      </c>
      <c r="AN104" s="197">
        <v>10</v>
      </c>
      <c r="AO104" s="197">
        <v>10</v>
      </c>
      <c r="AP104" s="197">
        <v>10</v>
      </c>
      <c r="AQ104" s="197">
        <v>8</v>
      </c>
      <c r="AR104" s="197">
        <v>10</v>
      </c>
      <c r="AS104" s="197">
        <v>7</v>
      </c>
      <c r="AT104" s="197">
        <v>9</v>
      </c>
      <c r="AU104" s="347">
        <v>15</v>
      </c>
      <c r="AV104" s="347">
        <v>9</v>
      </c>
      <c r="AW104" s="347">
        <v>9</v>
      </c>
      <c r="AX104" s="347">
        <v>9</v>
      </c>
      <c r="AY104" s="197">
        <v>51</v>
      </c>
      <c r="AZ104" s="347">
        <v>10</v>
      </c>
      <c r="BA104" s="347">
        <v>13</v>
      </c>
      <c r="BB104" s="347">
        <v>9</v>
      </c>
      <c r="BC104" s="347">
        <v>9</v>
      </c>
    </row>
    <row r="105" spans="1:55" s="381" customFormat="1" ht="17.649999999999999" customHeight="1">
      <c r="A105" s="343">
        <v>45</v>
      </c>
      <c r="B105" s="211" t="s">
        <v>2123</v>
      </c>
      <c r="C105" s="211" t="s">
        <v>2055</v>
      </c>
      <c r="D105" s="211" t="s">
        <v>2090</v>
      </c>
      <c r="E105" s="344">
        <v>26</v>
      </c>
      <c r="F105" s="344">
        <v>27.066666666666698</v>
      </c>
      <c r="G105" s="209">
        <v>29.633333333333301</v>
      </c>
      <c r="H105" s="344">
        <v>33.8333333333333</v>
      </c>
      <c r="I105" s="344">
        <v>34.766666666666701</v>
      </c>
      <c r="J105" s="344">
        <v>35.466666666666697</v>
      </c>
      <c r="K105" s="344">
        <v>31.966666666666701</v>
      </c>
      <c r="L105" s="344">
        <f t="shared" si="44"/>
        <v>7.4588888888888967</v>
      </c>
      <c r="M105" s="344">
        <v>13.0666666666667</v>
      </c>
      <c r="N105" s="344">
        <v>14.466666666666701</v>
      </c>
      <c r="O105" s="344">
        <v>16.100000000000001</v>
      </c>
      <c r="P105" s="344">
        <v>19.366666666666699</v>
      </c>
      <c r="Q105" s="344">
        <v>26.6</v>
      </c>
      <c r="R105" s="344">
        <v>25.6666666666667</v>
      </c>
      <c r="S105" s="344">
        <v>25.433333333333302</v>
      </c>
      <c r="T105" s="344">
        <v>28.7</v>
      </c>
      <c r="U105" s="344">
        <v>26.6</v>
      </c>
      <c r="V105" s="344">
        <v>25.2</v>
      </c>
      <c r="W105" s="344">
        <v>23.1</v>
      </c>
      <c r="X105" s="344">
        <v>22.1666666666667</v>
      </c>
      <c r="Y105" s="344">
        <v>23.3333333333333</v>
      </c>
      <c r="Z105" s="344">
        <v>21.233333333333299</v>
      </c>
      <c r="AA105" s="344">
        <v>20.066666666666698</v>
      </c>
      <c r="AB105" s="344">
        <v>23.3333333333333</v>
      </c>
      <c r="AC105" s="344">
        <v>22.1666666666667</v>
      </c>
      <c r="AD105" s="344">
        <f t="shared" si="45"/>
        <v>-1.1666666666666003</v>
      </c>
      <c r="AE105" s="344">
        <v>1</v>
      </c>
      <c r="AF105" s="344">
        <v>1</v>
      </c>
      <c r="AG105" s="344">
        <v>1</v>
      </c>
      <c r="AH105" s="346">
        <v>1</v>
      </c>
      <c r="AI105" s="197">
        <v>1</v>
      </c>
      <c r="AJ105" s="197">
        <v>1</v>
      </c>
      <c r="AK105" s="197">
        <v>1</v>
      </c>
      <c r="AL105" s="197">
        <v>1</v>
      </c>
      <c r="AM105" s="197">
        <v>1</v>
      </c>
      <c r="AN105" s="197">
        <v>1</v>
      </c>
      <c r="AO105" s="197">
        <v>3</v>
      </c>
      <c r="AP105" s="197">
        <v>1</v>
      </c>
      <c r="AQ105" s="197">
        <v>1</v>
      </c>
      <c r="AR105" s="197">
        <v>1</v>
      </c>
      <c r="AS105" s="347">
        <v>1</v>
      </c>
      <c r="AT105" s="197">
        <v>1</v>
      </c>
      <c r="AU105" s="347">
        <v>1</v>
      </c>
      <c r="AV105" s="347">
        <v>1</v>
      </c>
      <c r="AW105" s="347">
        <v>1</v>
      </c>
      <c r="AX105" s="347">
        <v>1</v>
      </c>
      <c r="AY105" s="347">
        <v>1</v>
      </c>
      <c r="AZ105" s="347">
        <v>5</v>
      </c>
      <c r="BA105" s="347">
        <v>1</v>
      </c>
      <c r="BB105" s="347">
        <v>1</v>
      </c>
      <c r="BC105" s="347">
        <v>1</v>
      </c>
    </row>
    <row r="106" spans="1:55" s="381" customFormat="1" ht="17.649999999999999" customHeight="1">
      <c r="A106" s="343">
        <v>46</v>
      </c>
      <c r="B106" s="211" t="s">
        <v>2124</v>
      </c>
      <c r="C106" s="211" t="s">
        <v>2055</v>
      </c>
      <c r="D106" s="211" t="s">
        <v>2125</v>
      </c>
      <c r="E106" s="344">
        <v>12</v>
      </c>
      <c r="F106" s="344">
        <v>12.133333333333301</v>
      </c>
      <c r="G106" s="209">
        <v>10.033333333333299</v>
      </c>
      <c r="H106" s="344">
        <v>9.1</v>
      </c>
      <c r="I106" s="344">
        <v>10.266666666666699</v>
      </c>
      <c r="J106" s="344">
        <v>12.8333333333333</v>
      </c>
      <c r="K106" s="344">
        <v>12.366666666666699</v>
      </c>
      <c r="L106" s="344">
        <f t="shared" si="44"/>
        <v>2.8855555555555634</v>
      </c>
      <c r="M106" s="344">
        <v>6.7666666666666702</v>
      </c>
      <c r="N106" s="344">
        <v>6.3</v>
      </c>
      <c r="O106" s="344">
        <v>7.7</v>
      </c>
      <c r="P106" s="344">
        <v>8.6333333333333293</v>
      </c>
      <c r="Q106" s="344">
        <v>12.133333333333301</v>
      </c>
      <c r="R106" s="344">
        <v>12.366666666666699</v>
      </c>
      <c r="S106" s="344">
        <v>12.8333333333333</v>
      </c>
      <c r="T106" s="344">
        <v>14.466666666666701</v>
      </c>
      <c r="U106" s="344">
        <v>15.633333333333301</v>
      </c>
      <c r="V106" s="344">
        <v>14.466666666666701</v>
      </c>
      <c r="W106" s="344">
        <v>14</v>
      </c>
      <c r="X106" s="344">
        <v>15.4</v>
      </c>
      <c r="Y106" s="344">
        <v>13.3</v>
      </c>
      <c r="Z106" s="344">
        <v>12.366666666666699</v>
      </c>
      <c r="AA106" s="344">
        <v>14.233333333333301</v>
      </c>
      <c r="AB106" s="344">
        <v>13.3</v>
      </c>
      <c r="AC106" s="344">
        <v>13.3</v>
      </c>
      <c r="AD106" s="344">
        <f t="shared" si="45"/>
        <v>0</v>
      </c>
      <c r="AE106" s="344">
        <v>9</v>
      </c>
      <c r="AF106" s="344">
        <v>9</v>
      </c>
      <c r="AG106" s="345">
        <v>9</v>
      </c>
      <c r="AH106" s="346">
        <v>10</v>
      </c>
      <c r="AI106" s="197">
        <v>10</v>
      </c>
      <c r="AJ106" s="197">
        <v>9</v>
      </c>
      <c r="AK106" s="197">
        <v>9</v>
      </c>
      <c r="AL106" s="197">
        <v>9</v>
      </c>
      <c r="AM106" s="197">
        <v>9</v>
      </c>
      <c r="AN106" s="197">
        <v>6</v>
      </c>
      <c r="AO106" s="197">
        <v>8</v>
      </c>
      <c r="AP106" s="197">
        <v>8</v>
      </c>
      <c r="AQ106" s="197">
        <v>10</v>
      </c>
      <c r="AR106" s="197">
        <v>3</v>
      </c>
      <c r="AS106" s="197">
        <v>6</v>
      </c>
      <c r="AT106" s="197">
        <v>9</v>
      </c>
      <c r="AU106" s="347">
        <v>8</v>
      </c>
      <c r="AV106" s="347">
        <v>10</v>
      </c>
      <c r="AW106" s="347">
        <v>2</v>
      </c>
      <c r="AX106" s="347">
        <v>5</v>
      </c>
      <c r="AY106" s="347">
        <v>7</v>
      </c>
      <c r="AZ106" s="347">
        <v>10</v>
      </c>
      <c r="BA106" s="347">
        <v>6</v>
      </c>
      <c r="BB106" s="347">
        <v>10</v>
      </c>
      <c r="BC106" s="347">
        <v>2</v>
      </c>
    </row>
    <row r="107" spans="1:55" s="381" customFormat="1" ht="17.649999999999999" customHeight="1">
      <c r="A107" s="343">
        <v>47</v>
      </c>
      <c r="B107" s="211" t="s">
        <v>2126</v>
      </c>
      <c r="C107" s="211" t="s">
        <v>2055</v>
      </c>
      <c r="D107" s="211" t="s">
        <v>2125</v>
      </c>
      <c r="E107" s="344">
        <v>18</v>
      </c>
      <c r="F107" s="344">
        <v>17.966666666666701</v>
      </c>
      <c r="G107" s="209">
        <v>20.533333333333299</v>
      </c>
      <c r="H107" s="344">
        <v>19.366666666666699</v>
      </c>
      <c r="I107" s="344">
        <v>18.899999999999999</v>
      </c>
      <c r="J107" s="344">
        <v>16.3333333333333</v>
      </c>
      <c r="K107" s="344">
        <v>16.100000000000001</v>
      </c>
      <c r="L107" s="344">
        <f t="shared" si="44"/>
        <v>3.7566666666666673</v>
      </c>
      <c r="M107" s="344">
        <v>9.8000000000000007</v>
      </c>
      <c r="N107" s="344">
        <v>10.266666666666699</v>
      </c>
      <c r="O107" s="344">
        <v>11.6666666666667</v>
      </c>
      <c r="P107" s="344">
        <v>13.533333333333299</v>
      </c>
      <c r="Q107" s="344">
        <v>17.966666666666701</v>
      </c>
      <c r="R107" s="344">
        <v>21.233333333333299</v>
      </c>
      <c r="S107" s="344">
        <v>20.066666666666698</v>
      </c>
      <c r="T107" s="344">
        <v>21.933333333333302</v>
      </c>
      <c r="U107" s="344">
        <v>27.066666666666698</v>
      </c>
      <c r="V107" s="344">
        <v>23.8</v>
      </c>
      <c r="W107" s="344">
        <v>25.433333333333302</v>
      </c>
      <c r="X107" s="344">
        <v>27.066666666666698</v>
      </c>
      <c r="Y107" s="344">
        <v>22.633333333333301</v>
      </c>
      <c r="Z107" s="344">
        <v>17.733333333333299</v>
      </c>
      <c r="AA107" s="344">
        <v>21.233333333333299</v>
      </c>
      <c r="AB107" s="344">
        <v>18.899999999999999</v>
      </c>
      <c r="AC107" s="344">
        <v>17.966666666666701</v>
      </c>
      <c r="AD107" s="344">
        <f t="shared" si="45"/>
        <v>-0.93333333333329804</v>
      </c>
      <c r="AE107" s="344">
        <v>7</v>
      </c>
      <c r="AF107" s="344">
        <v>9</v>
      </c>
      <c r="AG107" s="345">
        <v>2</v>
      </c>
      <c r="AH107" s="346">
        <v>7</v>
      </c>
      <c r="AI107" s="197">
        <v>8</v>
      </c>
      <c r="AJ107" s="197">
        <v>3</v>
      </c>
      <c r="AK107" s="197">
        <v>6</v>
      </c>
      <c r="AL107" s="197">
        <v>6</v>
      </c>
      <c r="AM107" s="197">
        <v>5</v>
      </c>
      <c r="AN107" s="197">
        <v>5</v>
      </c>
      <c r="AO107" s="197">
        <v>8</v>
      </c>
      <c r="AP107" s="197">
        <v>5</v>
      </c>
      <c r="AQ107" s="197">
        <v>4</v>
      </c>
      <c r="AR107" s="197">
        <v>3</v>
      </c>
      <c r="AS107" s="197">
        <v>8</v>
      </c>
      <c r="AT107" s="197">
        <v>3</v>
      </c>
      <c r="AU107" s="347">
        <v>10</v>
      </c>
      <c r="AV107" s="347">
        <v>7</v>
      </c>
      <c r="AW107" s="347">
        <v>7</v>
      </c>
      <c r="AX107" s="347">
        <v>6</v>
      </c>
      <c r="AY107" s="347">
        <v>7</v>
      </c>
      <c r="AZ107" s="347">
        <v>8</v>
      </c>
      <c r="BA107" s="347">
        <v>7</v>
      </c>
      <c r="BB107" s="347">
        <v>6</v>
      </c>
      <c r="BC107" s="347">
        <v>10</v>
      </c>
    </row>
    <row r="108" spans="1:55" s="381" customFormat="1" ht="17.649999999999999" customHeight="1">
      <c r="A108" s="343">
        <v>48</v>
      </c>
      <c r="B108" s="211" t="s">
        <v>2127</v>
      </c>
      <c r="C108" s="211" t="s">
        <v>2055</v>
      </c>
      <c r="D108" s="211" t="s">
        <v>2125</v>
      </c>
      <c r="E108" s="344">
        <v>18</v>
      </c>
      <c r="F108" s="344">
        <v>17.266666666666701</v>
      </c>
      <c r="G108" s="209">
        <v>14.233333333333301</v>
      </c>
      <c r="H108" s="344">
        <v>12.8333333333333</v>
      </c>
      <c r="I108" s="344">
        <v>12.366666666666699</v>
      </c>
      <c r="J108" s="344">
        <v>11.9</v>
      </c>
      <c r="K108" s="344">
        <v>10.266666666666699</v>
      </c>
      <c r="L108" s="344">
        <f t="shared" si="44"/>
        <v>2.3955555555555632</v>
      </c>
      <c r="M108" s="344">
        <v>8.6333333333333293</v>
      </c>
      <c r="N108" s="344">
        <v>10.033333333333299</v>
      </c>
      <c r="O108" s="344">
        <v>11.2</v>
      </c>
      <c r="P108" s="344">
        <v>12.133333333333301</v>
      </c>
      <c r="Q108" s="344">
        <v>23.3333333333333</v>
      </c>
      <c r="R108" s="344">
        <v>27.533333333333299</v>
      </c>
      <c r="S108" s="344">
        <v>28.233333333333299</v>
      </c>
      <c r="T108" s="344">
        <v>28.933333333333302</v>
      </c>
      <c r="U108" s="344">
        <v>22.1666666666667</v>
      </c>
      <c r="V108" s="344">
        <v>18.899999999999999</v>
      </c>
      <c r="W108" s="344">
        <v>18.6666666666667</v>
      </c>
      <c r="X108" s="344">
        <v>17.966666666666701</v>
      </c>
      <c r="Y108" s="344">
        <v>18.433333333333302</v>
      </c>
      <c r="Z108" s="344">
        <v>20.066666666666698</v>
      </c>
      <c r="AA108" s="344">
        <v>21.933333333333302</v>
      </c>
      <c r="AB108" s="344">
        <v>22.866666666666699</v>
      </c>
      <c r="AC108" s="344">
        <v>22.1666666666667</v>
      </c>
      <c r="AD108" s="344">
        <f t="shared" si="45"/>
        <v>-0.69999999999999929</v>
      </c>
      <c r="AE108" s="344">
        <v>7</v>
      </c>
      <c r="AF108" s="344">
        <v>8</v>
      </c>
      <c r="AG108" s="345">
        <v>3</v>
      </c>
      <c r="AH108" s="346">
        <v>7</v>
      </c>
      <c r="AI108" s="197">
        <v>10</v>
      </c>
      <c r="AJ108" s="197">
        <v>7</v>
      </c>
      <c r="AK108" s="197">
        <v>9</v>
      </c>
      <c r="AL108" s="197">
        <v>9</v>
      </c>
      <c r="AM108" s="197">
        <v>6</v>
      </c>
      <c r="AN108" s="197">
        <v>9</v>
      </c>
      <c r="AO108" s="197">
        <v>7</v>
      </c>
      <c r="AP108" s="347">
        <v>1</v>
      </c>
      <c r="AQ108" s="197">
        <v>8</v>
      </c>
      <c r="AR108" s="197">
        <v>5</v>
      </c>
      <c r="AS108" s="197">
        <v>8</v>
      </c>
      <c r="AT108" s="197">
        <v>10</v>
      </c>
      <c r="AU108" s="347">
        <v>9</v>
      </c>
      <c r="AV108" s="347">
        <v>8</v>
      </c>
      <c r="AW108" s="347">
        <v>6</v>
      </c>
      <c r="AX108" s="347">
        <v>1</v>
      </c>
      <c r="AY108" s="347">
        <v>6</v>
      </c>
      <c r="AZ108" s="347">
        <v>3</v>
      </c>
      <c r="BA108" s="347">
        <v>9</v>
      </c>
      <c r="BB108" s="347">
        <v>4</v>
      </c>
      <c r="BC108" s="347">
        <v>6</v>
      </c>
    </row>
    <row r="109" spans="1:55" s="381" customFormat="1" ht="17.649999999999999" customHeight="1">
      <c r="A109" s="343">
        <v>49</v>
      </c>
      <c r="B109" s="211" t="s">
        <v>2128</v>
      </c>
      <c r="C109" s="211" t="s">
        <v>2055</v>
      </c>
      <c r="D109" s="211" t="s">
        <v>2125</v>
      </c>
      <c r="E109" s="344">
        <v>4</v>
      </c>
      <c r="F109" s="344">
        <v>3.0333333333333301</v>
      </c>
      <c r="G109" s="209">
        <v>4.6666666666666696</v>
      </c>
      <c r="H109" s="344">
        <v>4.43333333333333</v>
      </c>
      <c r="I109" s="344">
        <v>4.6666666666666696</v>
      </c>
      <c r="J109" s="344">
        <v>4.6666666666666696</v>
      </c>
      <c r="K109" s="344">
        <v>5.3666666666666698</v>
      </c>
      <c r="L109" s="344">
        <f t="shared" si="44"/>
        <v>1.252222222222223</v>
      </c>
      <c r="M109" s="344">
        <v>3.0333333333333301</v>
      </c>
      <c r="N109" s="344">
        <v>2.1</v>
      </c>
      <c r="O109" s="344">
        <v>2.1</v>
      </c>
      <c r="P109" s="344">
        <v>3.5</v>
      </c>
      <c r="Q109" s="344">
        <v>5.6</v>
      </c>
      <c r="R109" s="344">
        <v>7.7</v>
      </c>
      <c r="S109" s="344">
        <v>8.4</v>
      </c>
      <c r="T109" s="344">
        <v>7.93333333333333</v>
      </c>
      <c r="U109" s="344">
        <v>7.4666666666666703</v>
      </c>
      <c r="V109" s="344">
        <v>5.6</v>
      </c>
      <c r="W109" s="344">
        <v>6.3</v>
      </c>
      <c r="X109" s="344">
        <v>18.433333333333302</v>
      </c>
      <c r="Y109" s="344">
        <v>32.9</v>
      </c>
      <c r="Z109" s="344">
        <v>45.966666666666697</v>
      </c>
      <c r="AA109" s="344">
        <v>59.5</v>
      </c>
      <c r="AB109" s="344">
        <v>75.599999999999994</v>
      </c>
      <c r="AC109" s="344">
        <v>65.099999999999994</v>
      </c>
      <c r="AD109" s="344">
        <f t="shared" si="45"/>
        <v>-10.5</v>
      </c>
      <c r="AE109" s="344">
        <v>3</v>
      </c>
      <c r="AF109" s="344">
        <v>10</v>
      </c>
      <c r="AG109" s="345">
        <v>2</v>
      </c>
      <c r="AH109" s="346">
        <v>7</v>
      </c>
      <c r="AI109" s="197">
        <v>10</v>
      </c>
      <c r="AJ109" s="197">
        <v>7</v>
      </c>
      <c r="AK109" s="197">
        <v>6</v>
      </c>
      <c r="AL109" s="197">
        <v>6</v>
      </c>
      <c r="AM109" s="197">
        <v>9</v>
      </c>
      <c r="AN109" s="197">
        <v>2</v>
      </c>
      <c r="AO109" s="197">
        <v>8</v>
      </c>
      <c r="AP109" s="347">
        <v>8</v>
      </c>
      <c r="AQ109" s="347">
        <v>4</v>
      </c>
      <c r="AR109" s="197">
        <v>8</v>
      </c>
      <c r="AS109" s="197">
        <v>5</v>
      </c>
      <c r="AT109" s="197">
        <v>6</v>
      </c>
      <c r="AU109" s="347">
        <v>7</v>
      </c>
      <c r="AV109" s="347">
        <v>5</v>
      </c>
      <c r="AW109" s="347">
        <v>10</v>
      </c>
      <c r="AX109" s="347">
        <v>12</v>
      </c>
      <c r="AY109" s="347">
        <v>5</v>
      </c>
      <c r="AZ109" s="347">
        <v>4</v>
      </c>
      <c r="BA109" s="347">
        <v>11</v>
      </c>
      <c r="BB109" s="347">
        <v>8</v>
      </c>
      <c r="BC109" s="347">
        <v>10</v>
      </c>
    </row>
    <row r="110" spans="1:55" s="381" customFormat="1" ht="17.649999999999999" customHeight="1">
      <c r="A110" s="343">
        <v>50</v>
      </c>
      <c r="B110" s="211" t="s">
        <v>2129</v>
      </c>
      <c r="C110" s="211" t="s">
        <v>2055</v>
      </c>
      <c r="D110" s="211" t="s">
        <v>2125</v>
      </c>
      <c r="E110" s="344">
        <v>116</v>
      </c>
      <c r="F110" s="344">
        <v>127.633333333333</v>
      </c>
      <c r="G110" s="209">
        <v>120.866666666667</v>
      </c>
      <c r="H110" s="344">
        <v>112.23333333333299</v>
      </c>
      <c r="I110" s="344">
        <v>107.333333333333</v>
      </c>
      <c r="J110" s="344">
        <v>105.23333333333299</v>
      </c>
      <c r="K110" s="344">
        <v>88.9</v>
      </c>
      <c r="L110" s="344">
        <f t="shared" si="44"/>
        <v>20.743333333333332</v>
      </c>
      <c r="M110" s="344">
        <v>54.6</v>
      </c>
      <c r="N110" s="344">
        <v>67.6666666666667</v>
      </c>
      <c r="O110" s="344">
        <v>85.633333333333297</v>
      </c>
      <c r="P110" s="344">
        <v>115.5</v>
      </c>
      <c r="Q110" s="344">
        <v>143.5</v>
      </c>
      <c r="R110" s="344">
        <v>148.86666666666699</v>
      </c>
      <c r="S110" s="344">
        <v>133</v>
      </c>
      <c r="T110" s="344">
        <v>124.366666666667</v>
      </c>
      <c r="U110" s="344">
        <v>123.2</v>
      </c>
      <c r="V110" s="344">
        <v>115.033333333333</v>
      </c>
      <c r="W110" s="344">
        <v>115.5</v>
      </c>
      <c r="X110" s="344">
        <v>122.033333333333</v>
      </c>
      <c r="Y110" s="344">
        <v>125.066666666667</v>
      </c>
      <c r="Z110" s="344">
        <v>122.033333333333</v>
      </c>
      <c r="AA110" s="344">
        <v>127.4</v>
      </c>
      <c r="AB110" s="344">
        <v>124.366666666667</v>
      </c>
      <c r="AC110" s="344">
        <v>118.3</v>
      </c>
      <c r="AD110" s="344">
        <f t="shared" si="45"/>
        <v>-6.0666666666670039</v>
      </c>
      <c r="AE110" s="344">
        <v>6</v>
      </c>
      <c r="AF110" s="344">
        <v>7</v>
      </c>
      <c r="AG110" s="345">
        <v>6</v>
      </c>
      <c r="AH110" s="346">
        <v>4</v>
      </c>
      <c r="AI110" s="197">
        <v>6</v>
      </c>
      <c r="AJ110" s="197">
        <v>2</v>
      </c>
      <c r="AK110" s="197">
        <v>6</v>
      </c>
      <c r="AL110" s="197">
        <v>6</v>
      </c>
      <c r="AM110" s="197">
        <v>5</v>
      </c>
      <c r="AN110" s="197">
        <v>8</v>
      </c>
      <c r="AO110" s="197">
        <v>6</v>
      </c>
      <c r="AP110" s="197">
        <v>8</v>
      </c>
      <c r="AQ110" s="197">
        <v>4</v>
      </c>
      <c r="AR110" s="197">
        <v>1</v>
      </c>
      <c r="AS110" s="197">
        <v>4</v>
      </c>
      <c r="AT110" s="197">
        <v>4</v>
      </c>
      <c r="AU110" s="347">
        <v>6</v>
      </c>
      <c r="AV110" s="347">
        <v>9</v>
      </c>
      <c r="AW110" s="347">
        <v>2</v>
      </c>
      <c r="AX110" s="347">
        <v>6</v>
      </c>
      <c r="AY110" s="347">
        <v>2</v>
      </c>
      <c r="AZ110" s="347">
        <v>5</v>
      </c>
      <c r="BA110" s="347">
        <v>7</v>
      </c>
      <c r="BB110" s="347">
        <v>6</v>
      </c>
      <c r="BC110" s="347">
        <v>2</v>
      </c>
    </row>
    <row r="111" spans="1:55" s="381" customFormat="1" ht="17.649999999999999" customHeight="1">
      <c r="A111" s="343">
        <v>51</v>
      </c>
      <c r="B111" s="211" t="s">
        <v>2130</v>
      </c>
      <c r="C111" s="211" t="s">
        <v>2055</v>
      </c>
      <c r="D111" s="211" t="s">
        <v>2125</v>
      </c>
      <c r="E111" s="344">
        <v>24</v>
      </c>
      <c r="F111" s="344">
        <v>24.966666666666701</v>
      </c>
      <c r="G111" s="209">
        <v>24.5</v>
      </c>
      <c r="H111" s="344">
        <v>21.933333333333302</v>
      </c>
      <c r="I111" s="344">
        <v>19.600000000000001</v>
      </c>
      <c r="J111" s="344">
        <v>17.5</v>
      </c>
      <c r="K111" s="344">
        <v>16.566666666666698</v>
      </c>
      <c r="L111" s="344">
        <f t="shared" si="44"/>
        <v>3.865555555555563</v>
      </c>
      <c r="M111" s="344">
        <v>11.2</v>
      </c>
      <c r="N111" s="344">
        <v>13.3</v>
      </c>
      <c r="O111" s="344">
        <v>14</v>
      </c>
      <c r="P111" s="344">
        <v>15.633333333333301</v>
      </c>
      <c r="Q111" s="344">
        <v>17.733333333333299</v>
      </c>
      <c r="R111" s="344">
        <v>18.6666666666667</v>
      </c>
      <c r="S111" s="344">
        <v>17.966666666666701</v>
      </c>
      <c r="T111" s="344">
        <v>18.6666666666667</v>
      </c>
      <c r="U111" s="344">
        <v>20.766666666666701</v>
      </c>
      <c r="V111" s="344">
        <v>18.899999999999999</v>
      </c>
      <c r="W111" s="344">
        <v>16.566666666666698</v>
      </c>
      <c r="X111" s="344">
        <v>24.033333333333299</v>
      </c>
      <c r="Y111" s="344">
        <v>27.533333333333299</v>
      </c>
      <c r="Z111" s="344">
        <v>30.3333333333333</v>
      </c>
      <c r="AA111" s="344">
        <v>32.9</v>
      </c>
      <c r="AB111" s="344">
        <v>30.566666666666698</v>
      </c>
      <c r="AC111" s="344">
        <v>24.266666666666701</v>
      </c>
      <c r="AD111" s="344">
        <f t="shared" si="45"/>
        <v>-6.2999999999999972</v>
      </c>
      <c r="AE111" s="344">
        <v>7</v>
      </c>
      <c r="AF111" s="344">
        <v>6</v>
      </c>
      <c r="AG111" s="345">
        <v>8</v>
      </c>
      <c r="AH111" s="346">
        <v>7</v>
      </c>
      <c r="AI111" s="197">
        <v>9</v>
      </c>
      <c r="AJ111" s="197">
        <v>3</v>
      </c>
      <c r="AK111" s="197">
        <v>5</v>
      </c>
      <c r="AL111" s="197">
        <v>5</v>
      </c>
      <c r="AM111" s="197">
        <v>4</v>
      </c>
      <c r="AN111" s="197">
        <v>7</v>
      </c>
      <c r="AO111" s="347">
        <v>4</v>
      </c>
      <c r="AP111" s="197">
        <v>7</v>
      </c>
      <c r="AQ111" s="197">
        <v>5</v>
      </c>
      <c r="AR111" s="197">
        <v>7</v>
      </c>
      <c r="AS111" s="197">
        <v>9</v>
      </c>
      <c r="AT111" s="197">
        <v>9</v>
      </c>
      <c r="AU111" s="347">
        <v>10</v>
      </c>
      <c r="AV111" s="347">
        <v>7</v>
      </c>
      <c r="AW111" s="347">
        <v>1</v>
      </c>
      <c r="AX111" s="347">
        <v>4</v>
      </c>
      <c r="AY111" s="347">
        <v>4</v>
      </c>
      <c r="AZ111" s="347">
        <v>8</v>
      </c>
      <c r="BA111" s="347">
        <v>7</v>
      </c>
      <c r="BB111" s="347">
        <v>4</v>
      </c>
      <c r="BC111" s="347">
        <v>3</v>
      </c>
    </row>
    <row r="112" spans="1:55" s="381" customFormat="1" ht="17.649999999999999" customHeight="1">
      <c r="A112" s="343">
        <v>52</v>
      </c>
      <c r="B112" s="211" t="s">
        <v>2131</v>
      </c>
      <c r="C112" s="211" t="s">
        <v>2055</v>
      </c>
      <c r="D112" s="211" t="s">
        <v>2125</v>
      </c>
      <c r="E112" s="344">
        <v>4</v>
      </c>
      <c r="F112" s="344">
        <v>5.1333333333333302</v>
      </c>
      <c r="G112" s="209">
        <v>4.6666666666666696</v>
      </c>
      <c r="H112" s="344">
        <v>4.2</v>
      </c>
      <c r="I112" s="344">
        <v>3.9666666666666699</v>
      </c>
      <c r="J112" s="344">
        <v>2.3333333333333299</v>
      </c>
      <c r="K112" s="344">
        <v>3.0333333333333301</v>
      </c>
      <c r="L112" s="344">
        <f t="shared" si="44"/>
        <v>0.70777777777777695</v>
      </c>
      <c r="M112" s="344">
        <v>2.56666666666667</v>
      </c>
      <c r="N112" s="344">
        <v>2.56666666666667</v>
      </c>
      <c r="O112" s="344">
        <v>1.86666666666667</v>
      </c>
      <c r="P112" s="344">
        <v>1.4</v>
      </c>
      <c r="Q112" s="344">
        <v>2.3333333333333299</v>
      </c>
      <c r="R112" s="344">
        <v>3.0333333333333301</v>
      </c>
      <c r="S112" s="344">
        <v>3.5</v>
      </c>
      <c r="T112" s="344">
        <v>4.6666666666666696</v>
      </c>
      <c r="U112" s="344">
        <v>4.43333333333333</v>
      </c>
      <c r="V112" s="344">
        <v>4.2</v>
      </c>
      <c r="W112" s="344">
        <v>3.2666666666666702</v>
      </c>
      <c r="X112" s="344">
        <v>3.0333333333333301</v>
      </c>
      <c r="Y112" s="344">
        <v>3.2666666666666702</v>
      </c>
      <c r="Z112" s="344">
        <v>4.2</v>
      </c>
      <c r="AA112" s="344">
        <v>6.7666666666666702</v>
      </c>
      <c r="AB112" s="344">
        <v>10.033333333333299</v>
      </c>
      <c r="AC112" s="344">
        <v>10.733333333333301</v>
      </c>
      <c r="AD112" s="344">
        <f t="shared" si="45"/>
        <v>0.70000000000000107</v>
      </c>
      <c r="AE112" s="344">
        <v>8</v>
      </c>
      <c r="AF112" s="344">
        <v>7</v>
      </c>
      <c r="AG112" s="345">
        <v>2</v>
      </c>
      <c r="AH112" s="346">
        <v>6</v>
      </c>
      <c r="AI112" s="197">
        <v>5</v>
      </c>
      <c r="AJ112" s="197">
        <v>3</v>
      </c>
      <c r="AK112" s="197">
        <v>5</v>
      </c>
      <c r="AL112" s="197">
        <v>5</v>
      </c>
      <c r="AM112" s="197">
        <v>9</v>
      </c>
      <c r="AN112" s="197">
        <v>3</v>
      </c>
      <c r="AO112" s="197">
        <v>6</v>
      </c>
      <c r="AP112" s="197">
        <v>5</v>
      </c>
      <c r="AQ112" s="197">
        <v>5</v>
      </c>
      <c r="AR112" s="197">
        <v>5</v>
      </c>
      <c r="AS112" s="197">
        <v>6</v>
      </c>
      <c r="AT112" s="197">
        <v>7</v>
      </c>
      <c r="AU112" s="347">
        <v>7</v>
      </c>
      <c r="AV112" s="347">
        <v>7</v>
      </c>
      <c r="AW112" s="347">
        <v>7</v>
      </c>
      <c r="AX112" s="347">
        <v>4</v>
      </c>
      <c r="AY112" s="347">
        <v>6</v>
      </c>
      <c r="AZ112" s="347">
        <v>3</v>
      </c>
      <c r="BA112" s="347">
        <v>5</v>
      </c>
      <c r="BB112" s="347">
        <v>4</v>
      </c>
      <c r="BC112" s="347">
        <v>6</v>
      </c>
    </row>
    <row r="113" spans="1:55" s="381" customFormat="1" ht="17.649999999999999" customHeight="1">
      <c r="A113" s="343">
        <v>53</v>
      </c>
      <c r="B113" s="211" t="s">
        <v>2132</v>
      </c>
      <c r="C113" s="211" t="s">
        <v>2055</v>
      </c>
      <c r="D113" s="211" t="s">
        <v>2125</v>
      </c>
      <c r="E113" s="344">
        <v>2</v>
      </c>
      <c r="F113" s="344">
        <v>2.56666666666667</v>
      </c>
      <c r="G113" s="209">
        <v>4.2</v>
      </c>
      <c r="H113" s="344">
        <v>4.6666666666666696</v>
      </c>
      <c r="I113" s="344">
        <v>6.3</v>
      </c>
      <c r="J113" s="344">
        <v>7.7</v>
      </c>
      <c r="K113" s="344">
        <v>7</v>
      </c>
      <c r="L113" s="344">
        <f t="shared" si="44"/>
        <v>1.6333333333333333</v>
      </c>
      <c r="M113" s="344">
        <v>4.2</v>
      </c>
      <c r="N113" s="344">
        <v>2.56666666666667</v>
      </c>
      <c r="O113" s="344">
        <v>2.3333333333333299</v>
      </c>
      <c r="P113" s="344">
        <v>3.0333333333333301</v>
      </c>
      <c r="Q113" s="344">
        <v>5.3666666666666698</v>
      </c>
      <c r="R113" s="344">
        <v>5.8333333333333304</v>
      </c>
      <c r="S113" s="344">
        <v>6.3</v>
      </c>
      <c r="T113" s="344">
        <v>5.3666666666666698</v>
      </c>
      <c r="U113" s="344">
        <v>7.93333333333333</v>
      </c>
      <c r="V113" s="344">
        <v>6.7666666666666702</v>
      </c>
      <c r="W113" s="344">
        <v>6.3</v>
      </c>
      <c r="X113" s="344">
        <v>6.3</v>
      </c>
      <c r="Y113" s="344">
        <v>5.6</v>
      </c>
      <c r="Z113" s="344">
        <v>2.56666666666667</v>
      </c>
      <c r="AA113" s="344">
        <v>2.1</v>
      </c>
      <c r="AB113" s="344">
        <v>3.0333333333333301</v>
      </c>
      <c r="AC113" s="344">
        <v>2.1</v>
      </c>
      <c r="AD113" s="344">
        <f t="shared" si="45"/>
        <v>-0.93333333333333002</v>
      </c>
      <c r="AE113" s="344">
        <v>1</v>
      </c>
      <c r="AF113" s="344">
        <v>4</v>
      </c>
      <c r="AG113" s="345">
        <v>2</v>
      </c>
      <c r="AH113" s="346">
        <v>2</v>
      </c>
      <c r="AI113" s="197">
        <v>1</v>
      </c>
      <c r="AJ113" s="197">
        <v>1</v>
      </c>
      <c r="AK113" s="197">
        <v>1</v>
      </c>
      <c r="AL113" s="197">
        <v>1</v>
      </c>
      <c r="AM113" s="197">
        <v>1</v>
      </c>
      <c r="AN113" s="197">
        <v>1</v>
      </c>
      <c r="AO113" s="197">
        <v>2</v>
      </c>
      <c r="AP113" s="347">
        <v>2</v>
      </c>
      <c r="AQ113" s="197">
        <v>2</v>
      </c>
      <c r="AR113" s="197">
        <v>2</v>
      </c>
      <c r="AS113" s="197">
        <v>9</v>
      </c>
      <c r="AT113" s="197">
        <v>10</v>
      </c>
      <c r="AU113" s="347">
        <v>3</v>
      </c>
      <c r="AV113" s="347">
        <v>1</v>
      </c>
      <c r="AW113" s="347">
        <v>1</v>
      </c>
      <c r="AX113" s="347">
        <v>1</v>
      </c>
      <c r="AY113" s="347">
        <v>1</v>
      </c>
      <c r="AZ113" s="347">
        <v>1</v>
      </c>
      <c r="BA113" s="347">
        <v>9</v>
      </c>
      <c r="BB113" s="347">
        <v>1</v>
      </c>
      <c r="BC113" s="347">
        <v>1</v>
      </c>
    </row>
    <row r="114" spans="1:55" s="381" customFormat="1" ht="17.649999999999999" customHeight="1">
      <c r="A114" s="343">
        <v>54</v>
      </c>
      <c r="B114" s="211" t="s">
        <v>2133</v>
      </c>
      <c r="C114" s="211" t="s">
        <v>2055</v>
      </c>
      <c r="D114" s="211" t="s">
        <v>2125</v>
      </c>
      <c r="E114" s="344">
        <v>4</v>
      </c>
      <c r="F114" s="344">
        <v>5.3666666666666698</v>
      </c>
      <c r="G114" s="209">
        <v>4.43333333333333</v>
      </c>
      <c r="H114" s="344">
        <v>4.43333333333333</v>
      </c>
      <c r="I114" s="344">
        <v>5.1333333333333302</v>
      </c>
      <c r="J114" s="344">
        <v>4.43333333333333</v>
      </c>
      <c r="K114" s="344">
        <v>3.9666666666666699</v>
      </c>
      <c r="L114" s="344">
        <f t="shared" si="44"/>
        <v>0.92555555555555624</v>
      </c>
      <c r="M114" s="344">
        <v>2.3333333333333299</v>
      </c>
      <c r="N114" s="344">
        <v>3.9666666666666699</v>
      </c>
      <c r="O114" s="344">
        <v>3.5</v>
      </c>
      <c r="P114" s="344">
        <v>4.2</v>
      </c>
      <c r="Q114" s="344">
        <v>5.1333333333333302</v>
      </c>
      <c r="R114" s="344">
        <v>5.1333333333333302</v>
      </c>
      <c r="S114" s="344">
        <v>3.0333333333333301</v>
      </c>
      <c r="T114" s="344">
        <v>3.5</v>
      </c>
      <c r="U114" s="344">
        <v>4.2</v>
      </c>
      <c r="V114" s="344">
        <v>3.9666666666666699</v>
      </c>
      <c r="W114" s="344">
        <v>3.9666666666666699</v>
      </c>
      <c r="X114" s="344">
        <v>5.1333333333333302</v>
      </c>
      <c r="Y114" s="344">
        <v>5.1333333333333302</v>
      </c>
      <c r="Z114" s="344">
        <v>4.2</v>
      </c>
      <c r="AA114" s="344">
        <v>5.6</v>
      </c>
      <c r="AB114" s="344">
        <v>5.1333333333333302</v>
      </c>
      <c r="AC114" s="344">
        <v>5.3666666666666698</v>
      </c>
      <c r="AD114" s="344">
        <f t="shared" si="45"/>
        <v>0.23333333333333961</v>
      </c>
      <c r="AE114" s="344">
        <v>3</v>
      </c>
      <c r="AF114" s="344">
        <v>5</v>
      </c>
      <c r="AG114" s="345">
        <v>3</v>
      </c>
      <c r="AH114" s="346">
        <v>1</v>
      </c>
      <c r="AI114" s="197">
        <v>5</v>
      </c>
      <c r="AJ114" s="197">
        <v>3</v>
      </c>
      <c r="AK114" s="197">
        <v>2</v>
      </c>
      <c r="AL114" s="197">
        <v>2</v>
      </c>
      <c r="AM114" s="197">
        <v>1</v>
      </c>
      <c r="AN114" s="197">
        <v>2</v>
      </c>
      <c r="AO114" s="197">
        <v>3</v>
      </c>
      <c r="AP114" s="197">
        <v>1</v>
      </c>
      <c r="AQ114" s="197">
        <v>3</v>
      </c>
      <c r="AR114" s="347">
        <v>14</v>
      </c>
      <c r="AS114" s="197">
        <v>2</v>
      </c>
      <c r="AT114" s="197">
        <v>3</v>
      </c>
      <c r="AU114" s="347">
        <v>3</v>
      </c>
      <c r="AV114" s="347">
        <v>2</v>
      </c>
      <c r="AW114" s="347">
        <v>1</v>
      </c>
      <c r="AX114" s="347">
        <v>1</v>
      </c>
      <c r="AY114" s="347">
        <v>8</v>
      </c>
      <c r="AZ114" s="347">
        <v>8</v>
      </c>
      <c r="BA114" s="347">
        <v>8</v>
      </c>
      <c r="BB114" s="347">
        <v>1</v>
      </c>
      <c r="BC114" s="347">
        <v>2</v>
      </c>
    </row>
    <row r="115" spans="1:55" s="381" customFormat="1" ht="17.649999999999999" customHeight="1">
      <c r="A115" s="343">
        <v>55</v>
      </c>
      <c r="B115" s="211" t="s">
        <v>2134</v>
      </c>
      <c r="C115" s="211" t="s">
        <v>2055</v>
      </c>
      <c r="D115" s="211" t="s">
        <v>2125</v>
      </c>
      <c r="E115" s="344">
        <v>2</v>
      </c>
      <c r="F115" s="344">
        <v>3.0333333333333301</v>
      </c>
      <c r="G115" s="209">
        <v>3.5</v>
      </c>
      <c r="H115" s="344">
        <v>2.56666666666667</v>
      </c>
      <c r="I115" s="344">
        <v>3.2666666666666702</v>
      </c>
      <c r="J115" s="344">
        <v>3.0333333333333301</v>
      </c>
      <c r="K115" s="344">
        <v>2.56666666666667</v>
      </c>
      <c r="L115" s="344">
        <f t="shared" si="44"/>
        <v>0.59888888888888969</v>
      </c>
      <c r="M115" s="344">
        <v>2.1</v>
      </c>
      <c r="N115" s="344">
        <v>1.86666666666667</v>
      </c>
      <c r="O115" s="344">
        <v>1.86666666666667</v>
      </c>
      <c r="P115" s="344">
        <v>2.3333333333333299</v>
      </c>
      <c r="Q115" s="344">
        <v>4.2</v>
      </c>
      <c r="R115" s="344">
        <v>4.6666666666666696</v>
      </c>
      <c r="S115" s="344">
        <v>5.3666666666666698</v>
      </c>
      <c r="T115" s="344">
        <v>5.3666666666666698</v>
      </c>
      <c r="U115" s="344">
        <v>4.6666666666666696</v>
      </c>
      <c r="V115" s="344">
        <v>3.5</v>
      </c>
      <c r="W115" s="344">
        <v>3.5</v>
      </c>
      <c r="X115" s="344">
        <v>3.9666666666666699</v>
      </c>
      <c r="Y115" s="344">
        <v>4.43333333333333</v>
      </c>
      <c r="Z115" s="344">
        <v>3.2666666666666702</v>
      </c>
      <c r="AA115" s="344">
        <v>3.5</v>
      </c>
      <c r="AB115" s="344">
        <v>3.2666666666666702</v>
      </c>
      <c r="AC115" s="344">
        <v>2.1</v>
      </c>
      <c r="AD115" s="344">
        <f t="shared" si="45"/>
        <v>-1.1666666666666701</v>
      </c>
      <c r="AE115" s="344">
        <v>2</v>
      </c>
      <c r="AF115" s="344">
        <v>2</v>
      </c>
      <c r="AG115" s="345">
        <v>4</v>
      </c>
      <c r="AH115" s="346">
        <v>2</v>
      </c>
      <c r="AI115" s="197">
        <v>9</v>
      </c>
      <c r="AJ115" s="197">
        <v>2</v>
      </c>
      <c r="AK115" s="197">
        <v>2</v>
      </c>
      <c r="AL115" s="197">
        <v>2</v>
      </c>
      <c r="AM115" s="197">
        <v>2</v>
      </c>
      <c r="AN115" s="197">
        <v>2</v>
      </c>
      <c r="AO115" s="197">
        <v>3</v>
      </c>
      <c r="AP115" s="347">
        <v>3</v>
      </c>
      <c r="AQ115" s="197">
        <v>3</v>
      </c>
      <c r="AR115" s="197">
        <v>3</v>
      </c>
      <c r="AS115" s="197">
        <v>1</v>
      </c>
      <c r="AT115" s="197">
        <v>4</v>
      </c>
      <c r="AU115" s="347">
        <v>10</v>
      </c>
      <c r="AV115" s="347">
        <v>1</v>
      </c>
      <c r="AW115" s="347">
        <v>2</v>
      </c>
      <c r="AX115" s="347">
        <v>4</v>
      </c>
      <c r="AY115" s="347">
        <v>4</v>
      </c>
      <c r="AZ115" s="347">
        <v>2</v>
      </c>
      <c r="BA115" s="347">
        <v>2</v>
      </c>
      <c r="BB115" s="347">
        <v>2</v>
      </c>
      <c r="BC115" s="347">
        <v>2</v>
      </c>
    </row>
    <row r="116" spans="1:55" s="381" customFormat="1" ht="17.649999999999999" customHeight="1">
      <c r="A116" s="343">
        <v>56</v>
      </c>
      <c r="B116" s="211" t="s">
        <v>2135</v>
      </c>
      <c r="C116" s="211" t="s">
        <v>2055</v>
      </c>
      <c r="D116" s="211" t="s">
        <v>2125</v>
      </c>
      <c r="E116" s="344">
        <v>2</v>
      </c>
      <c r="F116" s="344">
        <v>3.0333333333333301</v>
      </c>
      <c r="G116" s="209">
        <v>3.9666666666666699</v>
      </c>
      <c r="H116" s="344">
        <v>4.2</v>
      </c>
      <c r="I116" s="344">
        <v>5.1333333333333302</v>
      </c>
      <c r="J116" s="344">
        <v>5.1333333333333302</v>
      </c>
      <c r="K116" s="344">
        <v>4.2</v>
      </c>
      <c r="L116" s="344">
        <f t="shared" si="44"/>
        <v>0.98000000000000009</v>
      </c>
      <c r="M116" s="344">
        <v>4.43333333333333</v>
      </c>
      <c r="N116" s="344">
        <v>6.5333333333333297</v>
      </c>
      <c r="O116" s="344">
        <v>5.8333333333333304</v>
      </c>
      <c r="P116" s="344">
        <v>6.5333333333333297</v>
      </c>
      <c r="Q116" s="344">
        <v>7.7</v>
      </c>
      <c r="R116" s="344">
        <v>8.6333333333333293</v>
      </c>
      <c r="S116" s="344">
        <v>9.56666666666667</v>
      </c>
      <c r="T116" s="344">
        <v>8.8666666666666707</v>
      </c>
      <c r="U116" s="344">
        <v>7</v>
      </c>
      <c r="V116" s="344">
        <v>5.1333333333333302</v>
      </c>
      <c r="W116" s="344">
        <v>3.9666666666666699</v>
      </c>
      <c r="X116" s="344">
        <v>3.9666666666666699</v>
      </c>
      <c r="Y116" s="344">
        <v>5.3666666666666698</v>
      </c>
      <c r="Z116" s="344">
        <v>6.7666666666666702</v>
      </c>
      <c r="AA116" s="344">
        <v>7.7</v>
      </c>
      <c r="AB116" s="344">
        <v>7.7</v>
      </c>
      <c r="AC116" s="344">
        <v>6.3</v>
      </c>
      <c r="AD116" s="344">
        <f t="shared" si="45"/>
        <v>-1.4000000000000004</v>
      </c>
      <c r="AE116" s="344">
        <v>4</v>
      </c>
      <c r="AF116" s="344">
        <v>6</v>
      </c>
      <c r="AG116" s="344">
        <v>6</v>
      </c>
      <c r="AH116" s="346">
        <v>12</v>
      </c>
      <c r="AI116" s="197">
        <v>4</v>
      </c>
      <c r="AJ116" s="197">
        <v>7</v>
      </c>
      <c r="AK116" s="197">
        <v>7</v>
      </c>
      <c r="AL116" s="197">
        <v>7</v>
      </c>
      <c r="AM116" s="197">
        <v>7</v>
      </c>
      <c r="AN116" s="197">
        <v>7</v>
      </c>
      <c r="AO116" s="197">
        <v>1</v>
      </c>
      <c r="AP116" s="347">
        <v>10</v>
      </c>
      <c r="AQ116" s="197">
        <v>3</v>
      </c>
      <c r="AR116" s="197">
        <v>51</v>
      </c>
      <c r="AS116" s="197">
        <v>2</v>
      </c>
      <c r="AT116" s="197">
        <v>3</v>
      </c>
      <c r="AU116" s="347">
        <v>5</v>
      </c>
      <c r="AV116" s="347">
        <v>2</v>
      </c>
      <c r="AW116" s="347">
        <v>22</v>
      </c>
      <c r="AX116" s="347">
        <v>12</v>
      </c>
      <c r="AY116" s="347">
        <v>10</v>
      </c>
      <c r="AZ116" s="347">
        <v>2</v>
      </c>
      <c r="BA116" s="347">
        <v>5</v>
      </c>
      <c r="BB116" s="347">
        <v>2</v>
      </c>
      <c r="BC116" s="347">
        <v>3</v>
      </c>
    </row>
    <row r="117" spans="1:55" s="381" customFormat="1" ht="17.649999999999999" customHeight="1">
      <c r="A117" s="343">
        <v>57</v>
      </c>
      <c r="B117" s="211" t="s">
        <v>2136</v>
      </c>
      <c r="C117" s="211" t="s">
        <v>2055</v>
      </c>
      <c r="D117" s="211" t="s">
        <v>2125</v>
      </c>
      <c r="E117" s="344">
        <v>3</v>
      </c>
      <c r="F117" s="344">
        <v>2.3333333333333299</v>
      </c>
      <c r="G117" s="209">
        <v>2.3333333333333299</v>
      </c>
      <c r="H117" s="344">
        <v>2.56666666666667</v>
      </c>
      <c r="I117" s="344">
        <v>4.2</v>
      </c>
      <c r="J117" s="344">
        <v>4.2</v>
      </c>
      <c r="K117" s="344">
        <v>4.43333333333333</v>
      </c>
      <c r="L117" s="344">
        <f t="shared" si="44"/>
        <v>1.0344444444444436</v>
      </c>
      <c r="M117" s="344">
        <v>2.56666666666667</v>
      </c>
      <c r="N117" s="344">
        <v>2.56666666666667</v>
      </c>
      <c r="O117" s="344">
        <v>2.56666666666667</v>
      </c>
      <c r="P117" s="344">
        <v>3.0333333333333301</v>
      </c>
      <c r="Q117" s="344">
        <v>4.43333333333333</v>
      </c>
      <c r="R117" s="344">
        <v>5.6</v>
      </c>
      <c r="S117" s="344">
        <v>5.8333333333333304</v>
      </c>
      <c r="T117" s="344">
        <v>6.7666666666666702</v>
      </c>
      <c r="U117" s="344">
        <v>5.8333333333333304</v>
      </c>
      <c r="V117" s="344">
        <v>3.5</v>
      </c>
      <c r="W117" s="344">
        <v>3.2666666666666702</v>
      </c>
      <c r="X117" s="344">
        <v>2.3333333333333299</v>
      </c>
      <c r="Y117" s="344">
        <v>1.86666666666667</v>
      </c>
      <c r="Z117" s="344">
        <v>2.1</v>
      </c>
      <c r="AA117" s="344">
        <v>2.3333333333333299</v>
      </c>
      <c r="AB117" s="344">
        <v>4.2</v>
      </c>
      <c r="AC117" s="344">
        <v>5.1333333333333302</v>
      </c>
      <c r="AD117" s="344">
        <f t="shared" si="45"/>
        <v>0.93333333333333002</v>
      </c>
      <c r="AE117" s="344">
        <v>1</v>
      </c>
      <c r="AF117" s="344">
        <v>2</v>
      </c>
      <c r="AG117" s="345">
        <v>8</v>
      </c>
      <c r="AH117" s="346">
        <v>3</v>
      </c>
      <c r="AI117" s="197">
        <v>5</v>
      </c>
      <c r="AJ117" s="197">
        <v>3</v>
      </c>
      <c r="AK117" s="197">
        <v>2</v>
      </c>
      <c r="AL117" s="197">
        <v>2</v>
      </c>
      <c r="AM117" s="197">
        <v>1</v>
      </c>
      <c r="AN117" s="197">
        <v>2</v>
      </c>
      <c r="AO117" s="197">
        <v>1</v>
      </c>
      <c r="AP117" s="197">
        <v>2</v>
      </c>
      <c r="AQ117" s="197">
        <v>1</v>
      </c>
      <c r="AR117" s="197">
        <v>6</v>
      </c>
      <c r="AS117" s="197">
        <v>1</v>
      </c>
      <c r="AT117" s="197">
        <v>1</v>
      </c>
      <c r="AU117" s="347">
        <v>4</v>
      </c>
      <c r="AV117" s="347">
        <v>2</v>
      </c>
      <c r="AW117" s="347">
        <v>2</v>
      </c>
      <c r="AX117" s="347">
        <v>2</v>
      </c>
      <c r="AY117" s="347">
        <v>2</v>
      </c>
      <c r="AZ117" s="347">
        <v>7</v>
      </c>
      <c r="BA117" s="347">
        <v>1</v>
      </c>
      <c r="BB117" s="347">
        <v>1</v>
      </c>
      <c r="BC117" s="347">
        <v>1</v>
      </c>
    </row>
    <row r="118" spans="1:55" s="381" customFormat="1" ht="17.649999999999999" customHeight="1">
      <c r="A118" s="343">
        <v>58</v>
      </c>
      <c r="B118" s="211" t="s">
        <v>2137</v>
      </c>
      <c r="C118" s="211" t="s">
        <v>2055</v>
      </c>
      <c r="D118" s="211" t="s">
        <v>2125</v>
      </c>
      <c r="E118" s="344">
        <v>106</v>
      </c>
      <c r="F118" s="344">
        <v>103.833333333333</v>
      </c>
      <c r="G118" s="209">
        <v>90.766666666666694</v>
      </c>
      <c r="H118" s="344">
        <v>74.900000000000006</v>
      </c>
      <c r="I118" s="344">
        <v>63.7</v>
      </c>
      <c r="J118" s="344">
        <v>52.5</v>
      </c>
      <c r="K118" s="344">
        <v>45.033333333333303</v>
      </c>
      <c r="L118" s="344">
        <f t="shared" si="44"/>
        <v>10.507777777777772</v>
      </c>
      <c r="M118" s="344">
        <v>31.733333333333299</v>
      </c>
      <c r="N118" s="344">
        <v>61.133333333333297</v>
      </c>
      <c r="O118" s="344">
        <v>70.233333333333306</v>
      </c>
      <c r="P118" s="344">
        <v>84.933333333333294</v>
      </c>
      <c r="Q118" s="344">
        <v>97.533333333333303</v>
      </c>
      <c r="R118" s="344">
        <v>78.866666666666703</v>
      </c>
      <c r="S118" s="344">
        <v>66.033333333333303</v>
      </c>
      <c r="T118" s="344">
        <v>58.3333333333333</v>
      </c>
      <c r="U118" s="344">
        <v>55.066666666666698</v>
      </c>
      <c r="V118" s="344">
        <v>54.8333333333333</v>
      </c>
      <c r="W118" s="344">
        <v>60.433333333333302</v>
      </c>
      <c r="X118" s="344">
        <v>66.033333333333303</v>
      </c>
      <c r="Y118" s="344">
        <v>66.733333333333306</v>
      </c>
      <c r="Z118" s="344">
        <v>70</v>
      </c>
      <c r="AA118" s="344">
        <v>105.23333333333299</v>
      </c>
      <c r="AB118" s="344">
        <v>134.63333333333301</v>
      </c>
      <c r="AC118" s="344">
        <v>149.333333333333</v>
      </c>
      <c r="AD118" s="344">
        <f t="shared" si="45"/>
        <v>14.699999999999989</v>
      </c>
      <c r="AE118" s="344">
        <v>9</v>
      </c>
      <c r="AF118" s="344">
        <v>13</v>
      </c>
      <c r="AG118" s="345">
        <v>10</v>
      </c>
      <c r="AH118" s="346">
        <v>8</v>
      </c>
      <c r="AI118" s="197">
        <v>1</v>
      </c>
      <c r="AJ118" s="197">
        <v>6</v>
      </c>
      <c r="AK118" s="197">
        <v>8</v>
      </c>
      <c r="AL118" s="197">
        <v>8</v>
      </c>
      <c r="AM118" s="197">
        <v>12</v>
      </c>
      <c r="AN118" s="197">
        <v>8</v>
      </c>
      <c r="AO118" s="197">
        <v>10</v>
      </c>
      <c r="AP118" s="347">
        <v>11</v>
      </c>
      <c r="AQ118" s="197">
        <v>6</v>
      </c>
      <c r="AR118" s="197">
        <v>8</v>
      </c>
      <c r="AS118" s="197">
        <v>8</v>
      </c>
      <c r="AT118" s="197">
        <v>8</v>
      </c>
      <c r="AU118" s="347">
        <v>7</v>
      </c>
      <c r="AV118" s="347">
        <v>10</v>
      </c>
      <c r="AW118" s="347">
        <v>1</v>
      </c>
      <c r="AX118" s="347">
        <v>9</v>
      </c>
      <c r="AY118" s="347">
        <v>10</v>
      </c>
      <c r="AZ118" s="347">
        <v>11</v>
      </c>
      <c r="BA118" s="347">
        <v>23</v>
      </c>
      <c r="BB118" s="197">
        <v>51</v>
      </c>
      <c r="BC118" s="347">
        <v>13</v>
      </c>
    </row>
    <row r="119" spans="1:55" s="381" customFormat="1" ht="17.649999999999999" customHeight="1">
      <c r="A119" s="343">
        <v>59</v>
      </c>
      <c r="B119" s="211" t="s">
        <v>2138</v>
      </c>
      <c r="C119" s="211" t="s">
        <v>2055</v>
      </c>
      <c r="D119" s="211" t="s">
        <v>2125</v>
      </c>
      <c r="E119" s="344">
        <v>4</v>
      </c>
      <c r="F119" s="344">
        <v>5.6</v>
      </c>
      <c r="G119" s="209">
        <v>7</v>
      </c>
      <c r="H119" s="344">
        <v>6.5333333333333297</v>
      </c>
      <c r="I119" s="344">
        <v>5.6</v>
      </c>
      <c r="J119" s="344">
        <v>5.6</v>
      </c>
      <c r="K119" s="344">
        <v>3.5</v>
      </c>
      <c r="L119" s="344">
        <f t="shared" si="44"/>
        <v>0.81666666666666665</v>
      </c>
      <c r="M119" s="344">
        <v>3.5</v>
      </c>
      <c r="N119" s="344">
        <v>3.2666666666666702</v>
      </c>
      <c r="O119" s="344">
        <v>3.2666666666666702</v>
      </c>
      <c r="P119" s="344">
        <v>3.5</v>
      </c>
      <c r="Q119" s="344">
        <v>4.43333333333333</v>
      </c>
      <c r="R119" s="344">
        <v>4.43333333333333</v>
      </c>
      <c r="S119" s="344">
        <v>5.3666666666666698</v>
      </c>
      <c r="T119" s="344">
        <v>4.2</v>
      </c>
      <c r="U119" s="344">
        <v>5.6</v>
      </c>
      <c r="V119" s="344">
        <v>5.1333333333333302</v>
      </c>
      <c r="W119" s="344">
        <v>5.6</v>
      </c>
      <c r="X119" s="344">
        <v>6.7666666666666702</v>
      </c>
      <c r="Y119" s="344">
        <v>7</v>
      </c>
      <c r="Z119" s="344">
        <v>7.4666666666666703</v>
      </c>
      <c r="AA119" s="344">
        <v>5.6</v>
      </c>
      <c r="AB119" s="344">
        <v>5.6</v>
      </c>
      <c r="AC119" s="344">
        <v>4.2</v>
      </c>
      <c r="AD119" s="344">
        <f t="shared" si="45"/>
        <v>-1.3999999999999995</v>
      </c>
      <c r="AE119" s="344">
        <v>5</v>
      </c>
      <c r="AF119" s="344">
        <v>6</v>
      </c>
      <c r="AG119" s="345">
        <v>8</v>
      </c>
      <c r="AH119" s="346">
        <v>8</v>
      </c>
      <c r="AI119" s="197">
        <v>10</v>
      </c>
      <c r="AJ119" s="197">
        <v>2</v>
      </c>
      <c r="AK119" s="197">
        <v>5</v>
      </c>
      <c r="AL119" s="197">
        <v>5</v>
      </c>
      <c r="AM119" s="197">
        <v>9</v>
      </c>
      <c r="AN119" s="197">
        <v>7</v>
      </c>
      <c r="AO119" s="197">
        <v>5</v>
      </c>
      <c r="AP119" s="197">
        <v>8</v>
      </c>
      <c r="AQ119" s="197">
        <v>4</v>
      </c>
      <c r="AR119" s="197">
        <v>6</v>
      </c>
      <c r="AS119" s="347">
        <v>5</v>
      </c>
      <c r="AT119" s="197">
        <v>8</v>
      </c>
      <c r="AU119" s="347">
        <v>9</v>
      </c>
      <c r="AV119" s="347">
        <v>5</v>
      </c>
      <c r="AW119" s="347">
        <v>9</v>
      </c>
      <c r="AX119" s="347">
        <v>1</v>
      </c>
      <c r="AY119" s="347">
        <v>1</v>
      </c>
      <c r="AZ119" s="347">
        <v>5</v>
      </c>
      <c r="BA119" s="347">
        <v>7</v>
      </c>
      <c r="BB119" s="347">
        <v>10</v>
      </c>
      <c r="BC119" s="347">
        <v>4</v>
      </c>
    </row>
    <row r="120" spans="1:55" s="381" customFormat="1" ht="17.649999999999999" customHeight="1">
      <c r="A120" s="343">
        <v>60</v>
      </c>
      <c r="B120" s="211" t="s">
        <v>2139</v>
      </c>
      <c r="C120" s="211" t="s">
        <v>2055</v>
      </c>
      <c r="D120" s="211" t="s">
        <v>2125</v>
      </c>
      <c r="E120" s="344">
        <v>1</v>
      </c>
      <c r="F120" s="344">
        <v>2.3333333333333299</v>
      </c>
      <c r="G120" s="209">
        <v>2.56666666666667</v>
      </c>
      <c r="H120" s="344">
        <v>2.56666666666667</v>
      </c>
      <c r="I120" s="344">
        <v>4.2</v>
      </c>
      <c r="J120" s="344">
        <v>4.2</v>
      </c>
      <c r="K120" s="344">
        <v>3.2666666666666702</v>
      </c>
      <c r="L120" s="344">
        <f t="shared" si="44"/>
        <v>0.76222222222222302</v>
      </c>
      <c r="M120" s="344">
        <v>3.5</v>
      </c>
      <c r="N120" s="344">
        <v>3.2666666666666702</v>
      </c>
      <c r="O120" s="344">
        <v>3.5</v>
      </c>
      <c r="P120" s="344">
        <v>3.9666666666666699</v>
      </c>
      <c r="Q120" s="344">
        <v>6.3</v>
      </c>
      <c r="R120" s="344">
        <v>6.3</v>
      </c>
      <c r="S120" s="344">
        <v>5.8333333333333304</v>
      </c>
      <c r="T120" s="344">
        <v>5.1333333333333302</v>
      </c>
      <c r="U120" s="344">
        <v>3.0333333333333301</v>
      </c>
      <c r="V120" s="344">
        <v>1.86666666666667</v>
      </c>
      <c r="W120" s="344">
        <v>1.4</v>
      </c>
      <c r="X120" s="344">
        <v>1.4</v>
      </c>
      <c r="Y120" s="344">
        <v>2.1</v>
      </c>
      <c r="Z120" s="344">
        <v>1.86666666666667</v>
      </c>
      <c r="AA120" s="344">
        <v>2.3333333333333299</v>
      </c>
      <c r="AB120" s="344">
        <v>2.3333333333333299</v>
      </c>
      <c r="AC120" s="344">
        <v>1.86666666666667</v>
      </c>
      <c r="AD120" s="344">
        <f t="shared" si="45"/>
        <v>-0.4666666666666599</v>
      </c>
      <c r="AE120" s="344">
        <v>4</v>
      </c>
      <c r="AF120" s="344">
        <v>4</v>
      </c>
      <c r="AG120" s="345">
        <v>10</v>
      </c>
      <c r="AH120" s="346">
        <v>2</v>
      </c>
      <c r="AI120" s="197">
        <v>2</v>
      </c>
      <c r="AJ120" s="197">
        <v>10</v>
      </c>
      <c r="AK120" s="197">
        <v>2</v>
      </c>
      <c r="AL120" s="197">
        <v>2</v>
      </c>
      <c r="AM120" s="197">
        <v>7</v>
      </c>
      <c r="AN120" s="197">
        <v>3</v>
      </c>
      <c r="AO120" s="197">
        <v>4</v>
      </c>
      <c r="AP120" s="197">
        <v>3</v>
      </c>
      <c r="AQ120" s="197">
        <v>3</v>
      </c>
      <c r="AR120" s="197">
        <v>2</v>
      </c>
      <c r="AS120" s="197">
        <v>2</v>
      </c>
      <c r="AT120" s="197">
        <v>2</v>
      </c>
      <c r="AU120" s="347">
        <v>2</v>
      </c>
      <c r="AV120" s="347">
        <v>5</v>
      </c>
      <c r="AW120" s="347">
        <v>9</v>
      </c>
      <c r="AX120" s="347">
        <v>1</v>
      </c>
      <c r="AY120" s="347">
        <v>2</v>
      </c>
      <c r="AZ120" s="347">
        <v>8</v>
      </c>
      <c r="BA120" s="347">
        <v>8</v>
      </c>
      <c r="BB120" s="347">
        <v>3</v>
      </c>
      <c r="BC120" s="347">
        <v>6</v>
      </c>
    </row>
    <row r="121" spans="1:55" s="381" customFormat="1" ht="17.649999999999999" customHeight="1">
      <c r="A121" s="343">
        <v>61</v>
      </c>
      <c r="B121" s="211" t="s">
        <v>2140</v>
      </c>
      <c r="C121" s="211" t="s">
        <v>2055</v>
      </c>
      <c r="D121" s="211" t="s">
        <v>2125</v>
      </c>
      <c r="E121" s="344">
        <v>3</v>
      </c>
      <c r="F121" s="344">
        <v>3.5</v>
      </c>
      <c r="G121" s="209">
        <v>3.2666666666666702</v>
      </c>
      <c r="H121" s="344">
        <v>3.2666666666666702</v>
      </c>
      <c r="I121" s="344">
        <v>3.0333333333333301</v>
      </c>
      <c r="J121" s="344">
        <v>2.56666666666667</v>
      </c>
      <c r="K121" s="344">
        <v>2.3333333333333299</v>
      </c>
      <c r="L121" s="344">
        <f t="shared" si="44"/>
        <v>0.54444444444444362</v>
      </c>
      <c r="M121" s="344">
        <v>2.56666666666667</v>
      </c>
      <c r="N121" s="344">
        <v>3.0333333333333301</v>
      </c>
      <c r="O121" s="344">
        <v>3.0333333333333301</v>
      </c>
      <c r="P121" s="344">
        <v>3.0333333333333301</v>
      </c>
      <c r="Q121" s="344">
        <v>3.5</v>
      </c>
      <c r="R121" s="344">
        <v>4.2</v>
      </c>
      <c r="S121" s="344">
        <v>3.9666666666666699</v>
      </c>
      <c r="T121" s="344">
        <v>3.9666666666666699</v>
      </c>
      <c r="U121" s="344">
        <v>5.1333333333333302</v>
      </c>
      <c r="V121" s="344">
        <v>4.2</v>
      </c>
      <c r="W121" s="344">
        <v>4.6666666666666696</v>
      </c>
      <c r="X121" s="344">
        <v>5.1333333333333302</v>
      </c>
      <c r="Y121" s="344">
        <v>3.9666666666666699</v>
      </c>
      <c r="Z121" s="344">
        <v>3.0333333333333301</v>
      </c>
      <c r="AA121" s="344">
        <v>3.0333333333333301</v>
      </c>
      <c r="AB121" s="344">
        <v>4.2</v>
      </c>
      <c r="AC121" s="344">
        <v>3.0333333333333301</v>
      </c>
      <c r="AD121" s="344">
        <f t="shared" si="45"/>
        <v>-1.1666666666666701</v>
      </c>
      <c r="AE121" s="344">
        <v>7</v>
      </c>
      <c r="AF121" s="344">
        <v>4</v>
      </c>
      <c r="AG121" s="344">
        <v>4</v>
      </c>
      <c r="AH121" s="346">
        <v>4</v>
      </c>
      <c r="AI121" s="197">
        <v>4</v>
      </c>
      <c r="AJ121" s="197">
        <v>4</v>
      </c>
      <c r="AK121" s="197">
        <v>3</v>
      </c>
      <c r="AL121" s="197">
        <v>3</v>
      </c>
      <c r="AM121" s="197">
        <v>3</v>
      </c>
      <c r="AN121" s="197">
        <v>7</v>
      </c>
      <c r="AO121" s="197">
        <v>7</v>
      </c>
      <c r="AP121" s="197">
        <v>6</v>
      </c>
      <c r="AQ121" s="347">
        <v>8</v>
      </c>
      <c r="AR121" s="197">
        <v>6</v>
      </c>
      <c r="AS121" s="197">
        <v>6</v>
      </c>
      <c r="AT121" s="197">
        <v>4</v>
      </c>
      <c r="AU121" s="347">
        <v>2</v>
      </c>
      <c r="AV121" s="347">
        <v>3</v>
      </c>
      <c r="AW121" s="347">
        <v>16</v>
      </c>
      <c r="AX121" s="347">
        <v>4</v>
      </c>
      <c r="AY121" s="347">
        <v>5</v>
      </c>
      <c r="AZ121" s="347">
        <v>3</v>
      </c>
      <c r="BA121" s="347">
        <v>4</v>
      </c>
      <c r="BB121" s="347">
        <v>3</v>
      </c>
      <c r="BC121" s="347">
        <v>5</v>
      </c>
    </row>
    <row r="122" spans="1:55" s="381" customFormat="1" ht="17.649999999999999" customHeight="1">
      <c r="A122" s="343">
        <v>62</v>
      </c>
      <c r="B122" s="211" t="s">
        <v>2141</v>
      </c>
      <c r="C122" s="211" t="s">
        <v>2055</v>
      </c>
      <c r="D122" s="211" t="s">
        <v>2125</v>
      </c>
      <c r="E122" s="344">
        <v>20</v>
      </c>
      <c r="F122" s="344">
        <v>20.533333333333299</v>
      </c>
      <c r="G122" s="209">
        <v>17.733333333333299</v>
      </c>
      <c r="H122" s="344">
        <v>17.733333333333299</v>
      </c>
      <c r="I122" s="344">
        <v>17.5</v>
      </c>
      <c r="J122" s="344">
        <v>13.0666666666667</v>
      </c>
      <c r="K122" s="344">
        <v>11.2</v>
      </c>
      <c r="L122" s="344">
        <f t="shared" si="44"/>
        <v>2.6133333333333333</v>
      </c>
      <c r="M122" s="344">
        <v>9.1</v>
      </c>
      <c r="N122" s="344">
        <v>10.733333333333301</v>
      </c>
      <c r="O122" s="344">
        <v>10.033333333333299</v>
      </c>
      <c r="P122" s="344">
        <v>10.266666666666699</v>
      </c>
      <c r="Q122" s="344">
        <v>10.733333333333301</v>
      </c>
      <c r="R122" s="344">
        <v>9.56666666666667</v>
      </c>
      <c r="S122" s="344">
        <v>12.366666666666699</v>
      </c>
      <c r="T122" s="344">
        <v>11.2</v>
      </c>
      <c r="U122" s="344">
        <v>12.8333333333333</v>
      </c>
      <c r="V122" s="344">
        <v>12.366666666666699</v>
      </c>
      <c r="W122" s="344">
        <v>13.0666666666667</v>
      </c>
      <c r="X122" s="344">
        <v>12.366666666666699</v>
      </c>
      <c r="Y122" s="344">
        <v>11.2</v>
      </c>
      <c r="Z122" s="344">
        <v>10.266666666666699</v>
      </c>
      <c r="AA122" s="344">
        <v>8.4</v>
      </c>
      <c r="AB122" s="344">
        <v>8.6333333333333293</v>
      </c>
      <c r="AC122" s="344">
        <v>7.7</v>
      </c>
      <c r="AD122" s="344">
        <f t="shared" si="45"/>
        <v>-0.93333333333332913</v>
      </c>
      <c r="AE122" s="344">
        <v>4</v>
      </c>
      <c r="AF122" s="344">
        <v>4</v>
      </c>
      <c r="AG122" s="344">
        <v>4</v>
      </c>
      <c r="AH122" s="346">
        <v>3</v>
      </c>
      <c r="AI122" s="197">
        <v>3</v>
      </c>
      <c r="AJ122" s="197">
        <v>10</v>
      </c>
      <c r="AK122" s="197">
        <v>7</v>
      </c>
      <c r="AL122" s="197">
        <v>7</v>
      </c>
      <c r="AM122" s="197">
        <v>2</v>
      </c>
      <c r="AN122" s="197">
        <v>3</v>
      </c>
      <c r="AO122" s="197">
        <v>1</v>
      </c>
      <c r="AP122" s="197">
        <v>2</v>
      </c>
      <c r="AQ122" s="197">
        <v>2</v>
      </c>
      <c r="AR122" s="197">
        <v>5</v>
      </c>
      <c r="AS122" s="347">
        <v>2</v>
      </c>
      <c r="AT122" s="197">
        <v>3</v>
      </c>
      <c r="AU122" s="347">
        <v>2</v>
      </c>
      <c r="AV122" s="347">
        <v>1</v>
      </c>
      <c r="AW122" s="347">
        <v>11</v>
      </c>
      <c r="AX122" s="347">
        <v>1</v>
      </c>
      <c r="AY122" s="347">
        <v>2</v>
      </c>
      <c r="AZ122" s="347">
        <v>8</v>
      </c>
      <c r="BA122" s="347">
        <v>1</v>
      </c>
      <c r="BB122" s="347">
        <v>2</v>
      </c>
      <c r="BC122" s="347">
        <v>7</v>
      </c>
    </row>
    <row r="123" spans="1:55" s="381" customFormat="1" ht="17.649999999999999" customHeight="1">
      <c r="A123" s="343">
        <v>63</v>
      </c>
      <c r="B123" s="211" t="s">
        <v>2142</v>
      </c>
      <c r="C123" s="211" t="s">
        <v>2055</v>
      </c>
      <c r="D123" s="211" t="s">
        <v>2125</v>
      </c>
      <c r="E123" s="344">
        <v>4</v>
      </c>
      <c r="F123" s="344">
        <v>3.9666666666666699</v>
      </c>
      <c r="G123" s="209">
        <v>4.43333333333333</v>
      </c>
      <c r="H123" s="344">
        <v>5.1333333333333302</v>
      </c>
      <c r="I123" s="344">
        <v>4.43333333333333</v>
      </c>
      <c r="J123" s="344">
        <v>5.6</v>
      </c>
      <c r="K123" s="344">
        <v>4.6666666666666696</v>
      </c>
      <c r="L123" s="344">
        <f t="shared" si="44"/>
        <v>1.0888888888888895</v>
      </c>
      <c r="M123" s="344">
        <v>4.43333333333333</v>
      </c>
      <c r="N123" s="344">
        <v>4.2</v>
      </c>
      <c r="O123" s="344">
        <v>4.2</v>
      </c>
      <c r="P123" s="344">
        <v>5.3666666666666698</v>
      </c>
      <c r="Q123" s="344">
        <v>6.3</v>
      </c>
      <c r="R123" s="344">
        <v>5.6</v>
      </c>
      <c r="S123" s="344">
        <v>7.7</v>
      </c>
      <c r="T123" s="344">
        <v>7.93333333333333</v>
      </c>
      <c r="U123" s="344">
        <v>8.8666666666666707</v>
      </c>
      <c r="V123" s="344">
        <v>8.8666666666666707</v>
      </c>
      <c r="W123" s="344">
        <v>7.93333333333333</v>
      </c>
      <c r="X123" s="344">
        <v>7.7</v>
      </c>
      <c r="Y123" s="344">
        <v>7.7</v>
      </c>
      <c r="Z123" s="344">
        <v>7</v>
      </c>
      <c r="AA123" s="344">
        <v>5.6</v>
      </c>
      <c r="AB123" s="344">
        <v>7.4666666666666703</v>
      </c>
      <c r="AC123" s="344">
        <v>6.5333333333333297</v>
      </c>
      <c r="AD123" s="344">
        <f t="shared" si="45"/>
        <v>-0.93333333333334068</v>
      </c>
      <c r="AE123" s="344">
        <v>1</v>
      </c>
      <c r="AF123" s="344">
        <v>1</v>
      </c>
      <c r="AG123" s="345">
        <v>2</v>
      </c>
      <c r="AH123" s="346">
        <v>1</v>
      </c>
      <c r="AI123" s="197">
        <v>1</v>
      </c>
      <c r="AJ123" s="197">
        <v>1</v>
      </c>
      <c r="AK123" s="197">
        <v>2</v>
      </c>
      <c r="AL123" s="197">
        <v>2</v>
      </c>
      <c r="AM123" s="197">
        <v>1</v>
      </c>
      <c r="AN123" s="197">
        <v>1</v>
      </c>
      <c r="AO123" s="197">
        <v>1</v>
      </c>
      <c r="AP123" s="197">
        <v>1</v>
      </c>
      <c r="AQ123" s="197">
        <v>1</v>
      </c>
      <c r="AR123" s="197">
        <v>1</v>
      </c>
      <c r="AS123" s="347">
        <v>1</v>
      </c>
      <c r="AT123" s="197">
        <v>1</v>
      </c>
      <c r="AU123" s="347">
        <v>1</v>
      </c>
      <c r="AV123" s="347">
        <v>1</v>
      </c>
      <c r="AW123" s="347">
        <v>1</v>
      </c>
      <c r="AX123" s="347">
        <v>1</v>
      </c>
      <c r="AY123" s="347">
        <v>2</v>
      </c>
      <c r="AZ123" s="347">
        <v>1</v>
      </c>
      <c r="BA123" s="347">
        <v>8</v>
      </c>
      <c r="BB123" s="347">
        <v>6</v>
      </c>
      <c r="BC123" s="347">
        <v>2</v>
      </c>
    </row>
    <row r="124" spans="1:55" s="381" customFormat="1" ht="17.649999999999999" customHeight="1">
      <c r="A124" s="343">
        <v>64</v>
      </c>
      <c r="B124" s="211" t="s">
        <v>2143</v>
      </c>
      <c r="C124" s="211" t="s">
        <v>2055</v>
      </c>
      <c r="D124" s="211" t="s">
        <v>2125</v>
      </c>
      <c r="E124" s="344">
        <v>4</v>
      </c>
      <c r="F124" s="344">
        <v>3.5</v>
      </c>
      <c r="G124" s="209">
        <v>3.5</v>
      </c>
      <c r="H124" s="344">
        <v>3.0333333333333301</v>
      </c>
      <c r="I124" s="344">
        <v>2.56666666666667</v>
      </c>
      <c r="J124" s="344">
        <v>2.3333333333333299</v>
      </c>
      <c r="K124" s="344">
        <v>2.1</v>
      </c>
      <c r="L124" s="344">
        <f t="shared" si="44"/>
        <v>0.49000000000000005</v>
      </c>
      <c r="M124" s="344">
        <v>1.4</v>
      </c>
      <c r="N124" s="344">
        <v>1.1666666666666701</v>
      </c>
      <c r="O124" s="344">
        <v>1.86666666666667</v>
      </c>
      <c r="P124" s="344">
        <v>2.56666666666667</v>
      </c>
      <c r="Q124" s="344">
        <v>4.6666666666666696</v>
      </c>
      <c r="R124" s="344">
        <v>5.8333333333333304</v>
      </c>
      <c r="S124" s="344">
        <v>6.3</v>
      </c>
      <c r="T124" s="344">
        <v>5.3666666666666698</v>
      </c>
      <c r="U124" s="344">
        <v>5.1333333333333302</v>
      </c>
      <c r="V124" s="344">
        <v>3.2666666666666702</v>
      </c>
      <c r="W124" s="344">
        <v>2.56666666666667</v>
      </c>
      <c r="X124" s="344">
        <v>3.5</v>
      </c>
      <c r="Y124" s="344">
        <v>4.2</v>
      </c>
      <c r="Z124" s="344">
        <v>4.2</v>
      </c>
      <c r="AA124" s="344">
        <v>3.2666666666666702</v>
      </c>
      <c r="AB124" s="344">
        <v>3.0333333333333301</v>
      </c>
      <c r="AC124" s="344">
        <v>1.1666666666666701</v>
      </c>
      <c r="AD124" s="344">
        <f t="shared" si="45"/>
        <v>-1.86666666666666</v>
      </c>
      <c r="AE124" s="344">
        <v>5</v>
      </c>
      <c r="AF124" s="344">
        <v>5</v>
      </c>
      <c r="AG124" s="345">
        <v>1</v>
      </c>
      <c r="AH124" s="346">
        <v>4</v>
      </c>
      <c r="AI124" s="197">
        <v>1</v>
      </c>
      <c r="AJ124" s="197">
        <v>3</v>
      </c>
      <c r="AK124" s="197">
        <v>3</v>
      </c>
      <c r="AL124" s="197">
        <v>3</v>
      </c>
      <c r="AM124" s="197">
        <v>2</v>
      </c>
      <c r="AN124" s="197">
        <v>4</v>
      </c>
      <c r="AO124" s="197">
        <v>6</v>
      </c>
      <c r="AP124" s="197">
        <v>5</v>
      </c>
      <c r="AQ124" s="197">
        <v>4</v>
      </c>
      <c r="AR124" s="197">
        <v>4</v>
      </c>
      <c r="AS124" s="197">
        <v>4</v>
      </c>
      <c r="AT124" s="197">
        <v>2</v>
      </c>
      <c r="AU124" s="347">
        <v>4</v>
      </c>
      <c r="AV124" s="347">
        <v>3</v>
      </c>
      <c r="AW124" s="347">
        <v>1</v>
      </c>
      <c r="AX124" s="347">
        <v>1</v>
      </c>
      <c r="AY124" s="347">
        <v>1</v>
      </c>
      <c r="AZ124" s="347">
        <v>1</v>
      </c>
      <c r="BA124" s="347">
        <v>5</v>
      </c>
      <c r="BB124" s="347">
        <v>6</v>
      </c>
      <c r="BC124" s="347">
        <v>5</v>
      </c>
    </row>
    <row r="125" spans="1:55" s="381" customFormat="1" ht="17.649999999999999" customHeight="1">
      <c r="A125" s="343">
        <v>65</v>
      </c>
      <c r="B125" s="211" t="s">
        <v>2144</v>
      </c>
      <c r="C125" s="211" t="s">
        <v>2055</v>
      </c>
      <c r="D125" s="211" t="s">
        <v>2125</v>
      </c>
      <c r="E125" s="344">
        <v>18</v>
      </c>
      <c r="F125" s="344">
        <v>18.433333333333302</v>
      </c>
      <c r="G125" s="209">
        <v>18.6666666666667</v>
      </c>
      <c r="H125" s="344">
        <v>18.6666666666667</v>
      </c>
      <c r="I125" s="344">
        <v>17.5</v>
      </c>
      <c r="J125" s="344">
        <v>19.366666666666699</v>
      </c>
      <c r="K125" s="344">
        <v>23.1</v>
      </c>
      <c r="L125" s="344">
        <f t="shared" ref="L125:L188" si="46">K125/30*7</f>
        <v>5.3900000000000006</v>
      </c>
      <c r="M125" s="344">
        <v>20.066666666666698</v>
      </c>
      <c r="N125" s="344">
        <v>19.366666666666699</v>
      </c>
      <c r="O125" s="344">
        <v>18.899999999999999</v>
      </c>
      <c r="P125" s="344">
        <v>21</v>
      </c>
      <c r="Q125" s="344">
        <v>25.2</v>
      </c>
      <c r="R125" s="344">
        <v>24.5</v>
      </c>
      <c r="S125" s="344">
        <v>22.633333333333301</v>
      </c>
      <c r="T125" s="344">
        <v>24.5</v>
      </c>
      <c r="U125" s="344">
        <v>27.533333333333299</v>
      </c>
      <c r="V125" s="344">
        <v>24.966666666666701</v>
      </c>
      <c r="W125" s="344">
        <v>21.933333333333302</v>
      </c>
      <c r="X125" s="344">
        <v>22.1666666666667</v>
      </c>
      <c r="Y125" s="344">
        <v>22.633333333333301</v>
      </c>
      <c r="Z125" s="344">
        <v>20.066666666666698</v>
      </c>
      <c r="AA125" s="344">
        <v>21.933333333333302</v>
      </c>
      <c r="AB125" s="344">
        <v>23.3333333333333</v>
      </c>
      <c r="AC125" s="344">
        <v>19.366666666666699</v>
      </c>
      <c r="AD125" s="344">
        <f t="shared" ref="AD125:AD188" si="47">AC125-AB125</f>
        <v>-3.9666666666666011</v>
      </c>
      <c r="AE125" s="344">
        <v>7</v>
      </c>
      <c r="AF125" s="344">
        <v>8</v>
      </c>
      <c r="AG125" s="345">
        <v>8</v>
      </c>
      <c r="AH125" s="346">
        <v>2</v>
      </c>
      <c r="AI125" s="197">
        <v>9</v>
      </c>
      <c r="AJ125" s="197">
        <v>8</v>
      </c>
      <c r="AK125" s="197">
        <v>9</v>
      </c>
      <c r="AL125" s="197">
        <v>9</v>
      </c>
      <c r="AM125" s="197">
        <v>9</v>
      </c>
      <c r="AN125" s="197">
        <v>8</v>
      </c>
      <c r="AO125" s="197">
        <v>7</v>
      </c>
      <c r="AP125" s="197">
        <v>5</v>
      </c>
      <c r="AQ125" s="197">
        <v>8</v>
      </c>
      <c r="AR125" s="197">
        <v>6</v>
      </c>
      <c r="AS125" s="197">
        <v>5</v>
      </c>
      <c r="AT125" s="197">
        <v>7</v>
      </c>
      <c r="AU125" s="347">
        <v>6</v>
      </c>
      <c r="AV125" s="347">
        <v>7</v>
      </c>
      <c r="AW125" s="347">
        <v>8</v>
      </c>
      <c r="AX125" s="347">
        <v>4</v>
      </c>
      <c r="AY125" s="347">
        <v>7</v>
      </c>
      <c r="AZ125" s="347">
        <v>5</v>
      </c>
      <c r="BA125" s="347">
        <v>5</v>
      </c>
      <c r="BB125" s="347">
        <v>8</v>
      </c>
      <c r="BC125" s="347">
        <v>3</v>
      </c>
    </row>
    <row r="126" spans="1:55" s="381" customFormat="1" ht="17.649999999999999" customHeight="1">
      <c r="A126" s="343">
        <v>66</v>
      </c>
      <c r="B126" s="211" t="s">
        <v>2145</v>
      </c>
      <c r="C126" s="211" t="s">
        <v>2055</v>
      </c>
      <c r="D126" s="211" t="s">
        <v>2125</v>
      </c>
      <c r="E126" s="344">
        <v>2</v>
      </c>
      <c r="F126" s="344">
        <v>2.3333333333333299</v>
      </c>
      <c r="G126" s="209">
        <v>1.86666666666667</v>
      </c>
      <c r="H126" s="344">
        <v>1.86666666666667</v>
      </c>
      <c r="I126" s="344">
        <v>2.3333333333333299</v>
      </c>
      <c r="J126" s="344">
        <v>2.56666666666667</v>
      </c>
      <c r="K126" s="344">
        <v>2.3333333333333299</v>
      </c>
      <c r="L126" s="344">
        <f t="shared" si="46"/>
        <v>0.54444444444444362</v>
      </c>
      <c r="M126" s="344">
        <v>4.6666666666666696</v>
      </c>
      <c r="N126" s="344">
        <v>5.1333333333333302</v>
      </c>
      <c r="O126" s="344">
        <v>5.8333333333333304</v>
      </c>
      <c r="P126" s="344">
        <v>4.43333333333333</v>
      </c>
      <c r="Q126" s="344">
        <v>5.8333333333333304</v>
      </c>
      <c r="R126" s="344">
        <v>5.1333333333333302</v>
      </c>
      <c r="S126" s="344">
        <v>4.43333333333333</v>
      </c>
      <c r="T126" s="344">
        <v>3.2666666666666702</v>
      </c>
      <c r="U126" s="344">
        <v>4.6666666666666696</v>
      </c>
      <c r="V126" s="344">
        <v>5.1333333333333302</v>
      </c>
      <c r="W126" s="344">
        <v>5.3666666666666698</v>
      </c>
      <c r="X126" s="344">
        <v>6.3</v>
      </c>
      <c r="Y126" s="344">
        <v>7.93333333333333</v>
      </c>
      <c r="Z126" s="344">
        <v>5.3666666666666698</v>
      </c>
      <c r="AA126" s="344">
        <v>6.3</v>
      </c>
      <c r="AB126" s="344">
        <v>5.6</v>
      </c>
      <c r="AC126" s="344">
        <v>3.2666666666666702</v>
      </c>
      <c r="AD126" s="344">
        <f t="shared" si="47"/>
        <v>-2.3333333333333295</v>
      </c>
      <c r="AE126" s="344">
        <v>2</v>
      </c>
      <c r="AF126" s="344">
        <v>2</v>
      </c>
      <c r="AG126" s="345">
        <v>2</v>
      </c>
      <c r="AH126" s="346">
        <v>2</v>
      </c>
      <c r="AI126" s="197">
        <v>6</v>
      </c>
      <c r="AJ126" s="197">
        <v>3</v>
      </c>
      <c r="AK126" s="197">
        <v>2</v>
      </c>
      <c r="AL126" s="197">
        <v>2</v>
      </c>
      <c r="AM126" s="197">
        <v>2</v>
      </c>
      <c r="AN126" s="197">
        <v>1</v>
      </c>
      <c r="AO126" s="197">
        <v>2</v>
      </c>
      <c r="AP126" s="197">
        <v>1</v>
      </c>
      <c r="AQ126" s="197">
        <v>1</v>
      </c>
      <c r="AR126" s="197">
        <v>1</v>
      </c>
      <c r="AS126" s="197">
        <v>2</v>
      </c>
      <c r="AT126" s="197">
        <v>2</v>
      </c>
      <c r="AU126" s="347">
        <v>10</v>
      </c>
      <c r="AV126" s="347">
        <v>2</v>
      </c>
      <c r="AW126" s="347">
        <v>12</v>
      </c>
      <c r="AX126" s="347">
        <v>9</v>
      </c>
      <c r="AY126" s="347">
        <v>9</v>
      </c>
      <c r="AZ126" s="347">
        <v>1</v>
      </c>
      <c r="BA126" s="347">
        <v>7</v>
      </c>
      <c r="BB126" s="347">
        <v>3</v>
      </c>
      <c r="BC126" s="347">
        <v>7</v>
      </c>
    </row>
    <row r="127" spans="1:55" s="381" customFormat="1" ht="17.649999999999999" customHeight="1">
      <c r="A127" s="343">
        <v>67</v>
      </c>
      <c r="B127" s="211" t="s">
        <v>2146</v>
      </c>
      <c r="C127" s="211" t="s">
        <v>2055</v>
      </c>
      <c r="D127" s="211" t="s">
        <v>2063</v>
      </c>
      <c r="E127" s="344">
        <v>839</v>
      </c>
      <c r="F127" s="344">
        <v>847.7</v>
      </c>
      <c r="G127" s="209">
        <v>767.2</v>
      </c>
      <c r="H127" s="344">
        <v>792.16666666666697</v>
      </c>
      <c r="I127" s="344">
        <v>815.5</v>
      </c>
      <c r="J127" s="344">
        <v>958.06666666666695</v>
      </c>
      <c r="K127" s="344">
        <v>970.43333333333305</v>
      </c>
      <c r="L127" s="344">
        <f t="shared" si="46"/>
        <v>226.43444444444441</v>
      </c>
      <c r="M127" s="344">
        <v>808.73333333333301</v>
      </c>
      <c r="N127" s="344">
        <v>924.46666666666704</v>
      </c>
      <c r="O127" s="344">
        <v>1029.7</v>
      </c>
      <c r="P127" s="344">
        <v>1273.06666666667</v>
      </c>
      <c r="Q127" s="344">
        <v>1530.6666666666699</v>
      </c>
      <c r="R127" s="344">
        <v>1447.36666666667</v>
      </c>
      <c r="S127" s="344">
        <v>1353.3333333333301</v>
      </c>
      <c r="T127" s="344">
        <v>1198.1666666666699</v>
      </c>
      <c r="U127" s="344">
        <v>926.1</v>
      </c>
      <c r="V127" s="344">
        <v>751.8</v>
      </c>
      <c r="W127" s="344">
        <v>478.566666666667</v>
      </c>
      <c r="X127" s="344">
        <v>338.8</v>
      </c>
      <c r="Y127" s="344">
        <v>230.3</v>
      </c>
      <c r="Z127" s="344">
        <v>199.03333333333299</v>
      </c>
      <c r="AA127" s="344">
        <v>157.03333333333299</v>
      </c>
      <c r="AB127" s="344">
        <v>122.73333333333299</v>
      </c>
      <c r="AC127" s="344">
        <v>101.033333333333</v>
      </c>
      <c r="AD127" s="344">
        <f t="shared" si="47"/>
        <v>-21.699999999999989</v>
      </c>
      <c r="AE127" s="344">
        <v>2</v>
      </c>
      <c r="AF127" s="344">
        <v>3</v>
      </c>
      <c r="AG127" s="345">
        <v>3</v>
      </c>
      <c r="AH127" s="346">
        <v>6</v>
      </c>
      <c r="AI127" s="197">
        <v>3</v>
      </c>
      <c r="AJ127" s="197">
        <v>3</v>
      </c>
      <c r="AK127" s="197">
        <v>3</v>
      </c>
      <c r="AL127" s="197">
        <v>3</v>
      </c>
      <c r="AM127" s="197">
        <v>3</v>
      </c>
      <c r="AN127" s="197">
        <v>4</v>
      </c>
      <c r="AO127" s="197">
        <v>5</v>
      </c>
      <c r="AP127" s="197">
        <v>4</v>
      </c>
      <c r="AQ127" s="197">
        <v>3</v>
      </c>
      <c r="AR127" s="197">
        <v>3</v>
      </c>
      <c r="AS127" s="197">
        <v>3</v>
      </c>
      <c r="AT127" s="197">
        <v>2</v>
      </c>
      <c r="AU127" s="347">
        <v>5</v>
      </c>
      <c r="AV127" s="347">
        <v>2</v>
      </c>
      <c r="AW127" s="347">
        <v>3</v>
      </c>
      <c r="AX127" s="347">
        <v>4</v>
      </c>
      <c r="AY127" s="347">
        <v>3</v>
      </c>
      <c r="AZ127" s="347">
        <v>2</v>
      </c>
      <c r="BA127" s="347">
        <v>8</v>
      </c>
      <c r="BB127" s="347">
        <v>6</v>
      </c>
      <c r="BC127" s="347">
        <v>5</v>
      </c>
    </row>
    <row r="128" spans="1:55" s="381" customFormat="1" ht="17.649999999999999" customHeight="1">
      <c r="A128" s="343">
        <v>68</v>
      </c>
      <c r="B128" s="211" t="s">
        <v>2147</v>
      </c>
      <c r="C128" s="211" t="s">
        <v>2055</v>
      </c>
      <c r="D128" s="211" t="s">
        <v>2125</v>
      </c>
      <c r="E128" s="344">
        <v>2</v>
      </c>
      <c r="F128" s="344">
        <v>2.56666666666667</v>
      </c>
      <c r="G128" s="209">
        <v>3.9666666666666699</v>
      </c>
      <c r="H128" s="344">
        <v>3.9666666666666699</v>
      </c>
      <c r="I128" s="344">
        <v>4.43333333333333</v>
      </c>
      <c r="J128" s="344">
        <v>5.8333333333333304</v>
      </c>
      <c r="K128" s="344">
        <v>5.1333333333333302</v>
      </c>
      <c r="L128" s="344">
        <f t="shared" si="46"/>
        <v>1.1977777777777772</v>
      </c>
      <c r="M128" s="344">
        <v>3.2666666666666702</v>
      </c>
      <c r="N128" s="344">
        <v>2.1</v>
      </c>
      <c r="O128" s="344">
        <v>1.86666666666667</v>
      </c>
      <c r="P128" s="344">
        <v>2.3333333333333299</v>
      </c>
      <c r="Q128" s="344">
        <v>3.5</v>
      </c>
      <c r="R128" s="344">
        <v>3.5</v>
      </c>
      <c r="S128" s="344">
        <v>3.9666666666666699</v>
      </c>
      <c r="T128" s="344">
        <v>3.9666666666666699</v>
      </c>
      <c r="U128" s="344">
        <v>3.5</v>
      </c>
      <c r="V128" s="344">
        <v>3.0333333333333301</v>
      </c>
      <c r="W128" s="344">
        <v>3.0333333333333301</v>
      </c>
      <c r="X128" s="344">
        <v>2.3333333333333299</v>
      </c>
      <c r="Y128" s="344">
        <v>2.3333333333333299</v>
      </c>
      <c r="Z128" s="344">
        <v>3.2666666666666702</v>
      </c>
      <c r="AA128" s="344">
        <v>3.5</v>
      </c>
      <c r="AB128" s="344">
        <v>4.43333333333333</v>
      </c>
      <c r="AC128" s="344">
        <v>4.43333333333333</v>
      </c>
      <c r="AD128" s="344">
        <f t="shared" si="47"/>
        <v>0</v>
      </c>
      <c r="AE128" s="344">
        <v>1</v>
      </c>
      <c r="AF128" s="344">
        <v>1</v>
      </c>
      <c r="AG128" s="345">
        <v>1</v>
      </c>
      <c r="AH128" s="346">
        <v>1</v>
      </c>
      <c r="AI128" s="197">
        <v>1</v>
      </c>
      <c r="AJ128" s="197">
        <v>1</v>
      </c>
      <c r="AK128" s="197">
        <v>1</v>
      </c>
      <c r="AL128" s="197">
        <v>1</v>
      </c>
      <c r="AM128" s="197">
        <v>1</v>
      </c>
      <c r="AN128" s="197">
        <v>1</v>
      </c>
      <c r="AO128" s="197">
        <v>1</v>
      </c>
      <c r="AP128" s="197">
        <v>1</v>
      </c>
      <c r="AQ128" s="197">
        <v>1</v>
      </c>
      <c r="AR128" s="197">
        <v>1</v>
      </c>
      <c r="AS128" s="197">
        <v>1</v>
      </c>
      <c r="AT128" s="197">
        <v>1</v>
      </c>
      <c r="AU128" s="347">
        <v>1</v>
      </c>
      <c r="AV128" s="347">
        <v>2</v>
      </c>
      <c r="AW128" s="347">
        <v>7</v>
      </c>
      <c r="AX128" s="347">
        <v>3</v>
      </c>
      <c r="AY128" s="347">
        <v>1</v>
      </c>
      <c r="AZ128" s="347">
        <v>8</v>
      </c>
      <c r="BA128" s="347">
        <v>8</v>
      </c>
      <c r="BB128" s="347">
        <v>1</v>
      </c>
      <c r="BC128" s="347">
        <v>1</v>
      </c>
    </row>
    <row r="129" spans="1:55" s="381" customFormat="1" ht="17.649999999999999" customHeight="1">
      <c r="A129" s="343">
        <v>69</v>
      </c>
      <c r="B129" s="211" t="s">
        <v>2148</v>
      </c>
      <c r="C129" s="211" t="s">
        <v>2055</v>
      </c>
      <c r="D129" s="211" t="s">
        <v>2125</v>
      </c>
      <c r="E129" s="344">
        <v>12</v>
      </c>
      <c r="F129" s="344">
        <v>10.733333333333301</v>
      </c>
      <c r="G129" s="209">
        <v>10.266666666666699</v>
      </c>
      <c r="H129" s="344">
        <v>9.8000000000000007</v>
      </c>
      <c r="I129" s="344">
        <v>8.6333333333333293</v>
      </c>
      <c r="J129" s="344">
        <v>5.8333333333333304</v>
      </c>
      <c r="K129" s="344">
        <v>4.6666666666666696</v>
      </c>
      <c r="L129" s="344">
        <f t="shared" si="46"/>
        <v>1.0888888888888895</v>
      </c>
      <c r="M129" s="344">
        <v>3.9666666666666699</v>
      </c>
      <c r="N129" s="344">
        <v>4.2</v>
      </c>
      <c r="O129" s="344">
        <v>4.43333333333333</v>
      </c>
      <c r="P129" s="344">
        <v>6.7666666666666702</v>
      </c>
      <c r="Q129" s="344">
        <v>7</v>
      </c>
      <c r="R129" s="344">
        <v>8.6333333333333293</v>
      </c>
      <c r="S129" s="344">
        <v>11.9</v>
      </c>
      <c r="T129" s="344">
        <v>10.733333333333301</v>
      </c>
      <c r="U129" s="344">
        <v>11.2</v>
      </c>
      <c r="V129" s="344">
        <v>9.1</v>
      </c>
      <c r="W129" s="344">
        <v>6.7666666666666702</v>
      </c>
      <c r="X129" s="344">
        <v>7</v>
      </c>
      <c r="Y129" s="344">
        <v>7.7</v>
      </c>
      <c r="Z129" s="344">
        <v>8.6333333333333293</v>
      </c>
      <c r="AA129" s="344">
        <v>9.8000000000000007</v>
      </c>
      <c r="AB129" s="344">
        <v>10.733333333333301</v>
      </c>
      <c r="AC129" s="344">
        <v>7.93333333333333</v>
      </c>
      <c r="AD129" s="344">
        <f t="shared" si="47"/>
        <v>-2.7999999999999705</v>
      </c>
      <c r="AE129" s="344">
        <v>9</v>
      </c>
      <c r="AF129" s="344">
        <v>13</v>
      </c>
      <c r="AG129" s="345">
        <v>10</v>
      </c>
      <c r="AH129" s="346">
        <v>9</v>
      </c>
      <c r="AI129" s="197">
        <v>8</v>
      </c>
      <c r="AJ129" s="197">
        <v>4</v>
      </c>
      <c r="AK129" s="197">
        <v>6</v>
      </c>
      <c r="AL129" s="197">
        <v>6</v>
      </c>
      <c r="AM129" s="197">
        <v>7</v>
      </c>
      <c r="AN129" s="197">
        <v>7</v>
      </c>
      <c r="AO129" s="197">
        <v>9</v>
      </c>
      <c r="AP129" s="197">
        <v>10</v>
      </c>
      <c r="AQ129" s="197">
        <v>10</v>
      </c>
      <c r="AR129" s="347">
        <v>11</v>
      </c>
      <c r="AS129" s="197">
        <v>9</v>
      </c>
      <c r="AT129" s="197">
        <v>8</v>
      </c>
      <c r="AU129" s="347">
        <v>7</v>
      </c>
      <c r="AV129" s="347">
        <v>10</v>
      </c>
      <c r="AW129" s="347">
        <v>3</v>
      </c>
      <c r="AX129" s="347">
        <v>12</v>
      </c>
      <c r="AY129" s="347">
        <v>3</v>
      </c>
      <c r="AZ129" s="347">
        <v>42</v>
      </c>
      <c r="BA129" s="347">
        <v>1</v>
      </c>
      <c r="BB129" s="347">
        <v>13</v>
      </c>
      <c r="BC129" s="347">
        <v>13</v>
      </c>
    </row>
    <row r="130" spans="1:55" s="381" customFormat="1" ht="17.649999999999999" customHeight="1">
      <c r="A130" s="343">
        <v>70</v>
      </c>
      <c r="B130" s="211" t="s">
        <v>2149</v>
      </c>
      <c r="C130" s="211" t="s">
        <v>2055</v>
      </c>
      <c r="D130" s="211" t="s">
        <v>2125</v>
      </c>
      <c r="E130" s="344">
        <v>63</v>
      </c>
      <c r="F130" s="344">
        <v>61.8333333333333</v>
      </c>
      <c r="G130" s="209">
        <v>65.566666666666706</v>
      </c>
      <c r="H130" s="344">
        <v>60.6666666666667</v>
      </c>
      <c r="I130" s="344">
        <v>37.3333333333333</v>
      </c>
      <c r="J130" s="344">
        <v>22.866666666666699</v>
      </c>
      <c r="K130" s="344">
        <v>17.5</v>
      </c>
      <c r="L130" s="344">
        <f t="shared" si="46"/>
        <v>4.0833333333333339</v>
      </c>
      <c r="M130" s="344">
        <v>10.266666666666699</v>
      </c>
      <c r="N130" s="344">
        <v>13.0666666666667</v>
      </c>
      <c r="O130" s="344">
        <v>14</v>
      </c>
      <c r="P130" s="344">
        <v>17.266666666666701</v>
      </c>
      <c r="Q130" s="344">
        <v>21.7</v>
      </c>
      <c r="R130" s="344">
        <v>24.5</v>
      </c>
      <c r="S130" s="344">
        <v>26.133333333333301</v>
      </c>
      <c r="T130" s="344">
        <v>28.233333333333299</v>
      </c>
      <c r="U130" s="344">
        <v>28.933333333333302</v>
      </c>
      <c r="V130" s="344">
        <v>25.6666666666667</v>
      </c>
      <c r="W130" s="344">
        <v>23.1</v>
      </c>
      <c r="X130" s="344">
        <v>20.766666666666701</v>
      </c>
      <c r="Y130" s="344">
        <v>18.6666666666667</v>
      </c>
      <c r="Z130" s="344">
        <v>16.8</v>
      </c>
      <c r="AA130" s="344">
        <v>19.600000000000001</v>
      </c>
      <c r="AB130" s="344">
        <v>25.433333333333302</v>
      </c>
      <c r="AC130" s="344">
        <v>26.133333333333301</v>
      </c>
      <c r="AD130" s="344">
        <f t="shared" si="47"/>
        <v>0.69999999999999929</v>
      </c>
      <c r="AE130" s="344">
        <v>5</v>
      </c>
      <c r="AF130" s="344">
        <v>5</v>
      </c>
      <c r="AG130" s="345">
        <v>3</v>
      </c>
      <c r="AH130" s="346">
        <v>3</v>
      </c>
      <c r="AI130" s="197">
        <v>10</v>
      </c>
      <c r="AJ130" s="197">
        <v>9</v>
      </c>
      <c r="AK130" s="197">
        <v>7</v>
      </c>
      <c r="AL130" s="197">
        <v>7</v>
      </c>
      <c r="AM130" s="197">
        <v>6</v>
      </c>
      <c r="AN130" s="197">
        <v>4</v>
      </c>
      <c r="AO130" s="197">
        <v>6</v>
      </c>
      <c r="AP130" s="197">
        <v>4</v>
      </c>
      <c r="AQ130" s="347">
        <v>4</v>
      </c>
      <c r="AR130" s="197">
        <v>2</v>
      </c>
      <c r="AS130" s="347">
        <v>19</v>
      </c>
      <c r="AT130" s="347">
        <v>18</v>
      </c>
      <c r="AU130" s="347">
        <v>6</v>
      </c>
      <c r="AV130" s="347">
        <v>19</v>
      </c>
      <c r="AW130" s="347">
        <v>15</v>
      </c>
      <c r="AX130" s="347">
        <v>3</v>
      </c>
      <c r="AY130" s="347">
        <v>2</v>
      </c>
      <c r="AZ130" s="347">
        <v>17</v>
      </c>
      <c r="BA130" s="347">
        <v>6</v>
      </c>
      <c r="BB130" s="347">
        <v>9</v>
      </c>
      <c r="BC130" s="347">
        <v>9</v>
      </c>
    </row>
    <row r="131" spans="1:55" s="381" customFormat="1" ht="17.649999999999999" customHeight="1">
      <c r="A131" s="343">
        <v>71</v>
      </c>
      <c r="B131" s="211" t="s">
        <v>2150</v>
      </c>
      <c r="C131" s="211" t="s">
        <v>2055</v>
      </c>
      <c r="D131" s="211" t="s">
        <v>2125</v>
      </c>
      <c r="E131" s="344">
        <v>4</v>
      </c>
      <c r="F131" s="344">
        <v>5.6</v>
      </c>
      <c r="G131" s="209">
        <v>5.6</v>
      </c>
      <c r="H131" s="344">
        <v>5.8333333333333304</v>
      </c>
      <c r="I131" s="344">
        <v>7.93333333333333</v>
      </c>
      <c r="J131" s="344">
        <v>6.7666666666666702</v>
      </c>
      <c r="K131" s="344">
        <v>5.3666666666666698</v>
      </c>
      <c r="L131" s="344">
        <f t="shared" si="46"/>
        <v>1.252222222222223</v>
      </c>
      <c r="M131" s="344">
        <v>4.6666666666666696</v>
      </c>
      <c r="N131" s="344">
        <v>5.8333333333333304</v>
      </c>
      <c r="O131" s="344">
        <v>5.6</v>
      </c>
      <c r="P131" s="344">
        <v>4.6666666666666696</v>
      </c>
      <c r="Q131" s="344">
        <v>6.5333333333333297</v>
      </c>
      <c r="R131" s="344">
        <v>5.1333333333333302</v>
      </c>
      <c r="S131" s="344">
        <v>6.5333333333333297</v>
      </c>
      <c r="T131" s="344">
        <v>6.5333333333333297</v>
      </c>
      <c r="U131" s="344">
        <v>5.6</v>
      </c>
      <c r="V131" s="344">
        <v>5.6</v>
      </c>
      <c r="W131" s="344">
        <v>3.2666666666666702</v>
      </c>
      <c r="X131" s="344">
        <v>3.5</v>
      </c>
      <c r="Y131" s="344">
        <v>3.2666666666666702</v>
      </c>
      <c r="Z131" s="344">
        <v>2.56666666666667</v>
      </c>
      <c r="AA131" s="344">
        <v>2.56666666666667</v>
      </c>
      <c r="AB131" s="344">
        <v>3.9666666666666699</v>
      </c>
      <c r="AC131" s="344">
        <v>3.0333333333333301</v>
      </c>
      <c r="AD131" s="344">
        <f t="shared" si="47"/>
        <v>-0.93333333333333979</v>
      </c>
      <c r="AE131" s="344">
        <v>3</v>
      </c>
      <c r="AF131" s="344">
        <v>1</v>
      </c>
      <c r="AG131" s="345">
        <v>1</v>
      </c>
      <c r="AH131" s="346">
        <v>1</v>
      </c>
      <c r="AI131" s="197">
        <v>1</v>
      </c>
      <c r="AJ131" s="197">
        <v>1</v>
      </c>
      <c r="AK131" s="197">
        <v>9</v>
      </c>
      <c r="AL131" s="197">
        <v>9</v>
      </c>
      <c r="AM131" s="197">
        <v>1</v>
      </c>
      <c r="AN131" s="197">
        <v>1</v>
      </c>
      <c r="AO131" s="197">
        <v>1</v>
      </c>
      <c r="AP131" s="197">
        <v>1</v>
      </c>
      <c r="AQ131" s="347">
        <v>1</v>
      </c>
      <c r="AR131" s="347">
        <v>1</v>
      </c>
      <c r="AS131" s="347">
        <v>1</v>
      </c>
      <c r="AT131" s="197">
        <v>1</v>
      </c>
      <c r="AU131" s="347">
        <v>1</v>
      </c>
      <c r="AV131" s="347">
        <v>1</v>
      </c>
      <c r="AW131" s="347">
        <v>1</v>
      </c>
      <c r="AX131" s="347">
        <v>1</v>
      </c>
      <c r="AY131" s="347">
        <v>3</v>
      </c>
      <c r="AZ131" s="347">
        <v>2</v>
      </c>
      <c r="BA131" s="347">
        <v>9</v>
      </c>
      <c r="BB131" s="347">
        <v>2</v>
      </c>
      <c r="BC131" s="347">
        <v>2</v>
      </c>
    </row>
    <row r="132" spans="1:55" s="381" customFormat="1" ht="17.649999999999999" customHeight="1">
      <c r="A132" s="343">
        <v>72</v>
      </c>
      <c r="B132" s="211" t="s">
        <v>2151</v>
      </c>
      <c r="C132" s="211" t="s">
        <v>2055</v>
      </c>
      <c r="D132" s="211" t="s">
        <v>2125</v>
      </c>
      <c r="E132" s="344">
        <v>137</v>
      </c>
      <c r="F132" s="344">
        <v>154.46666666666701</v>
      </c>
      <c r="G132" s="209">
        <v>157.96666666666701</v>
      </c>
      <c r="H132" s="344">
        <v>158.19999999999999</v>
      </c>
      <c r="I132" s="344">
        <v>144.666666666667</v>
      </c>
      <c r="J132" s="344">
        <v>120.633333333333</v>
      </c>
      <c r="K132" s="344">
        <v>97.3</v>
      </c>
      <c r="L132" s="344">
        <f t="shared" si="46"/>
        <v>22.703333333333333</v>
      </c>
      <c r="M132" s="344">
        <v>46.433333333333302</v>
      </c>
      <c r="N132" s="344">
        <v>52.266666666666701</v>
      </c>
      <c r="O132" s="344">
        <v>57.4</v>
      </c>
      <c r="P132" s="344">
        <v>91</v>
      </c>
      <c r="Q132" s="344">
        <v>109.9</v>
      </c>
      <c r="R132" s="344">
        <v>126</v>
      </c>
      <c r="S132" s="344">
        <v>134.63333333333301</v>
      </c>
      <c r="T132" s="344">
        <v>138.13333333333301</v>
      </c>
      <c r="U132" s="344">
        <v>157.03333333333299</v>
      </c>
      <c r="V132" s="344">
        <v>173.36666666666699</v>
      </c>
      <c r="W132" s="344">
        <v>191.1</v>
      </c>
      <c r="X132" s="344">
        <v>224.23333333333301</v>
      </c>
      <c r="Y132" s="344">
        <v>238.933333333333</v>
      </c>
      <c r="Z132" s="344">
        <v>226.8</v>
      </c>
      <c r="AA132" s="344">
        <v>210.7</v>
      </c>
      <c r="AB132" s="344">
        <v>191.8</v>
      </c>
      <c r="AC132" s="344">
        <v>163.566666666667</v>
      </c>
      <c r="AD132" s="344">
        <f t="shared" si="47"/>
        <v>-28.233333333333007</v>
      </c>
      <c r="AE132" s="344">
        <v>2</v>
      </c>
      <c r="AF132" s="344">
        <v>3</v>
      </c>
      <c r="AG132" s="345">
        <v>3</v>
      </c>
      <c r="AH132" s="346">
        <v>3</v>
      </c>
      <c r="AI132" s="197">
        <v>9</v>
      </c>
      <c r="AJ132" s="197">
        <v>8</v>
      </c>
      <c r="AK132" s="197">
        <v>2</v>
      </c>
      <c r="AL132" s="197">
        <v>2</v>
      </c>
      <c r="AM132" s="197">
        <v>2</v>
      </c>
      <c r="AN132" s="197">
        <v>3</v>
      </c>
      <c r="AO132" s="197">
        <v>2</v>
      </c>
      <c r="AP132" s="197">
        <v>3</v>
      </c>
      <c r="AQ132" s="197">
        <v>3</v>
      </c>
      <c r="AR132" s="197">
        <v>3</v>
      </c>
      <c r="AS132" s="197">
        <v>7</v>
      </c>
      <c r="AT132" s="197">
        <v>7</v>
      </c>
      <c r="AU132" s="347">
        <v>3</v>
      </c>
      <c r="AV132" s="347">
        <v>3</v>
      </c>
      <c r="AW132" s="347">
        <v>2</v>
      </c>
      <c r="AX132" s="347">
        <v>2</v>
      </c>
      <c r="AY132" s="347">
        <v>4</v>
      </c>
      <c r="AZ132" s="347">
        <v>4</v>
      </c>
      <c r="BA132" s="347">
        <v>3</v>
      </c>
      <c r="BB132" s="347">
        <v>3</v>
      </c>
      <c r="BC132" s="347">
        <v>4</v>
      </c>
    </row>
    <row r="133" spans="1:55" s="381" customFormat="1" ht="17.649999999999999" customHeight="1">
      <c r="A133" s="343">
        <v>73</v>
      </c>
      <c r="B133" s="211" t="s">
        <v>2152</v>
      </c>
      <c r="C133" s="211" t="s">
        <v>2055</v>
      </c>
      <c r="D133" s="211" t="s">
        <v>2125</v>
      </c>
      <c r="E133" s="344">
        <v>5</v>
      </c>
      <c r="F133" s="344">
        <v>5.1333333333333302</v>
      </c>
      <c r="G133" s="209">
        <v>3.2666666666666702</v>
      </c>
      <c r="H133" s="344">
        <v>4.2</v>
      </c>
      <c r="I133" s="344">
        <v>4.6666666666666696</v>
      </c>
      <c r="J133" s="344">
        <v>4.43333333333333</v>
      </c>
      <c r="K133" s="344">
        <v>5.8333333333333304</v>
      </c>
      <c r="L133" s="344">
        <f t="shared" si="46"/>
        <v>1.3611111111111103</v>
      </c>
      <c r="M133" s="344">
        <v>3.9666666666666699</v>
      </c>
      <c r="N133" s="344">
        <v>3.9666666666666699</v>
      </c>
      <c r="O133" s="344">
        <v>3.9666666666666699</v>
      </c>
      <c r="P133" s="344">
        <v>4.43333333333333</v>
      </c>
      <c r="Q133" s="344">
        <v>6.3</v>
      </c>
      <c r="R133" s="344">
        <v>7</v>
      </c>
      <c r="S133" s="344">
        <v>6.7666666666666702</v>
      </c>
      <c r="T133" s="344">
        <v>5.8333333333333304</v>
      </c>
      <c r="U133" s="344">
        <v>5.6</v>
      </c>
      <c r="V133" s="344">
        <v>4.6666666666666696</v>
      </c>
      <c r="W133" s="344">
        <v>4.43333333333333</v>
      </c>
      <c r="X133" s="344">
        <v>4.43333333333333</v>
      </c>
      <c r="Y133" s="344">
        <v>5.8333333333333304</v>
      </c>
      <c r="Z133" s="344">
        <v>5.3666666666666698</v>
      </c>
      <c r="AA133" s="344">
        <v>7</v>
      </c>
      <c r="AB133" s="344">
        <v>7.7</v>
      </c>
      <c r="AC133" s="344">
        <v>5.3666666666666698</v>
      </c>
      <c r="AD133" s="344">
        <f t="shared" si="47"/>
        <v>-2.3333333333333304</v>
      </c>
      <c r="AE133" s="344">
        <v>7</v>
      </c>
      <c r="AF133" s="344">
        <v>9</v>
      </c>
      <c r="AG133" s="345">
        <v>9</v>
      </c>
      <c r="AH133" s="346">
        <v>10</v>
      </c>
      <c r="AI133" s="197">
        <v>9</v>
      </c>
      <c r="AJ133" s="197">
        <v>1</v>
      </c>
      <c r="AK133" s="197">
        <v>9</v>
      </c>
      <c r="AL133" s="197">
        <v>9</v>
      </c>
      <c r="AM133" s="197">
        <v>8</v>
      </c>
      <c r="AN133" s="197">
        <v>5</v>
      </c>
      <c r="AO133" s="197">
        <v>8</v>
      </c>
      <c r="AP133" s="197">
        <v>6</v>
      </c>
      <c r="AQ133" s="197">
        <v>5</v>
      </c>
      <c r="AR133" s="197">
        <v>8</v>
      </c>
      <c r="AS133" s="197">
        <v>4</v>
      </c>
      <c r="AT133" s="197">
        <v>7</v>
      </c>
      <c r="AU133" s="347">
        <v>7</v>
      </c>
      <c r="AV133" s="347">
        <v>7</v>
      </c>
      <c r="AW133" s="347">
        <v>9</v>
      </c>
      <c r="AX133" s="347">
        <v>6</v>
      </c>
      <c r="AY133" s="347">
        <v>8</v>
      </c>
      <c r="AZ133" s="347">
        <v>5</v>
      </c>
      <c r="BA133" s="347">
        <v>7</v>
      </c>
      <c r="BB133" s="347">
        <v>6</v>
      </c>
      <c r="BC133" s="347">
        <v>6</v>
      </c>
    </row>
    <row r="134" spans="1:55" s="381" customFormat="1" ht="17.649999999999999" customHeight="1">
      <c r="A134" s="343">
        <v>74</v>
      </c>
      <c r="B134" s="211" t="s">
        <v>2153</v>
      </c>
      <c r="C134" s="211" t="s">
        <v>2055</v>
      </c>
      <c r="D134" s="211" t="s">
        <v>2125</v>
      </c>
      <c r="E134" s="344">
        <v>13</v>
      </c>
      <c r="F134" s="344">
        <v>15.4</v>
      </c>
      <c r="G134" s="209">
        <v>18.433333333333302</v>
      </c>
      <c r="H134" s="344">
        <v>17.966666666666701</v>
      </c>
      <c r="I134" s="344">
        <v>17.5</v>
      </c>
      <c r="J134" s="344">
        <v>19.600000000000001</v>
      </c>
      <c r="K134" s="344">
        <v>17.733333333333299</v>
      </c>
      <c r="L134" s="344">
        <f t="shared" si="46"/>
        <v>4.1377777777777691</v>
      </c>
      <c r="M134" s="344">
        <v>20.533333333333299</v>
      </c>
      <c r="N134" s="344">
        <v>18.433333333333302</v>
      </c>
      <c r="O134" s="344">
        <v>18.899999999999999</v>
      </c>
      <c r="P134" s="344">
        <v>17.966666666666701</v>
      </c>
      <c r="Q134" s="344">
        <v>21</v>
      </c>
      <c r="R134" s="344">
        <v>22.866666666666699</v>
      </c>
      <c r="S134" s="344">
        <v>22.866666666666699</v>
      </c>
      <c r="T134" s="344">
        <v>24.966666666666701</v>
      </c>
      <c r="U134" s="344">
        <v>28.233333333333299</v>
      </c>
      <c r="V134" s="344">
        <v>30.8</v>
      </c>
      <c r="W134" s="344">
        <v>28.7</v>
      </c>
      <c r="X134" s="344">
        <v>29.4</v>
      </c>
      <c r="Y134" s="344">
        <v>27.766666666666701</v>
      </c>
      <c r="Z134" s="344">
        <v>21.7</v>
      </c>
      <c r="AA134" s="344">
        <v>18.899999999999999</v>
      </c>
      <c r="AB134" s="344">
        <v>20.066666666666698</v>
      </c>
      <c r="AC134" s="344">
        <v>19.8333333333333</v>
      </c>
      <c r="AD134" s="344">
        <f t="shared" si="47"/>
        <v>-0.23333333333339823</v>
      </c>
      <c r="AE134" s="344">
        <v>3</v>
      </c>
      <c r="AF134" s="344">
        <v>3</v>
      </c>
      <c r="AG134" s="345">
        <v>7</v>
      </c>
      <c r="AH134" s="346">
        <v>4</v>
      </c>
      <c r="AI134" s="197">
        <v>5</v>
      </c>
      <c r="AJ134" s="197">
        <v>3</v>
      </c>
      <c r="AK134" s="197">
        <v>4</v>
      </c>
      <c r="AL134" s="197">
        <v>4</v>
      </c>
      <c r="AM134" s="197">
        <v>9</v>
      </c>
      <c r="AN134" s="197">
        <v>4</v>
      </c>
      <c r="AO134" s="197">
        <v>5</v>
      </c>
      <c r="AP134" s="197">
        <v>9</v>
      </c>
      <c r="AQ134" s="197">
        <v>4</v>
      </c>
      <c r="AR134" s="347">
        <v>4</v>
      </c>
      <c r="AS134" s="197">
        <v>4</v>
      </c>
      <c r="AT134" s="197">
        <v>9</v>
      </c>
      <c r="AU134" s="347">
        <v>4</v>
      </c>
      <c r="AV134" s="347">
        <v>4</v>
      </c>
      <c r="AW134" s="347">
        <v>6</v>
      </c>
      <c r="AX134" s="347">
        <v>8</v>
      </c>
      <c r="AY134" s="347">
        <v>8</v>
      </c>
      <c r="AZ134" s="347">
        <v>5</v>
      </c>
      <c r="BA134" s="347">
        <v>4</v>
      </c>
      <c r="BB134" s="347">
        <v>4</v>
      </c>
      <c r="BC134" s="347">
        <v>3</v>
      </c>
    </row>
    <row r="135" spans="1:55" s="381" customFormat="1" ht="17.649999999999999" customHeight="1">
      <c r="A135" s="343">
        <v>75</v>
      </c>
      <c r="B135" s="211" t="s">
        <v>2154</v>
      </c>
      <c r="C135" s="211" t="s">
        <v>2055</v>
      </c>
      <c r="D135" s="211" t="s">
        <v>2125</v>
      </c>
      <c r="E135" s="344">
        <v>6</v>
      </c>
      <c r="F135" s="344">
        <v>4.6666666666666696</v>
      </c>
      <c r="G135" s="209">
        <v>5.1333333333333302</v>
      </c>
      <c r="H135" s="344">
        <v>4.2</v>
      </c>
      <c r="I135" s="344">
        <v>4.43333333333333</v>
      </c>
      <c r="J135" s="344">
        <v>5.1333333333333302</v>
      </c>
      <c r="K135" s="344">
        <v>3.2666666666666702</v>
      </c>
      <c r="L135" s="344">
        <f t="shared" si="46"/>
        <v>0.76222222222222302</v>
      </c>
      <c r="M135" s="344">
        <v>2.3333333333333299</v>
      </c>
      <c r="N135" s="344">
        <v>2.3333333333333299</v>
      </c>
      <c r="O135" s="344">
        <v>2.3333333333333299</v>
      </c>
      <c r="P135" s="344">
        <v>2.56666666666667</v>
      </c>
      <c r="Q135" s="344">
        <v>5.1333333333333302</v>
      </c>
      <c r="R135" s="344">
        <v>7.7</v>
      </c>
      <c r="S135" s="344">
        <v>9.1</v>
      </c>
      <c r="T135" s="344">
        <v>10.033333333333299</v>
      </c>
      <c r="U135" s="344">
        <v>10.033333333333299</v>
      </c>
      <c r="V135" s="344">
        <v>7.93333333333333</v>
      </c>
      <c r="W135" s="344">
        <v>6.7666666666666702</v>
      </c>
      <c r="X135" s="344">
        <v>5.6</v>
      </c>
      <c r="Y135" s="344">
        <v>6.5333333333333297</v>
      </c>
      <c r="Z135" s="344">
        <v>7</v>
      </c>
      <c r="AA135" s="344">
        <v>7.93333333333333</v>
      </c>
      <c r="AB135" s="344">
        <v>8.6333333333333293</v>
      </c>
      <c r="AC135" s="344">
        <v>7</v>
      </c>
      <c r="AD135" s="344">
        <f t="shared" si="47"/>
        <v>-1.6333333333333293</v>
      </c>
      <c r="AE135" s="344">
        <v>5</v>
      </c>
      <c r="AF135" s="344">
        <v>3</v>
      </c>
      <c r="AG135" s="345">
        <v>3</v>
      </c>
      <c r="AH135" s="346">
        <v>24</v>
      </c>
      <c r="AI135" s="197">
        <v>51</v>
      </c>
      <c r="AJ135" s="197">
        <v>51</v>
      </c>
      <c r="AK135" s="197">
        <v>51</v>
      </c>
      <c r="AL135" s="197">
        <v>51</v>
      </c>
      <c r="AM135" s="197">
        <v>15</v>
      </c>
      <c r="AN135" s="197">
        <v>10</v>
      </c>
      <c r="AO135" s="197">
        <v>18</v>
      </c>
      <c r="AP135" s="347">
        <v>15</v>
      </c>
      <c r="AQ135" s="347">
        <v>9</v>
      </c>
      <c r="AR135" s="347">
        <v>17</v>
      </c>
      <c r="AS135" s="197">
        <v>10</v>
      </c>
      <c r="AT135" s="347">
        <v>7</v>
      </c>
      <c r="AU135" s="347">
        <v>18</v>
      </c>
      <c r="AV135" s="347">
        <v>16</v>
      </c>
      <c r="AW135" s="347">
        <v>4</v>
      </c>
      <c r="AX135" s="347">
        <v>15</v>
      </c>
      <c r="AY135" s="347">
        <v>5</v>
      </c>
      <c r="AZ135" s="347">
        <v>3</v>
      </c>
      <c r="BA135" s="347">
        <v>10</v>
      </c>
      <c r="BB135" s="347">
        <v>8</v>
      </c>
      <c r="BC135" s="347">
        <v>8</v>
      </c>
    </row>
    <row r="136" spans="1:55" s="381" customFormat="1" ht="17.649999999999999" customHeight="1">
      <c r="A136" s="343">
        <v>76</v>
      </c>
      <c r="B136" s="211" t="s">
        <v>2155</v>
      </c>
      <c r="C136" s="211" t="s">
        <v>2055</v>
      </c>
      <c r="D136" s="211" t="s">
        <v>2125</v>
      </c>
      <c r="E136" s="344">
        <v>28</v>
      </c>
      <c r="F136" s="344">
        <v>24.033333333333299</v>
      </c>
      <c r="G136" s="209">
        <v>19.600000000000001</v>
      </c>
      <c r="H136" s="344">
        <v>15.633333333333301</v>
      </c>
      <c r="I136" s="344">
        <v>4.43333333333333</v>
      </c>
      <c r="J136" s="344">
        <v>4.43333333333333</v>
      </c>
      <c r="K136" s="344">
        <v>4.2</v>
      </c>
      <c r="L136" s="344">
        <f t="shared" si="46"/>
        <v>0.98000000000000009</v>
      </c>
      <c r="M136" s="344">
        <v>2.56666666666667</v>
      </c>
      <c r="N136" s="344">
        <v>4.2</v>
      </c>
      <c r="O136" s="344">
        <v>3.0333333333333301</v>
      </c>
      <c r="P136" s="344">
        <v>3.9666666666666699</v>
      </c>
      <c r="Q136" s="344">
        <v>8.4</v>
      </c>
      <c r="R136" s="344">
        <v>9.1</v>
      </c>
      <c r="S136" s="344">
        <v>11.6666666666667</v>
      </c>
      <c r="T136" s="344">
        <v>13.3</v>
      </c>
      <c r="U136" s="344">
        <v>9.1</v>
      </c>
      <c r="V136" s="344">
        <v>8.8666666666666707</v>
      </c>
      <c r="W136" s="344">
        <v>6.7666666666666702</v>
      </c>
      <c r="X136" s="344">
        <v>4.2</v>
      </c>
      <c r="Y136" s="344">
        <v>3.5</v>
      </c>
      <c r="Z136" s="344">
        <v>2.56666666666667</v>
      </c>
      <c r="AA136" s="344">
        <v>9.8000000000000007</v>
      </c>
      <c r="AB136" s="344">
        <v>10.966666666666701</v>
      </c>
      <c r="AC136" s="344">
        <v>10.033333333333299</v>
      </c>
      <c r="AD136" s="344">
        <f t="shared" si="47"/>
        <v>-0.93333333333340107</v>
      </c>
      <c r="AE136" s="344">
        <v>6</v>
      </c>
      <c r="AF136" s="344">
        <v>13</v>
      </c>
      <c r="AG136" s="345">
        <v>10</v>
      </c>
      <c r="AH136" s="346">
        <v>11</v>
      </c>
      <c r="AI136" s="197">
        <v>5</v>
      </c>
      <c r="AJ136" s="197">
        <v>9</v>
      </c>
      <c r="AK136" s="197">
        <v>9</v>
      </c>
      <c r="AL136" s="197">
        <v>9</v>
      </c>
      <c r="AM136" s="197">
        <v>11</v>
      </c>
      <c r="AN136" s="197">
        <v>12</v>
      </c>
      <c r="AO136" s="197">
        <v>12</v>
      </c>
      <c r="AP136" s="197">
        <v>1</v>
      </c>
      <c r="AQ136" s="197">
        <v>8</v>
      </c>
      <c r="AR136" s="347">
        <v>3</v>
      </c>
      <c r="AS136" s="197">
        <v>8</v>
      </c>
      <c r="AT136" s="197">
        <v>3</v>
      </c>
      <c r="AU136" s="347">
        <v>1</v>
      </c>
      <c r="AV136" s="347">
        <v>14</v>
      </c>
      <c r="AW136" s="347">
        <v>10</v>
      </c>
      <c r="AX136" s="347">
        <v>9</v>
      </c>
      <c r="AY136" s="347">
        <v>5</v>
      </c>
      <c r="AZ136" s="347">
        <v>10</v>
      </c>
      <c r="BA136" s="347">
        <v>9</v>
      </c>
      <c r="BB136" s="347">
        <v>8</v>
      </c>
      <c r="BC136" s="347">
        <v>3</v>
      </c>
    </row>
    <row r="137" spans="1:55" s="381" customFormat="1" ht="17.649999999999999" customHeight="1">
      <c r="A137" s="343">
        <v>77</v>
      </c>
      <c r="B137" s="211" t="s">
        <v>2156</v>
      </c>
      <c r="C137" s="211" t="s">
        <v>2055</v>
      </c>
      <c r="D137" s="211" t="s">
        <v>2125</v>
      </c>
      <c r="E137" s="344">
        <v>5</v>
      </c>
      <c r="F137" s="344">
        <v>5.1333333333333302</v>
      </c>
      <c r="G137" s="209">
        <v>4.6666666666666696</v>
      </c>
      <c r="H137" s="344">
        <v>4.2</v>
      </c>
      <c r="I137" s="344">
        <v>4.6666666666666696</v>
      </c>
      <c r="J137" s="344">
        <v>5.1333333333333302</v>
      </c>
      <c r="K137" s="344">
        <v>4.2</v>
      </c>
      <c r="L137" s="344">
        <f t="shared" si="46"/>
        <v>0.98000000000000009</v>
      </c>
      <c r="M137" s="344">
        <v>2.1</v>
      </c>
      <c r="N137" s="344">
        <v>2.56666666666667</v>
      </c>
      <c r="O137" s="344">
        <v>3.5</v>
      </c>
      <c r="P137" s="344">
        <v>6.3</v>
      </c>
      <c r="Q137" s="344">
        <v>7.7</v>
      </c>
      <c r="R137" s="344">
        <v>9.1</v>
      </c>
      <c r="S137" s="344">
        <v>9.1</v>
      </c>
      <c r="T137" s="344">
        <v>8.8666666666666707</v>
      </c>
      <c r="U137" s="344">
        <v>9.1</v>
      </c>
      <c r="V137" s="344">
        <v>7</v>
      </c>
      <c r="W137" s="344">
        <v>5.8333333333333304</v>
      </c>
      <c r="X137" s="344">
        <v>5.3666666666666698</v>
      </c>
      <c r="Y137" s="344">
        <v>5.3666666666666698</v>
      </c>
      <c r="Z137" s="344">
        <v>5.1333333333333302</v>
      </c>
      <c r="AA137" s="344">
        <v>5.8333333333333304</v>
      </c>
      <c r="AB137" s="344">
        <v>7</v>
      </c>
      <c r="AC137" s="344">
        <v>6.3</v>
      </c>
      <c r="AD137" s="344">
        <f t="shared" si="47"/>
        <v>-0.70000000000000018</v>
      </c>
      <c r="AE137" s="344">
        <v>2</v>
      </c>
      <c r="AF137" s="344">
        <v>2</v>
      </c>
      <c r="AG137" s="345">
        <v>1</v>
      </c>
      <c r="AH137" s="346">
        <v>1</v>
      </c>
      <c r="AI137" s="197">
        <v>1</v>
      </c>
      <c r="AJ137" s="197">
        <v>2</v>
      </c>
      <c r="AK137" s="197">
        <v>9</v>
      </c>
      <c r="AL137" s="197">
        <v>9</v>
      </c>
      <c r="AM137" s="197">
        <v>6</v>
      </c>
      <c r="AN137" s="197">
        <v>3</v>
      </c>
      <c r="AO137" s="197">
        <v>4</v>
      </c>
      <c r="AP137" s="197">
        <v>2</v>
      </c>
      <c r="AQ137" s="197">
        <v>2</v>
      </c>
      <c r="AR137" s="197">
        <v>2</v>
      </c>
      <c r="AS137" s="197">
        <v>2</v>
      </c>
      <c r="AT137" s="347">
        <v>3</v>
      </c>
      <c r="AU137" s="347">
        <v>2</v>
      </c>
      <c r="AV137" s="347">
        <v>2</v>
      </c>
      <c r="AW137" s="347">
        <v>10</v>
      </c>
      <c r="AX137" s="347">
        <v>1</v>
      </c>
      <c r="AY137" s="347">
        <v>2</v>
      </c>
      <c r="AZ137" s="347">
        <v>9</v>
      </c>
      <c r="BA137" s="347">
        <v>1</v>
      </c>
      <c r="BB137" s="347">
        <v>1</v>
      </c>
      <c r="BC137" s="347">
        <v>4</v>
      </c>
    </row>
    <row r="138" spans="1:55" s="381" customFormat="1" ht="17.649999999999999" customHeight="1">
      <c r="A138" s="343">
        <v>78</v>
      </c>
      <c r="B138" s="211" t="s">
        <v>2157</v>
      </c>
      <c r="C138" s="211" t="s">
        <v>2055</v>
      </c>
      <c r="D138" s="211" t="s">
        <v>2125</v>
      </c>
      <c r="E138" s="344">
        <v>147</v>
      </c>
      <c r="F138" s="344">
        <v>157.96666666666701</v>
      </c>
      <c r="G138" s="209">
        <v>153.53333333333299</v>
      </c>
      <c r="H138" s="344">
        <v>146.066666666667</v>
      </c>
      <c r="I138" s="344">
        <v>143.5</v>
      </c>
      <c r="J138" s="344">
        <v>142.80000000000001</v>
      </c>
      <c r="K138" s="344">
        <v>129.5</v>
      </c>
      <c r="L138" s="344">
        <f t="shared" si="46"/>
        <v>30.216666666666665</v>
      </c>
      <c r="M138" s="344">
        <v>88.9</v>
      </c>
      <c r="N138" s="344">
        <v>89.8333333333333</v>
      </c>
      <c r="O138" s="344">
        <v>90.766666666666694</v>
      </c>
      <c r="P138" s="344">
        <v>115.5</v>
      </c>
      <c r="Q138" s="344">
        <v>148.86666666666699</v>
      </c>
      <c r="R138" s="344">
        <v>150.03333333333299</v>
      </c>
      <c r="S138" s="344">
        <v>152.36666666666699</v>
      </c>
      <c r="T138" s="344">
        <v>139.066666666667</v>
      </c>
      <c r="U138" s="344">
        <v>136.03333333333299</v>
      </c>
      <c r="V138" s="344">
        <v>134.86666666666699</v>
      </c>
      <c r="W138" s="344">
        <v>129.73333333333301</v>
      </c>
      <c r="X138" s="344">
        <v>139.76666666666699</v>
      </c>
      <c r="Y138" s="344">
        <v>130.433333333333</v>
      </c>
      <c r="Z138" s="344">
        <v>141.4</v>
      </c>
      <c r="AA138" s="344">
        <v>137.433333333333</v>
      </c>
      <c r="AB138" s="344">
        <v>136.03333333333299</v>
      </c>
      <c r="AC138" s="344">
        <v>131.6</v>
      </c>
      <c r="AD138" s="344">
        <f t="shared" si="47"/>
        <v>-4.4333333333329961</v>
      </c>
      <c r="AE138" s="344">
        <v>12</v>
      </c>
      <c r="AF138" s="344">
        <v>10</v>
      </c>
      <c r="AG138" s="345">
        <v>9</v>
      </c>
      <c r="AH138" s="346">
        <v>51</v>
      </c>
      <c r="AI138" s="197">
        <v>9</v>
      </c>
      <c r="AJ138" s="197">
        <v>33</v>
      </c>
      <c r="AK138" s="197">
        <v>12</v>
      </c>
      <c r="AL138" s="197">
        <v>11</v>
      </c>
      <c r="AM138" s="197">
        <v>14</v>
      </c>
      <c r="AN138" s="197">
        <v>37</v>
      </c>
      <c r="AO138" s="197">
        <v>15</v>
      </c>
      <c r="AP138" s="197">
        <v>51</v>
      </c>
      <c r="AQ138" s="197">
        <v>51</v>
      </c>
      <c r="AR138" s="197">
        <v>51</v>
      </c>
      <c r="AS138" s="347">
        <v>19</v>
      </c>
      <c r="AT138" s="347">
        <v>23</v>
      </c>
      <c r="AU138" s="197">
        <v>51</v>
      </c>
      <c r="AV138" s="347">
        <v>13</v>
      </c>
      <c r="AW138" s="347">
        <v>39</v>
      </c>
      <c r="AX138" s="197">
        <v>51</v>
      </c>
      <c r="AY138" s="347">
        <v>9</v>
      </c>
      <c r="AZ138" s="347">
        <v>8</v>
      </c>
      <c r="BA138" s="347">
        <v>7</v>
      </c>
      <c r="BB138" s="347">
        <v>7</v>
      </c>
      <c r="BC138" s="347">
        <v>7</v>
      </c>
    </row>
    <row r="139" spans="1:55" s="381" customFormat="1" ht="17.649999999999999" customHeight="1">
      <c r="A139" s="343">
        <v>79</v>
      </c>
      <c r="B139" s="211" t="s">
        <v>2158</v>
      </c>
      <c r="C139" s="211" t="s">
        <v>2055</v>
      </c>
      <c r="D139" s="211" t="s">
        <v>2125</v>
      </c>
      <c r="E139" s="344">
        <v>173</v>
      </c>
      <c r="F139" s="344">
        <v>177.1</v>
      </c>
      <c r="G139" s="209">
        <v>167.066666666667</v>
      </c>
      <c r="H139" s="344">
        <v>169.86666666666699</v>
      </c>
      <c r="I139" s="344">
        <v>157.96666666666701</v>
      </c>
      <c r="J139" s="344">
        <v>154.933333333333</v>
      </c>
      <c r="K139" s="344">
        <v>146.30000000000001</v>
      </c>
      <c r="L139" s="344">
        <f t="shared" si="46"/>
        <v>34.13666666666667</v>
      </c>
      <c r="M139" s="344">
        <v>114.566666666667</v>
      </c>
      <c r="N139" s="344">
        <v>108.5</v>
      </c>
      <c r="O139" s="344">
        <v>107.8</v>
      </c>
      <c r="P139" s="344">
        <v>109.9</v>
      </c>
      <c r="Q139" s="344">
        <v>115.5</v>
      </c>
      <c r="R139" s="344">
        <v>117.366666666667</v>
      </c>
      <c r="S139" s="344">
        <v>128.80000000000001</v>
      </c>
      <c r="T139" s="344">
        <v>126.23333333333299</v>
      </c>
      <c r="U139" s="344">
        <v>129.73333333333301</v>
      </c>
      <c r="V139" s="344">
        <v>126</v>
      </c>
      <c r="W139" s="344">
        <v>108.26666666666701</v>
      </c>
      <c r="X139" s="344">
        <v>104.533333333333</v>
      </c>
      <c r="Y139" s="344">
        <v>112.23333333333299</v>
      </c>
      <c r="Z139" s="344">
        <v>95.433333333333294</v>
      </c>
      <c r="AA139" s="344">
        <v>100.566666666667</v>
      </c>
      <c r="AB139" s="344">
        <v>104.3</v>
      </c>
      <c r="AC139" s="344">
        <v>97.3</v>
      </c>
      <c r="AD139" s="344">
        <f t="shared" si="47"/>
        <v>-7</v>
      </c>
      <c r="AE139" s="344">
        <v>1</v>
      </c>
      <c r="AF139" s="344">
        <v>3</v>
      </c>
      <c r="AG139" s="345">
        <v>8</v>
      </c>
      <c r="AH139" s="346">
        <v>2</v>
      </c>
      <c r="AI139" s="197">
        <v>2</v>
      </c>
      <c r="AJ139" s="197">
        <v>2</v>
      </c>
      <c r="AK139" s="197">
        <v>2</v>
      </c>
      <c r="AL139" s="197">
        <v>2</v>
      </c>
      <c r="AM139" s="197">
        <v>2</v>
      </c>
      <c r="AN139" s="197">
        <v>2</v>
      </c>
      <c r="AO139" s="197">
        <v>20</v>
      </c>
      <c r="AP139" s="197">
        <v>2</v>
      </c>
      <c r="AQ139" s="347">
        <v>16</v>
      </c>
      <c r="AR139" s="197">
        <v>1</v>
      </c>
      <c r="AS139" s="197">
        <v>2</v>
      </c>
      <c r="AT139" s="347">
        <v>13</v>
      </c>
      <c r="AU139" s="347">
        <v>18</v>
      </c>
      <c r="AV139" s="347">
        <v>14</v>
      </c>
      <c r="AW139" s="347">
        <v>14</v>
      </c>
      <c r="AX139" s="347">
        <v>5</v>
      </c>
      <c r="AY139" s="347">
        <v>6</v>
      </c>
      <c r="AZ139" s="347">
        <v>6</v>
      </c>
      <c r="BA139" s="347">
        <v>9</v>
      </c>
      <c r="BB139" s="347">
        <v>8</v>
      </c>
      <c r="BC139" s="347">
        <v>3</v>
      </c>
    </row>
    <row r="140" spans="1:55" s="381" customFormat="1" ht="17.649999999999999" customHeight="1">
      <c r="A140" s="343">
        <v>80</v>
      </c>
      <c r="B140" s="211" t="s">
        <v>2159</v>
      </c>
      <c r="C140" s="211" t="s">
        <v>2055</v>
      </c>
      <c r="D140" s="211" t="s">
        <v>2125</v>
      </c>
      <c r="E140" s="344">
        <v>11</v>
      </c>
      <c r="F140" s="344">
        <v>10.266666666666699</v>
      </c>
      <c r="G140" s="209">
        <v>9.56666666666667</v>
      </c>
      <c r="H140" s="344">
        <v>7.93333333333333</v>
      </c>
      <c r="I140" s="344">
        <v>6.5333333333333297</v>
      </c>
      <c r="J140" s="344">
        <v>5.8333333333333304</v>
      </c>
      <c r="K140" s="344">
        <v>5.3666666666666698</v>
      </c>
      <c r="L140" s="344">
        <f t="shared" si="46"/>
        <v>1.252222222222223</v>
      </c>
      <c r="M140" s="344">
        <v>3.9666666666666699</v>
      </c>
      <c r="N140" s="344">
        <v>4.43333333333333</v>
      </c>
      <c r="O140" s="344">
        <v>3.9666666666666699</v>
      </c>
      <c r="P140" s="344">
        <v>5.1333333333333302</v>
      </c>
      <c r="Q140" s="344">
        <v>7.4666666666666703</v>
      </c>
      <c r="R140" s="344">
        <v>11.2</v>
      </c>
      <c r="S140" s="344">
        <v>12.133333333333301</v>
      </c>
      <c r="T140" s="344">
        <v>12.8333333333333</v>
      </c>
      <c r="U140" s="344">
        <v>10.733333333333301</v>
      </c>
      <c r="V140" s="344">
        <v>5.8333333333333304</v>
      </c>
      <c r="W140" s="344">
        <v>4.43333333333333</v>
      </c>
      <c r="X140" s="344">
        <v>3.2666666666666702</v>
      </c>
      <c r="Y140" s="344">
        <v>2.1</v>
      </c>
      <c r="Z140" s="344">
        <v>3.9666666666666699</v>
      </c>
      <c r="AA140" s="344">
        <v>7.93333333333333</v>
      </c>
      <c r="AB140" s="344">
        <v>8.6333333333333293</v>
      </c>
      <c r="AC140" s="344">
        <v>9.1</v>
      </c>
      <c r="AD140" s="344">
        <f t="shared" si="47"/>
        <v>0.46666666666667034</v>
      </c>
      <c r="AE140" s="344">
        <v>8</v>
      </c>
      <c r="AF140" s="344">
        <v>6</v>
      </c>
      <c r="AG140" s="345">
        <v>7</v>
      </c>
      <c r="AH140" s="346">
        <v>4</v>
      </c>
      <c r="AI140" s="197">
        <v>10</v>
      </c>
      <c r="AJ140" s="197">
        <v>4</v>
      </c>
      <c r="AK140" s="197">
        <v>5</v>
      </c>
      <c r="AL140" s="197">
        <v>5</v>
      </c>
      <c r="AM140" s="197">
        <v>3</v>
      </c>
      <c r="AN140" s="197">
        <v>9</v>
      </c>
      <c r="AO140" s="197">
        <v>2</v>
      </c>
      <c r="AP140" s="197">
        <v>1</v>
      </c>
      <c r="AQ140" s="197">
        <v>1</v>
      </c>
      <c r="AR140" s="197">
        <v>2</v>
      </c>
      <c r="AS140" s="197">
        <v>2</v>
      </c>
      <c r="AT140" s="197">
        <v>6</v>
      </c>
      <c r="AU140" s="347">
        <v>10</v>
      </c>
      <c r="AV140" s="347">
        <v>8</v>
      </c>
      <c r="AW140" s="347">
        <v>8</v>
      </c>
      <c r="AX140" s="347">
        <v>7</v>
      </c>
      <c r="AY140" s="347">
        <v>9</v>
      </c>
      <c r="AZ140" s="347">
        <v>10</v>
      </c>
      <c r="BA140" s="347">
        <v>3</v>
      </c>
      <c r="BB140" s="347">
        <v>6</v>
      </c>
      <c r="BC140" s="347">
        <v>5</v>
      </c>
    </row>
    <row r="141" spans="1:55" s="381" customFormat="1" ht="17.649999999999999" customHeight="1">
      <c r="A141" s="343">
        <v>81</v>
      </c>
      <c r="B141" s="211" t="s">
        <v>2160</v>
      </c>
      <c r="C141" s="211" t="s">
        <v>2055</v>
      </c>
      <c r="D141" s="211" t="s">
        <v>2125</v>
      </c>
      <c r="E141" s="344">
        <v>15</v>
      </c>
      <c r="F141" s="344">
        <v>16.8</v>
      </c>
      <c r="G141" s="209">
        <v>14</v>
      </c>
      <c r="H141" s="344">
        <v>14.9333333333333</v>
      </c>
      <c r="I141" s="344">
        <v>13.533333333333299</v>
      </c>
      <c r="J141" s="344">
        <v>11.9</v>
      </c>
      <c r="K141" s="344">
        <v>11.6666666666667</v>
      </c>
      <c r="L141" s="344">
        <f t="shared" si="46"/>
        <v>2.7222222222222299</v>
      </c>
      <c r="M141" s="344">
        <v>6.5333333333333297</v>
      </c>
      <c r="N141" s="344">
        <v>8.6333333333333293</v>
      </c>
      <c r="O141" s="344">
        <v>7.7</v>
      </c>
      <c r="P141" s="344">
        <v>8.6333333333333293</v>
      </c>
      <c r="Q141" s="344">
        <v>12.133333333333301</v>
      </c>
      <c r="R141" s="344">
        <v>12.133333333333301</v>
      </c>
      <c r="S141" s="344">
        <v>12.366666666666699</v>
      </c>
      <c r="T141" s="344">
        <v>13.3</v>
      </c>
      <c r="U141" s="344">
        <v>13.3</v>
      </c>
      <c r="V141" s="344">
        <v>12.133333333333301</v>
      </c>
      <c r="W141" s="344">
        <v>7.93333333333333</v>
      </c>
      <c r="X141" s="344">
        <v>9.8000000000000007</v>
      </c>
      <c r="Y141" s="344">
        <v>8.4</v>
      </c>
      <c r="Z141" s="344">
        <v>9.1</v>
      </c>
      <c r="AA141" s="344">
        <v>10.266666666666699</v>
      </c>
      <c r="AB141" s="344">
        <v>10.266666666666699</v>
      </c>
      <c r="AC141" s="344">
        <v>8.8666666666666707</v>
      </c>
      <c r="AD141" s="344">
        <f t="shared" si="47"/>
        <v>-1.4000000000000288</v>
      </c>
      <c r="AE141" s="344">
        <v>3</v>
      </c>
      <c r="AF141" s="344">
        <v>3</v>
      </c>
      <c r="AG141" s="345">
        <v>1</v>
      </c>
      <c r="AH141" s="346">
        <v>1</v>
      </c>
      <c r="AI141" s="197">
        <v>1</v>
      </c>
      <c r="AJ141" s="197">
        <v>1</v>
      </c>
      <c r="AK141" s="197">
        <v>2</v>
      </c>
      <c r="AL141" s="197">
        <v>2</v>
      </c>
      <c r="AM141" s="197">
        <v>1</v>
      </c>
      <c r="AN141" s="197">
        <v>1</v>
      </c>
      <c r="AO141" s="197">
        <v>3</v>
      </c>
      <c r="AP141" s="197">
        <v>1</v>
      </c>
      <c r="AQ141" s="197">
        <v>1</v>
      </c>
      <c r="AR141" s="197">
        <v>8</v>
      </c>
      <c r="AS141" s="197">
        <v>1</v>
      </c>
      <c r="AT141" s="197">
        <v>1</v>
      </c>
      <c r="AU141" s="347">
        <v>1</v>
      </c>
      <c r="AV141" s="347">
        <v>8</v>
      </c>
      <c r="AW141" s="347">
        <v>1</v>
      </c>
      <c r="AX141" s="347">
        <v>1</v>
      </c>
      <c r="AY141" s="347">
        <v>1</v>
      </c>
      <c r="AZ141" s="347">
        <v>1</v>
      </c>
      <c r="BA141" s="347">
        <v>1</v>
      </c>
      <c r="BB141" s="347">
        <v>1</v>
      </c>
      <c r="BC141" s="347">
        <v>1</v>
      </c>
    </row>
    <row r="142" spans="1:55" s="381" customFormat="1" ht="17.649999999999999" customHeight="1">
      <c r="A142" s="343">
        <v>82</v>
      </c>
      <c r="B142" s="211" t="s">
        <v>2161</v>
      </c>
      <c r="C142" s="211" t="s">
        <v>2055</v>
      </c>
      <c r="D142" s="211" t="s">
        <v>2125</v>
      </c>
      <c r="E142" s="344">
        <v>1</v>
      </c>
      <c r="F142" s="344">
        <v>2.3333333333333299</v>
      </c>
      <c r="G142" s="209">
        <v>3.9666666666666699</v>
      </c>
      <c r="H142" s="344">
        <v>4.2</v>
      </c>
      <c r="I142" s="344">
        <v>4.6666666666666696</v>
      </c>
      <c r="J142" s="344">
        <v>4.43333333333333</v>
      </c>
      <c r="K142" s="344">
        <v>3.2666666666666702</v>
      </c>
      <c r="L142" s="344">
        <f t="shared" si="46"/>
        <v>0.76222222222222302</v>
      </c>
      <c r="M142" s="344">
        <v>1.86666666666667</v>
      </c>
      <c r="N142" s="344">
        <v>1.86666666666667</v>
      </c>
      <c r="O142" s="344">
        <v>2.1</v>
      </c>
      <c r="P142" s="344">
        <v>1.1666666666666701</v>
      </c>
      <c r="Q142" s="344">
        <v>2.1</v>
      </c>
      <c r="R142" s="344">
        <v>3.0333333333333301</v>
      </c>
      <c r="S142" s="344">
        <v>3.9666666666666699</v>
      </c>
      <c r="T142" s="344">
        <v>5.6</v>
      </c>
      <c r="U142" s="344">
        <v>5.8333333333333304</v>
      </c>
      <c r="V142" s="344">
        <v>4.2</v>
      </c>
      <c r="W142" s="344">
        <v>5.8333333333333304</v>
      </c>
      <c r="X142" s="344">
        <v>5.3666666666666698</v>
      </c>
      <c r="Y142" s="344">
        <v>6.3</v>
      </c>
      <c r="Z142" s="344">
        <v>5.8333333333333304</v>
      </c>
      <c r="AA142" s="344">
        <v>3.5</v>
      </c>
      <c r="AB142" s="344">
        <v>3.5</v>
      </c>
      <c r="AC142" s="344">
        <v>2.1</v>
      </c>
      <c r="AD142" s="344">
        <f t="shared" si="47"/>
        <v>-1.4</v>
      </c>
      <c r="AE142" s="344">
        <v>2</v>
      </c>
      <c r="AF142" s="344">
        <v>6</v>
      </c>
      <c r="AG142" s="345">
        <v>8</v>
      </c>
      <c r="AH142" s="346">
        <v>7</v>
      </c>
      <c r="AI142" s="197">
        <v>7</v>
      </c>
      <c r="AJ142" s="197">
        <v>4</v>
      </c>
      <c r="AK142" s="197">
        <v>3</v>
      </c>
      <c r="AL142" s="197">
        <v>3</v>
      </c>
      <c r="AM142" s="197">
        <v>3</v>
      </c>
      <c r="AN142" s="197">
        <v>2</v>
      </c>
      <c r="AO142" s="197">
        <v>2</v>
      </c>
      <c r="AP142" s="197">
        <v>4</v>
      </c>
      <c r="AQ142" s="197">
        <v>2</v>
      </c>
      <c r="AR142" s="197">
        <v>2</v>
      </c>
      <c r="AS142" s="197">
        <v>2</v>
      </c>
      <c r="AT142" s="197">
        <v>3</v>
      </c>
      <c r="AU142" s="347">
        <v>2</v>
      </c>
      <c r="AV142" s="347">
        <v>2</v>
      </c>
      <c r="AW142" s="347">
        <v>2</v>
      </c>
      <c r="AX142" s="347">
        <v>4</v>
      </c>
      <c r="AY142" s="347">
        <v>8</v>
      </c>
      <c r="AZ142" s="347">
        <v>2</v>
      </c>
      <c r="BA142" s="347">
        <v>2</v>
      </c>
      <c r="BB142" s="347">
        <v>2</v>
      </c>
      <c r="BC142" s="347">
        <v>1</v>
      </c>
    </row>
    <row r="143" spans="1:55" s="381" customFormat="1" ht="17.649999999999999" customHeight="1">
      <c r="A143" s="343">
        <v>83</v>
      </c>
      <c r="B143" s="211" t="s">
        <v>2162</v>
      </c>
      <c r="C143" s="211" t="s">
        <v>2055</v>
      </c>
      <c r="D143" s="211" t="s">
        <v>2125</v>
      </c>
      <c r="E143" s="344">
        <v>3</v>
      </c>
      <c r="F143" s="344">
        <v>2.56666666666667</v>
      </c>
      <c r="G143" s="209">
        <v>2.56666666666667</v>
      </c>
      <c r="H143" s="344">
        <v>2.1</v>
      </c>
      <c r="I143" s="344">
        <v>2.56666666666667</v>
      </c>
      <c r="J143" s="344">
        <v>2.3333333333333299</v>
      </c>
      <c r="K143" s="344">
        <v>2.3333333333333299</v>
      </c>
      <c r="L143" s="344">
        <f t="shared" si="46"/>
        <v>0.54444444444444362</v>
      </c>
      <c r="M143" s="344">
        <v>1.86666666666667</v>
      </c>
      <c r="N143" s="344">
        <v>2.3333333333333299</v>
      </c>
      <c r="O143" s="344">
        <v>2.1</v>
      </c>
      <c r="P143" s="344">
        <v>1.4</v>
      </c>
      <c r="Q143" s="344">
        <v>2.56666666666667</v>
      </c>
      <c r="R143" s="344">
        <v>3.9666666666666699</v>
      </c>
      <c r="S143" s="344">
        <v>5.1333333333333302</v>
      </c>
      <c r="T143" s="344">
        <v>5.3666666666666698</v>
      </c>
      <c r="U143" s="344">
        <v>5.8333333333333304</v>
      </c>
      <c r="V143" s="344">
        <v>4.2</v>
      </c>
      <c r="W143" s="344">
        <v>3.2666666666666702</v>
      </c>
      <c r="X143" s="344">
        <v>3.2666666666666702</v>
      </c>
      <c r="Y143" s="344">
        <v>3.9666666666666699</v>
      </c>
      <c r="Z143" s="344">
        <v>3.5</v>
      </c>
      <c r="AA143" s="344">
        <v>3.9666666666666699</v>
      </c>
      <c r="AB143" s="344">
        <v>5.6</v>
      </c>
      <c r="AC143" s="344">
        <v>6.3</v>
      </c>
      <c r="AD143" s="344">
        <f t="shared" si="47"/>
        <v>0.70000000000000018</v>
      </c>
      <c r="AE143" s="344">
        <v>5</v>
      </c>
      <c r="AF143" s="344">
        <v>3</v>
      </c>
      <c r="AG143" s="345">
        <v>4</v>
      </c>
      <c r="AH143" s="346">
        <v>4</v>
      </c>
      <c r="AI143" s="197">
        <v>2</v>
      </c>
      <c r="AJ143" s="197">
        <v>4</v>
      </c>
      <c r="AK143" s="197">
        <v>2</v>
      </c>
      <c r="AL143" s="197">
        <v>2</v>
      </c>
      <c r="AM143" s="197">
        <v>4</v>
      </c>
      <c r="AN143" s="197">
        <v>4</v>
      </c>
      <c r="AO143" s="197">
        <v>6</v>
      </c>
      <c r="AP143" s="197">
        <v>2</v>
      </c>
      <c r="AQ143" s="197">
        <v>4</v>
      </c>
      <c r="AR143" s="197">
        <v>4</v>
      </c>
      <c r="AS143" s="347">
        <v>1</v>
      </c>
      <c r="AT143" s="197">
        <v>2</v>
      </c>
      <c r="AU143" s="347">
        <v>1</v>
      </c>
      <c r="AV143" s="347">
        <v>1</v>
      </c>
      <c r="AW143" s="347">
        <v>1</v>
      </c>
      <c r="AX143" s="347">
        <v>9</v>
      </c>
      <c r="AY143" s="347">
        <v>9</v>
      </c>
      <c r="AZ143" s="347">
        <v>7</v>
      </c>
      <c r="BA143" s="347">
        <v>1</v>
      </c>
      <c r="BB143" s="347">
        <v>7</v>
      </c>
      <c r="BC143" s="347">
        <v>1</v>
      </c>
    </row>
    <row r="144" spans="1:55" s="381" customFormat="1" ht="17.649999999999999" customHeight="1">
      <c r="A144" s="343">
        <v>84</v>
      </c>
      <c r="B144" s="211" t="s">
        <v>2163</v>
      </c>
      <c r="C144" s="211" t="s">
        <v>2055</v>
      </c>
      <c r="D144" s="211" t="s">
        <v>2125</v>
      </c>
      <c r="E144" s="344">
        <v>6</v>
      </c>
      <c r="F144" s="344">
        <v>5.1333333333333302</v>
      </c>
      <c r="G144" s="209">
        <v>6.7666666666666702</v>
      </c>
      <c r="H144" s="344">
        <v>7</v>
      </c>
      <c r="I144" s="344">
        <v>8.8666666666666707</v>
      </c>
      <c r="J144" s="344">
        <v>8.4</v>
      </c>
      <c r="K144" s="344">
        <v>7</v>
      </c>
      <c r="L144" s="344">
        <f t="shared" si="46"/>
        <v>1.6333333333333333</v>
      </c>
      <c r="M144" s="344">
        <v>4.6666666666666696</v>
      </c>
      <c r="N144" s="344">
        <v>3.9666666666666699</v>
      </c>
      <c r="O144" s="344">
        <v>3.5</v>
      </c>
      <c r="P144" s="344">
        <v>3.0333333333333301</v>
      </c>
      <c r="Q144" s="344">
        <v>2.56666666666667</v>
      </c>
      <c r="R144" s="344">
        <v>2.56666666666667</v>
      </c>
      <c r="S144" s="344">
        <v>3.2666666666666702</v>
      </c>
      <c r="T144" s="344">
        <v>3.2666666666666702</v>
      </c>
      <c r="U144" s="344">
        <v>4.2</v>
      </c>
      <c r="V144" s="344">
        <v>5.3666666666666698</v>
      </c>
      <c r="W144" s="344">
        <v>12.366666666666699</v>
      </c>
      <c r="X144" s="344">
        <v>15.4</v>
      </c>
      <c r="Y144" s="344">
        <v>17.266666666666701</v>
      </c>
      <c r="Z144" s="344">
        <v>16.3333333333333</v>
      </c>
      <c r="AA144" s="344">
        <v>10.266666666666699</v>
      </c>
      <c r="AB144" s="344">
        <v>12.366666666666699</v>
      </c>
      <c r="AC144" s="344">
        <v>9.56666666666667</v>
      </c>
      <c r="AD144" s="344">
        <f t="shared" si="47"/>
        <v>-2.8000000000000291</v>
      </c>
      <c r="AE144" s="344">
        <v>4</v>
      </c>
      <c r="AF144" s="344">
        <v>9</v>
      </c>
      <c r="AG144" s="345">
        <v>10</v>
      </c>
      <c r="AH144" s="346">
        <v>10</v>
      </c>
      <c r="AI144" s="197">
        <v>3</v>
      </c>
      <c r="AJ144" s="197">
        <v>10</v>
      </c>
      <c r="AK144" s="197">
        <v>10</v>
      </c>
      <c r="AL144" s="197">
        <v>10</v>
      </c>
      <c r="AM144" s="197">
        <v>3</v>
      </c>
      <c r="AN144" s="197">
        <v>10</v>
      </c>
      <c r="AO144" s="197">
        <v>10</v>
      </c>
      <c r="AP144" s="197">
        <v>9</v>
      </c>
      <c r="AQ144" s="347">
        <v>9</v>
      </c>
      <c r="AR144" s="197">
        <v>7</v>
      </c>
      <c r="AS144" s="347">
        <v>15</v>
      </c>
      <c r="AT144" s="197">
        <v>10</v>
      </c>
      <c r="AU144" s="347">
        <v>10</v>
      </c>
      <c r="AV144" s="347">
        <v>9</v>
      </c>
      <c r="AW144" s="347">
        <v>4</v>
      </c>
      <c r="AX144" s="347">
        <v>4</v>
      </c>
      <c r="AY144" s="347">
        <v>7</v>
      </c>
      <c r="AZ144" s="197">
        <v>7</v>
      </c>
      <c r="BA144" s="347">
        <v>7</v>
      </c>
      <c r="BB144" s="347">
        <v>8</v>
      </c>
      <c r="BC144" s="347">
        <v>8</v>
      </c>
    </row>
    <row r="145" spans="1:55" s="381" customFormat="1" ht="17.649999999999999" customHeight="1">
      <c r="A145" s="343">
        <v>85</v>
      </c>
      <c r="B145" s="211" t="s">
        <v>2164</v>
      </c>
      <c r="C145" s="211" t="s">
        <v>2055</v>
      </c>
      <c r="D145" s="211" t="s">
        <v>2125</v>
      </c>
      <c r="E145" s="344">
        <v>4</v>
      </c>
      <c r="F145" s="344">
        <v>5.6</v>
      </c>
      <c r="G145" s="209">
        <v>6.3</v>
      </c>
      <c r="H145" s="344">
        <v>6.3</v>
      </c>
      <c r="I145" s="344">
        <v>7.4666666666666703</v>
      </c>
      <c r="J145" s="344">
        <v>7.93333333333333</v>
      </c>
      <c r="K145" s="344">
        <v>7</v>
      </c>
      <c r="L145" s="344">
        <f t="shared" si="46"/>
        <v>1.6333333333333333</v>
      </c>
      <c r="M145" s="344">
        <v>5.6</v>
      </c>
      <c r="N145" s="344">
        <v>5.6</v>
      </c>
      <c r="O145" s="344">
        <v>4.2</v>
      </c>
      <c r="P145" s="344">
        <v>3.5</v>
      </c>
      <c r="Q145" s="344">
        <v>5.3666666666666698</v>
      </c>
      <c r="R145" s="344">
        <v>5.3666666666666698</v>
      </c>
      <c r="S145" s="344">
        <v>7.4666666666666703</v>
      </c>
      <c r="T145" s="344">
        <v>8.4</v>
      </c>
      <c r="U145" s="344">
        <v>7</v>
      </c>
      <c r="V145" s="344">
        <v>5.8333333333333304</v>
      </c>
      <c r="W145" s="344">
        <v>5.1333333333333302</v>
      </c>
      <c r="X145" s="344">
        <v>4.2</v>
      </c>
      <c r="Y145" s="344">
        <v>4.6666666666666696</v>
      </c>
      <c r="Z145" s="344">
        <v>5.6</v>
      </c>
      <c r="AA145" s="344">
        <v>4.43333333333333</v>
      </c>
      <c r="AB145" s="344">
        <v>5.1333333333333302</v>
      </c>
      <c r="AC145" s="344">
        <v>3.5</v>
      </c>
      <c r="AD145" s="344">
        <f t="shared" si="47"/>
        <v>-1.6333333333333302</v>
      </c>
      <c r="AE145" s="344">
        <v>3</v>
      </c>
      <c r="AF145" s="344">
        <v>3</v>
      </c>
      <c r="AG145" s="345">
        <v>1</v>
      </c>
      <c r="AH145" s="346">
        <v>1</v>
      </c>
      <c r="AI145" s="197">
        <v>1</v>
      </c>
      <c r="AJ145" s="197">
        <v>1</v>
      </c>
      <c r="AK145" s="197">
        <v>1</v>
      </c>
      <c r="AL145" s="197">
        <v>1</v>
      </c>
      <c r="AM145" s="197">
        <v>1</v>
      </c>
      <c r="AN145" s="197">
        <v>1</v>
      </c>
      <c r="AO145" s="197">
        <v>1</v>
      </c>
      <c r="AP145" s="197">
        <v>1</v>
      </c>
      <c r="AQ145" s="197">
        <v>1</v>
      </c>
      <c r="AR145" s="197">
        <v>1</v>
      </c>
      <c r="AS145" s="197">
        <v>1</v>
      </c>
      <c r="AT145" s="197">
        <v>1</v>
      </c>
      <c r="AU145" s="347">
        <v>1</v>
      </c>
      <c r="AV145" s="347">
        <v>1</v>
      </c>
      <c r="AW145" s="347">
        <v>1</v>
      </c>
      <c r="AX145" s="347">
        <v>1</v>
      </c>
      <c r="AY145" s="347">
        <v>1</v>
      </c>
      <c r="AZ145" s="347">
        <v>1</v>
      </c>
      <c r="BA145" s="347">
        <v>1</v>
      </c>
      <c r="BB145" s="347">
        <v>1</v>
      </c>
      <c r="BC145" s="347">
        <v>1</v>
      </c>
    </row>
    <row r="146" spans="1:55" s="381" customFormat="1" ht="17.649999999999999" customHeight="1">
      <c r="A146" s="343">
        <v>86</v>
      </c>
      <c r="B146" s="211" t="s">
        <v>2165</v>
      </c>
      <c r="C146" s="211" t="s">
        <v>2055</v>
      </c>
      <c r="D146" s="211" t="s">
        <v>2125</v>
      </c>
      <c r="E146" s="344">
        <v>16</v>
      </c>
      <c r="F146" s="344">
        <v>20.533333333333299</v>
      </c>
      <c r="G146" s="209">
        <v>23.1</v>
      </c>
      <c r="H146" s="344">
        <v>23.1</v>
      </c>
      <c r="I146" s="344">
        <v>27.3</v>
      </c>
      <c r="J146" s="344">
        <v>30.3333333333333</v>
      </c>
      <c r="K146" s="344">
        <v>24.266666666666701</v>
      </c>
      <c r="L146" s="344">
        <f t="shared" si="46"/>
        <v>5.6622222222222298</v>
      </c>
      <c r="M146" s="344">
        <v>11.2</v>
      </c>
      <c r="N146" s="344">
        <v>7.7</v>
      </c>
      <c r="O146" s="344">
        <v>7.7</v>
      </c>
      <c r="P146" s="344">
        <v>10.733333333333301</v>
      </c>
      <c r="Q146" s="344">
        <v>14.9333333333333</v>
      </c>
      <c r="R146" s="344">
        <v>13.533333333333299</v>
      </c>
      <c r="S146" s="344">
        <v>15.1666666666667</v>
      </c>
      <c r="T146" s="344">
        <v>16.3333333333333</v>
      </c>
      <c r="U146" s="344">
        <v>16.8</v>
      </c>
      <c r="V146" s="344">
        <v>16.8</v>
      </c>
      <c r="W146" s="344">
        <v>15.633333333333301</v>
      </c>
      <c r="X146" s="344">
        <v>14.9333333333333</v>
      </c>
      <c r="Y146" s="344">
        <v>11.6666666666667</v>
      </c>
      <c r="Z146" s="344">
        <v>10.966666666666701</v>
      </c>
      <c r="AA146" s="344">
        <v>9.1</v>
      </c>
      <c r="AB146" s="344">
        <v>9.8000000000000007</v>
      </c>
      <c r="AC146" s="344">
        <v>10.033333333333299</v>
      </c>
      <c r="AD146" s="344">
        <f t="shared" si="47"/>
        <v>0.23333333333329875</v>
      </c>
      <c r="AE146" s="344">
        <v>2</v>
      </c>
      <c r="AF146" s="344">
        <v>3</v>
      </c>
      <c r="AG146" s="345">
        <v>3</v>
      </c>
      <c r="AH146" s="346">
        <v>4</v>
      </c>
      <c r="AI146" s="197">
        <v>1</v>
      </c>
      <c r="AJ146" s="197">
        <v>3</v>
      </c>
      <c r="AK146" s="197">
        <v>6</v>
      </c>
      <c r="AL146" s="197">
        <v>6</v>
      </c>
      <c r="AM146" s="197">
        <v>3</v>
      </c>
      <c r="AN146" s="197">
        <v>1</v>
      </c>
      <c r="AO146" s="197">
        <v>3</v>
      </c>
      <c r="AP146" s="197">
        <v>4</v>
      </c>
      <c r="AQ146" s="197">
        <v>4</v>
      </c>
      <c r="AR146" s="197">
        <v>1</v>
      </c>
      <c r="AS146" s="197">
        <v>4</v>
      </c>
      <c r="AT146" s="197">
        <v>3</v>
      </c>
      <c r="AU146" s="347">
        <v>4</v>
      </c>
      <c r="AV146" s="347">
        <v>3</v>
      </c>
      <c r="AW146" s="347">
        <v>1</v>
      </c>
      <c r="AX146" s="347">
        <v>3</v>
      </c>
      <c r="AY146" s="347">
        <v>4</v>
      </c>
      <c r="AZ146" s="347">
        <v>2</v>
      </c>
      <c r="BA146" s="347">
        <v>5</v>
      </c>
      <c r="BB146" s="347">
        <v>5</v>
      </c>
      <c r="BC146" s="347">
        <v>5</v>
      </c>
    </row>
    <row r="147" spans="1:55" s="381" customFormat="1" ht="17.649999999999999" customHeight="1">
      <c r="A147" s="343">
        <v>87</v>
      </c>
      <c r="B147" s="211" t="s">
        <v>2166</v>
      </c>
      <c r="C147" s="211" t="s">
        <v>2055</v>
      </c>
      <c r="D147" s="211" t="s">
        <v>2125</v>
      </c>
      <c r="E147" s="344">
        <v>6</v>
      </c>
      <c r="F147" s="344">
        <v>7</v>
      </c>
      <c r="G147" s="209">
        <v>6.5333333333333297</v>
      </c>
      <c r="H147" s="344">
        <v>7.7</v>
      </c>
      <c r="I147" s="344">
        <v>6.7666666666666702</v>
      </c>
      <c r="J147" s="344">
        <v>6.3</v>
      </c>
      <c r="K147" s="344">
        <v>4.43333333333333</v>
      </c>
      <c r="L147" s="344">
        <f t="shared" si="46"/>
        <v>1.0344444444444436</v>
      </c>
      <c r="M147" s="344">
        <v>0.233333333333333</v>
      </c>
      <c r="N147" s="344">
        <v>2.1</v>
      </c>
      <c r="O147" s="344">
        <v>2.3333333333333299</v>
      </c>
      <c r="P147" s="344">
        <v>3.2666666666666702</v>
      </c>
      <c r="Q147" s="344">
        <v>3.9666666666666699</v>
      </c>
      <c r="R147" s="344">
        <v>7</v>
      </c>
      <c r="S147" s="344">
        <v>8.4</v>
      </c>
      <c r="T147" s="344">
        <v>8.8666666666666707</v>
      </c>
      <c r="U147" s="344">
        <v>9.8000000000000007</v>
      </c>
      <c r="V147" s="344">
        <v>6.5333333333333297</v>
      </c>
      <c r="W147" s="344">
        <v>4.43333333333333</v>
      </c>
      <c r="X147" s="344">
        <v>6.3</v>
      </c>
      <c r="Y147" s="344">
        <v>6.5333333333333297</v>
      </c>
      <c r="Z147" s="344">
        <v>5.3666666666666698</v>
      </c>
      <c r="AA147" s="344">
        <v>6.5333333333333297</v>
      </c>
      <c r="AB147" s="344">
        <v>6.7666666666666702</v>
      </c>
      <c r="AC147" s="344">
        <v>5.6</v>
      </c>
      <c r="AD147" s="344">
        <f t="shared" si="47"/>
        <v>-1.1666666666666705</v>
      </c>
      <c r="AE147" s="344">
        <v>3</v>
      </c>
      <c r="AF147" s="344">
        <v>1</v>
      </c>
      <c r="AG147" s="345">
        <v>1</v>
      </c>
      <c r="AH147" s="346">
        <v>1</v>
      </c>
      <c r="AI147" s="197">
        <v>1</v>
      </c>
      <c r="AJ147" s="197">
        <v>10</v>
      </c>
      <c r="AK147" s="197">
        <v>1</v>
      </c>
      <c r="AL147" s="197">
        <v>1</v>
      </c>
      <c r="AM147" s="197">
        <v>1</v>
      </c>
      <c r="AN147" s="197">
        <v>1</v>
      </c>
      <c r="AO147" s="197">
        <v>1</v>
      </c>
      <c r="AP147" s="197">
        <v>1</v>
      </c>
      <c r="AQ147" s="197">
        <v>1</v>
      </c>
      <c r="AR147" s="197">
        <v>6</v>
      </c>
      <c r="AS147" s="197">
        <v>1</v>
      </c>
      <c r="AT147" s="347">
        <v>1</v>
      </c>
      <c r="AU147" s="347">
        <v>1</v>
      </c>
      <c r="AV147" s="347">
        <v>1</v>
      </c>
      <c r="AW147" s="347">
        <v>1</v>
      </c>
      <c r="AX147" s="347">
        <v>1</v>
      </c>
      <c r="AY147" s="347">
        <v>1</v>
      </c>
      <c r="AZ147" s="347">
        <v>1</v>
      </c>
      <c r="BA147" s="347">
        <v>1</v>
      </c>
      <c r="BB147" s="347">
        <v>9</v>
      </c>
      <c r="BC147" s="347">
        <v>2</v>
      </c>
    </row>
    <row r="148" spans="1:55" s="381" customFormat="1" ht="17.649999999999999" customHeight="1">
      <c r="A148" s="343">
        <v>88</v>
      </c>
      <c r="B148" s="211" t="s">
        <v>2167</v>
      </c>
      <c r="C148" s="211" t="s">
        <v>2055</v>
      </c>
      <c r="D148" s="211" t="s">
        <v>2125</v>
      </c>
      <c r="E148" s="344">
        <v>3</v>
      </c>
      <c r="F148" s="344">
        <v>3.2666666666666702</v>
      </c>
      <c r="G148" s="209">
        <v>3.2666666666666702</v>
      </c>
      <c r="H148" s="344">
        <v>3.5</v>
      </c>
      <c r="I148" s="344">
        <v>3.5</v>
      </c>
      <c r="J148" s="344">
        <v>3.9666666666666699</v>
      </c>
      <c r="K148" s="344">
        <v>4.6666666666666696</v>
      </c>
      <c r="L148" s="344">
        <f t="shared" si="46"/>
        <v>1.0888888888888895</v>
      </c>
      <c r="M148" s="344">
        <v>2.1</v>
      </c>
      <c r="N148" s="344">
        <v>2.1</v>
      </c>
      <c r="O148" s="344">
        <v>1.1666666666666701</v>
      </c>
      <c r="P148" s="344">
        <v>1.4</v>
      </c>
      <c r="Q148" s="344">
        <v>2.3333333333333299</v>
      </c>
      <c r="R148" s="344">
        <v>4.6666666666666696</v>
      </c>
      <c r="S148" s="344">
        <v>4.2</v>
      </c>
      <c r="T148" s="344">
        <v>5.3666666666666698</v>
      </c>
      <c r="U148" s="344">
        <v>5.3666666666666698</v>
      </c>
      <c r="V148" s="344">
        <v>3.2666666666666702</v>
      </c>
      <c r="W148" s="344">
        <v>2.56666666666667</v>
      </c>
      <c r="X148" s="344">
        <v>3.2666666666666702</v>
      </c>
      <c r="Y148" s="344">
        <v>3.2666666666666702</v>
      </c>
      <c r="Z148" s="344">
        <v>3.9666666666666699</v>
      </c>
      <c r="AA148" s="344">
        <v>4.2</v>
      </c>
      <c r="AB148" s="344">
        <v>5.1333333333333302</v>
      </c>
      <c r="AC148" s="344">
        <v>4.2</v>
      </c>
      <c r="AD148" s="344">
        <f t="shared" si="47"/>
        <v>-0.93333333333333002</v>
      </c>
      <c r="AE148" s="344">
        <v>5</v>
      </c>
      <c r="AF148" s="344">
        <v>3</v>
      </c>
      <c r="AG148" s="344">
        <v>3</v>
      </c>
      <c r="AH148" s="346">
        <v>1</v>
      </c>
      <c r="AI148" s="197">
        <v>1</v>
      </c>
      <c r="AJ148" s="197">
        <v>1</v>
      </c>
      <c r="AK148" s="197">
        <v>1</v>
      </c>
      <c r="AL148" s="197">
        <v>1</v>
      </c>
      <c r="AM148" s="197">
        <v>1</v>
      </c>
      <c r="AN148" s="197">
        <v>1</v>
      </c>
      <c r="AO148" s="197">
        <v>3</v>
      </c>
      <c r="AP148" s="197">
        <v>1</v>
      </c>
      <c r="AQ148" s="197">
        <v>1</v>
      </c>
      <c r="AR148" s="197">
        <v>3</v>
      </c>
      <c r="AS148" s="197">
        <v>8</v>
      </c>
      <c r="AT148" s="197">
        <v>3</v>
      </c>
      <c r="AU148" s="347">
        <v>1</v>
      </c>
      <c r="AV148" s="347">
        <v>1</v>
      </c>
      <c r="AW148" s="347">
        <v>6</v>
      </c>
      <c r="AX148" s="347">
        <v>1</v>
      </c>
      <c r="AY148" s="347">
        <v>8</v>
      </c>
      <c r="AZ148" s="347">
        <v>3</v>
      </c>
      <c r="BA148" s="347">
        <v>2</v>
      </c>
      <c r="BB148" s="347">
        <v>2</v>
      </c>
      <c r="BC148" s="347">
        <v>2</v>
      </c>
    </row>
    <row r="149" spans="1:55" s="381" customFormat="1" ht="17.649999999999999" customHeight="1">
      <c r="A149" s="343">
        <v>89</v>
      </c>
      <c r="B149" s="211" t="s">
        <v>2168</v>
      </c>
      <c r="C149" s="211" t="s">
        <v>2055</v>
      </c>
      <c r="D149" s="211" t="s">
        <v>2125</v>
      </c>
      <c r="E149" s="344">
        <v>56</v>
      </c>
      <c r="F149" s="344">
        <v>61.6</v>
      </c>
      <c r="G149" s="209">
        <v>64.400000000000006</v>
      </c>
      <c r="H149" s="344">
        <v>60.2</v>
      </c>
      <c r="I149" s="344">
        <v>66.266666666666694</v>
      </c>
      <c r="J149" s="344">
        <v>67.2</v>
      </c>
      <c r="K149" s="344">
        <v>61.366666666666703</v>
      </c>
      <c r="L149" s="344">
        <f t="shared" si="46"/>
        <v>14.318888888888898</v>
      </c>
      <c r="M149" s="344">
        <v>48.066666666666698</v>
      </c>
      <c r="N149" s="344">
        <v>49.233333333333299</v>
      </c>
      <c r="O149" s="344">
        <v>46.9</v>
      </c>
      <c r="P149" s="344">
        <v>56.933333333333302</v>
      </c>
      <c r="Q149" s="344">
        <v>67.2</v>
      </c>
      <c r="R149" s="344">
        <v>66.033333333333303</v>
      </c>
      <c r="S149" s="344">
        <v>67.900000000000006</v>
      </c>
      <c r="T149" s="344">
        <v>63.933333333333302</v>
      </c>
      <c r="U149" s="344">
        <v>55.066666666666698</v>
      </c>
      <c r="V149" s="344">
        <v>51.566666666666698</v>
      </c>
      <c r="W149" s="344">
        <v>46.433333333333302</v>
      </c>
      <c r="X149" s="344">
        <v>46.2</v>
      </c>
      <c r="Y149" s="344">
        <v>44.566666666666698</v>
      </c>
      <c r="Z149" s="344">
        <v>44.1</v>
      </c>
      <c r="AA149" s="344">
        <v>39.9</v>
      </c>
      <c r="AB149" s="344">
        <v>38.5</v>
      </c>
      <c r="AC149" s="344">
        <v>37.1</v>
      </c>
      <c r="AD149" s="344">
        <f t="shared" si="47"/>
        <v>-1.3999999999999986</v>
      </c>
      <c r="AE149" s="344">
        <v>4</v>
      </c>
      <c r="AF149" s="344">
        <v>3</v>
      </c>
      <c r="AG149" s="345">
        <v>4</v>
      </c>
      <c r="AH149" s="346">
        <v>3</v>
      </c>
      <c r="AI149" s="197">
        <v>2</v>
      </c>
      <c r="AJ149" s="197">
        <v>8</v>
      </c>
      <c r="AK149" s="197">
        <v>2</v>
      </c>
      <c r="AL149" s="197">
        <v>2</v>
      </c>
      <c r="AM149" s="197">
        <v>7</v>
      </c>
      <c r="AN149" s="197">
        <v>3</v>
      </c>
      <c r="AO149" s="197">
        <v>3</v>
      </c>
      <c r="AP149" s="347">
        <v>4</v>
      </c>
      <c r="AQ149" s="197">
        <v>3</v>
      </c>
      <c r="AR149" s="197">
        <v>3</v>
      </c>
      <c r="AS149" s="197">
        <v>4</v>
      </c>
      <c r="AT149" s="197">
        <v>4</v>
      </c>
      <c r="AU149" s="347">
        <v>3</v>
      </c>
      <c r="AV149" s="347">
        <v>3</v>
      </c>
      <c r="AW149" s="347">
        <v>2</v>
      </c>
      <c r="AX149" s="347">
        <v>9</v>
      </c>
      <c r="AY149" s="347">
        <v>2</v>
      </c>
      <c r="AZ149" s="347">
        <v>3</v>
      </c>
      <c r="BA149" s="347">
        <v>4</v>
      </c>
      <c r="BB149" s="347">
        <v>1</v>
      </c>
      <c r="BC149" s="347">
        <v>3</v>
      </c>
    </row>
    <row r="150" spans="1:55" s="381" customFormat="1" ht="17.649999999999999" customHeight="1">
      <c r="A150" s="343">
        <v>90</v>
      </c>
      <c r="B150" s="211" t="s">
        <v>2169</v>
      </c>
      <c r="C150" s="211" t="s">
        <v>2055</v>
      </c>
      <c r="D150" s="211" t="s">
        <v>2125</v>
      </c>
      <c r="E150" s="344">
        <v>6</v>
      </c>
      <c r="F150" s="344">
        <v>6.5333333333333297</v>
      </c>
      <c r="G150" s="209">
        <v>7</v>
      </c>
      <c r="H150" s="344">
        <v>7.4666666666666703</v>
      </c>
      <c r="I150" s="344">
        <v>6.7666666666666702</v>
      </c>
      <c r="J150" s="344">
        <v>5.6</v>
      </c>
      <c r="K150" s="344">
        <v>7</v>
      </c>
      <c r="L150" s="344">
        <f t="shared" si="46"/>
        <v>1.6333333333333333</v>
      </c>
      <c r="M150" s="344">
        <v>5.8333333333333304</v>
      </c>
      <c r="N150" s="344">
        <v>6.7666666666666702</v>
      </c>
      <c r="O150" s="344">
        <v>6.7666666666666702</v>
      </c>
      <c r="P150" s="344">
        <v>6.3</v>
      </c>
      <c r="Q150" s="344">
        <v>8.8666666666666707</v>
      </c>
      <c r="R150" s="344">
        <v>8.6333333333333293</v>
      </c>
      <c r="S150" s="344">
        <v>8.6333333333333293</v>
      </c>
      <c r="T150" s="344">
        <v>8.6333333333333293</v>
      </c>
      <c r="U150" s="344">
        <v>8.4</v>
      </c>
      <c r="V150" s="344">
        <v>6.7666666666666702</v>
      </c>
      <c r="W150" s="344">
        <v>6.7666666666666702</v>
      </c>
      <c r="X150" s="344">
        <v>6.3</v>
      </c>
      <c r="Y150" s="344">
        <v>5.8333333333333304</v>
      </c>
      <c r="Z150" s="344">
        <v>5.3666666666666698</v>
      </c>
      <c r="AA150" s="344">
        <v>4.2</v>
      </c>
      <c r="AB150" s="344">
        <v>5.3666666666666698</v>
      </c>
      <c r="AC150" s="344">
        <v>5.6</v>
      </c>
      <c r="AD150" s="344">
        <f t="shared" si="47"/>
        <v>0.23333333333332984</v>
      </c>
      <c r="AE150" s="344">
        <v>3</v>
      </c>
      <c r="AF150" s="344">
        <v>1</v>
      </c>
      <c r="AG150" s="344">
        <v>1</v>
      </c>
      <c r="AH150" s="346">
        <v>1</v>
      </c>
      <c r="AI150" s="197">
        <v>1</v>
      </c>
      <c r="AJ150" s="197">
        <v>1</v>
      </c>
      <c r="AK150" s="197">
        <v>1</v>
      </c>
      <c r="AL150" s="197">
        <v>1</v>
      </c>
      <c r="AM150" s="197">
        <v>1</v>
      </c>
      <c r="AN150" s="197">
        <v>1</v>
      </c>
      <c r="AO150" s="197">
        <v>1</v>
      </c>
      <c r="AP150" s="197">
        <v>5</v>
      </c>
      <c r="AQ150" s="197">
        <v>1</v>
      </c>
      <c r="AR150" s="197">
        <v>1</v>
      </c>
      <c r="AS150" s="197">
        <v>1</v>
      </c>
      <c r="AT150" s="197">
        <v>10</v>
      </c>
      <c r="AU150" s="347">
        <v>1</v>
      </c>
      <c r="AV150" s="347">
        <v>1</v>
      </c>
      <c r="AW150" s="347">
        <v>5</v>
      </c>
      <c r="AX150" s="347">
        <v>1</v>
      </c>
      <c r="AY150" s="347">
        <v>1</v>
      </c>
      <c r="AZ150" s="347">
        <v>1</v>
      </c>
      <c r="BA150" s="347">
        <v>10</v>
      </c>
      <c r="BB150" s="347">
        <v>1</v>
      </c>
      <c r="BC150" s="347">
        <v>1</v>
      </c>
    </row>
    <row r="151" spans="1:55" s="381" customFormat="1" ht="17.649999999999999" customHeight="1">
      <c r="A151" s="343">
        <v>91</v>
      </c>
      <c r="B151" s="211" t="s">
        <v>2170</v>
      </c>
      <c r="C151" s="211" t="s">
        <v>2055</v>
      </c>
      <c r="D151" s="211" t="s">
        <v>2125</v>
      </c>
      <c r="E151" s="344">
        <v>75</v>
      </c>
      <c r="F151" s="344">
        <v>76.066666666666706</v>
      </c>
      <c r="G151" s="209">
        <v>74.2</v>
      </c>
      <c r="H151" s="344">
        <v>65.566666666666706</v>
      </c>
      <c r="I151" s="344">
        <v>70</v>
      </c>
      <c r="J151" s="344">
        <v>65.8</v>
      </c>
      <c r="K151" s="344">
        <v>61.8333333333333</v>
      </c>
      <c r="L151" s="344">
        <f t="shared" si="46"/>
        <v>14.42777777777777</v>
      </c>
      <c r="M151" s="344">
        <v>42</v>
      </c>
      <c r="N151" s="344">
        <v>45.266666666666701</v>
      </c>
      <c r="O151" s="344">
        <v>44.566666666666698</v>
      </c>
      <c r="P151" s="344">
        <v>63.7</v>
      </c>
      <c r="Q151" s="344">
        <v>76.766666666666694</v>
      </c>
      <c r="R151" s="344">
        <v>77.233333333333306</v>
      </c>
      <c r="S151" s="344">
        <v>90.066666666666706</v>
      </c>
      <c r="T151" s="344">
        <v>81.433333333333294</v>
      </c>
      <c r="U151" s="344">
        <v>92.1666666666667</v>
      </c>
      <c r="V151" s="344">
        <v>89.6</v>
      </c>
      <c r="W151" s="344">
        <v>84.233333333333306</v>
      </c>
      <c r="X151" s="344">
        <v>83.066666666666706</v>
      </c>
      <c r="Y151" s="344">
        <v>80.966666666666697</v>
      </c>
      <c r="Z151" s="344">
        <v>65.566666666666706</v>
      </c>
      <c r="AA151" s="344">
        <v>61.6</v>
      </c>
      <c r="AB151" s="344">
        <v>58.1</v>
      </c>
      <c r="AC151" s="344">
        <v>53.433333333333302</v>
      </c>
      <c r="AD151" s="344">
        <f t="shared" si="47"/>
        <v>-4.6666666666666998</v>
      </c>
      <c r="AE151" s="344">
        <v>4</v>
      </c>
      <c r="AF151" s="344">
        <v>4</v>
      </c>
      <c r="AG151" s="344">
        <v>4</v>
      </c>
      <c r="AH151" s="346">
        <v>4</v>
      </c>
      <c r="AI151" s="197">
        <v>3</v>
      </c>
      <c r="AJ151" s="197">
        <v>3</v>
      </c>
      <c r="AK151" s="197">
        <v>6</v>
      </c>
      <c r="AL151" s="197">
        <v>6</v>
      </c>
      <c r="AM151" s="197">
        <v>4</v>
      </c>
      <c r="AN151" s="197">
        <v>3</v>
      </c>
      <c r="AO151" s="197">
        <v>3</v>
      </c>
      <c r="AP151" s="197">
        <v>3</v>
      </c>
      <c r="AQ151" s="197">
        <v>3</v>
      </c>
      <c r="AR151" s="347">
        <v>5</v>
      </c>
      <c r="AS151" s="197">
        <v>3</v>
      </c>
      <c r="AT151" s="197">
        <v>4</v>
      </c>
      <c r="AU151" s="347">
        <v>3</v>
      </c>
      <c r="AV151" s="347">
        <v>3</v>
      </c>
      <c r="AW151" s="347">
        <v>3</v>
      </c>
      <c r="AX151" s="347">
        <v>3</v>
      </c>
      <c r="AY151" s="347">
        <v>3</v>
      </c>
      <c r="AZ151" s="347">
        <v>3</v>
      </c>
      <c r="BA151" s="347">
        <v>5</v>
      </c>
      <c r="BB151" s="347">
        <v>3</v>
      </c>
      <c r="BC151" s="347">
        <v>4</v>
      </c>
    </row>
    <row r="152" spans="1:55" s="381" customFormat="1" ht="17.649999999999999" customHeight="1">
      <c r="A152" s="343">
        <v>92</v>
      </c>
      <c r="B152" s="211" t="s">
        <v>2171</v>
      </c>
      <c r="C152" s="211" t="s">
        <v>2055</v>
      </c>
      <c r="D152" s="211" t="s">
        <v>2125</v>
      </c>
      <c r="E152" s="344">
        <v>0</v>
      </c>
      <c r="F152" s="344">
        <v>0.233333333333333</v>
      </c>
      <c r="G152" s="209">
        <v>0.233333333333333</v>
      </c>
      <c r="H152" s="344">
        <v>0.233333333333333</v>
      </c>
      <c r="I152" s="344">
        <v>0.233333333333333</v>
      </c>
      <c r="J152" s="344">
        <v>0.233333333333333</v>
      </c>
      <c r="K152" s="344">
        <v>0.233333333333333</v>
      </c>
      <c r="L152" s="344">
        <f t="shared" si="46"/>
        <v>5.4444444444444372E-2</v>
      </c>
      <c r="M152" s="344">
        <v>0.233333333333333</v>
      </c>
      <c r="N152" s="344">
        <v>1.1666666666666701</v>
      </c>
      <c r="O152" s="344">
        <v>27.533333333333299</v>
      </c>
      <c r="P152" s="344">
        <v>76.533333333333303</v>
      </c>
      <c r="Q152" s="344">
        <v>130.19999999999999</v>
      </c>
      <c r="R152" s="344">
        <v>135.1</v>
      </c>
      <c r="S152" s="344">
        <v>109.666666666667</v>
      </c>
      <c r="T152" s="344">
        <v>73.733333333333306</v>
      </c>
      <c r="U152" s="344">
        <v>16.566666666666698</v>
      </c>
      <c r="V152" s="344">
        <v>4.6666666666666696</v>
      </c>
      <c r="W152" s="344">
        <v>3.5</v>
      </c>
      <c r="X152" s="344">
        <v>3.5</v>
      </c>
      <c r="Y152" s="344">
        <v>3.2666666666666702</v>
      </c>
      <c r="Z152" s="344">
        <v>2.56666666666667</v>
      </c>
      <c r="AA152" s="344">
        <v>3.9666666666666699</v>
      </c>
      <c r="AB152" s="344">
        <v>5.8333333333333304</v>
      </c>
      <c r="AC152" s="344">
        <v>5.6</v>
      </c>
      <c r="AD152" s="344">
        <f t="shared" si="47"/>
        <v>-0.23333333333333073</v>
      </c>
      <c r="AE152" s="344">
        <v>8</v>
      </c>
      <c r="AF152" s="344">
        <v>6</v>
      </c>
      <c r="AG152" s="345">
        <v>7</v>
      </c>
      <c r="AH152" s="346">
        <v>8</v>
      </c>
      <c r="AI152" s="197">
        <v>7</v>
      </c>
      <c r="AJ152" s="197">
        <v>6</v>
      </c>
      <c r="AK152" s="197">
        <v>9</v>
      </c>
      <c r="AL152" s="197">
        <v>9</v>
      </c>
      <c r="AM152" s="197">
        <v>7</v>
      </c>
      <c r="AN152" s="197">
        <v>8</v>
      </c>
      <c r="AO152" s="197">
        <v>10</v>
      </c>
      <c r="AP152" s="197">
        <v>8</v>
      </c>
      <c r="AQ152" s="197">
        <v>8</v>
      </c>
      <c r="AR152" s="197">
        <v>2</v>
      </c>
      <c r="AS152" s="197">
        <v>7</v>
      </c>
      <c r="AT152" s="197">
        <v>9</v>
      </c>
      <c r="AU152" s="347">
        <v>7</v>
      </c>
      <c r="AV152" s="347">
        <v>10</v>
      </c>
      <c r="AW152" s="347">
        <v>10</v>
      </c>
      <c r="AX152" s="347">
        <v>9</v>
      </c>
      <c r="AY152" s="347">
        <v>9</v>
      </c>
      <c r="AZ152" s="347">
        <v>8</v>
      </c>
      <c r="BA152" s="347">
        <v>9</v>
      </c>
      <c r="BB152" s="347">
        <v>8</v>
      </c>
      <c r="BC152" s="347">
        <v>8</v>
      </c>
    </row>
    <row r="153" spans="1:55" s="381" customFormat="1" ht="17.649999999999999" customHeight="1">
      <c r="A153" s="343">
        <v>93</v>
      </c>
      <c r="B153" s="211" t="s">
        <v>2172</v>
      </c>
      <c r="C153" s="211" t="s">
        <v>2055</v>
      </c>
      <c r="D153" s="211" t="s">
        <v>2125</v>
      </c>
      <c r="E153" s="344">
        <v>5</v>
      </c>
      <c r="F153" s="344">
        <v>5.8333333333333304</v>
      </c>
      <c r="G153" s="209">
        <v>7</v>
      </c>
      <c r="H153" s="344">
        <v>7</v>
      </c>
      <c r="I153" s="344">
        <v>7</v>
      </c>
      <c r="J153" s="344">
        <v>7.93333333333333</v>
      </c>
      <c r="K153" s="344">
        <v>7</v>
      </c>
      <c r="L153" s="344">
        <f t="shared" si="46"/>
        <v>1.6333333333333333</v>
      </c>
      <c r="M153" s="344">
        <v>5.8333333333333304</v>
      </c>
      <c r="N153" s="344">
        <v>5.1333333333333302</v>
      </c>
      <c r="O153" s="344">
        <v>4.6666666666666696</v>
      </c>
      <c r="P153" s="344">
        <v>3.2666666666666702</v>
      </c>
      <c r="Q153" s="344">
        <v>3.2666666666666702</v>
      </c>
      <c r="R153" s="344">
        <v>3.5</v>
      </c>
      <c r="S153" s="344">
        <v>1.4</v>
      </c>
      <c r="T153" s="344">
        <v>3.2666666666666702</v>
      </c>
      <c r="U153" s="344">
        <v>5.1333333333333302</v>
      </c>
      <c r="V153" s="344">
        <v>4.2</v>
      </c>
      <c r="W153" s="344">
        <v>5.3666666666666698</v>
      </c>
      <c r="X153" s="344">
        <v>4.43333333333333</v>
      </c>
      <c r="Y153" s="344">
        <v>3.9666666666666699</v>
      </c>
      <c r="Z153" s="344">
        <v>3.2666666666666702</v>
      </c>
      <c r="AA153" s="344">
        <v>2.3333333333333299</v>
      </c>
      <c r="AB153" s="344">
        <v>3.0333333333333301</v>
      </c>
      <c r="AC153" s="344">
        <v>3.0333333333333301</v>
      </c>
      <c r="AD153" s="344">
        <f t="shared" si="47"/>
        <v>0</v>
      </c>
      <c r="AE153" s="344">
        <v>2</v>
      </c>
      <c r="AF153" s="344">
        <v>2</v>
      </c>
      <c r="AG153" s="344">
        <v>2</v>
      </c>
      <c r="AH153" s="346">
        <v>4</v>
      </c>
      <c r="AI153" s="197">
        <v>4</v>
      </c>
      <c r="AJ153" s="197">
        <v>2</v>
      </c>
      <c r="AK153" s="197">
        <v>2</v>
      </c>
      <c r="AL153" s="197">
        <v>2</v>
      </c>
      <c r="AM153" s="197">
        <v>2</v>
      </c>
      <c r="AN153" s="197">
        <v>2</v>
      </c>
      <c r="AO153" s="197">
        <v>2</v>
      </c>
      <c r="AP153" s="197">
        <v>2</v>
      </c>
      <c r="AQ153" s="197">
        <v>2</v>
      </c>
      <c r="AR153" s="197">
        <v>4</v>
      </c>
      <c r="AS153" s="197">
        <v>2</v>
      </c>
      <c r="AT153" s="197">
        <v>2</v>
      </c>
      <c r="AU153" s="347">
        <v>2</v>
      </c>
      <c r="AV153" s="347">
        <v>1</v>
      </c>
      <c r="AW153" s="347">
        <v>2</v>
      </c>
      <c r="AX153" s="347">
        <v>3</v>
      </c>
      <c r="AY153" s="347">
        <v>4</v>
      </c>
      <c r="AZ153" s="347">
        <v>10</v>
      </c>
      <c r="BA153" s="347">
        <v>4</v>
      </c>
      <c r="BB153" s="347">
        <v>2</v>
      </c>
      <c r="BC153" s="347">
        <v>1</v>
      </c>
    </row>
    <row r="154" spans="1:55" s="381" customFormat="1" ht="17.649999999999999" customHeight="1">
      <c r="A154" s="343">
        <v>94</v>
      </c>
      <c r="B154" s="211" t="s">
        <v>2173</v>
      </c>
      <c r="C154" s="211" t="s">
        <v>2055</v>
      </c>
      <c r="D154" s="211" t="s">
        <v>2125</v>
      </c>
      <c r="E154" s="344">
        <v>6</v>
      </c>
      <c r="F154" s="344">
        <v>6.7666666666666702</v>
      </c>
      <c r="G154" s="209">
        <v>7.4666666666666703</v>
      </c>
      <c r="H154" s="344">
        <v>7</v>
      </c>
      <c r="I154" s="344">
        <v>5.8333333333333304</v>
      </c>
      <c r="J154" s="344">
        <v>5.1333333333333302</v>
      </c>
      <c r="K154" s="344">
        <v>3.9666666666666699</v>
      </c>
      <c r="L154" s="344">
        <f t="shared" si="46"/>
        <v>0.92555555555555624</v>
      </c>
      <c r="M154" s="344">
        <v>2.56666666666667</v>
      </c>
      <c r="N154" s="344">
        <v>3.0333333333333301</v>
      </c>
      <c r="O154" s="344">
        <v>3.0333333333333301</v>
      </c>
      <c r="P154" s="344">
        <v>3.5</v>
      </c>
      <c r="Q154" s="344">
        <v>5.6</v>
      </c>
      <c r="R154" s="344">
        <v>5.8333333333333304</v>
      </c>
      <c r="S154" s="344">
        <v>6.7666666666666702</v>
      </c>
      <c r="T154" s="344">
        <v>6.7666666666666702</v>
      </c>
      <c r="U154" s="344">
        <v>5.3666666666666698</v>
      </c>
      <c r="V154" s="344">
        <v>4.2</v>
      </c>
      <c r="W154" s="344">
        <v>3.0333333333333301</v>
      </c>
      <c r="X154" s="344">
        <v>2.56666666666667</v>
      </c>
      <c r="Y154" s="344">
        <v>2.56666666666667</v>
      </c>
      <c r="Z154" s="344">
        <v>4.2</v>
      </c>
      <c r="AA154" s="344">
        <v>4.6666666666666696</v>
      </c>
      <c r="AB154" s="344">
        <v>6.3</v>
      </c>
      <c r="AC154" s="344">
        <v>6.7666666666666702</v>
      </c>
      <c r="AD154" s="344">
        <f t="shared" si="47"/>
        <v>0.46666666666667034</v>
      </c>
      <c r="AE154" s="344">
        <v>1</v>
      </c>
      <c r="AF154" s="344">
        <v>1</v>
      </c>
      <c r="AG154" s="345">
        <v>1</v>
      </c>
      <c r="AH154" s="346">
        <v>1</v>
      </c>
      <c r="AI154" s="197">
        <v>1</v>
      </c>
      <c r="AJ154" s="197">
        <v>1</v>
      </c>
      <c r="AK154" s="197">
        <v>1</v>
      </c>
      <c r="AL154" s="197">
        <v>1</v>
      </c>
      <c r="AM154" s="197">
        <v>1</v>
      </c>
      <c r="AN154" s="197">
        <v>1</v>
      </c>
      <c r="AO154" s="197">
        <v>1</v>
      </c>
      <c r="AP154" s="197">
        <v>2</v>
      </c>
      <c r="AQ154" s="197">
        <v>1</v>
      </c>
      <c r="AR154" s="197">
        <v>1</v>
      </c>
      <c r="AS154" s="347">
        <v>2</v>
      </c>
      <c r="AT154" s="197">
        <v>1</v>
      </c>
      <c r="AU154" s="347">
        <v>10</v>
      </c>
      <c r="AV154" s="347">
        <v>1</v>
      </c>
      <c r="AW154" s="347">
        <v>2</v>
      </c>
      <c r="AX154" s="347">
        <v>1</v>
      </c>
      <c r="AY154" s="347">
        <v>1</v>
      </c>
      <c r="AZ154" s="347">
        <v>1</v>
      </c>
      <c r="BA154" s="347">
        <v>1</v>
      </c>
      <c r="BB154" s="347">
        <v>1</v>
      </c>
      <c r="BC154" s="347">
        <v>2</v>
      </c>
    </row>
    <row r="155" spans="1:55" s="381" customFormat="1" ht="17.649999999999999" customHeight="1">
      <c r="A155" s="343">
        <v>95</v>
      </c>
      <c r="B155" s="211" t="s">
        <v>2174</v>
      </c>
      <c r="C155" s="211" t="s">
        <v>2055</v>
      </c>
      <c r="D155" s="211" t="s">
        <v>2125</v>
      </c>
      <c r="E155" s="344">
        <v>133</v>
      </c>
      <c r="F155" s="344">
        <v>127.4</v>
      </c>
      <c r="G155" s="209">
        <v>121.566666666667</v>
      </c>
      <c r="H155" s="344">
        <v>117.366666666667</v>
      </c>
      <c r="I155" s="344">
        <v>108.73333333333299</v>
      </c>
      <c r="J155" s="344">
        <v>115.26666666666701</v>
      </c>
      <c r="K155" s="344">
        <v>97.533333333333303</v>
      </c>
      <c r="L155" s="344">
        <f t="shared" si="46"/>
        <v>22.757777777777768</v>
      </c>
      <c r="M155" s="344">
        <v>66.033333333333303</v>
      </c>
      <c r="N155" s="344">
        <v>75.8333333333333</v>
      </c>
      <c r="O155" s="344">
        <v>95.6666666666667</v>
      </c>
      <c r="P155" s="344">
        <v>137.19999999999999</v>
      </c>
      <c r="Q155" s="344">
        <v>173.6</v>
      </c>
      <c r="R155" s="344">
        <v>176.4</v>
      </c>
      <c r="S155" s="344">
        <v>166.13333333333301</v>
      </c>
      <c r="T155" s="344">
        <v>163.566666666667</v>
      </c>
      <c r="U155" s="344">
        <v>148.86666666666699</v>
      </c>
      <c r="V155" s="344">
        <v>140.23333333333301</v>
      </c>
      <c r="W155" s="344">
        <v>124.366666666667</v>
      </c>
      <c r="X155" s="344">
        <v>127.633333333333</v>
      </c>
      <c r="Y155" s="344">
        <v>123.666666666667</v>
      </c>
      <c r="Z155" s="344">
        <v>119.23333333333299</v>
      </c>
      <c r="AA155" s="344">
        <v>127.633333333333</v>
      </c>
      <c r="AB155" s="344">
        <v>126</v>
      </c>
      <c r="AC155" s="344">
        <v>121.566666666667</v>
      </c>
      <c r="AD155" s="344">
        <f t="shared" si="47"/>
        <v>-4.4333333333329961</v>
      </c>
      <c r="AE155" s="344">
        <v>2</v>
      </c>
      <c r="AF155" s="344">
        <v>1</v>
      </c>
      <c r="AG155" s="344">
        <v>1</v>
      </c>
      <c r="AH155" s="346">
        <v>4</v>
      </c>
      <c r="AI155" s="197">
        <v>7</v>
      </c>
      <c r="AJ155" s="197">
        <v>9</v>
      </c>
      <c r="AK155" s="197">
        <v>4</v>
      </c>
      <c r="AL155" s="197">
        <v>4</v>
      </c>
      <c r="AM155" s="197">
        <v>5</v>
      </c>
      <c r="AN155" s="197">
        <v>9</v>
      </c>
      <c r="AO155" s="197">
        <v>6</v>
      </c>
      <c r="AP155" s="197">
        <v>8</v>
      </c>
      <c r="AQ155" s="197">
        <v>4</v>
      </c>
      <c r="AR155" s="197">
        <v>4</v>
      </c>
      <c r="AS155" s="197">
        <v>5</v>
      </c>
      <c r="AT155" s="197">
        <v>7</v>
      </c>
      <c r="AU155" s="347">
        <v>5</v>
      </c>
      <c r="AV155" s="347">
        <v>6</v>
      </c>
      <c r="AW155" s="347">
        <v>1</v>
      </c>
      <c r="AX155" s="347">
        <v>10</v>
      </c>
      <c r="AY155" s="347">
        <v>1</v>
      </c>
      <c r="AZ155" s="347">
        <v>3</v>
      </c>
      <c r="BA155" s="347">
        <v>2</v>
      </c>
      <c r="BB155" s="347">
        <v>3</v>
      </c>
      <c r="BC155" s="347">
        <v>3</v>
      </c>
    </row>
    <row r="156" spans="1:55" s="381" customFormat="1" ht="17.649999999999999" customHeight="1">
      <c r="A156" s="343">
        <v>96</v>
      </c>
      <c r="B156" s="211" t="s">
        <v>2175</v>
      </c>
      <c r="C156" s="211" t="s">
        <v>2055</v>
      </c>
      <c r="D156" s="211" t="s">
        <v>2125</v>
      </c>
      <c r="E156" s="344">
        <v>7</v>
      </c>
      <c r="F156" s="344">
        <v>6.5333333333333297</v>
      </c>
      <c r="G156" s="209">
        <v>7.4666666666666703</v>
      </c>
      <c r="H156" s="344">
        <v>5.8333333333333304</v>
      </c>
      <c r="I156" s="344">
        <v>5.6</v>
      </c>
      <c r="J156" s="344">
        <v>5.1333333333333302</v>
      </c>
      <c r="K156" s="344">
        <v>6.3</v>
      </c>
      <c r="L156" s="344">
        <f t="shared" si="46"/>
        <v>1.47</v>
      </c>
      <c r="M156" s="344">
        <v>4.43333333333333</v>
      </c>
      <c r="N156" s="344">
        <v>4.43333333333333</v>
      </c>
      <c r="O156" s="344">
        <v>3.9666666666666699</v>
      </c>
      <c r="P156" s="344">
        <v>4.2</v>
      </c>
      <c r="Q156" s="344">
        <v>7</v>
      </c>
      <c r="R156" s="344">
        <v>10.033333333333299</v>
      </c>
      <c r="S156" s="344">
        <v>12.133333333333301</v>
      </c>
      <c r="T156" s="344">
        <v>14.466666666666701</v>
      </c>
      <c r="U156" s="344">
        <v>13.533333333333299</v>
      </c>
      <c r="V156" s="344">
        <v>14.9333333333333</v>
      </c>
      <c r="W156" s="344">
        <v>11.9</v>
      </c>
      <c r="X156" s="344">
        <v>12.133333333333301</v>
      </c>
      <c r="Y156" s="344">
        <v>12.366666666666699</v>
      </c>
      <c r="Z156" s="344">
        <v>9.56666666666667</v>
      </c>
      <c r="AA156" s="344">
        <v>7.7</v>
      </c>
      <c r="AB156" s="344">
        <v>7.7</v>
      </c>
      <c r="AC156" s="344">
        <v>5.6</v>
      </c>
      <c r="AD156" s="344">
        <f t="shared" si="47"/>
        <v>-2.1000000000000005</v>
      </c>
      <c r="AE156" s="344">
        <v>9</v>
      </c>
      <c r="AF156" s="344">
        <v>10</v>
      </c>
      <c r="AG156" s="344">
        <v>10</v>
      </c>
      <c r="AH156" s="346">
        <v>5</v>
      </c>
      <c r="AI156" s="197">
        <v>8</v>
      </c>
      <c r="AJ156" s="197">
        <v>9</v>
      </c>
      <c r="AK156" s="197">
        <v>8</v>
      </c>
      <c r="AL156" s="197">
        <v>8</v>
      </c>
      <c r="AM156" s="197">
        <v>12</v>
      </c>
      <c r="AN156" s="197">
        <v>9</v>
      </c>
      <c r="AO156" s="197">
        <v>20</v>
      </c>
      <c r="AP156" s="347">
        <v>4</v>
      </c>
      <c r="AQ156" s="347">
        <v>19</v>
      </c>
      <c r="AR156" s="197">
        <v>7</v>
      </c>
      <c r="AS156" s="347">
        <v>18</v>
      </c>
      <c r="AT156" s="347">
        <v>17</v>
      </c>
      <c r="AU156" s="347">
        <v>24</v>
      </c>
      <c r="AV156" s="347">
        <v>8</v>
      </c>
      <c r="AW156" s="347">
        <v>6</v>
      </c>
      <c r="AX156" s="347">
        <v>7</v>
      </c>
      <c r="AY156" s="347">
        <v>7</v>
      </c>
      <c r="AZ156" s="347">
        <v>3</v>
      </c>
      <c r="BA156" s="347">
        <v>4</v>
      </c>
      <c r="BB156" s="347">
        <v>3</v>
      </c>
      <c r="BC156" s="347">
        <v>3</v>
      </c>
    </row>
    <row r="157" spans="1:55" s="381" customFormat="1" ht="17.649999999999999" customHeight="1">
      <c r="A157" s="343">
        <v>97</v>
      </c>
      <c r="B157" s="211" t="s">
        <v>2176</v>
      </c>
      <c r="C157" s="211" t="s">
        <v>2055</v>
      </c>
      <c r="D157" s="211" t="s">
        <v>2125</v>
      </c>
      <c r="E157" s="344">
        <v>0</v>
      </c>
      <c r="F157" s="344">
        <v>0.233333333333333</v>
      </c>
      <c r="G157" s="209">
        <v>0.233333333333333</v>
      </c>
      <c r="H157" s="344">
        <v>0.233333333333333</v>
      </c>
      <c r="I157" s="344">
        <v>1.86666666666667</v>
      </c>
      <c r="J157" s="344">
        <v>2.1</v>
      </c>
      <c r="K157" s="344">
        <v>2.3333333333333299</v>
      </c>
      <c r="L157" s="344">
        <f t="shared" si="46"/>
        <v>0.54444444444444362</v>
      </c>
      <c r="M157" s="344">
        <v>2.3333333333333299</v>
      </c>
      <c r="N157" s="344">
        <v>1.4</v>
      </c>
      <c r="O157" s="344">
        <v>1.4</v>
      </c>
      <c r="P157" s="344">
        <v>1.1666666666666701</v>
      </c>
      <c r="Q157" s="344">
        <v>1.4</v>
      </c>
      <c r="R157" s="344">
        <v>2.3333333333333299</v>
      </c>
      <c r="S157" s="344">
        <v>3.0333333333333301</v>
      </c>
      <c r="T157" s="344">
        <v>3.2666666666666702</v>
      </c>
      <c r="U157" s="344">
        <v>5.1333333333333302</v>
      </c>
      <c r="V157" s="344">
        <v>4.2</v>
      </c>
      <c r="W157" s="344">
        <v>3.0333333333333301</v>
      </c>
      <c r="X157" s="344">
        <v>2.1</v>
      </c>
      <c r="Y157" s="344">
        <v>2.1</v>
      </c>
      <c r="Z157" s="344">
        <v>1.86666666666667</v>
      </c>
      <c r="AA157" s="344">
        <v>2.1</v>
      </c>
      <c r="AB157" s="344">
        <v>3.0333333333333301</v>
      </c>
      <c r="AC157" s="344">
        <v>2.1</v>
      </c>
      <c r="AD157" s="344">
        <f t="shared" si="47"/>
        <v>-0.93333333333333002</v>
      </c>
      <c r="AE157" s="344">
        <v>3</v>
      </c>
      <c r="AF157" s="344">
        <v>1</v>
      </c>
      <c r="AG157" s="345">
        <v>9</v>
      </c>
      <c r="AH157" s="346">
        <v>1</v>
      </c>
      <c r="AI157" s="197">
        <v>1</v>
      </c>
      <c r="AJ157" s="197">
        <v>3</v>
      </c>
      <c r="AK157" s="197">
        <v>1</v>
      </c>
      <c r="AL157" s="197">
        <v>1</v>
      </c>
      <c r="AM157" s="197">
        <v>1</v>
      </c>
      <c r="AN157" s="197">
        <v>1</v>
      </c>
      <c r="AO157" s="197">
        <v>1</v>
      </c>
      <c r="AP157" s="197">
        <v>1</v>
      </c>
      <c r="AQ157" s="197">
        <v>1</v>
      </c>
      <c r="AR157" s="197">
        <v>1</v>
      </c>
      <c r="AS157" s="197">
        <v>1</v>
      </c>
      <c r="AT157" s="197">
        <v>1</v>
      </c>
      <c r="AU157" s="347">
        <v>1</v>
      </c>
      <c r="AV157" s="347">
        <v>1</v>
      </c>
      <c r="AW157" s="347">
        <v>6</v>
      </c>
      <c r="AX157" s="347">
        <v>7</v>
      </c>
      <c r="AY157" s="347">
        <v>1</v>
      </c>
      <c r="AZ157" s="347">
        <v>1</v>
      </c>
      <c r="BA157" s="347">
        <v>9</v>
      </c>
      <c r="BB157" s="347">
        <v>1</v>
      </c>
      <c r="BC157" s="347">
        <v>8</v>
      </c>
    </row>
    <row r="158" spans="1:55" s="381" customFormat="1" ht="17.649999999999999" customHeight="1">
      <c r="A158" s="343">
        <v>98</v>
      </c>
      <c r="B158" s="211" t="s">
        <v>2177</v>
      </c>
      <c r="C158" s="211" t="s">
        <v>2055</v>
      </c>
      <c r="D158" s="211" t="s">
        <v>2125</v>
      </c>
      <c r="E158" s="344">
        <v>34</v>
      </c>
      <c r="F158" s="344">
        <v>30.8</v>
      </c>
      <c r="G158" s="209">
        <v>24.5</v>
      </c>
      <c r="H158" s="344">
        <v>20.766666666666701</v>
      </c>
      <c r="I158" s="344">
        <v>13.533333333333299</v>
      </c>
      <c r="J158" s="344">
        <v>10.266666666666699</v>
      </c>
      <c r="K158" s="344">
        <v>11.9</v>
      </c>
      <c r="L158" s="344">
        <f t="shared" si="46"/>
        <v>2.7766666666666668</v>
      </c>
      <c r="M158" s="344">
        <v>10.033333333333299</v>
      </c>
      <c r="N158" s="344">
        <v>10.733333333333301</v>
      </c>
      <c r="O158" s="344">
        <v>12.133333333333301</v>
      </c>
      <c r="P158" s="344">
        <v>16.100000000000001</v>
      </c>
      <c r="Q158" s="344">
        <v>24.5</v>
      </c>
      <c r="R158" s="344">
        <v>33.6</v>
      </c>
      <c r="S158" s="344">
        <v>43.866666666666703</v>
      </c>
      <c r="T158" s="344">
        <v>48.533333333333303</v>
      </c>
      <c r="U158" s="344">
        <v>52.5</v>
      </c>
      <c r="V158" s="344">
        <v>53.433333333333302</v>
      </c>
      <c r="W158" s="344">
        <v>51.3333333333333</v>
      </c>
      <c r="X158" s="344">
        <v>53.433333333333302</v>
      </c>
      <c r="Y158" s="344">
        <v>48.3</v>
      </c>
      <c r="Z158" s="344">
        <v>38.033333333333303</v>
      </c>
      <c r="AA158" s="344">
        <v>26.6</v>
      </c>
      <c r="AB158" s="344">
        <v>16.566666666666698</v>
      </c>
      <c r="AC158" s="344">
        <v>10.033333333333299</v>
      </c>
      <c r="AD158" s="344">
        <f t="shared" si="47"/>
        <v>-6.5333333333333989</v>
      </c>
      <c r="AE158" s="344">
        <v>6</v>
      </c>
      <c r="AF158" s="344">
        <v>6</v>
      </c>
      <c r="AG158" s="345">
        <v>4</v>
      </c>
      <c r="AH158" s="346">
        <v>4</v>
      </c>
      <c r="AI158" s="197">
        <v>4</v>
      </c>
      <c r="AJ158" s="197">
        <v>2</v>
      </c>
      <c r="AK158" s="197">
        <v>3</v>
      </c>
      <c r="AL158" s="197">
        <v>3</v>
      </c>
      <c r="AM158" s="197">
        <v>3</v>
      </c>
      <c r="AN158" s="197">
        <v>4</v>
      </c>
      <c r="AO158" s="197">
        <v>3</v>
      </c>
      <c r="AP158" s="347">
        <v>3</v>
      </c>
      <c r="AQ158" s="197">
        <v>4</v>
      </c>
      <c r="AR158" s="197">
        <v>4</v>
      </c>
      <c r="AS158" s="197">
        <v>3</v>
      </c>
      <c r="AT158" s="197">
        <v>4</v>
      </c>
      <c r="AU158" s="347">
        <v>4</v>
      </c>
      <c r="AV158" s="347">
        <v>3</v>
      </c>
      <c r="AW158" s="347">
        <v>10</v>
      </c>
      <c r="AX158" s="347">
        <v>3</v>
      </c>
      <c r="AY158" s="347">
        <v>9</v>
      </c>
      <c r="AZ158" s="347">
        <v>10</v>
      </c>
      <c r="BA158" s="347">
        <v>1</v>
      </c>
      <c r="BB158" s="347">
        <v>5</v>
      </c>
      <c r="BC158" s="347">
        <v>9</v>
      </c>
    </row>
    <row r="159" spans="1:55" s="381" customFormat="1" ht="17.649999999999999" customHeight="1">
      <c r="A159" s="343">
        <v>99</v>
      </c>
      <c r="B159" s="211" t="s">
        <v>2178</v>
      </c>
      <c r="C159" s="211" t="s">
        <v>2055</v>
      </c>
      <c r="D159" s="211" t="s">
        <v>2125</v>
      </c>
      <c r="E159" s="344">
        <v>2</v>
      </c>
      <c r="F159" s="344">
        <v>3.2666666666666702</v>
      </c>
      <c r="G159" s="209">
        <v>3.2666666666666702</v>
      </c>
      <c r="H159" s="344">
        <v>3.2666666666666702</v>
      </c>
      <c r="I159" s="344">
        <v>3.0333333333333301</v>
      </c>
      <c r="J159" s="344">
        <v>3.0333333333333301</v>
      </c>
      <c r="K159" s="344">
        <v>1.4</v>
      </c>
      <c r="L159" s="344">
        <f t="shared" si="46"/>
        <v>0.32666666666666666</v>
      </c>
      <c r="M159" s="344">
        <v>2.1</v>
      </c>
      <c r="N159" s="344">
        <v>2.3333333333333299</v>
      </c>
      <c r="O159" s="344">
        <v>2.3333333333333299</v>
      </c>
      <c r="P159" s="344">
        <v>1.86666666666667</v>
      </c>
      <c r="Q159" s="344">
        <v>3.0333333333333301</v>
      </c>
      <c r="R159" s="344">
        <v>3.0333333333333301</v>
      </c>
      <c r="S159" s="344">
        <v>3.2666666666666702</v>
      </c>
      <c r="T159" s="344">
        <v>3.5</v>
      </c>
      <c r="U159" s="344">
        <v>3.2666666666666702</v>
      </c>
      <c r="V159" s="344">
        <v>3.0333333333333301</v>
      </c>
      <c r="W159" s="344">
        <v>2.3333333333333299</v>
      </c>
      <c r="X159" s="344">
        <v>2.1</v>
      </c>
      <c r="Y159" s="344">
        <v>2.56666666666667</v>
      </c>
      <c r="Z159" s="344">
        <v>2.1</v>
      </c>
      <c r="AA159" s="344">
        <v>2.56666666666667</v>
      </c>
      <c r="AB159" s="344">
        <v>3.5</v>
      </c>
      <c r="AC159" s="344">
        <v>2.1</v>
      </c>
      <c r="AD159" s="344">
        <f t="shared" si="47"/>
        <v>-1.4</v>
      </c>
      <c r="AE159" s="344">
        <v>5</v>
      </c>
      <c r="AF159" s="344">
        <v>5</v>
      </c>
      <c r="AG159" s="345">
        <v>4</v>
      </c>
      <c r="AH159" s="346">
        <v>1</v>
      </c>
      <c r="AI159" s="197">
        <v>4</v>
      </c>
      <c r="AJ159" s="197">
        <v>3</v>
      </c>
      <c r="AK159" s="197">
        <v>3</v>
      </c>
      <c r="AL159" s="197">
        <v>3</v>
      </c>
      <c r="AM159" s="197">
        <v>4</v>
      </c>
      <c r="AN159" s="197">
        <v>4</v>
      </c>
      <c r="AO159" s="197">
        <v>3</v>
      </c>
      <c r="AP159" s="197">
        <v>3</v>
      </c>
      <c r="AQ159" s="197">
        <v>3</v>
      </c>
      <c r="AR159" s="197">
        <v>3</v>
      </c>
      <c r="AS159" s="197">
        <v>3</v>
      </c>
      <c r="AT159" s="197">
        <v>3</v>
      </c>
      <c r="AU159" s="347">
        <v>3</v>
      </c>
      <c r="AV159" s="347">
        <v>1</v>
      </c>
      <c r="AW159" s="347">
        <v>4</v>
      </c>
      <c r="AX159" s="347">
        <v>1</v>
      </c>
      <c r="AY159" s="347">
        <v>3</v>
      </c>
      <c r="AZ159" s="347">
        <v>1</v>
      </c>
      <c r="BA159" s="347">
        <v>5</v>
      </c>
      <c r="BB159" s="347">
        <v>3</v>
      </c>
      <c r="BC159" s="347">
        <v>3</v>
      </c>
    </row>
    <row r="160" spans="1:55" s="381" customFormat="1" ht="17.649999999999999" customHeight="1">
      <c r="A160" s="343">
        <v>100</v>
      </c>
      <c r="B160" s="211" t="s">
        <v>2179</v>
      </c>
      <c r="C160" s="211" t="s">
        <v>2055</v>
      </c>
      <c r="D160" s="211" t="s">
        <v>2125</v>
      </c>
      <c r="E160" s="344">
        <v>6</v>
      </c>
      <c r="F160" s="344">
        <v>5.8333333333333304</v>
      </c>
      <c r="G160" s="209">
        <v>5.1333333333333302</v>
      </c>
      <c r="H160" s="344">
        <v>5.1333333333333302</v>
      </c>
      <c r="I160" s="344">
        <v>6.5333333333333297</v>
      </c>
      <c r="J160" s="344">
        <v>4.6666666666666696</v>
      </c>
      <c r="K160" s="344">
        <v>5.3666666666666698</v>
      </c>
      <c r="L160" s="344">
        <f t="shared" si="46"/>
        <v>1.252222222222223</v>
      </c>
      <c r="M160" s="344">
        <v>3.9666666666666699</v>
      </c>
      <c r="N160" s="344">
        <v>4.43333333333333</v>
      </c>
      <c r="O160" s="344">
        <v>3.5</v>
      </c>
      <c r="P160" s="344">
        <v>3.0333333333333301</v>
      </c>
      <c r="Q160" s="344">
        <v>4.6666666666666696</v>
      </c>
      <c r="R160" s="344">
        <v>5.1333333333333302</v>
      </c>
      <c r="S160" s="344">
        <v>5.8333333333333304</v>
      </c>
      <c r="T160" s="344">
        <v>6.3</v>
      </c>
      <c r="U160" s="344">
        <v>5.6</v>
      </c>
      <c r="V160" s="344">
        <v>3.9666666666666699</v>
      </c>
      <c r="W160" s="344">
        <v>3.5</v>
      </c>
      <c r="X160" s="344">
        <v>4.2</v>
      </c>
      <c r="Y160" s="344">
        <v>4.2</v>
      </c>
      <c r="Z160" s="344">
        <v>6.5333333333333297</v>
      </c>
      <c r="AA160" s="344">
        <v>6.7666666666666702</v>
      </c>
      <c r="AB160" s="344">
        <v>7.4666666666666703</v>
      </c>
      <c r="AC160" s="344">
        <v>6.5333333333333297</v>
      </c>
      <c r="AD160" s="344">
        <f t="shared" si="47"/>
        <v>-0.93333333333334068</v>
      </c>
      <c r="AE160" s="344">
        <v>2</v>
      </c>
      <c r="AF160" s="344">
        <v>3</v>
      </c>
      <c r="AG160" s="345">
        <v>2</v>
      </c>
      <c r="AH160" s="346">
        <v>4</v>
      </c>
      <c r="AI160" s="197">
        <v>2</v>
      </c>
      <c r="AJ160" s="197">
        <v>2</v>
      </c>
      <c r="AK160" s="197">
        <v>3</v>
      </c>
      <c r="AL160" s="197">
        <v>3</v>
      </c>
      <c r="AM160" s="197">
        <v>3</v>
      </c>
      <c r="AN160" s="197">
        <v>2</v>
      </c>
      <c r="AO160" s="197">
        <v>3</v>
      </c>
      <c r="AP160" s="197">
        <v>3</v>
      </c>
      <c r="AQ160" s="197">
        <v>2</v>
      </c>
      <c r="AR160" s="197">
        <v>3</v>
      </c>
      <c r="AS160" s="197">
        <v>3</v>
      </c>
      <c r="AT160" s="197">
        <v>2</v>
      </c>
      <c r="AU160" s="347">
        <v>2</v>
      </c>
      <c r="AV160" s="347">
        <v>7</v>
      </c>
      <c r="AW160" s="347">
        <v>2</v>
      </c>
      <c r="AX160" s="347">
        <v>2</v>
      </c>
      <c r="AY160" s="347">
        <v>8</v>
      </c>
      <c r="AZ160" s="347">
        <v>2</v>
      </c>
      <c r="BA160" s="347">
        <v>10</v>
      </c>
      <c r="BB160" s="347">
        <v>3</v>
      </c>
      <c r="BC160" s="347">
        <v>3</v>
      </c>
    </row>
    <row r="161" spans="1:55" s="381" customFormat="1" ht="17.649999999999999" customHeight="1">
      <c r="A161" s="343">
        <v>101</v>
      </c>
      <c r="B161" s="211" t="s">
        <v>2180</v>
      </c>
      <c r="C161" s="211" t="s">
        <v>2055</v>
      </c>
      <c r="D161" s="211" t="s">
        <v>2125</v>
      </c>
      <c r="E161" s="344">
        <v>11</v>
      </c>
      <c r="F161" s="344">
        <v>14.466666666666701</v>
      </c>
      <c r="G161" s="209">
        <v>14.233333333333301</v>
      </c>
      <c r="H161" s="344">
        <v>13.3</v>
      </c>
      <c r="I161" s="344">
        <v>13.0666666666667</v>
      </c>
      <c r="J161" s="344">
        <v>15.633333333333301</v>
      </c>
      <c r="K161" s="344">
        <v>14</v>
      </c>
      <c r="L161" s="344">
        <f t="shared" si="46"/>
        <v>3.2666666666666666</v>
      </c>
      <c r="M161" s="344">
        <v>9.56666666666667</v>
      </c>
      <c r="N161" s="344">
        <v>8.4</v>
      </c>
      <c r="O161" s="344">
        <v>7.4666666666666703</v>
      </c>
      <c r="P161" s="344">
        <v>12.133333333333301</v>
      </c>
      <c r="Q161" s="344">
        <v>17.5</v>
      </c>
      <c r="R161" s="344">
        <v>21</v>
      </c>
      <c r="S161" s="344">
        <v>18.6666666666667</v>
      </c>
      <c r="T161" s="344">
        <v>18.433333333333302</v>
      </c>
      <c r="U161" s="344">
        <v>14</v>
      </c>
      <c r="V161" s="344">
        <v>11.9</v>
      </c>
      <c r="W161" s="344">
        <v>11.9</v>
      </c>
      <c r="X161" s="344">
        <v>14.233333333333301</v>
      </c>
      <c r="Y161" s="344">
        <v>14.233333333333301</v>
      </c>
      <c r="Z161" s="344">
        <v>16.100000000000001</v>
      </c>
      <c r="AA161" s="344">
        <v>16.566666666666698</v>
      </c>
      <c r="AB161" s="344">
        <v>14.9333333333333</v>
      </c>
      <c r="AC161" s="344">
        <v>12.366666666666699</v>
      </c>
      <c r="AD161" s="344">
        <f t="shared" si="47"/>
        <v>-2.5666666666666007</v>
      </c>
      <c r="AE161" s="344">
        <v>3</v>
      </c>
      <c r="AF161" s="344">
        <v>3</v>
      </c>
      <c r="AG161" s="345">
        <v>1</v>
      </c>
      <c r="AH161" s="346">
        <v>1</v>
      </c>
      <c r="AI161" s="197">
        <v>1</v>
      </c>
      <c r="AJ161" s="197">
        <v>1</v>
      </c>
      <c r="AK161" s="197">
        <v>1</v>
      </c>
      <c r="AL161" s="197">
        <v>1</v>
      </c>
      <c r="AM161" s="197">
        <v>1</v>
      </c>
      <c r="AN161" s="197">
        <v>1</v>
      </c>
      <c r="AO161" s="197">
        <v>1</v>
      </c>
      <c r="AP161" s="197">
        <v>1</v>
      </c>
      <c r="AQ161" s="197">
        <v>1</v>
      </c>
      <c r="AR161" s="197">
        <v>1</v>
      </c>
      <c r="AS161" s="197">
        <v>1</v>
      </c>
      <c r="AT161" s="197">
        <v>1</v>
      </c>
      <c r="AU161" s="347">
        <v>4</v>
      </c>
      <c r="AV161" s="347">
        <v>1</v>
      </c>
      <c r="AW161" s="347">
        <v>4</v>
      </c>
      <c r="AX161" s="347">
        <v>1</v>
      </c>
      <c r="AY161" s="347">
        <v>1</v>
      </c>
      <c r="AZ161" s="347">
        <v>1</v>
      </c>
      <c r="BA161" s="347">
        <v>1</v>
      </c>
      <c r="BB161" s="347">
        <v>1</v>
      </c>
      <c r="BC161" s="347">
        <v>1</v>
      </c>
    </row>
    <row r="162" spans="1:55" s="381" customFormat="1" ht="17.649999999999999" customHeight="1">
      <c r="A162" s="343">
        <v>102</v>
      </c>
      <c r="B162" s="211" t="s">
        <v>2181</v>
      </c>
      <c r="C162" s="211" t="s">
        <v>2055</v>
      </c>
      <c r="D162" s="211" t="s">
        <v>2125</v>
      </c>
      <c r="E162" s="344">
        <v>16</v>
      </c>
      <c r="F162" s="344">
        <v>15.4</v>
      </c>
      <c r="G162" s="209">
        <v>12.8333333333333</v>
      </c>
      <c r="H162" s="344">
        <v>11.9</v>
      </c>
      <c r="I162" s="344">
        <v>15.4</v>
      </c>
      <c r="J162" s="344">
        <v>18.433333333333302</v>
      </c>
      <c r="K162" s="344">
        <v>14.9333333333333</v>
      </c>
      <c r="L162" s="344">
        <f t="shared" si="46"/>
        <v>3.4844444444444367</v>
      </c>
      <c r="M162" s="344">
        <v>13.3</v>
      </c>
      <c r="N162" s="344">
        <v>15.4</v>
      </c>
      <c r="O162" s="344">
        <v>16.566666666666698</v>
      </c>
      <c r="P162" s="344">
        <v>15.1666666666667</v>
      </c>
      <c r="Q162" s="344">
        <v>18.899999999999999</v>
      </c>
      <c r="R162" s="344">
        <v>18.6666666666667</v>
      </c>
      <c r="S162" s="344">
        <v>17.966666666666701</v>
      </c>
      <c r="T162" s="344">
        <v>19.366666666666699</v>
      </c>
      <c r="U162" s="344">
        <v>19.600000000000001</v>
      </c>
      <c r="V162" s="344">
        <v>20.066666666666698</v>
      </c>
      <c r="W162" s="344">
        <v>21</v>
      </c>
      <c r="X162" s="344">
        <v>23.1</v>
      </c>
      <c r="Y162" s="344">
        <v>25.2</v>
      </c>
      <c r="Z162" s="344">
        <v>26.366666666666699</v>
      </c>
      <c r="AA162" s="344">
        <v>24.966666666666701</v>
      </c>
      <c r="AB162" s="344">
        <v>26.133333333333301</v>
      </c>
      <c r="AC162" s="344">
        <v>21</v>
      </c>
      <c r="AD162" s="344">
        <f t="shared" si="47"/>
        <v>-5.1333333333333009</v>
      </c>
      <c r="AE162" s="344">
        <v>6</v>
      </c>
      <c r="AF162" s="344">
        <v>7</v>
      </c>
      <c r="AG162" s="345">
        <v>4</v>
      </c>
      <c r="AH162" s="346">
        <v>6</v>
      </c>
      <c r="AI162" s="197">
        <v>9</v>
      </c>
      <c r="AJ162" s="197">
        <v>5</v>
      </c>
      <c r="AK162" s="197">
        <v>9</v>
      </c>
      <c r="AL162" s="197">
        <v>9</v>
      </c>
      <c r="AM162" s="197">
        <v>11</v>
      </c>
      <c r="AN162" s="197">
        <v>8</v>
      </c>
      <c r="AO162" s="197">
        <v>10</v>
      </c>
      <c r="AP162" s="347">
        <v>11</v>
      </c>
      <c r="AQ162" s="197">
        <v>7</v>
      </c>
      <c r="AR162" s="197">
        <v>9</v>
      </c>
      <c r="AS162" s="347">
        <v>11</v>
      </c>
      <c r="AT162" s="197">
        <v>9</v>
      </c>
      <c r="AU162" s="347">
        <v>9</v>
      </c>
      <c r="AV162" s="347">
        <v>5</v>
      </c>
      <c r="AW162" s="347">
        <v>8</v>
      </c>
      <c r="AX162" s="347">
        <v>3</v>
      </c>
      <c r="AY162" s="347">
        <v>9</v>
      </c>
      <c r="AZ162" s="347">
        <v>5</v>
      </c>
      <c r="BA162" s="347">
        <v>9</v>
      </c>
      <c r="BB162" s="347">
        <v>10</v>
      </c>
      <c r="BC162" s="347">
        <v>4</v>
      </c>
    </row>
    <row r="163" spans="1:55" s="381" customFormat="1" ht="17.649999999999999" customHeight="1">
      <c r="A163" s="343">
        <v>103</v>
      </c>
      <c r="B163" s="211" t="s">
        <v>2182</v>
      </c>
      <c r="C163" s="211" t="s">
        <v>2055</v>
      </c>
      <c r="D163" s="211" t="s">
        <v>2125</v>
      </c>
      <c r="E163" s="344">
        <v>0</v>
      </c>
      <c r="F163" s="344">
        <v>0.233333333333333</v>
      </c>
      <c r="G163" s="209">
        <v>1.86666666666667</v>
      </c>
      <c r="H163" s="344">
        <v>1.86666666666667</v>
      </c>
      <c r="I163" s="344">
        <v>2.56666666666667</v>
      </c>
      <c r="J163" s="344">
        <v>3.0333333333333301</v>
      </c>
      <c r="K163" s="344">
        <v>3.2666666666666702</v>
      </c>
      <c r="L163" s="344">
        <f t="shared" si="46"/>
        <v>0.76222222222222302</v>
      </c>
      <c r="M163" s="344">
        <v>3.2666666666666702</v>
      </c>
      <c r="N163" s="344">
        <v>3.5</v>
      </c>
      <c r="O163" s="344">
        <v>3.0333333333333301</v>
      </c>
      <c r="P163" s="344">
        <v>2.1</v>
      </c>
      <c r="Q163" s="344">
        <v>4.43333333333333</v>
      </c>
      <c r="R163" s="344">
        <v>6.3</v>
      </c>
      <c r="S163" s="344">
        <v>5.6</v>
      </c>
      <c r="T163" s="344">
        <v>5.8333333333333304</v>
      </c>
      <c r="U163" s="344">
        <v>3.9666666666666699</v>
      </c>
      <c r="V163" s="344">
        <v>1.86666666666667</v>
      </c>
      <c r="W163" s="344">
        <v>4.43333333333333</v>
      </c>
      <c r="X163" s="344">
        <v>3.5</v>
      </c>
      <c r="Y163" s="344">
        <v>4.2</v>
      </c>
      <c r="Z163" s="344">
        <v>4.43333333333333</v>
      </c>
      <c r="AA163" s="344">
        <v>2.3333333333333299</v>
      </c>
      <c r="AB163" s="344">
        <v>3.5</v>
      </c>
      <c r="AC163" s="344">
        <v>2.56666666666667</v>
      </c>
      <c r="AD163" s="344">
        <f t="shared" si="47"/>
        <v>-0.93333333333333002</v>
      </c>
      <c r="AE163" s="344">
        <v>1</v>
      </c>
      <c r="AF163" s="344">
        <v>1</v>
      </c>
      <c r="AG163" s="345">
        <v>1</v>
      </c>
      <c r="AH163" s="346">
        <v>1</v>
      </c>
      <c r="AI163" s="197">
        <v>10</v>
      </c>
      <c r="AJ163" s="197">
        <v>1</v>
      </c>
      <c r="AK163" s="197">
        <v>2</v>
      </c>
      <c r="AL163" s="197">
        <v>2</v>
      </c>
      <c r="AM163" s="197">
        <v>4</v>
      </c>
      <c r="AN163" s="197">
        <v>4</v>
      </c>
      <c r="AO163" s="197">
        <v>2</v>
      </c>
      <c r="AP163" s="197">
        <v>3</v>
      </c>
      <c r="AQ163" s="197">
        <v>2</v>
      </c>
      <c r="AR163" s="197">
        <v>9</v>
      </c>
      <c r="AS163" s="197">
        <v>1</v>
      </c>
      <c r="AT163" s="197">
        <v>1</v>
      </c>
      <c r="AU163" s="347">
        <v>2</v>
      </c>
      <c r="AV163" s="347">
        <v>1</v>
      </c>
      <c r="AW163" s="347">
        <v>1</v>
      </c>
      <c r="AX163" s="347">
        <v>8</v>
      </c>
      <c r="AY163" s="347">
        <v>1</v>
      </c>
      <c r="AZ163" s="347">
        <v>1</v>
      </c>
      <c r="BA163" s="347">
        <v>8</v>
      </c>
      <c r="BB163" s="347">
        <v>1</v>
      </c>
      <c r="BC163" s="347">
        <v>1</v>
      </c>
    </row>
    <row r="164" spans="1:55" s="381" customFormat="1" ht="17.649999999999999" customHeight="1">
      <c r="A164" s="343">
        <v>104</v>
      </c>
      <c r="B164" s="211" t="s">
        <v>2183</v>
      </c>
      <c r="C164" s="211" t="s">
        <v>2055</v>
      </c>
      <c r="D164" s="211" t="s">
        <v>2125</v>
      </c>
      <c r="E164" s="344">
        <v>11</v>
      </c>
      <c r="F164" s="344">
        <v>11.6666666666667</v>
      </c>
      <c r="G164" s="209">
        <v>12.8333333333333</v>
      </c>
      <c r="H164" s="344">
        <v>12.8333333333333</v>
      </c>
      <c r="I164" s="344">
        <v>11.6666666666667</v>
      </c>
      <c r="J164" s="344">
        <v>12.133333333333301</v>
      </c>
      <c r="K164" s="344">
        <v>10.733333333333301</v>
      </c>
      <c r="L164" s="344">
        <f t="shared" si="46"/>
        <v>2.5044444444444367</v>
      </c>
      <c r="M164" s="344">
        <v>8.8666666666666707</v>
      </c>
      <c r="N164" s="344">
        <v>8.4</v>
      </c>
      <c r="O164" s="344">
        <v>10.733333333333301</v>
      </c>
      <c r="P164" s="344">
        <v>13.0666666666667</v>
      </c>
      <c r="Q164" s="344">
        <v>16.100000000000001</v>
      </c>
      <c r="R164" s="344">
        <v>18.899999999999999</v>
      </c>
      <c r="S164" s="344">
        <v>17.266666666666701</v>
      </c>
      <c r="T164" s="344">
        <v>15.1666666666667</v>
      </c>
      <c r="U164" s="344">
        <v>12.8333333333333</v>
      </c>
      <c r="V164" s="344">
        <v>9.8000000000000007</v>
      </c>
      <c r="W164" s="344">
        <v>8.8666666666666707</v>
      </c>
      <c r="X164" s="344">
        <v>10.966666666666701</v>
      </c>
      <c r="Y164" s="344">
        <v>12.366666666666699</v>
      </c>
      <c r="Z164" s="344">
        <v>10.966666666666701</v>
      </c>
      <c r="AA164" s="344">
        <v>9.8000000000000007</v>
      </c>
      <c r="AB164" s="344">
        <v>8.6333333333333293</v>
      </c>
      <c r="AC164" s="344">
        <v>6.7666666666666702</v>
      </c>
      <c r="AD164" s="344">
        <f t="shared" si="47"/>
        <v>-1.8666666666666591</v>
      </c>
      <c r="AE164" s="344">
        <v>5</v>
      </c>
      <c r="AF164" s="344">
        <v>3</v>
      </c>
      <c r="AG164" s="345">
        <v>3</v>
      </c>
      <c r="AH164" s="346">
        <v>3</v>
      </c>
      <c r="AI164" s="197">
        <v>3</v>
      </c>
      <c r="AJ164" s="197">
        <v>3</v>
      </c>
      <c r="AK164" s="197">
        <v>3</v>
      </c>
      <c r="AL164" s="197">
        <v>3</v>
      </c>
      <c r="AM164" s="197">
        <v>3</v>
      </c>
      <c r="AN164" s="197">
        <v>3</v>
      </c>
      <c r="AO164" s="197">
        <v>3</v>
      </c>
      <c r="AP164" s="347">
        <v>3</v>
      </c>
      <c r="AQ164" s="197">
        <v>2</v>
      </c>
      <c r="AR164" s="197">
        <v>2</v>
      </c>
      <c r="AS164" s="347">
        <v>2</v>
      </c>
      <c r="AT164" s="197">
        <v>2</v>
      </c>
      <c r="AU164" s="347">
        <v>3</v>
      </c>
      <c r="AV164" s="347">
        <v>7</v>
      </c>
      <c r="AW164" s="347">
        <v>3</v>
      </c>
      <c r="AX164" s="347">
        <v>8</v>
      </c>
      <c r="AY164" s="347">
        <v>7</v>
      </c>
      <c r="AZ164" s="347">
        <v>9</v>
      </c>
      <c r="BA164" s="347">
        <v>4</v>
      </c>
      <c r="BB164" s="347">
        <v>4</v>
      </c>
      <c r="BC164" s="347">
        <v>3</v>
      </c>
    </row>
    <row r="165" spans="1:55" s="381" customFormat="1" ht="17.649999999999999" customHeight="1">
      <c r="A165" s="343">
        <v>105</v>
      </c>
      <c r="B165" s="211" t="s">
        <v>2184</v>
      </c>
      <c r="C165" s="211" t="s">
        <v>2055</v>
      </c>
      <c r="D165" s="211" t="s">
        <v>2125</v>
      </c>
      <c r="E165" s="344">
        <v>4</v>
      </c>
      <c r="F165" s="344">
        <v>3.5</v>
      </c>
      <c r="G165" s="209">
        <v>3.5</v>
      </c>
      <c r="H165" s="344">
        <v>3.0333333333333301</v>
      </c>
      <c r="I165" s="344">
        <v>3.5</v>
      </c>
      <c r="J165" s="344">
        <v>4.2</v>
      </c>
      <c r="K165" s="344">
        <v>4.43333333333333</v>
      </c>
      <c r="L165" s="344">
        <f t="shared" si="46"/>
        <v>1.0344444444444436</v>
      </c>
      <c r="M165" s="344">
        <v>3.5</v>
      </c>
      <c r="N165" s="344">
        <v>3.0333333333333301</v>
      </c>
      <c r="O165" s="344">
        <v>2.1</v>
      </c>
      <c r="P165" s="344">
        <v>1.1666666666666701</v>
      </c>
      <c r="Q165" s="344">
        <v>2.3333333333333299</v>
      </c>
      <c r="R165" s="344">
        <v>3.5</v>
      </c>
      <c r="S165" s="344">
        <v>4.6666666666666696</v>
      </c>
      <c r="T165" s="344">
        <v>5.8333333333333304</v>
      </c>
      <c r="U165" s="344">
        <v>5.8333333333333304</v>
      </c>
      <c r="V165" s="344">
        <v>4.43333333333333</v>
      </c>
      <c r="W165" s="344">
        <v>4.43333333333333</v>
      </c>
      <c r="X165" s="344">
        <v>5.1333333333333302</v>
      </c>
      <c r="Y165" s="344">
        <v>5.3666666666666698</v>
      </c>
      <c r="Z165" s="344">
        <v>5.1333333333333302</v>
      </c>
      <c r="AA165" s="344">
        <v>4.2</v>
      </c>
      <c r="AB165" s="344">
        <v>4.2</v>
      </c>
      <c r="AC165" s="344">
        <v>2.56666666666667</v>
      </c>
      <c r="AD165" s="344">
        <f t="shared" si="47"/>
        <v>-1.6333333333333302</v>
      </c>
      <c r="AE165" s="344">
        <v>3</v>
      </c>
      <c r="AF165" s="344">
        <v>4</v>
      </c>
      <c r="AG165" s="345">
        <v>1</v>
      </c>
      <c r="AH165" s="346">
        <v>1</v>
      </c>
      <c r="AI165" s="197">
        <v>1</v>
      </c>
      <c r="AJ165" s="197">
        <v>10</v>
      </c>
      <c r="AK165" s="197">
        <v>1</v>
      </c>
      <c r="AL165" s="197">
        <v>1</v>
      </c>
      <c r="AM165" s="197">
        <v>10</v>
      </c>
      <c r="AN165" s="197">
        <v>1</v>
      </c>
      <c r="AO165" s="197">
        <v>1</v>
      </c>
      <c r="AP165" s="197">
        <v>1</v>
      </c>
      <c r="AQ165" s="197">
        <v>10</v>
      </c>
      <c r="AR165" s="197">
        <v>3</v>
      </c>
      <c r="AS165" s="197">
        <v>1</v>
      </c>
      <c r="AT165" s="197">
        <v>1</v>
      </c>
      <c r="AU165" s="347">
        <v>1</v>
      </c>
      <c r="AV165" s="347">
        <v>1</v>
      </c>
      <c r="AW165" s="347">
        <v>9</v>
      </c>
      <c r="AX165" s="347">
        <v>1</v>
      </c>
      <c r="AY165" s="347">
        <v>1</v>
      </c>
      <c r="AZ165" s="347">
        <v>2</v>
      </c>
      <c r="BA165" s="347">
        <v>1</v>
      </c>
      <c r="BB165" s="347">
        <v>1</v>
      </c>
      <c r="BC165" s="347">
        <v>1</v>
      </c>
    </row>
    <row r="166" spans="1:55" s="381" customFormat="1" ht="17.649999999999999" customHeight="1">
      <c r="A166" s="343">
        <v>106</v>
      </c>
      <c r="B166" s="211" t="s">
        <v>2185</v>
      </c>
      <c r="C166" s="211" t="s">
        <v>2055</v>
      </c>
      <c r="D166" s="211" t="s">
        <v>2125</v>
      </c>
      <c r="E166" s="344">
        <v>35</v>
      </c>
      <c r="F166" s="344">
        <v>38.733333333333299</v>
      </c>
      <c r="G166" s="209">
        <v>36.4</v>
      </c>
      <c r="H166" s="344">
        <v>35.466666666666697</v>
      </c>
      <c r="I166" s="344">
        <v>35.233333333333299</v>
      </c>
      <c r="J166" s="344">
        <v>34.066666666666698</v>
      </c>
      <c r="K166" s="344">
        <v>34.299999999999997</v>
      </c>
      <c r="L166" s="344">
        <f t="shared" si="46"/>
        <v>8.0033333333333339</v>
      </c>
      <c r="M166" s="344">
        <v>32.200000000000003</v>
      </c>
      <c r="N166" s="344">
        <v>34.766666666666701</v>
      </c>
      <c r="O166" s="344">
        <v>32.200000000000003</v>
      </c>
      <c r="P166" s="344">
        <v>45.733333333333299</v>
      </c>
      <c r="Q166" s="344">
        <v>50.866666666666703</v>
      </c>
      <c r="R166" s="344">
        <v>49</v>
      </c>
      <c r="S166" s="344">
        <v>50.633333333333297</v>
      </c>
      <c r="T166" s="344">
        <v>48.066666666666698</v>
      </c>
      <c r="U166" s="344">
        <v>47.366666666666703</v>
      </c>
      <c r="V166" s="344">
        <v>39.9</v>
      </c>
      <c r="W166" s="344">
        <v>35.933333333333302</v>
      </c>
      <c r="X166" s="344">
        <v>30.3333333333333</v>
      </c>
      <c r="Y166" s="344">
        <v>26.133333333333301</v>
      </c>
      <c r="Z166" s="344">
        <v>31.033333333333299</v>
      </c>
      <c r="AA166" s="344">
        <v>31.5</v>
      </c>
      <c r="AB166" s="344">
        <v>40.6</v>
      </c>
      <c r="AC166" s="344">
        <v>38.033333333333303</v>
      </c>
      <c r="AD166" s="344">
        <f t="shared" si="47"/>
        <v>-2.5666666666666984</v>
      </c>
      <c r="AE166" s="344">
        <v>3</v>
      </c>
      <c r="AF166" s="344">
        <v>2</v>
      </c>
      <c r="AG166" s="345">
        <v>3</v>
      </c>
      <c r="AH166" s="346">
        <v>4</v>
      </c>
      <c r="AI166" s="197">
        <v>4</v>
      </c>
      <c r="AJ166" s="197">
        <v>4</v>
      </c>
      <c r="AK166" s="197">
        <v>4</v>
      </c>
      <c r="AL166" s="197">
        <v>4</v>
      </c>
      <c r="AM166" s="197">
        <v>4</v>
      </c>
      <c r="AN166" s="197">
        <v>5</v>
      </c>
      <c r="AO166" s="197">
        <v>4</v>
      </c>
      <c r="AP166" s="197">
        <v>4</v>
      </c>
      <c r="AQ166" s="197">
        <v>1</v>
      </c>
      <c r="AR166" s="197">
        <v>3</v>
      </c>
      <c r="AS166" s="197">
        <v>2</v>
      </c>
      <c r="AT166" s="197">
        <v>3</v>
      </c>
      <c r="AU166" s="347">
        <v>2</v>
      </c>
      <c r="AV166" s="347">
        <v>4</v>
      </c>
      <c r="AW166" s="347">
        <v>15</v>
      </c>
      <c r="AX166" s="347">
        <v>10</v>
      </c>
      <c r="AY166" s="347">
        <v>5</v>
      </c>
      <c r="AZ166" s="347">
        <v>4</v>
      </c>
      <c r="BA166" s="347">
        <v>10</v>
      </c>
      <c r="BB166" s="347">
        <v>10</v>
      </c>
      <c r="BC166" s="347">
        <v>5</v>
      </c>
    </row>
    <row r="167" spans="1:55" s="381" customFormat="1" ht="17.649999999999999" customHeight="1">
      <c r="A167" s="343">
        <v>107</v>
      </c>
      <c r="B167" s="211" t="s">
        <v>2186</v>
      </c>
      <c r="C167" s="211" t="s">
        <v>2055</v>
      </c>
      <c r="D167" s="211" t="s">
        <v>2125</v>
      </c>
      <c r="E167" s="344">
        <v>0</v>
      </c>
      <c r="F167" s="344">
        <v>0.233333333333333</v>
      </c>
      <c r="G167" s="209">
        <v>1.86666666666667</v>
      </c>
      <c r="H167" s="344">
        <v>1.86666666666667</v>
      </c>
      <c r="I167" s="344">
        <v>2.1</v>
      </c>
      <c r="J167" s="344">
        <v>2.56666666666667</v>
      </c>
      <c r="K167" s="344">
        <v>2.1</v>
      </c>
      <c r="L167" s="344">
        <f t="shared" si="46"/>
        <v>0.49000000000000005</v>
      </c>
      <c r="M167" s="344">
        <v>1.86666666666667</v>
      </c>
      <c r="N167" s="344">
        <v>1.1666666666666701</v>
      </c>
      <c r="O167" s="344">
        <v>1.1666666666666701</v>
      </c>
      <c r="P167" s="344">
        <v>1.4</v>
      </c>
      <c r="Q167" s="344">
        <v>2.56666666666667</v>
      </c>
      <c r="R167" s="344">
        <v>3.0333333333333301</v>
      </c>
      <c r="S167" s="344">
        <v>2.56666666666667</v>
      </c>
      <c r="T167" s="344">
        <v>2.3333333333333299</v>
      </c>
      <c r="U167" s="344">
        <v>2.1</v>
      </c>
      <c r="V167" s="344">
        <v>1.4</v>
      </c>
      <c r="W167" s="344">
        <v>1.86666666666667</v>
      </c>
      <c r="X167" s="344">
        <v>2.1</v>
      </c>
      <c r="Y167" s="344">
        <v>2.1</v>
      </c>
      <c r="Z167" s="344">
        <v>2.1</v>
      </c>
      <c r="AA167" s="344">
        <v>3.0333333333333301</v>
      </c>
      <c r="AB167" s="344">
        <v>2.1</v>
      </c>
      <c r="AC167" s="344">
        <v>2.1</v>
      </c>
      <c r="AD167" s="344">
        <f t="shared" si="47"/>
        <v>0</v>
      </c>
      <c r="AE167" s="344">
        <v>1</v>
      </c>
      <c r="AF167" s="344">
        <v>2</v>
      </c>
      <c r="AG167" s="345">
        <v>2</v>
      </c>
      <c r="AH167" s="346">
        <v>2</v>
      </c>
      <c r="AI167" s="197">
        <v>2</v>
      </c>
      <c r="AJ167" s="197">
        <v>2</v>
      </c>
      <c r="AK167" s="197">
        <v>2</v>
      </c>
      <c r="AL167" s="197">
        <v>2</v>
      </c>
      <c r="AM167" s="197">
        <v>2</v>
      </c>
      <c r="AN167" s="197">
        <v>2</v>
      </c>
      <c r="AO167" s="197">
        <v>2</v>
      </c>
      <c r="AP167" s="197">
        <v>2</v>
      </c>
      <c r="AQ167" s="197">
        <v>2</v>
      </c>
      <c r="AR167" s="197">
        <v>2</v>
      </c>
      <c r="AS167" s="197">
        <v>3</v>
      </c>
      <c r="AT167" s="197">
        <v>6</v>
      </c>
      <c r="AU167" s="347">
        <v>2</v>
      </c>
      <c r="AV167" s="347">
        <v>2</v>
      </c>
      <c r="AW167" s="347">
        <v>2</v>
      </c>
      <c r="AX167" s="347">
        <v>2</v>
      </c>
      <c r="AY167" s="347">
        <v>1</v>
      </c>
      <c r="AZ167" s="347">
        <v>3</v>
      </c>
      <c r="BA167" s="347">
        <v>8</v>
      </c>
      <c r="BB167" s="347">
        <v>3</v>
      </c>
      <c r="BC167" s="347">
        <v>3</v>
      </c>
    </row>
    <row r="168" spans="1:55" s="381" customFormat="1" ht="17.649999999999999" customHeight="1">
      <c r="A168" s="343">
        <v>108</v>
      </c>
      <c r="B168" s="211" t="s">
        <v>2187</v>
      </c>
      <c r="C168" s="211" t="s">
        <v>2055</v>
      </c>
      <c r="D168" s="211" t="s">
        <v>2125</v>
      </c>
      <c r="E168" s="344">
        <v>2</v>
      </c>
      <c r="F168" s="344">
        <v>1.86666666666667</v>
      </c>
      <c r="G168" s="209">
        <v>1.4</v>
      </c>
      <c r="H168" s="344">
        <v>2.1</v>
      </c>
      <c r="I168" s="344">
        <v>3.9666666666666699</v>
      </c>
      <c r="J168" s="344">
        <v>4.2</v>
      </c>
      <c r="K168" s="344">
        <v>4.2</v>
      </c>
      <c r="L168" s="344">
        <f t="shared" si="46"/>
        <v>0.98000000000000009</v>
      </c>
      <c r="M168" s="344">
        <v>2.3333333333333299</v>
      </c>
      <c r="N168" s="344">
        <v>2.1</v>
      </c>
      <c r="O168" s="344">
        <v>2.56666666666667</v>
      </c>
      <c r="P168" s="344">
        <v>2.3333333333333299</v>
      </c>
      <c r="Q168" s="344">
        <v>4.2</v>
      </c>
      <c r="R168" s="344">
        <v>7</v>
      </c>
      <c r="S168" s="344">
        <v>6.3</v>
      </c>
      <c r="T168" s="344">
        <v>6.7666666666666702</v>
      </c>
      <c r="U168" s="344">
        <v>6.7666666666666702</v>
      </c>
      <c r="V168" s="344">
        <v>3.9666666666666699</v>
      </c>
      <c r="W168" s="344">
        <v>3.9666666666666699</v>
      </c>
      <c r="X168" s="344">
        <v>4.2</v>
      </c>
      <c r="Y168" s="344">
        <v>2.56666666666667</v>
      </c>
      <c r="Z168" s="344">
        <v>3.5</v>
      </c>
      <c r="AA168" s="344">
        <v>3.0333333333333301</v>
      </c>
      <c r="AB168" s="344">
        <v>3.9666666666666699</v>
      </c>
      <c r="AC168" s="344">
        <v>2.3333333333333299</v>
      </c>
      <c r="AD168" s="344">
        <f t="shared" si="47"/>
        <v>-1.63333333333334</v>
      </c>
      <c r="AE168" s="344">
        <v>1</v>
      </c>
      <c r="AF168" s="344">
        <v>1</v>
      </c>
      <c r="AG168" s="345">
        <v>1</v>
      </c>
      <c r="AH168" s="346">
        <v>1</v>
      </c>
      <c r="AI168" s="197">
        <v>1</v>
      </c>
      <c r="AJ168" s="197">
        <v>1</v>
      </c>
      <c r="AK168" s="197">
        <v>1</v>
      </c>
      <c r="AL168" s="197">
        <v>1</v>
      </c>
      <c r="AM168" s="197">
        <v>1</v>
      </c>
      <c r="AN168" s="197">
        <v>1</v>
      </c>
      <c r="AO168" s="197">
        <v>1</v>
      </c>
      <c r="AP168" s="197">
        <v>1</v>
      </c>
      <c r="AQ168" s="197">
        <v>10</v>
      </c>
      <c r="AR168" s="197">
        <v>1</v>
      </c>
      <c r="AS168" s="197">
        <v>1</v>
      </c>
      <c r="AT168" s="197">
        <v>1</v>
      </c>
      <c r="AU168" s="347">
        <v>1</v>
      </c>
      <c r="AV168" s="347">
        <v>1</v>
      </c>
      <c r="AW168" s="347">
        <v>9</v>
      </c>
      <c r="AX168" s="347">
        <v>1</v>
      </c>
      <c r="AY168" s="347">
        <v>1</v>
      </c>
      <c r="AZ168" s="347">
        <v>4</v>
      </c>
      <c r="BA168" s="347">
        <v>10</v>
      </c>
      <c r="BB168" s="347">
        <v>2</v>
      </c>
      <c r="BC168" s="347">
        <v>1</v>
      </c>
    </row>
    <row r="169" spans="1:55" s="381" customFormat="1" ht="17.649999999999999" customHeight="1">
      <c r="A169" s="343">
        <v>109</v>
      </c>
      <c r="B169" s="211" t="s">
        <v>2188</v>
      </c>
      <c r="C169" s="211" t="s">
        <v>2055</v>
      </c>
      <c r="D169" s="211" t="s">
        <v>2125</v>
      </c>
      <c r="E169" s="344">
        <v>4</v>
      </c>
      <c r="F169" s="344">
        <v>3.9666666666666699</v>
      </c>
      <c r="G169" s="209">
        <v>4.43333333333333</v>
      </c>
      <c r="H169" s="344">
        <v>4.43333333333333</v>
      </c>
      <c r="I169" s="344">
        <v>4.6666666666666696</v>
      </c>
      <c r="J169" s="344">
        <v>3.5</v>
      </c>
      <c r="K169" s="344">
        <v>4.43333333333333</v>
      </c>
      <c r="L169" s="344">
        <f t="shared" si="46"/>
        <v>1.0344444444444436</v>
      </c>
      <c r="M169" s="344">
        <v>3.0333333333333301</v>
      </c>
      <c r="N169" s="344">
        <v>2.56666666666667</v>
      </c>
      <c r="O169" s="344">
        <v>1.4</v>
      </c>
      <c r="P169" s="344">
        <v>1.1666666666666701</v>
      </c>
      <c r="Q169" s="344">
        <v>2.56666666666667</v>
      </c>
      <c r="R169" s="344">
        <v>3.9666666666666699</v>
      </c>
      <c r="S169" s="344">
        <v>3.9666666666666699</v>
      </c>
      <c r="T169" s="344">
        <v>4.6666666666666696</v>
      </c>
      <c r="U169" s="344">
        <v>5.3666666666666698</v>
      </c>
      <c r="V169" s="344">
        <v>5.1333333333333302</v>
      </c>
      <c r="W169" s="344">
        <v>3.9666666666666699</v>
      </c>
      <c r="X169" s="344">
        <v>4.2</v>
      </c>
      <c r="Y169" s="344">
        <v>4.43333333333333</v>
      </c>
      <c r="Z169" s="344">
        <v>4.2</v>
      </c>
      <c r="AA169" s="344">
        <v>4.43333333333333</v>
      </c>
      <c r="AB169" s="344">
        <v>7</v>
      </c>
      <c r="AC169" s="344">
        <v>5.3666666666666698</v>
      </c>
      <c r="AD169" s="344">
        <f t="shared" si="47"/>
        <v>-1.6333333333333302</v>
      </c>
      <c r="AE169" s="344">
        <v>2</v>
      </c>
      <c r="AF169" s="344">
        <v>5</v>
      </c>
      <c r="AG169" s="345">
        <v>2</v>
      </c>
      <c r="AH169" s="346">
        <v>7</v>
      </c>
      <c r="AI169" s="197">
        <v>7</v>
      </c>
      <c r="AJ169" s="197">
        <v>5</v>
      </c>
      <c r="AK169" s="197">
        <v>5</v>
      </c>
      <c r="AL169" s="197">
        <v>5</v>
      </c>
      <c r="AM169" s="197">
        <v>8</v>
      </c>
      <c r="AN169" s="197">
        <v>5</v>
      </c>
      <c r="AO169" s="197">
        <v>6</v>
      </c>
      <c r="AP169" s="197">
        <v>10</v>
      </c>
      <c r="AQ169" s="197">
        <v>4</v>
      </c>
      <c r="AR169" s="347">
        <v>4</v>
      </c>
      <c r="AS169" s="197">
        <v>5</v>
      </c>
      <c r="AT169" s="347">
        <v>14</v>
      </c>
      <c r="AU169" s="347">
        <v>4</v>
      </c>
      <c r="AV169" s="347">
        <v>5</v>
      </c>
      <c r="AW169" s="347">
        <v>5</v>
      </c>
      <c r="AX169" s="347">
        <v>4</v>
      </c>
      <c r="AY169" s="347">
        <v>4</v>
      </c>
      <c r="AZ169" s="347">
        <v>4</v>
      </c>
      <c r="BA169" s="347">
        <v>14</v>
      </c>
      <c r="BB169" s="347">
        <v>13</v>
      </c>
      <c r="BC169" s="347">
        <v>2</v>
      </c>
    </row>
    <row r="170" spans="1:55" s="381" customFormat="1" ht="17.649999999999999" customHeight="1">
      <c r="A170" s="343">
        <v>110</v>
      </c>
      <c r="B170" s="211" t="s">
        <v>2189</v>
      </c>
      <c r="C170" s="211" t="s">
        <v>2055</v>
      </c>
      <c r="D170" s="211" t="s">
        <v>2125</v>
      </c>
      <c r="E170" s="344">
        <v>9</v>
      </c>
      <c r="F170" s="344">
        <v>8.6333333333333293</v>
      </c>
      <c r="G170" s="209">
        <v>2.3333333333333299</v>
      </c>
      <c r="H170" s="344">
        <v>2.1</v>
      </c>
      <c r="I170" s="344">
        <v>2.56666666666667</v>
      </c>
      <c r="J170" s="344">
        <v>1.86666666666667</v>
      </c>
      <c r="K170" s="344">
        <v>3.0333333333333301</v>
      </c>
      <c r="L170" s="344">
        <f t="shared" si="46"/>
        <v>0.70777777777777695</v>
      </c>
      <c r="M170" s="344">
        <v>2.56666666666667</v>
      </c>
      <c r="N170" s="344">
        <v>3.5</v>
      </c>
      <c r="O170" s="344">
        <v>3.5</v>
      </c>
      <c r="P170" s="344">
        <v>2.56666666666667</v>
      </c>
      <c r="Q170" s="344">
        <v>3.0333333333333301</v>
      </c>
      <c r="R170" s="344">
        <v>3.5</v>
      </c>
      <c r="S170" s="344">
        <v>3.2666666666666702</v>
      </c>
      <c r="T170" s="344">
        <v>3.9666666666666699</v>
      </c>
      <c r="U170" s="344">
        <v>4.43333333333333</v>
      </c>
      <c r="V170" s="344">
        <v>4.43333333333333</v>
      </c>
      <c r="W170" s="344">
        <v>5.1333333333333302</v>
      </c>
      <c r="X170" s="344">
        <v>8.4</v>
      </c>
      <c r="Y170" s="344">
        <v>9.1</v>
      </c>
      <c r="Z170" s="344">
        <v>9.56666666666667</v>
      </c>
      <c r="AA170" s="344">
        <v>10.033333333333299</v>
      </c>
      <c r="AB170" s="344">
        <v>8.6333333333333293</v>
      </c>
      <c r="AC170" s="344">
        <v>9.1</v>
      </c>
      <c r="AD170" s="344">
        <f t="shared" si="47"/>
        <v>0.46666666666667034</v>
      </c>
      <c r="AE170" s="344">
        <v>1</v>
      </c>
      <c r="AF170" s="344">
        <v>4</v>
      </c>
      <c r="AG170" s="345">
        <v>1</v>
      </c>
      <c r="AH170" s="346">
        <v>3</v>
      </c>
      <c r="AI170" s="197">
        <v>3</v>
      </c>
      <c r="AJ170" s="197">
        <v>7</v>
      </c>
      <c r="AK170" s="197">
        <v>1</v>
      </c>
      <c r="AL170" s="197">
        <v>1</v>
      </c>
      <c r="AM170" s="197">
        <v>3</v>
      </c>
      <c r="AN170" s="197">
        <v>1</v>
      </c>
      <c r="AO170" s="197">
        <v>2</v>
      </c>
      <c r="AP170" s="197">
        <v>2</v>
      </c>
      <c r="AQ170" s="197">
        <v>9</v>
      </c>
      <c r="AR170" s="197">
        <v>1</v>
      </c>
      <c r="AS170" s="197">
        <v>1</v>
      </c>
      <c r="AT170" s="197">
        <v>3</v>
      </c>
      <c r="AU170" s="347">
        <v>3</v>
      </c>
      <c r="AV170" s="347">
        <v>1</v>
      </c>
      <c r="AW170" s="347">
        <v>1</v>
      </c>
      <c r="AX170" s="347">
        <v>1</v>
      </c>
      <c r="AY170" s="347">
        <v>3</v>
      </c>
      <c r="AZ170" s="347">
        <v>1</v>
      </c>
      <c r="BA170" s="347">
        <v>6</v>
      </c>
      <c r="BB170" s="347">
        <v>6</v>
      </c>
      <c r="BC170" s="347">
        <v>10</v>
      </c>
    </row>
    <row r="171" spans="1:55" s="381" customFormat="1" ht="17.649999999999999" customHeight="1">
      <c r="A171" s="343">
        <v>111</v>
      </c>
      <c r="B171" s="211" t="s">
        <v>2190</v>
      </c>
      <c r="C171" s="211" t="s">
        <v>2055</v>
      </c>
      <c r="D171" s="211" t="s">
        <v>2056</v>
      </c>
      <c r="E171" s="344">
        <v>2</v>
      </c>
      <c r="F171" s="344">
        <v>2.1</v>
      </c>
      <c r="G171" s="209">
        <v>1.86666666666667</v>
      </c>
      <c r="H171" s="344">
        <v>1.86666666666667</v>
      </c>
      <c r="I171" s="344">
        <v>1.4</v>
      </c>
      <c r="J171" s="344">
        <v>0.233333333333333</v>
      </c>
      <c r="K171" s="344">
        <v>2.1</v>
      </c>
      <c r="L171" s="344">
        <f t="shared" si="46"/>
        <v>0.49000000000000005</v>
      </c>
      <c r="M171" s="344">
        <v>3.0333333333333301</v>
      </c>
      <c r="N171" s="344">
        <v>3.0333333333333301</v>
      </c>
      <c r="O171" s="344">
        <v>2.1</v>
      </c>
      <c r="P171" s="344">
        <v>1.1666666666666701</v>
      </c>
      <c r="Q171" s="344">
        <v>2.56666666666667</v>
      </c>
      <c r="R171" s="344">
        <v>4.2</v>
      </c>
      <c r="S171" s="344">
        <v>3.9666666666666699</v>
      </c>
      <c r="T171" s="344">
        <v>5.1333333333333302</v>
      </c>
      <c r="U171" s="344">
        <v>5.1333333333333302</v>
      </c>
      <c r="V171" s="344">
        <v>3.2666666666666702</v>
      </c>
      <c r="W171" s="344">
        <v>2.56666666666667</v>
      </c>
      <c r="X171" s="344">
        <v>2.3333333333333299</v>
      </c>
      <c r="Y171" s="344">
        <v>2.1</v>
      </c>
      <c r="Z171" s="344">
        <v>1.86666666666667</v>
      </c>
      <c r="AA171" s="344">
        <v>2.56666666666667</v>
      </c>
      <c r="AB171" s="344">
        <v>3.9666666666666699</v>
      </c>
      <c r="AC171" s="344">
        <v>3.9666666666666699</v>
      </c>
      <c r="AD171" s="344">
        <f t="shared" si="47"/>
        <v>0</v>
      </c>
      <c r="AE171" s="344">
        <v>6</v>
      </c>
      <c r="AF171" s="344">
        <v>3</v>
      </c>
      <c r="AG171" s="345">
        <v>2</v>
      </c>
      <c r="AH171" s="346">
        <v>2</v>
      </c>
      <c r="AI171" s="197">
        <v>7</v>
      </c>
      <c r="AJ171" s="197">
        <v>2</v>
      </c>
      <c r="AK171" s="197">
        <v>3</v>
      </c>
      <c r="AL171" s="197">
        <v>3</v>
      </c>
      <c r="AM171" s="197">
        <v>2</v>
      </c>
      <c r="AN171" s="197">
        <v>8</v>
      </c>
      <c r="AO171" s="197">
        <v>6</v>
      </c>
      <c r="AP171" s="197">
        <v>4</v>
      </c>
      <c r="AQ171" s="197">
        <v>6</v>
      </c>
      <c r="AR171" s="197">
        <v>7</v>
      </c>
      <c r="AS171" s="197">
        <v>3</v>
      </c>
      <c r="AT171" s="197">
        <v>7</v>
      </c>
      <c r="AU171" s="347">
        <v>3</v>
      </c>
      <c r="AV171" s="347">
        <v>3</v>
      </c>
      <c r="AW171" s="347">
        <v>8</v>
      </c>
      <c r="AX171" s="347">
        <v>5</v>
      </c>
      <c r="AY171" s="347">
        <v>6</v>
      </c>
      <c r="AZ171" s="347">
        <v>5</v>
      </c>
      <c r="BA171" s="347">
        <v>4</v>
      </c>
      <c r="BB171" s="347">
        <v>5</v>
      </c>
      <c r="BC171" s="347">
        <v>9</v>
      </c>
    </row>
    <row r="172" spans="1:55" s="381" customFormat="1" ht="17.649999999999999" customHeight="1">
      <c r="A172" s="343">
        <v>112</v>
      </c>
      <c r="B172" s="211" t="s">
        <v>2191</v>
      </c>
      <c r="C172" s="211" t="s">
        <v>2055</v>
      </c>
      <c r="D172" s="211" t="s">
        <v>2056</v>
      </c>
      <c r="E172" s="344">
        <v>0</v>
      </c>
      <c r="F172" s="344">
        <v>0.233333333333333</v>
      </c>
      <c r="G172" s="209">
        <v>1.1666666666666701</v>
      </c>
      <c r="H172" s="344">
        <v>1.1666666666666701</v>
      </c>
      <c r="I172" s="344">
        <v>1.1666666666666701</v>
      </c>
      <c r="J172" s="344">
        <v>1.4</v>
      </c>
      <c r="K172" s="344">
        <v>2.3333333333333299</v>
      </c>
      <c r="L172" s="344">
        <f t="shared" si="46"/>
        <v>0.54444444444444362</v>
      </c>
      <c r="M172" s="344">
        <v>2.3333333333333299</v>
      </c>
      <c r="N172" s="344">
        <v>1.86666666666667</v>
      </c>
      <c r="O172" s="344">
        <v>0.233333333333333</v>
      </c>
      <c r="P172" s="344">
        <v>0.233333333333333</v>
      </c>
      <c r="Q172" s="344">
        <v>1.1666666666666701</v>
      </c>
      <c r="R172" s="344">
        <v>2.3333333333333299</v>
      </c>
      <c r="S172" s="344">
        <v>2.56666666666667</v>
      </c>
      <c r="T172" s="344">
        <v>3.2666666666666702</v>
      </c>
      <c r="U172" s="344">
        <v>2.3333333333333299</v>
      </c>
      <c r="V172" s="344">
        <v>0.233333333333333</v>
      </c>
      <c r="W172" s="344">
        <v>0.233333333333333</v>
      </c>
      <c r="X172" s="344">
        <v>1.1666666666666701</v>
      </c>
      <c r="Y172" s="344">
        <v>1.4</v>
      </c>
      <c r="Z172" s="344">
        <v>2.1</v>
      </c>
      <c r="AA172" s="344">
        <v>2.3333333333333299</v>
      </c>
      <c r="AB172" s="344">
        <v>3.5</v>
      </c>
      <c r="AC172" s="344">
        <v>2.56666666666667</v>
      </c>
      <c r="AD172" s="344">
        <f t="shared" si="47"/>
        <v>-0.93333333333333002</v>
      </c>
      <c r="AE172" s="344">
        <v>1</v>
      </c>
      <c r="AF172" s="344">
        <v>1</v>
      </c>
      <c r="AG172" s="345">
        <v>1</v>
      </c>
      <c r="AH172" s="346">
        <v>1</v>
      </c>
      <c r="AI172" s="197">
        <v>1</v>
      </c>
      <c r="AJ172" s="197">
        <v>1</v>
      </c>
      <c r="AK172" s="197">
        <v>1</v>
      </c>
      <c r="AL172" s="197">
        <v>1</v>
      </c>
      <c r="AM172" s="197">
        <v>1</v>
      </c>
      <c r="AN172" s="197">
        <v>1</v>
      </c>
      <c r="AO172" s="197">
        <v>1</v>
      </c>
      <c r="AP172" s="197">
        <v>1</v>
      </c>
      <c r="AQ172" s="197">
        <v>1</v>
      </c>
      <c r="AR172" s="197">
        <v>1</v>
      </c>
      <c r="AS172" s="197">
        <v>1</v>
      </c>
      <c r="AT172" s="197">
        <v>1</v>
      </c>
      <c r="AU172" s="347">
        <v>1</v>
      </c>
      <c r="AV172" s="347">
        <v>1</v>
      </c>
      <c r="AW172" s="347">
        <v>1</v>
      </c>
      <c r="AX172" s="347">
        <v>1</v>
      </c>
      <c r="AY172" s="347">
        <v>1</v>
      </c>
      <c r="AZ172" s="347">
        <v>1</v>
      </c>
      <c r="BA172" s="347">
        <v>1</v>
      </c>
      <c r="BB172" s="347">
        <v>1</v>
      </c>
      <c r="BC172" s="347">
        <v>1</v>
      </c>
    </row>
    <row r="173" spans="1:55" s="381" customFormat="1" ht="17.649999999999999" customHeight="1">
      <c r="A173" s="343">
        <v>113</v>
      </c>
      <c r="B173" s="211" t="s">
        <v>2192</v>
      </c>
      <c r="C173" s="211" t="s">
        <v>2055</v>
      </c>
      <c r="D173" s="211" t="s">
        <v>2056</v>
      </c>
      <c r="E173" s="344">
        <v>4</v>
      </c>
      <c r="F173" s="344">
        <v>4.2</v>
      </c>
      <c r="G173" s="209">
        <v>4.43333333333333</v>
      </c>
      <c r="H173" s="344">
        <v>4.43333333333333</v>
      </c>
      <c r="I173" s="344">
        <v>3.9666666666666699</v>
      </c>
      <c r="J173" s="344">
        <v>3.5</v>
      </c>
      <c r="K173" s="344">
        <v>3.9666666666666699</v>
      </c>
      <c r="L173" s="344">
        <f t="shared" si="46"/>
        <v>0.92555555555555624</v>
      </c>
      <c r="M173" s="344">
        <v>2.3333333333333299</v>
      </c>
      <c r="N173" s="344">
        <v>2.1</v>
      </c>
      <c r="O173" s="344">
        <v>1.1666666666666701</v>
      </c>
      <c r="P173" s="344">
        <v>1.86666666666667</v>
      </c>
      <c r="Q173" s="344">
        <v>2.56666666666667</v>
      </c>
      <c r="R173" s="344">
        <v>4.2</v>
      </c>
      <c r="S173" s="344">
        <v>5.3666666666666698</v>
      </c>
      <c r="T173" s="344">
        <v>4.6666666666666696</v>
      </c>
      <c r="U173" s="344">
        <v>5.6</v>
      </c>
      <c r="V173" s="344">
        <v>3.9666666666666699</v>
      </c>
      <c r="W173" s="344">
        <v>3.9666666666666699</v>
      </c>
      <c r="X173" s="344">
        <v>3.2666666666666702</v>
      </c>
      <c r="Y173" s="344">
        <v>3.2666666666666702</v>
      </c>
      <c r="Z173" s="344">
        <v>3.2666666666666702</v>
      </c>
      <c r="AA173" s="344">
        <v>3.5</v>
      </c>
      <c r="AB173" s="344">
        <v>4.2</v>
      </c>
      <c r="AC173" s="344">
        <v>2.56666666666667</v>
      </c>
      <c r="AD173" s="344">
        <f t="shared" si="47"/>
        <v>-1.6333333333333302</v>
      </c>
      <c r="AE173" s="344">
        <v>10</v>
      </c>
      <c r="AF173" s="344">
        <v>9</v>
      </c>
      <c r="AG173" s="345">
        <v>10</v>
      </c>
      <c r="AH173" s="346">
        <v>9</v>
      </c>
      <c r="AI173" s="197">
        <v>2</v>
      </c>
      <c r="AJ173" s="197">
        <v>5</v>
      </c>
      <c r="AK173" s="197">
        <v>2</v>
      </c>
      <c r="AL173" s="197">
        <v>2</v>
      </c>
      <c r="AM173" s="197">
        <v>5</v>
      </c>
      <c r="AN173" s="197">
        <v>4</v>
      </c>
      <c r="AO173" s="197">
        <v>10</v>
      </c>
      <c r="AP173" s="347">
        <v>10</v>
      </c>
      <c r="AQ173" s="347">
        <v>12</v>
      </c>
      <c r="AR173" s="197">
        <v>3</v>
      </c>
      <c r="AS173" s="197">
        <v>8</v>
      </c>
      <c r="AT173" s="197">
        <v>10</v>
      </c>
      <c r="AU173" s="347">
        <v>8</v>
      </c>
      <c r="AV173" s="347">
        <v>10</v>
      </c>
      <c r="AW173" s="347">
        <v>9</v>
      </c>
      <c r="AX173" s="347">
        <v>6</v>
      </c>
      <c r="AY173" s="347">
        <v>12</v>
      </c>
      <c r="AZ173" s="347">
        <v>10</v>
      </c>
      <c r="BA173" s="347">
        <v>10</v>
      </c>
      <c r="BB173" s="347">
        <v>8</v>
      </c>
      <c r="BC173" s="347">
        <v>3</v>
      </c>
    </row>
    <row r="174" spans="1:55" s="381" customFormat="1" ht="17.649999999999999" customHeight="1">
      <c r="A174" s="343">
        <v>114</v>
      </c>
      <c r="B174" s="211" t="s">
        <v>2193</v>
      </c>
      <c r="C174" s="211" t="s">
        <v>2055</v>
      </c>
      <c r="D174" s="211" t="s">
        <v>2056</v>
      </c>
      <c r="E174" s="344">
        <v>4</v>
      </c>
      <c r="F174" s="344">
        <v>3.9666666666666699</v>
      </c>
      <c r="G174" s="209">
        <v>4.43333333333333</v>
      </c>
      <c r="H174" s="344">
        <v>3.9666666666666699</v>
      </c>
      <c r="I174" s="344">
        <v>4.2</v>
      </c>
      <c r="J174" s="344">
        <v>1.86666666666667</v>
      </c>
      <c r="K174" s="344">
        <v>1.4</v>
      </c>
      <c r="L174" s="344">
        <f t="shared" si="46"/>
        <v>0.32666666666666666</v>
      </c>
      <c r="M174" s="344">
        <v>0.233333333333333</v>
      </c>
      <c r="N174" s="344">
        <v>0.233333333333333</v>
      </c>
      <c r="O174" s="344">
        <v>1.86666666666667</v>
      </c>
      <c r="P174" s="344">
        <v>1.86666666666667</v>
      </c>
      <c r="Q174" s="344">
        <v>2.56666666666667</v>
      </c>
      <c r="R174" s="344">
        <v>4.43333333333333</v>
      </c>
      <c r="S174" s="344">
        <v>4.2</v>
      </c>
      <c r="T174" s="344">
        <v>3.9666666666666699</v>
      </c>
      <c r="U174" s="344">
        <v>3.0333333333333301</v>
      </c>
      <c r="V174" s="344">
        <v>1.1666666666666701</v>
      </c>
      <c r="W174" s="344">
        <v>0.233333333333333</v>
      </c>
      <c r="X174" s="344">
        <v>1.4</v>
      </c>
      <c r="Y174" s="344">
        <v>1.86666666666667</v>
      </c>
      <c r="Z174" s="344">
        <v>1.86666666666667</v>
      </c>
      <c r="AA174" s="344">
        <v>1.1666666666666701</v>
      </c>
      <c r="AB174" s="344">
        <v>0.233333333333333</v>
      </c>
      <c r="AC174" s="344">
        <v>0.233333333333333</v>
      </c>
      <c r="AD174" s="344">
        <f t="shared" si="47"/>
        <v>0</v>
      </c>
      <c r="AE174" s="344">
        <v>2</v>
      </c>
      <c r="AF174" s="344">
        <v>2</v>
      </c>
      <c r="AG174" s="345">
        <v>2</v>
      </c>
      <c r="AH174" s="346">
        <v>2</v>
      </c>
      <c r="AI174" s="197">
        <v>2</v>
      </c>
      <c r="AJ174" s="197">
        <v>9</v>
      </c>
      <c r="AK174" s="197">
        <v>2</v>
      </c>
      <c r="AL174" s="197">
        <v>2</v>
      </c>
      <c r="AM174" s="197">
        <v>4</v>
      </c>
      <c r="AN174" s="197">
        <v>2</v>
      </c>
      <c r="AO174" s="197">
        <v>2</v>
      </c>
      <c r="AP174" s="197">
        <v>2</v>
      </c>
      <c r="AQ174" s="197">
        <v>2</v>
      </c>
      <c r="AR174" s="197">
        <v>9</v>
      </c>
      <c r="AS174" s="197">
        <v>2</v>
      </c>
      <c r="AT174" s="197">
        <v>2</v>
      </c>
      <c r="AU174" s="347">
        <v>2</v>
      </c>
      <c r="AV174" s="347">
        <v>2</v>
      </c>
      <c r="AW174" s="347">
        <v>9</v>
      </c>
      <c r="AX174" s="347">
        <v>2</v>
      </c>
      <c r="AY174" s="347">
        <v>8</v>
      </c>
      <c r="AZ174" s="347">
        <v>2</v>
      </c>
      <c r="BA174" s="347">
        <v>2</v>
      </c>
      <c r="BB174" s="347">
        <v>2</v>
      </c>
      <c r="BC174" s="347">
        <v>10</v>
      </c>
    </row>
    <row r="175" spans="1:55" s="381" customFormat="1" ht="17.649999999999999" customHeight="1">
      <c r="A175" s="343">
        <v>115</v>
      </c>
      <c r="B175" s="211" t="s">
        <v>2194</v>
      </c>
      <c r="C175" s="211" t="s">
        <v>2055</v>
      </c>
      <c r="D175" s="211" t="s">
        <v>2056</v>
      </c>
      <c r="E175" s="344">
        <v>32</v>
      </c>
      <c r="F175" s="344">
        <v>34.066666666666698</v>
      </c>
      <c r="G175" s="209">
        <v>34.066666666666698</v>
      </c>
      <c r="H175" s="344">
        <v>31.966666666666701</v>
      </c>
      <c r="I175" s="344">
        <v>28.933333333333302</v>
      </c>
      <c r="J175" s="344">
        <v>28.466666666666701</v>
      </c>
      <c r="K175" s="344">
        <v>25.6666666666667</v>
      </c>
      <c r="L175" s="344">
        <f t="shared" si="46"/>
        <v>5.988888888888896</v>
      </c>
      <c r="M175" s="344">
        <v>19.600000000000001</v>
      </c>
      <c r="N175" s="344">
        <v>26.133333333333301</v>
      </c>
      <c r="O175" s="344">
        <v>34.066666666666698</v>
      </c>
      <c r="P175" s="344">
        <v>40.6</v>
      </c>
      <c r="Q175" s="344">
        <v>48.3</v>
      </c>
      <c r="R175" s="344">
        <v>49.466666666666697</v>
      </c>
      <c r="S175" s="344">
        <v>41.533333333333303</v>
      </c>
      <c r="T175" s="344">
        <v>36.4</v>
      </c>
      <c r="U175" s="344">
        <v>37.3333333333333</v>
      </c>
      <c r="V175" s="344">
        <v>34.299999999999997</v>
      </c>
      <c r="W175" s="344">
        <v>31.5</v>
      </c>
      <c r="X175" s="344">
        <v>31.733333333333299</v>
      </c>
      <c r="Y175" s="344">
        <v>28.933333333333302</v>
      </c>
      <c r="Z175" s="344">
        <v>28.933333333333302</v>
      </c>
      <c r="AA175" s="344">
        <v>25.6666666666667</v>
      </c>
      <c r="AB175" s="344">
        <v>24.5</v>
      </c>
      <c r="AC175" s="344">
        <v>19.366666666666699</v>
      </c>
      <c r="AD175" s="344">
        <f t="shared" si="47"/>
        <v>-5.1333333333333009</v>
      </c>
      <c r="AE175" s="344">
        <v>5</v>
      </c>
      <c r="AF175" s="344">
        <v>4</v>
      </c>
      <c r="AG175" s="345">
        <v>6</v>
      </c>
      <c r="AH175" s="346">
        <v>5</v>
      </c>
      <c r="AI175" s="197">
        <v>4</v>
      </c>
      <c r="AJ175" s="197">
        <v>4</v>
      </c>
      <c r="AK175" s="197">
        <v>4</v>
      </c>
      <c r="AL175" s="197">
        <v>4</v>
      </c>
      <c r="AM175" s="197">
        <v>5</v>
      </c>
      <c r="AN175" s="197">
        <v>4</v>
      </c>
      <c r="AO175" s="197">
        <v>4</v>
      </c>
      <c r="AP175" s="197">
        <v>3</v>
      </c>
      <c r="AQ175" s="197">
        <v>7</v>
      </c>
      <c r="AR175" s="197">
        <v>4</v>
      </c>
      <c r="AS175" s="197">
        <v>3</v>
      </c>
      <c r="AT175" s="197">
        <v>5</v>
      </c>
      <c r="AU175" s="347">
        <v>6</v>
      </c>
      <c r="AV175" s="347">
        <v>5</v>
      </c>
      <c r="AW175" s="347">
        <v>3</v>
      </c>
      <c r="AX175" s="347">
        <v>4</v>
      </c>
      <c r="AY175" s="347">
        <v>6</v>
      </c>
      <c r="AZ175" s="347">
        <v>5</v>
      </c>
      <c r="BA175" s="347">
        <v>8</v>
      </c>
      <c r="BB175" s="347">
        <v>6</v>
      </c>
      <c r="BC175" s="347">
        <v>6</v>
      </c>
    </row>
    <row r="176" spans="1:55" s="381" customFormat="1" ht="17.649999999999999" customHeight="1">
      <c r="A176" s="343">
        <v>116</v>
      </c>
      <c r="B176" s="211" t="s">
        <v>2195</v>
      </c>
      <c r="C176" s="211" t="s">
        <v>2055</v>
      </c>
      <c r="D176" s="211" t="s">
        <v>2056</v>
      </c>
      <c r="E176" s="344">
        <v>2</v>
      </c>
      <c r="F176" s="344">
        <v>2.56666666666667</v>
      </c>
      <c r="G176" s="209">
        <v>3.2666666666666702</v>
      </c>
      <c r="H176" s="344">
        <v>3.0333333333333301</v>
      </c>
      <c r="I176" s="344">
        <v>2.56666666666667</v>
      </c>
      <c r="J176" s="344">
        <v>1.4</v>
      </c>
      <c r="K176" s="344">
        <v>2.1</v>
      </c>
      <c r="L176" s="344">
        <f t="shared" si="46"/>
        <v>0.49000000000000005</v>
      </c>
      <c r="M176" s="344">
        <v>1.4</v>
      </c>
      <c r="N176" s="344">
        <v>1.4</v>
      </c>
      <c r="O176" s="344">
        <v>0.233333333333333</v>
      </c>
      <c r="P176" s="344">
        <v>1.1666666666666701</v>
      </c>
      <c r="Q176" s="344">
        <v>1.4</v>
      </c>
      <c r="R176" s="344">
        <v>2.3333333333333299</v>
      </c>
      <c r="S176" s="344">
        <v>1.86666666666667</v>
      </c>
      <c r="T176" s="344">
        <v>3.0333333333333301</v>
      </c>
      <c r="U176" s="344">
        <v>3.5</v>
      </c>
      <c r="V176" s="344">
        <v>2.3333333333333299</v>
      </c>
      <c r="W176" s="344">
        <v>3.0333333333333301</v>
      </c>
      <c r="X176" s="344">
        <v>3.0333333333333301</v>
      </c>
      <c r="Y176" s="344">
        <v>2.56666666666667</v>
      </c>
      <c r="Z176" s="344">
        <v>2.56666666666667</v>
      </c>
      <c r="AA176" s="344">
        <v>2.1</v>
      </c>
      <c r="AB176" s="344">
        <v>2.1</v>
      </c>
      <c r="AC176" s="344">
        <v>0.233333333333333</v>
      </c>
      <c r="AD176" s="344">
        <f t="shared" si="47"/>
        <v>-1.8666666666666671</v>
      </c>
      <c r="AE176" s="344">
        <v>6</v>
      </c>
      <c r="AF176" s="344">
        <v>6</v>
      </c>
      <c r="AG176" s="345">
        <v>3</v>
      </c>
      <c r="AH176" s="346">
        <v>1</v>
      </c>
      <c r="AI176" s="197">
        <v>1</v>
      </c>
      <c r="AJ176" s="197">
        <v>9</v>
      </c>
      <c r="AK176" s="197">
        <v>1</v>
      </c>
      <c r="AL176" s="197">
        <v>1</v>
      </c>
      <c r="AM176" s="197">
        <v>5</v>
      </c>
      <c r="AN176" s="197">
        <v>2</v>
      </c>
      <c r="AO176" s="197">
        <v>8</v>
      </c>
      <c r="AP176" s="197">
        <v>10</v>
      </c>
      <c r="AQ176" s="347">
        <v>5</v>
      </c>
      <c r="AR176" s="197">
        <v>5</v>
      </c>
      <c r="AS176" s="197">
        <v>3</v>
      </c>
      <c r="AT176" s="197">
        <v>10</v>
      </c>
      <c r="AU176" s="347">
        <v>4</v>
      </c>
      <c r="AV176" s="347">
        <v>7</v>
      </c>
      <c r="AW176" s="347">
        <v>4</v>
      </c>
      <c r="AX176" s="347">
        <v>3</v>
      </c>
      <c r="AY176" s="347">
        <v>2</v>
      </c>
      <c r="AZ176" s="347">
        <v>2</v>
      </c>
      <c r="BA176" s="347">
        <v>2</v>
      </c>
      <c r="BB176" s="347">
        <v>2</v>
      </c>
      <c r="BC176" s="347">
        <v>1</v>
      </c>
    </row>
    <row r="177" spans="1:55" s="381" customFormat="1" ht="17.649999999999999" customHeight="1">
      <c r="A177" s="343">
        <v>117</v>
      </c>
      <c r="B177" s="211" t="s">
        <v>2196</v>
      </c>
      <c r="C177" s="211" t="s">
        <v>2055</v>
      </c>
      <c r="D177" s="211" t="s">
        <v>2056</v>
      </c>
      <c r="E177" s="344">
        <v>76</v>
      </c>
      <c r="F177" s="344">
        <v>77.7</v>
      </c>
      <c r="G177" s="209">
        <v>74.6666666666667</v>
      </c>
      <c r="H177" s="344">
        <v>71.1666666666667</v>
      </c>
      <c r="I177" s="344">
        <v>63.466666666666697</v>
      </c>
      <c r="J177" s="344">
        <v>61.366666666666703</v>
      </c>
      <c r="K177" s="344">
        <v>51.8</v>
      </c>
      <c r="L177" s="344">
        <f t="shared" si="46"/>
        <v>12.086666666666666</v>
      </c>
      <c r="M177" s="344">
        <v>38.266666666666701</v>
      </c>
      <c r="N177" s="344">
        <v>40.366666666666703</v>
      </c>
      <c r="O177" s="344">
        <v>41.533333333333303</v>
      </c>
      <c r="P177" s="344">
        <v>44.1</v>
      </c>
      <c r="Q177" s="344">
        <v>57.1666666666667</v>
      </c>
      <c r="R177" s="344">
        <v>52.733333333333299</v>
      </c>
      <c r="S177" s="344">
        <v>50.866666666666703</v>
      </c>
      <c r="T177" s="344">
        <v>57.1666666666667</v>
      </c>
      <c r="U177" s="344">
        <v>52.5</v>
      </c>
      <c r="V177" s="344">
        <v>55.3</v>
      </c>
      <c r="W177" s="344">
        <v>71.1666666666667</v>
      </c>
      <c r="X177" s="344">
        <v>88.6666666666667</v>
      </c>
      <c r="Y177" s="344">
        <v>123.9</v>
      </c>
      <c r="Z177" s="344">
        <v>137.433333333333</v>
      </c>
      <c r="AA177" s="344">
        <v>126</v>
      </c>
      <c r="AB177" s="344">
        <v>122.5</v>
      </c>
      <c r="AC177" s="344">
        <v>95.433333333333294</v>
      </c>
      <c r="AD177" s="344">
        <f t="shared" si="47"/>
        <v>-27.066666666666706</v>
      </c>
      <c r="AE177" s="344">
        <v>1</v>
      </c>
      <c r="AF177" s="344">
        <v>1</v>
      </c>
      <c r="AG177" s="345">
        <v>1</v>
      </c>
      <c r="AH177" s="346">
        <v>1</v>
      </c>
      <c r="AI177" s="197">
        <v>1</v>
      </c>
      <c r="AJ177" s="197">
        <v>5</v>
      </c>
      <c r="AK177" s="197">
        <v>1</v>
      </c>
      <c r="AL177" s="197">
        <v>1</v>
      </c>
      <c r="AM177" s="197">
        <v>6</v>
      </c>
      <c r="AN177" s="197">
        <v>1</v>
      </c>
      <c r="AO177" s="197">
        <v>1</v>
      </c>
      <c r="AP177" s="197">
        <v>1</v>
      </c>
      <c r="AQ177" s="197">
        <v>1</v>
      </c>
      <c r="AR177" s="197">
        <v>1</v>
      </c>
      <c r="AS177" s="197">
        <v>1</v>
      </c>
      <c r="AT177" s="197">
        <v>1</v>
      </c>
      <c r="AU177" s="347">
        <v>1</v>
      </c>
      <c r="AV177" s="347">
        <v>1</v>
      </c>
      <c r="AW177" s="347">
        <v>1</v>
      </c>
      <c r="AX177" s="347">
        <v>1</v>
      </c>
      <c r="AY177" s="347">
        <v>1</v>
      </c>
      <c r="AZ177" s="347">
        <v>1</v>
      </c>
      <c r="BA177" s="347">
        <v>1</v>
      </c>
      <c r="BB177" s="347">
        <v>1</v>
      </c>
      <c r="BC177" s="347">
        <v>1</v>
      </c>
    </row>
    <row r="178" spans="1:55" s="381" customFormat="1" ht="17.649999999999999" customHeight="1">
      <c r="A178" s="343">
        <v>118</v>
      </c>
      <c r="B178" s="211" t="s">
        <v>2197</v>
      </c>
      <c r="C178" s="211" t="s">
        <v>2055</v>
      </c>
      <c r="D178" s="211" t="s">
        <v>2056</v>
      </c>
      <c r="E178" s="344">
        <v>166</v>
      </c>
      <c r="F178" s="344">
        <v>152.6</v>
      </c>
      <c r="G178" s="209">
        <v>148.166666666667</v>
      </c>
      <c r="H178" s="344">
        <v>136.26666666666699</v>
      </c>
      <c r="I178" s="344">
        <v>124.366666666667</v>
      </c>
      <c r="J178" s="344">
        <v>124.833333333333</v>
      </c>
      <c r="K178" s="344">
        <v>115.966666666667</v>
      </c>
      <c r="L178" s="344">
        <f t="shared" si="46"/>
        <v>27.058888888888966</v>
      </c>
      <c r="M178" s="344">
        <v>72.099999999999994</v>
      </c>
      <c r="N178" s="344">
        <v>75.599999999999994</v>
      </c>
      <c r="O178" s="344">
        <v>86.8</v>
      </c>
      <c r="P178" s="344">
        <v>126.466666666667</v>
      </c>
      <c r="Q178" s="344">
        <v>125.533333333333</v>
      </c>
      <c r="R178" s="344">
        <v>105</v>
      </c>
      <c r="S178" s="344">
        <v>113.166666666667</v>
      </c>
      <c r="T178" s="344">
        <v>81.2</v>
      </c>
      <c r="U178" s="344">
        <v>74.900000000000006</v>
      </c>
      <c r="V178" s="344">
        <v>73.733333333333306</v>
      </c>
      <c r="W178" s="344">
        <v>55.066666666666698</v>
      </c>
      <c r="X178" s="344">
        <v>33.8333333333333</v>
      </c>
      <c r="Y178" s="344">
        <v>28.7</v>
      </c>
      <c r="Z178" s="344">
        <v>29.866666666666699</v>
      </c>
      <c r="AA178" s="344">
        <v>34.066666666666698</v>
      </c>
      <c r="AB178" s="344">
        <v>35</v>
      </c>
      <c r="AC178" s="344">
        <v>30.3333333333333</v>
      </c>
      <c r="AD178" s="344">
        <f t="shared" si="47"/>
        <v>-4.6666666666666998</v>
      </c>
      <c r="AE178" s="344">
        <v>12</v>
      </c>
      <c r="AF178" s="344">
        <v>11</v>
      </c>
      <c r="AG178" s="345">
        <v>2</v>
      </c>
      <c r="AH178" s="346">
        <v>9</v>
      </c>
      <c r="AI178" s="197">
        <v>10</v>
      </c>
      <c r="AJ178" s="197">
        <v>17</v>
      </c>
      <c r="AK178" s="197">
        <v>11</v>
      </c>
      <c r="AL178" s="197">
        <v>9</v>
      </c>
      <c r="AM178" s="197">
        <v>1</v>
      </c>
      <c r="AN178" s="197">
        <v>7</v>
      </c>
      <c r="AO178" s="197">
        <v>9</v>
      </c>
      <c r="AP178" s="347">
        <v>8</v>
      </c>
      <c r="AQ178" s="347">
        <v>10</v>
      </c>
      <c r="AR178" s="197">
        <v>9</v>
      </c>
      <c r="AS178" s="197">
        <v>7</v>
      </c>
      <c r="AT178" s="197">
        <v>10</v>
      </c>
      <c r="AU178" s="347">
        <v>8</v>
      </c>
      <c r="AV178" s="347">
        <v>22</v>
      </c>
      <c r="AW178" s="347">
        <v>10</v>
      </c>
      <c r="AX178" s="347">
        <v>8</v>
      </c>
      <c r="AY178" s="347">
        <v>9</v>
      </c>
      <c r="AZ178" s="347">
        <v>6</v>
      </c>
      <c r="BA178" s="347">
        <v>8</v>
      </c>
      <c r="BB178" s="347">
        <v>6</v>
      </c>
      <c r="BC178" s="347">
        <v>4</v>
      </c>
    </row>
    <row r="179" spans="1:55" s="381" customFormat="1" ht="17.649999999999999" customHeight="1">
      <c r="A179" s="343">
        <v>119</v>
      </c>
      <c r="B179" s="211" t="s">
        <v>2198</v>
      </c>
      <c r="C179" s="211" t="s">
        <v>2055</v>
      </c>
      <c r="D179" s="211" t="s">
        <v>2056</v>
      </c>
      <c r="E179" s="344">
        <v>1</v>
      </c>
      <c r="F179" s="344">
        <v>1.86666666666667</v>
      </c>
      <c r="G179" s="209">
        <v>2.56666666666667</v>
      </c>
      <c r="H179" s="344">
        <v>2.56666666666667</v>
      </c>
      <c r="I179" s="344">
        <v>3.2666666666666702</v>
      </c>
      <c r="J179" s="344">
        <v>2.56666666666667</v>
      </c>
      <c r="K179" s="344">
        <v>2.1</v>
      </c>
      <c r="L179" s="344">
        <f t="shared" si="46"/>
        <v>0.49000000000000005</v>
      </c>
      <c r="M179" s="344">
        <v>1.1666666666666701</v>
      </c>
      <c r="N179" s="344">
        <v>1.1666666666666701</v>
      </c>
      <c r="O179" s="344">
        <v>0.233333333333333</v>
      </c>
      <c r="P179" s="344">
        <v>1.1666666666666701</v>
      </c>
      <c r="Q179" s="344">
        <v>2.56666666666667</v>
      </c>
      <c r="R179" s="344">
        <v>3.0333333333333301</v>
      </c>
      <c r="S179" s="344">
        <v>3.5</v>
      </c>
      <c r="T179" s="344">
        <v>3.5</v>
      </c>
      <c r="U179" s="344">
        <v>3.0333333333333301</v>
      </c>
      <c r="V179" s="344">
        <v>2.3333333333333299</v>
      </c>
      <c r="W179" s="344">
        <v>1.86666666666667</v>
      </c>
      <c r="X179" s="344">
        <v>2.1</v>
      </c>
      <c r="Y179" s="344">
        <v>1.86666666666667</v>
      </c>
      <c r="Z179" s="344">
        <v>2.1</v>
      </c>
      <c r="AA179" s="344">
        <v>3.0333333333333301</v>
      </c>
      <c r="AB179" s="344">
        <v>3.5</v>
      </c>
      <c r="AC179" s="344">
        <v>2.3333333333333299</v>
      </c>
      <c r="AD179" s="344">
        <f t="shared" si="47"/>
        <v>-1.1666666666666701</v>
      </c>
      <c r="AE179" s="344">
        <v>9</v>
      </c>
      <c r="AF179" s="344">
        <v>5</v>
      </c>
      <c r="AG179" s="345">
        <v>6</v>
      </c>
      <c r="AH179" s="346">
        <v>8</v>
      </c>
      <c r="AI179" s="197">
        <v>3</v>
      </c>
      <c r="AJ179" s="197">
        <v>6</v>
      </c>
      <c r="AK179" s="197">
        <v>6</v>
      </c>
      <c r="AL179" s="197">
        <v>6</v>
      </c>
      <c r="AM179" s="197">
        <v>3</v>
      </c>
      <c r="AN179" s="197">
        <v>8</v>
      </c>
      <c r="AO179" s="197">
        <v>9</v>
      </c>
      <c r="AP179" s="197">
        <v>9</v>
      </c>
      <c r="AQ179" s="197">
        <v>9</v>
      </c>
      <c r="AR179" s="197">
        <v>6</v>
      </c>
      <c r="AS179" s="197">
        <v>4</v>
      </c>
      <c r="AT179" s="197">
        <v>10</v>
      </c>
      <c r="AU179" s="347">
        <v>7</v>
      </c>
      <c r="AV179" s="347">
        <v>8</v>
      </c>
      <c r="AW179" s="347">
        <v>8</v>
      </c>
      <c r="AX179" s="347">
        <v>8</v>
      </c>
      <c r="AY179" s="347">
        <v>8</v>
      </c>
      <c r="AZ179" s="347">
        <v>1</v>
      </c>
      <c r="BA179" s="347">
        <v>9</v>
      </c>
      <c r="BB179" s="347">
        <v>6</v>
      </c>
      <c r="BC179" s="347">
        <v>1</v>
      </c>
    </row>
    <row r="180" spans="1:55" s="381" customFormat="1" ht="17.649999999999999" customHeight="1">
      <c r="A180" s="343">
        <v>120</v>
      </c>
      <c r="B180" s="211" t="s">
        <v>2199</v>
      </c>
      <c r="C180" s="211" t="s">
        <v>2055</v>
      </c>
      <c r="D180" s="211" t="s">
        <v>2056</v>
      </c>
      <c r="E180" s="344">
        <v>0</v>
      </c>
      <c r="F180" s="344">
        <v>1.4</v>
      </c>
      <c r="G180" s="209">
        <v>2.3333333333333299</v>
      </c>
      <c r="H180" s="344">
        <v>2.3333333333333299</v>
      </c>
      <c r="I180" s="344">
        <v>3.9666666666666699</v>
      </c>
      <c r="J180" s="344">
        <v>4.2</v>
      </c>
      <c r="K180" s="344">
        <v>4.2</v>
      </c>
      <c r="L180" s="344">
        <f t="shared" si="46"/>
        <v>0.98000000000000009</v>
      </c>
      <c r="M180" s="344">
        <v>1.86666666666667</v>
      </c>
      <c r="N180" s="344">
        <v>2.1</v>
      </c>
      <c r="O180" s="344">
        <v>2.1</v>
      </c>
      <c r="P180" s="344">
        <v>2.1</v>
      </c>
      <c r="Q180" s="344">
        <v>3.5</v>
      </c>
      <c r="R180" s="344">
        <v>6.3</v>
      </c>
      <c r="S180" s="344">
        <v>6.3</v>
      </c>
      <c r="T180" s="344">
        <v>7</v>
      </c>
      <c r="U180" s="344">
        <v>6.3</v>
      </c>
      <c r="V180" s="344">
        <v>3.2666666666666702</v>
      </c>
      <c r="W180" s="344">
        <v>2.56666666666667</v>
      </c>
      <c r="X180" s="344">
        <v>2.1</v>
      </c>
      <c r="Y180" s="344">
        <v>2.3333333333333299</v>
      </c>
      <c r="Z180" s="344">
        <v>2.56666666666667</v>
      </c>
      <c r="AA180" s="344">
        <v>2.1</v>
      </c>
      <c r="AB180" s="344">
        <v>2.56666666666667</v>
      </c>
      <c r="AC180" s="344">
        <v>1.86666666666667</v>
      </c>
      <c r="AD180" s="344">
        <f t="shared" si="47"/>
        <v>-0.7</v>
      </c>
      <c r="AE180" s="344">
        <v>3</v>
      </c>
      <c r="AF180" s="344">
        <v>3</v>
      </c>
      <c r="AG180" s="345">
        <v>1</v>
      </c>
      <c r="AH180" s="346">
        <v>2</v>
      </c>
      <c r="AI180" s="197">
        <v>1</v>
      </c>
      <c r="AJ180" s="197">
        <v>1</v>
      </c>
      <c r="AK180" s="197">
        <v>1</v>
      </c>
      <c r="AL180" s="197">
        <v>1</v>
      </c>
      <c r="AM180" s="197">
        <v>1</v>
      </c>
      <c r="AN180" s="197">
        <v>1</v>
      </c>
      <c r="AO180" s="197">
        <v>3</v>
      </c>
      <c r="AP180" s="197">
        <v>1</v>
      </c>
      <c r="AQ180" s="347">
        <v>1</v>
      </c>
      <c r="AR180" s="197">
        <v>2</v>
      </c>
      <c r="AS180" s="197">
        <v>2</v>
      </c>
      <c r="AT180" s="347">
        <v>1</v>
      </c>
      <c r="AU180" s="347">
        <v>1</v>
      </c>
      <c r="AV180" s="347">
        <v>1</v>
      </c>
      <c r="AW180" s="347">
        <v>2</v>
      </c>
      <c r="AX180" s="347">
        <v>1</v>
      </c>
      <c r="AY180" s="347">
        <v>1</v>
      </c>
      <c r="AZ180" s="347">
        <v>2</v>
      </c>
      <c r="BA180" s="347">
        <v>8</v>
      </c>
      <c r="BB180" s="347">
        <v>6</v>
      </c>
      <c r="BC180" s="347">
        <v>1</v>
      </c>
    </row>
    <row r="181" spans="1:55" s="381" customFormat="1" ht="17.649999999999999" customHeight="1">
      <c r="A181" s="343">
        <v>121</v>
      </c>
      <c r="B181" s="211" t="s">
        <v>2200</v>
      </c>
      <c r="C181" s="211" t="s">
        <v>2055</v>
      </c>
      <c r="D181" s="211" t="s">
        <v>2056</v>
      </c>
      <c r="E181" s="344">
        <v>5</v>
      </c>
      <c r="F181" s="344">
        <v>6.7666666666666702</v>
      </c>
      <c r="G181" s="209">
        <v>6.3</v>
      </c>
      <c r="H181" s="344">
        <v>5.1333333333333302</v>
      </c>
      <c r="I181" s="344">
        <v>5.6</v>
      </c>
      <c r="J181" s="344">
        <v>5.3666666666666698</v>
      </c>
      <c r="K181" s="344">
        <v>4.43333333333333</v>
      </c>
      <c r="L181" s="344">
        <f t="shared" si="46"/>
        <v>1.0344444444444436</v>
      </c>
      <c r="M181" s="344">
        <v>3.0333333333333301</v>
      </c>
      <c r="N181" s="344">
        <v>3.2666666666666702</v>
      </c>
      <c r="O181" s="344">
        <v>3.2666666666666702</v>
      </c>
      <c r="P181" s="344">
        <v>4.2</v>
      </c>
      <c r="Q181" s="344">
        <v>5.6</v>
      </c>
      <c r="R181" s="344">
        <v>7.4666666666666703</v>
      </c>
      <c r="S181" s="344">
        <v>6.5333333333333297</v>
      </c>
      <c r="T181" s="344">
        <v>8.4</v>
      </c>
      <c r="U181" s="344">
        <v>8.4</v>
      </c>
      <c r="V181" s="344">
        <v>6.3</v>
      </c>
      <c r="W181" s="344">
        <v>5.6</v>
      </c>
      <c r="X181" s="344">
        <v>5.1333333333333302</v>
      </c>
      <c r="Y181" s="344">
        <v>5.1333333333333302</v>
      </c>
      <c r="Z181" s="344">
        <v>4.6666666666666696</v>
      </c>
      <c r="AA181" s="344">
        <v>5.1333333333333302</v>
      </c>
      <c r="AB181" s="344">
        <v>5.6</v>
      </c>
      <c r="AC181" s="344">
        <v>4.43333333333333</v>
      </c>
      <c r="AD181" s="344">
        <f t="shared" si="47"/>
        <v>-1.1666666666666696</v>
      </c>
      <c r="AE181" s="344">
        <v>1</v>
      </c>
      <c r="AF181" s="344">
        <v>1</v>
      </c>
      <c r="AG181" s="345">
        <v>1</v>
      </c>
      <c r="AH181" s="346">
        <v>8</v>
      </c>
      <c r="AI181" s="197">
        <v>1</v>
      </c>
      <c r="AJ181" s="197">
        <v>1</v>
      </c>
      <c r="AK181" s="197">
        <v>1</v>
      </c>
      <c r="AL181" s="197">
        <v>1</v>
      </c>
      <c r="AM181" s="197">
        <v>1</v>
      </c>
      <c r="AN181" s="197">
        <v>1</v>
      </c>
      <c r="AO181" s="197">
        <v>1</v>
      </c>
      <c r="AP181" s="197">
        <v>9</v>
      </c>
      <c r="AQ181" s="197">
        <v>1</v>
      </c>
      <c r="AR181" s="197">
        <v>1</v>
      </c>
      <c r="AS181" s="197">
        <v>1</v>
      </c>
      <c r="AT181" s="197">
        <v>1</v>
      </c>
      <c r="AU181" s="347">
        <v>1</v>
      </c>
      <c r="AV181" s="347">
        <v>1</v>
      </c>
      <c r="AW181" s="347">
        <v>1</v>
      </c>
      <c r="AX181" s="347">
        <v>1</v>
      </c>
      <c r="AY181" s="347">
        <v>1</v>
      </c>
      <c r="AZ181" s="347">
        <v>1</v>
      </c>
      <c r="BA181" s="347">
        <v>2</v>
      </c>
      <c r="BB181" s="347">
        <v>2</v>
      </c>
      <c r="BC181" s="347">
        <v>2</v>
      </c>
    </row>
    <row r="182" spans="1:55" s="381" customFormat="1" ht="17.649999999999999" customHeight="1">
      <c r="A182" s="343">
        <v>122</v>
      </c>
      <c r="B182" s="211" t="s">
        <v>2201</v>
      </c>
      <c r="C182" s="211" t="s">
        <v>2055</v>
      </c>
      <c r="D182" s="211" t="s">
        <v>2056</v>
      </c>
      <c r="E182" s="344">
        <v>3</v>
      </c>
      <c r="F182" s="344">
        <v>3.0333333333333301</v>
      </c>
      <c r="G182" s="209">
        <v>3.5</v>
      </c>
      <c r="H182" s="344">
        <v>3.0333333333333301</v>
      </c>
      <c r="I182" s="344">
        <v>5.3666666666666698</v>
      </c>
      <c r="J182" s="344">
        <v>3.5</v>
      </c>
      <c r="K182" s="344">
        <v>3.5</v>
      </c>
      <c r="L182" s="344">
        <f t="shared" si="46"/>
        <v>0.81666666666666665</v>
      </c>
      <c r="M182" s="344">
        <v>2.1</v>
      </c>
      <c r="N182" s="344">
        <v>3.0333333333333301</v>
      </c>
      <c r="O182" s="344">
        <v>2.56666666666667</v>
      </c>
      <c r="P182" s="344">
        <v>2.1</v>
      </c>
      <c r="Q182" s="344">
        <v>3.0333333333333301</v>
      </c>
      <c r="R182" s="344">
        <v>3.0333333333333301</v>
      </c>
      <c r="S182" s="344">
        <v>3.0333333333333301</v>
      </c>
      <c r="T182" s="344">
        <v>3.0333333333333301</v>
      </c>
      <c r="U182" s="344">
        <v>3.2666666666666702</v>
      </c>
      <c r="V182" s="344">
        <v>2.56666666666667</v>
      </c>
      <c r="W182" s="344">
        <v>2.3333333333333299</v>
      </c>
      <c r="X182" s="344">
        <v>2.56666666666667</v>
      </c>
      <c r="Y182" s="344">
        <v>2.56666666666667</v>
      </c>
      <c r="Z182" s="344">
        <v>2.1</v>
      </c>
      <c r="AA182" s="344">
        <v>2.1</v>
      </c>
      <c r="AB182" s="344">
        <v>3.5</v>
      </c>
      <c r="AC182" s="344">
        <v>3.9666666666666699</v>
      </c>
      <c r="AD182" s="344">
        <f t="shared" si="47"/>
        <v>0.46666666666666989</v>
      </c>
      <c r="AE182" s="344">
        <v>1</v>
      </c>
      <c r="AF182" s="344">
        <v>1</v>
      </c>
      <c r="AG182" s="345">
        <v>1</v>
      </c>
      <c r="AH182" s="346">
        <v>5</v>
      </c>
      <c r="AI182" s="197">
        <v>6</v>
      </c>
      <c r="AJ182" s="197">
        <v>3</v>
      </c>
      <c r="AK182" s="197">
        <v>7</v>
      </c>
      <c r="AL182" s="197">
        <v>7</v>
      </c>
      <c r="AM182" s="197">
        <v>5</v>
      </c>
      <c r="AN182" s="197">
        <v>8</v>
      </c>
      <c r="AO182" s="197">
        <v>3</v>
      </c>
      <c r="AP182" s="197">
        <v>4</v>
      </c>
      <c r="AQ182" s="197">
        <v>3</v>
      </c>
      <c r="AR182" s="347">
        <v>3</v>
      </c>
      <c r="AS182" s="197">
        <v>3</v>
      </c>
      <c r="AT182" s="197">
        <v>3</v>
      </c>
      <c r="AU182" s="347">
        <v>2</v>
      </c>
      <c r="AV182" s="347">
        <v>2</v>
      </c>
      <c r="AW182" s="347">
        <v>3</v>
      </c>
      <c r="AX182" s="347">
        <v>4</v>
      </c>
      <c r="AY182" s="347">
        <v>4</v>
      </c>
      <c r="AZ182" s="347">
        <v>3</v>
      </c>
      <c r="BA182" s="347">
        <v>9</v>
      </c>
      <c r="BB182" s="347">
        <v>9</v>
      </c>
      <c r="BC182" s="347">
        <v>3</v>
      </c>
    </row>
    <row r="183" spans="1:55" s="381" customFormat="1" ht="17.649999999999999" customHeight="1">
      <c r="A183" s="343">
        <v>123</v>
      </c>
      <c r="B183" s="211" t="s">
        <v>2202</v>
      </c>
      <c r="C183" s="211" t="s">
        <v>2055</v>
      </c>
      <c r="D183" s="211" t="s">
        <v>2056</v>
      </c>
      <c r="E183" s="344">
        <v>3</v>
      </c>
      <c r="F183" s="344">
        <v>2.56666666666667</v>
      </c>
      <c r="G183" s="209">
        <v>3.0333333333333301</v>
      </c>
      <c r="H183" s="344">
        <v>3.0333333333333301</v>
      </c>
      <c r="I183" s="344">
        <v>3.0333333333333301</v>
      </c>
      <c r="J183" s="344">
        <v>1.1666666666666701</v>
      </c>
      <c r="K183" s="344">
        <v>1.4</v>
      </c>
      <c r="L183" s="344">
        <f t="shared" si="46"/>
        <v>0.32666666666666666</v>
      </c>
      <c r="M183" s="344">
        <v>1.86666666666667</v>
      </c>
      <c r="N183" s="344">
        <v>1.86666666666667</v>
      </c>
      <c r="O183" s="344">
        <v>1.4</v>
      </c>
      <c r="P183" s="344">
        <v>0.233333333333333</v>
      </c>
      <c r="Q183" s="344">
        <v>1.86666666666667</v>
      </c>
      <c r="R183" s="344">
        <v>3.5</v>
      </c>
      <c r="S183" s="344">
        <v>4.2</v>
      </c>
      <c r="T183" s="344">
        <v>4.6666666666666696</v>
      </c>
      <c r="U183" s="344">
        <v>4.43333333333333</v>
      </c>
      <c r="V183" s="344">
        <v>3.0333333333333301</v>
      </c>
      <c r="W183" s="344">
        <v>2.56666666666667</v>
      </c>
      <c r="X183" s="344">
        <v>2.3333333333333299</v>
      </c>
      <c r="Y183" s="344">
        <v>2.56666666666667</v>
      </c>
      <c r="Z183" s="344">
        <v>3.9666666666666699</v>
      </c>
      <c r="AA183" s="344">
        <v>3.2666666666666702</v>
      </c>
      <c r="AB183" s="344">
        <v>5.1333333333333302</v>
      </c>
      <c r="AC183" s="344">
        <v>4.2</v>
      </c>
      <c r="AD183" s="344">
        <f t="shared" si="47"/>
        <v>-0.93333333333333002</v>
      </c>
      <c r="AE183" s="344">
        <v>1</v>
      </c>
      <c r="AF183" s="344">
        <v>1</v>
      </c>
      <c r="AG183" s="345">
        <v>1</v>
      </c>
      <c r="AH183" s="346">
        <v>1</v>
      </c>
      <c r="AI183" s="197">
        <v>1</v>
      </c>
      <c r="AJ183" s="197">
        <v>3</v>
      </c>
      <c r="AK183" s="197">
        <v>1</v>
      </c>
      <c r="AL183" s="197">
        <v>1</v>
      </c>
      <c r="AM183" s="197">
        <v>1</v>
      </c>
      <c r="AN183" s="197">
        <v>1</v>
      </c>
      <c r="AO183" s="197">
        <v>1</v>
      </c>
      <c r="AP183" s="197">
        <v>1</v>
      </c>
      <c r="AQ183" s="197">
        <v>1</v>
      </c>
      <c r="AR183" s="197">
        <v>1</v>
      </c>
      <c r="AS183" s="197">
        <v>10</v>
      </c>
      <c r="AT183" s="197">
        <v>1</v>
      </c>
      <c r="AU183" s="347">
        <v>1</v>
      </c>
      <c r="AV183" s="347">
        <v>1</v>
      </c>
      <c r="AW183" s="347">
        <v>1</v>
      </c>
      <c r="AX183" s="347">
        <v>1</v>
      </c>
      <c r="AY183" s="347">
        <v>1</v>
      </c>
      <c r="AZ183" s="347">
        <v>6</v>
      </c>
      <c r="BA183" s="347">
        <v>10</v>
      </c>
      <c r="BB183" s="347">
        <v>10</v>
      </c>
      <c r="BC183" s="347">
        <v>2</v>
      </c>
    </row>
    <row r="184" spans="1:55" s="381" customFormat="1" ht="17.649999999999999" customHeight="1">
      <c r="A184" s="343">
        <v>124</v>
      </c>
      <c r="B184" s="211" t="s">
        <v>2203</v>
      </c>
      <c r="C184" s="211" t="s">
        <v>2055</v>
      </c>
      <c r="D184" s="211" t="s">
        <v>2056</v>
      </c>
      <c r="E184" s="344">
        <v>13</v>
      </c>
      <c r="F184" s="344">
        <v>13.3</v>
      </c>
      <c r="G184" s="209">
        <v>11.9</v>
      </c>
      <c r="H184" s="344">
        <v>10.266666666666699</v>
      </c>
      <c r="I184" s="344">
        <v>9.56666666666667</v>
      </c>
      <c r="J184" s="344">
        <v>9.1</v>
      </c>
      <c r="K184" s="344">
        <v>10.033333333333299</v>
      </c>
      <c r="L184" s="344">
        <f t="shared" si="46"/>
        <v>2.3411111111111031</v>
      </c>
      <c r="M184" s="344">
        <v>6.5333333333333297</v>
      </c>
      <c r="N184" s="344">
        <v>6.5333333333333297</v>
      </c>
      <c r="O184" s="344">
        <v>6.7666666666666702</v>
      </c>
      <c r="P184" s="344">
        <v>14</v>
      </c>
      <c r="Q184" s="344">
        <v>16.3333333333333</v>
      </c>
      <c r="R184" s="344">
        <v>20.766666666666701</v>
      </c>
      <c r="S184" s="344">
        <v>20.066666666666698</v>
      </c>
      <c r="T184" s="344">
        <v>13.0666666666667</v>
      </c>
      <c r="U184" s="344">
        <v>13.3</v>
      </c>
      <c r="V184" s="344">
        <v>9.56666666666667</v>
      </c>
      <c r="W184" s="344">
        <v>10.033333333333299</v>
      </c>
      <c r="X184" s="344">
        <v>12.366666666666699</v>
      </c>
      <c r="Y184" s="344">
        <v>11.9</v>
      </c>
      <c r="Z184" s="344">
        <v>14.233333333333301</v>
      </c>
      <c r="AA184" s="344">
        <v>14.9333333333333</v>
      </c>
      <c r="AB184" s="344">
        <v>16.8</v>
      </c>
      <c r="AC184" s="344">
        <v>14.9333333333333</v>
      </c>
      <c r="AD184" s="344">
        <f t="shared" si="47"/>
        <v>-1.8666666666667009</v>
      </c>
      <c r="AE184" s="344">
        <v>9</v>
      </c>
      <c r="AF184" s="344">
        <v>10</v>
      </c>
      <c r="AG184" s="345">
        <v>8</v>
      </c>
      <c r="AH184" s="346">
        <v>10</v>
      </c>
      <c r="AI184" s="197">
        <v>7</v>
      </c>
      <c r="AJ184" s="197">
        <v>5</v>
      </c>
      <c r="AK184" s="197">
        <v>9</v>
      </c>
      <c r="AL184" s="197">
        <v>9</v>
      </c>
      <c r="AM184" s="197">
        <v>6</v>
      </c>
      <c r="AN184" s="197">
        <v>4</v>
      </c>
      <c r="AO184" s="197">
        <v>8</v>
      </c>
      <c r="AP184" s="347">
        <v>7</v>
      </c>
      <c r="AQ184" s="197">
        <v>5</v>
      </c>
      <c r="AR184" s="347">
        <v>5</v>
      </c>
      <c r="AS184" s="197">
        <v>3</v>
      </c>
      <c r="AT184" s="197">
        <v>7</v>
      </c>
      <c r="AU184" s="347">
        <v>8</v>
      </c>
      <c r="AV184" s="347">
        <v>8</v>
      </c>
      <c r="AW184" s="347">
        <v>8</v>
      </c>
      <c r="AX184" s="347">
        <v>6</v>
      </c>
      <c r="AY184" s="347">
        <v>8</v>
      </c>
      <c r="AZ184" s="347">
        <v>6</v>
      </c>
      <c r="BA184" s="347">
        <v>7</v>
      </c>
      <c r="BB184" s="347">
        <v>6</v>
      </c>
      <c r="BC184" s="347">
        <v>6</v>
      </c>
    </row>
    <row r="185" spans="1:55" s="381" customFormat="1" ht="17.649999999999999" customHeight="1">
      <c r="A185" s="343">
        <v>125</v>
      </c>
      <c r="B185" s="211" t="s">
        <v>2204</v>
      </c>
      <c r="C185" s="211" t="s">
        <v>2055</v>
      </c>
      <c r="D185" s="211" t="s">
        <v>2056</v>
      </c>
      <c r="E185" s="344">
        <v>0</v>
      </c>
      <c r="F185" s="344">
        <v>0.233333333333333</v>
      </c>
      <c r="G185" s="209">
        <v>0.233333333333333</v>
      </c>
      <c r="H185" s="344">
        <v>0.233333333333333</v>
      </c>
      <c r="I185" s="344">
        <v>0.233333333333333</v>
      </c>
      <c r="J185" s="344">
        <v>0.233333333333333</v>
      </c>
      <c r="K185" s="344">
        <v>0.233333333333333</v>
      </c>
      <c r="L185" s="344">
        <f t="shared" si="46"/>
        <v>5.4444444444444372E-2</v>
      </c>
      <c r="M185" s="344">
        <v>0.233333333333333</v>
      </c>
      <c r="N185" s="344">
        <v>0.233333333333333</v>
      </c>
      <c r="O185" s="344">
        <v>0.233333333333333</v>
      </c>
      <c r="P185" s="344">
        <v>0.233333333333333</v>
      </c>
      <c r="Q185" s="344">
        <v>0.233333333333333</v>
      </c>
      <c r="R185" s="344">
        <v>0.233333333333333</v>
      </c>
      <c r="S185" s="344">
        <v>0.233333333333333</v>
      </c>
      <c r="T185" s="344">
        <v>0.233333333333333</v>
      </c>
      <c r="U185" s="344">
        <v>0.233333333333333</v>
      </c>
      <c r="V185" s="344">
        <v>0.233333333333333</v>
      </c>
      <c r="W185" s="344">
        <v>0.233333333333333</v>
      </c>
      <c r="X185" s="344">
        <v>0.233333333333333</v>
      </c>
      <c r="Y185" s="344">
        <v>0.233333333333333</v>
      </c>
      <c r="Z185" s="344">
        <v>0.233333333333333</v>
      </c>
      <c r="AA185" s="344">
        <v>0.233333333333333</v>
      </c>
      <c r="AB185" s="344">
        <v>1.1666666666666701</v>
      </c>
      <c r="AC185" s="344">
        <v>1.1666666666666701</v>
      </c>
      <c r="AD185" s="344">
        <f t="shared" si="47"/>
        <v>0</v>
      </c>
      <c r="AE185" s="344">
        <v>6</v>
      </c>
      <c r="AF185" s="344">
        <v>3</v>
      </c>
      <c r="AG185" s="345">
        <v>1</v>
      </c>
      <c r="AH185" s="346">
        <v>3</v>
      </c>
      <c r="AI185" s="197">
        <v>8</v>
      </c>
      <c r="AJ185" s="197">
        <v>6</v>
      </c>
      <c r="AK185" s="197">
        <v>4</v>
      </c>
      <c r="AL185" s="197">
        <v>4</v>
      </c>
      <c r="AM185" s="197">
        <v>6</v>
      </c>
      <c r="AN185" s="197">
        <v>6</v>
      </c>
      <c r="AO185" s="197">
        <v>7</v>
      </c>
      <c r="AP185" s="197">
        <v>5</v>
      </c>
      <c r="AQ185" s="197">
        <v>4</v>
      </c>
      <c r="AR185" s="197">
        <v>5</v>
      </c>
      <c r="AS185" s="197">
        <v>5</v>
      </c>
      <c r="AT185" s="347">
        <v>14</v>
      </c>
      <c r="AU185" s="347">
        <v>4</v>
      </c>
      <c r="AV185" s="347">
        <v>3</v>
      </c>
      <c r="AW185" s="347">
        <v>4</v>
      </c>
      <c r="AX185" s="347">
        <v>3</v>
      </c>
      <c r="AY185" s="347">
        <v>3</v>
      </c>
      <c r="AZ185" s="347">
        <v>2</v>
      </c>
      <c r="BA185" s="347">
        <v>5</v>
      </c>
      <c r="BB185" s="347">
        <v>5</v>
      </c>
      <c r="BC185" s="347">
        <v>5</v>
      </c>
    </row>
    <row r="186" spans="1:55" s="381" customFormat="1" ht="17.649999999999999" customHeight="1">
      <c r="A186" s="343">
        <v>126</v>
      </c>
      <c r="B186" s="211" t="s">
        <v>2205</v>
      </c>
      <c r="C186" s="211" t="s">
        <v>2055</v>
      </c>
      <c r="D186" s="211" t="s">
        <v>2056</v>
      </c>
      <c r="E186" s="344">
        <v>1</v>
      </c>
      <c r="F186" s="344">
        <v>1.4</v>
      </c>
      <c r="G186" s="209">
        <v>1.86666666666667</v>
      </c>
      <c r="H186" s="344">
        <v>1.86666666666667</v>
      </c>
      <c r="I186" s="344">
        <v>2.3333333333333299</v>
      </c>
      <c r="J186" s="344">
        <v>1.86666666666667</v>
      </c>
      <c r="K186" s="344">
        <v>2.1</v>
      </c>
      <c r="L186" s="344">
        <f t="shared" si="46"/>
        <v>0.49000000000000005</v>
      </c>
      <c r="M186" s="344">
        <v>1.86666666666667</v>
      </c>
      <c r="N186" s="344">
        <v>2.1</v>
      </c>
      <c r="O186" s="344">
        <v>1.1666666666666701</v>
      </c>
      <c r="P186" s="344">
        <v>0.233333333333333</v>
      </c>
      <c r="Q186" s="344">
        <v>1.86666666666667</v>
      </c>
      <c r="R186" s="344">
        <v>4.6666666666666696</v>
      </c>
      <c r="S186" s="344">
        <v>5.1333333333333302</v>
      </c>
      <c r="T186" s="344">
        <v>6.3</v>
      </c>
      <c r="U186" s="344">
        <v>5.6</v>
      </c>
      <c r="V186" s="344">
        <v>2.1</v>
      </c>
      <c r="W186" s="344">
        <v>2.1</v>
      </c>
      <c r="X186" s="344">
        <v>2.56666666666667</v>
      </c>
      <c r="Y186" s="344">
        <v>2.56666666666667</v>
      </c>
      <c r="Z186" s="344">
        <v>2.3333333333333299</v>
      </c>
      <c r="AA186" s="344">
        <v>2.56666666666667</v>
      </c>
      <c r="AB186" s="344">
        <v>2.1</v>
      </c>
      <c r="AC186" s="344">
        <v>0.233333333333333</v>
      </c>
      <c r="AD186" s="344">
        <f t="shared" si="47"/>
        <v>-1.8666666666666671</v>
      </c>
      <c r="AE186" s="344">
        <v>5</v>
      </c>
      <c r="AF186" s="344">
        <v>5</v>
      </c>
      <c r="AG186" s="345">
        <v>2</v>
      </c>
      <c r="AH186" s="346">
        <v>5</v>
      </c>
      <c r="AI186" s="197">
        <v>1</v>
      </c>
      <c r="AJ186" s="197">
        <v>4</v>
      </c>
      <c r="AK186" s="197">
        <v>4</v>
      </c>
      <c r="AL186" s="197">
        <v>4</v>
      </c>
      <c r="AM186" s="197">
        <v>3</v>
      </c>
      <c r="AN186" s="197">
        <v>4</v>
      </c>
      <c r="AO186" s="197">
        <v>3</v>
      </c>
      <c r="AP186" s="197">
        <v>2</v>
      </c>
      <c r="AQ186" s="347">
        <v>4</v>
      </c>
      <c r="AR186" s="197">
        <v>8</v>
      </c>
      <c r="AS186" s="197">
        <v>1</v>
      </c>
      <c r="AT186" s="197">
        <v>3</v>
      </c>
      <c r="AU186" s="347">
        <v>3</v>
      </c>
      <c r="AV186" s="347">
        <v>10</v>
      </c>
      <c r="AW186" s="347">
        <v>1</v>
      </c>
      <c r="AX186" s="347">
        <v>1</v>
      </c>
      <c r="AY186" s="347">
        <v>7</v>
      </c>
      <c r="AZ186" s="347">
        <v>1</v>
      </c>
      <c r="BA186" s="347">
        <v>7</v>
      </c>
      <c r="BB186" s="347">
        <v>2</v>
      </c>
      <c r="BC186" s="347">
        <v>1</v>
      </c>
    </row>
    <row r="187" spans="1:55" s="381" customFormat="1" ht="17.649999999999999" customHeight="1">
      <c r="A187" s="343">
        <v>127</v>
      </c>
      <c r="B187" s="211" t="s">
        <v>2206</v>
      </c>
      <c r="C187" s="211" t="s">
        <v>2055</v>
      </c>
      <c r="D187" s="211" t="s">
        <v>2056</v>
      </c>
      <c r="E187" s="344">
        <v>21</v>
      </c>
      <c r="F187" s="344">
        <v>20.766666666666701</v>
      </c>
      <c r="G187" s="209">
        <v>25.433333333333302</v>
      </c>
      <c r="H187" s="344">
        <v>25.433333333333302</v>
      </c>
      <c r="I187" s="344">
        <v>23.1</v>
      </c>
      <c r="J187" s="344">
        <v>22.866666666666699</v>
      </c>
      <c r="K187" s="344">
        <v>21</v>
      </c>
      <c r="L187" s="344">
        <f t="shared" si="46"/>
        <v>4.8999999999999995</v>
      </c>
      <c r="M187" s="344">
        <v>16.100000000000001</v>
      </c>
      <c r="N187" s="344">
        <v>21</v>
      </c>
      <c r="O187" s="344">
        <v>25.2</v>
      </c>
      <c r="P187" s="344">
        <v>32.200000000000003</v>
      </c>
      <c r="Q187" s="344">
        <v>37.1</v>
      </c>
      <c r="R187" s="344">
        <v>38.5</v>
      </c>
      <c r="S187" s="344">
        <v>26.366666666666699</v>
      </c>
      <c r="T187" s="344">
        <v>16.8</v>
      </c>
      <c r="U187" s="344">
        <v>9.1</v>
      </c>
      <c r="V187" s="344">
        <v>4.6666666666666696</v>
      </c>
      <c r="W187" s="344">
        <v>3.0333333333333301</v>
      </c>
      <c r="X187" s="344">
        <v>3.2666666666666702</v>
      </c>
      <c r="Y187" s="344">
        <v>3.2666666666666702</v>
      </c>
      <c r="Z187" s="344">
        <v>3.2666666666666702</v>
      </c>
      <c r="AA187" s="344">
        <v>2.56666666666667</v>
      </c>
      <c r="AB187" s="344">
        <v>3.2666666666666702</v>
      </c>
      <c r="AC187" s="344">
        <v>1.86666666666667</v>
      </c>
      <c r="AD187" s="344">
        <f t="shared" si="47"/>
        <v>-1.4000000000000001</v>
      </c>
      <c r="AE187" s="344">
        <v>1</v>
      </c>
      <c r="AF187" s="344">
        <v>1</v>
      </c>
      <c r="AG187" s="345">
        <v>2</v>
      </c>
      <c r="AH187" s="346">
        <v>7</v>
      </c>
      <c r="AI187" s="197">
        <v>2</v>
      </c>
      <c r="AJ187" s="197">
        <v>2</v>
      </c>
      <c r="AK187" s="197">
        <v>2</v>
      </c>
      <c r="AL187" s="197">
        <v>2</v>
      </c>
      <c r="AM187" s="197">
        <v>2</v>
      </c>
      <c r="AN187" s="197">
        <v>2</v>
      </c>
      <c r="AO187" s="197">
        <v>1</v>
      </c>
      <c r="AP187" s="197">
        <v>1</v>
      </c>
      <c r="AQ187" s="197">
        <v>2</v>
      </c>
      <c r="AR187" s="197">
        <v>2</v>
      </c>
      <c r="AS187" s="197">
        <v>2</v>
      </c>
      <c r="AT187" s="197">
        <v>2</v>
      </c>
      <c r="AU187" s="347">
        <v>2</v>
      </c>
      <c r="AV187" s="347">
        <v>2</v>
      </c>
      <c r="AW187" s="347">
        <v>2</v>
      </c>
      <c r="AX187" s="347">
        <v>10</v>
      </c>
      <c r="AY187" s="347">
        <v>2</v>
      </c>
      <c r="AZ187" s="347">
        <v>12</v>
      </c>
      <c r="BA187" s="347">
        <v>2</v>
      </c>
      <c r="BB187" s="347">
        <v>3</v>
      </c>
      <c r="BC187" s="347">
        <v>7</v>
      </c>
    </row>
    <row r="188" spans="1:55" s="381" customFormat="1" ht="17.649999999999999" customHeight="1">
      <c r="A188" s="343">
        <v>128</v>
      </c>
      <c r="B188" s="211" t="s">
        <v>2207</v>
      </c>
      <c r="C188" s="211" t="s">
        <v>2055</v>
      </c>
      <c r="D188" s="211" t="s">
        <v>2056</v>
      </c>
      <c r="E188" s="344">
        <v>2</v>
      </c>
      <c r="F188" s="344">
        <v>2.3333333333333299</v>
      </c>
      <c r="G188" s="209">
        <v>3.0333333333333301</v>
      </c>
      <c r="H188" s="344">
        <v>3.0333333333333301</v>
      </c>
      <c r="I188" s="344">
        <v>3.0333333333333301</v>
      </c>
      <c r="J188" s="344">
        <v>1.4</v>
      </c>
      <c r="K188" s="344">
        <v>1.4</v>
      </c>
      <c r="L188" s="344">
        <f t="shared" si="46"/>
        <v>0.32666666666666666</v>
      </c>
      <c r="M188" s="344">
        <v>1.1666666666666701</v>
      </c>
      <c r="N188" s="344">
        <v>1.1666666666666701</v>
      </c>
      <c r="O188" s="344">
        <v>0.233333333333333</v>
      </c>
      <c r="P188" s="344">
        <v>0.233333333333333</v>
      </c>
      <c r="Q188" s="344">
        <v>0.233333333333333</v>
      </c>
      <c r="R188" s="344">
        <v>1.4</v>
      </c>
      <c r="S188" s="344">
        <v>1.86666666666667</v>
      </c>
      <c r="T188" s="344">
        <v>3.0333333333333301</v>
      </c>
      <c r="U188" s="344">
        <v>4.2</v>
      </c>
      <c r="V188" s="344">
        <v>2.56666666666667</v>
      </c>
      <c r="W188" s="344">
        <v>3.0333333333333301</v>
      </c>
      <c r="X188" s="344">
        <v>2.1</v>
      </c>
      <c r="Y188" s="344">
        <v>2.1</v>
      </c>
      <c r="Z188" s="344">
        <v>1.86666666666667</v>
      </c>
      <c r="AA188" s="344">
        <v>1.86666666666667</v>
      </c>
      <c r="AB188" s="344">
        <v>1.4</v>
      </c>
      <c r="AC188" s="344">
        <v>1.1666666666666701</v>
      </c>
      <c r="AD188" s="344">
        <f t="shared" si="47"/>
        <v>-0.23333333333332984</v>
      </c>
      <c r="AE188" s="344">
        <v>3</v>
      </c>
      <c r="AF188" s="344">
        <v>3</v>
      </c>
      <c r="AG188" s="345">
        <v>1</v>
      </c>
      <c r="AH188" s="346">
        <v>1</v>
      </c>
      <c r="AI188" s="197">
        <v>1</v>
      </c>
      <c r="AJ188" s="197">
        <v>1</v>
      </c>
      <c r="AK188" s="197">
        <v>1</v>
      </c>
      <c r="AL188" s="197">
        <v>1</v>
      </c>
      <c r="AM188" s="197">
        <v>1</v>
      </c>
      <c r="AN188" s="197">
        <v>9</v>
      </c>
      <c r="AO188" s="197">
        <v>1</v>
      </c>
      <c r="AP188" s="197">
        <v>1</v>
      </c>
      <c r="AQ188" s="197">
        <v>9</v>
      </c>
      <c r="AR188" s="197">
        <v>1</v>
      </c>
      <c r="AS188" s="197">
        <v>1</v>
      </c>
      <c r="AT188" s="197">
        <v>1</v>
      </c>
      <c r="AU188" s="347">
        <v>2</v>
      </c>
      <c r="AV188" s="347">
        <v>1</v>
      </c>
      <c r="AW188" s="347">
        <v>1</v>
      </c>
      <c r="AX188" s="347">
        <v>1</v>
      </c>
      <c r="AY188" s="347">
        <v>4</v>
      </c>
      <c r="AZ188" s="347">
        <v>1</v>
      </c>
      <c r="BA188" s="347">
        <v>1</v>
      </c>
      <c r="BB188" s="347">
        <v>1</v>
      </c>
      <c r="BC188" s="347">
        <v>3</v>
      </c>
    </row>
    <row r="189" spans="1:55" s="381" customFormat="1" ht="17.649999999999999" customHeight="1">
      <c r="A189" s="343">
        <v>129</v>
      </c>
      <c r="B189" s="211" t="s">
        <v>2208</v>
      </c>
      <c r="C189" s="211" t="s">
        <v>2055</v>
      </c>
      <c r="D189" s="211" t="s">
        <v>2056</v>
      </c>
      <c r="E189" s="344">
        <v>2</v>
      </c>
      <c r="F189" s="344">
        <v>2.56666666666667</v>
      </c>
      <c r="G189" s="209">
        <v>3.9666666666666699</v>
      </c>
      <c r="H189" s="344">
        <v>3.5</v>
      </c>
      <c r="I189" s="344">
        <v>4.43333333333333</v>
      </c>
      <c r="J189" s="344">
        <v>3.5</v>
      </c>
      <c r="K189" s="344">
        <v>4.2</v>
      </c>
      <c r="L189" s="344">
        <f t="shared" ref="L189:L252" si="48">K189/30*7</f>
        <v>0.98000000000000009</v>
      </c>
      <c r="M189" s="344">
        <v>3.5</v>
      </c>
      <c r="N189" s="344">
        <v>4.2</v>
      </c>
      <c r="O189" s="344">
        <v>3.5</v>
      </c>
      <c r="P189" s="344">
        <v>3.0333333333333301</v>
      </c>
      <c r="Q189" s="344">
        <v>4.2</v>
      </c>
      <c r="R189" s="344">
        <v>3.9666666666666699</v>
      </c>
      <c r="S189" s="344">
        <v>3.9666666666666699</v>
      </c>
      <c r="T189" s="344">
        <v>3.2666666666666702</v>
      </c>
      <c r="U189" s="344">
        <v>5.1333333333333302</v>
      </c>
      <c r="V189" s="344">
        <v>3.5</v>
      </c>
      <c r="W189" s="344">
        <v>3.5</v>
      </c>
      <c r="X189" s="344">
        <v>4.43333333333333</v>
      </c>
      <c r="Y189" s="344">
        <v>4.43333333333333</v>
      </c>
      <c r="Z189" s="344">
        <v>3.9666666666666699</v>
      </c>
      <c r="AA189" s="344">
        <v>3.5</v>
      </c>
      <c r="AB189" s="344">
        <v>3.5</v>
      </c>
      <c r="AC189" s="344">
        <v>1.4</v>
      </c>
      <c r="AD189" s="344">
        <f t="shared" ref="AD189:AD252" si="49">AC189-AB189</f>
        <v>-2.1</v>
      </c>
      <c r="AE189" s="344">
        <v>4</v>
      </c>
      <c r="AF189" s="344">
        <v>6</v>
      </c>
      <c r="AG189" s="345">
        <v>4</v>
      </c>
      <c r="AH189" s="346">
        <v>4</v>
      </c>
      <c r="AI189" s="197">
        <v>6</v>
      </c>
      <c r="AJ189" s="197">
        <v>2</v>
      </c>
      <c r="AK189" s="197">
        <v>3</v>
      </c>
      <c r="AL189" s="197">
        <v>3</v>
      </c>
      <c r="AM189" s="197">
        <v>2</v>
      </c>
      <c r="AN189" s="197">
        <v>4</v>
      </c>
      <c r="AO189" s="197">
        <v>5</v>
      </c>
      <c r="AP189" s="197">
        <v>4</v>
      </c>
      <c r="AQ189" s="197">
        <v>6</v>
      </c>
      <c r="AR189" s="197">
        <v>5</v>
      </c>
      <c r="AS189" s="197">
        <v>5</v>
      </c>
      <c r="AT189" s="197">
        <v>6</v>
      </c>
      <c r="AU189" s="347">
        <v>6</v>
      </c>
      <c r="AV189" s="347">
        <v>5</v>
      </c>
      <c r="AW189" s="347">
        <v>1</v>
      </c>
      <c r="AX189" s="347">
        <v>4</v>
      </c>
      <c r="AY189" s="347">
        <v>1</v>
      </c>
      <c r="AZ189" s="347">
        <v>3</v>
      </c>
      <c r="BA189" s="347">
        <v>10</v>
      </c>
      <c r="BB189" s="347">
        <v>5</v>
      </c>
      <c r="BC189" s="347">
        <v>5</v>
      </c>
    </row>
    <row r="190" spans="1:55" s="381" customFormat="1" ht="17.649999999999999" customHeight="1">
      <c r="A190" s="343">
        <v>130</v>
      </c>
      <c r="B190" s="211" t="s">
        <v>2209</v>
      </c>
      <c r="C190" s="211" t="s">
        <v>2055</v>
      </c>
      <c r="D190" s="211" t="s">
        <v>2056</v>
      </c>
      <c r="E190" s="344">
        <v>2</v>
      </c>
      <c r="F190" s="344">
        <v>2.3333333333333299</v>
      </c>
      <c r="G190" s="209">
        <v>2.3333333333333299</v>
      </c>
      <c r="H190" s="344">
        <v>2.3333333333333299</v>
      </c>
      <c r="I190" s="344">
        <v>3.2666666666666702</v>
      </c>
      <c r="J190" s="344">
        <v>2.56666666666667</v>
      </c>
      <c r="K190" s="344">
        <v>2.56666666666667</v>
      </c>
      <c r="L190" s="344">
        <f t="shared" si="48"/>
        <v>0.59888888888888969</v>
      </c>
      <c r="M190" s="344">
        <v>1.86666666666667</v>
      </c>
      <c r="N190" s="344">
        <v>1.1666666666666701</v>
      </c>
      <c r="O190" s="344">
        <v>0.233333333333333</v>
      </c>
      <c r="P190" s="344">
        <v>0.233333333333333</v>
      </c>
      <c r="Q190" s="344">
        <v>0.233333333333333</v>
      </c>
      <c r="R190" s="344">
        <v>2.1</v>
      </c>
      <c r="S190" s="344">
        <v>3.5</v>
      </c>
      <c r="T190" s="344">
        <v>5.3666666666666698</v>
      </c>
      <c r="U190" s="344">
        <v>5.8333333333333304</v>
      </c>
      <c r="V190" s="344">
        <v>4.6666666666666696</v>
      </c>
      <c r="W190" s="344">
        <v>5.1333333333333302</v>
      </c>
      <c r="X190" s="344">
        <v>3.2666666666666702</v>
      </c>
      <c r="Y190" s="344">
        <v>2.3333333333333299</v>
      </c>
      <c r="Z190" s="344">
        <v>3.0333333333333301</v>
      </c>
      <c r="AA190" s="344">
        <v>1.4</v>
      </c>
      <c r="AB190" s="344">
        <v>3.2666666666666702</v>
      </c>
      <c r="AC190" s="344">
        <v>3.0333333333333301</v>
      </c>
      <c r="AD190" s="344">
        <f t="shared" si="49"/>
        <v>-0.23333333333334005</v>
      </c>
      <c r="AE190" s="344">
        <v>4</v>
      </c>
      <c r="AF190" s="344">
        <v>5</v>
      </c>
      <c r="AG190" s="345">
        <v>5</v>
      </c>
      <c r="AH190" s="346">
        <v>5</v>
      </c>
      <c r="AI190" s="197">
        <v>7</v>
      </c>
      <c r="AJ190" s="197">
        <v>5</v>
      </c>
      <c r="AK190" s="197">
        <v>6</v>
      </c>
      <c r="AL190" s="197">
        <v>6</v>
      </c>
      <c r="AM190" s="197">
        <v>3</v>
      </c>
      <c r="AN190" s="197">
        <v>4</v>
      </c>
      <c r="AO190" s="197">
        <v>5</v>
      </c>
      <c r="AP190" s="197">
        <v>4</v>
      </c>
      <c r="AQ190" s="197">
        <v>8</v>
      </c>
      <c r="AR190" s="197">
        <v>3</v>
      </c>
      <c r="AS190" s="197">
        <v>4</v>
      </c>
      <c r="AT190" s="197">
        <v>5</v>
      </c>
      <c r="AU190" s="347">
        <v>4</v>
      </c>
      <c r="AV190" s="347">
        <v>5</v>
      </c>
      <c r="AW190" s="347">
        <v>3</v>
      </c>
      <c r="AX190" s="347">
        <v>3</v>
      </c>
      <c r="AY190" s="347">
        <v>3</v>
      </c>
      <c r="AZ190" s="347">
        <v>7</v>
      </c>
      <c r="BA190" s="347">
        <v>8</v>
      </c>
      <c r="BB190" s="347">
        <v>3</v>
      </c>
      <c r="BC190" s="347">
        <v>5</v>
      </c>
    </row>
    <row r="191" spans="1:55" s="381" customFormat="1" ht="17.649999999999999" customHeight="1">
      <c r="A191" s="343">
        <v>131</v>
      </c>
      <c r="B191" s="211" t="s">
        <v>2210</v>
      </c>
      <c r="C191" s="211" t="s">
        <v>2055</v>
      </c>
      <c r="D191" s="211" t="s">
        <v>2056</v>
      </c>
      <c r="E191" s="344">
        <v>4</v>
      </c>
      <c r="F191" s="344">
        <v>4.43333333333333</v>
      </c>
      <c r="G191" s="209">
        <v>3.5</v>
      </c>
      <c r="H191" s="344">
        <v>3.5</v>
      </c>
      <c r="I191" s="344">
        <v>4.2</v>
      </c>
      <c r="J191" s="344">
        <v>2.56666666666667</v>
      </c>
      <c r="K191" s="344">
        <v>2.56666666666667</v>
      </c>
      <c r="L191" s="344">
        <f t="shared" si="48"/>
        <v>0.59888888888888969</v>
      </c>
      <c r="M191" s="344">
        <v>1.4</v>
      </c>
      <c r="N191" s="344">
        <v>1.1666666666666701</v>
      </c>
      <c r="O191" s="344">
        <v>0.233333333333333</v>
      </c>
      <c r="P191" s="344">
        <v>0.233333333333333</v>
      </c>
      <c r="Q191" s="344">
        <v>1.86666666666667</v>
      </c>
      <c r="R191" s="344">
        <v>2.3333333333333299</v>
      </c>
      <c r="S191" s="344">
        <v>3.5</v>
      </c>
      <c r="T191" s="344">
        <v>4.2</v>
      </c>
      <c r="U191" s="344">
        <v>5.8333333333333304</v>
      </c>
      <c r="V191" s="344">
        <v>4.6666666666666696</v>
      </c>
      <c r="W191" s="344">
        <v>4.2</v>
      </c>
      <c r="X191" s="344">
        <v>4.2</v>
      </c>
      <c r="Y191" s="344">
        <v>3.2666666666666702</v>
      </c>
      <c r="Z191" s="344">
        <v>3.2666666666666702</v>
      </c>
      <c r="AA191" s="344">
        <v>3.5</v>
      </c>
      <c r="AB191" s="344">
        <v>3.5</v>
      </c>
      <c r="AC191" s="344">
        <v>2.3333333333333299</v>
      </c>
      <c r="AD191" s="344">
        <f t="shared" si="49"/>
        <v>-1.1666666666666701</v>
      </c>
      <c r="AE191" s="344">
        <v>1</v>
      </c>
      <c r="AF191" s="344">
        <v>2</v>
      </c>
      <c r="AG191" s="345">
        <v>2</v>
      </c>
      <c r="AH191" s="346">
        <v>9</v>
      </c>
      <c r="AI191" s="197">
        <v>6</v>
      </c>
      <c r="AJ191" s="197">
        <v>2</v>
      </c>
      <c r="AK191" s="197">
        <v>2</v>
      </c>
      <c r="AL191" s="197">
        <v>2</v>
      </c>
      <c r="AM191" s="197">
        <v>2</v>
      </c>
      <c r="AN191" s="197">
        <v>2</v>
      </c>
      <c r="AO191" s="197">
        <v>2</v>
      </c>
      <c r="AP191" s="197">
        <v>8</v>
      </c>
      <c r="AQ191" s="197">
        <v>2</v>
      </c>
      <c r="AR191" s="197">
        <v>8</v>
      </c>
      <c r="AS191" s="197">
        <v>2</v>
      </c>
      <c r="AT191" s="197">
        <v>3</v>
      </c>
      <c r="AU191" s="347">
        <v>2</v>
      </c>
      <c r="AV191" s="347">
        <v>2</v>
      </c>
      <c r="AW191" s="347">
        <v>2</v>
      </c>
      <c r="AX191" s="347">
        <v>2</v>
      </c>
      <c r="AY191" s="347">
        <v>3</v>
      </c>
      <c r="AZ191" s="347">
        <v>2</v>
      </c>
      <c r="BA191" s="347">
        <v>3</v>
      </c>
      <c r="BB191" s="347">
        <v>8</v>
      </c>
      <c r="BC191" s="347">
        <v>3</v>
      </c>
    </row>
    <row r="192" spans="1:55" s="381" customFormat="1" ht="17.649999999999999" customHeight="1">
      <c r="A192" s="343">
        <v>132</v>
      </c>
      <c r="B192" s="211" t="s">
        <v>2211</v>
      </c>
      <c r="C192" s="211" t="s">
        <v>2055</v>
      </c>
      <c r="D192" s="211" t="s">
        <v>2056</v>
      </c>
      <c r="E192" s="344">
        <v>1</v>
      </c>
      <c r="F192" s="344">
        <v>1.1666666666666701</v>
      </c>
      <c r="G192" s="209">
        <v>1.86666666666667</v>
      </c>
      <c r="H192" s="344">
        <v>1.86666666666667</v>
      </c>
      <c r="I192" s="344">
        <v>2.1</v>
      </c>
      <c r="J192" s="344">
        <v>1.86666666666667</v>
      </c>
      <c r="K192" s="344">
        <v>1.4</v>
      </c>
      <c r="L192" s="344">
        <f t="shared" si="48"/>
        <v>0.32666666666666666</v>
      </c>
      <c r="M192" s="344">
        <v>1.4</v>
      </c>
      <c r="N192" s="344">
        <v>2.1</v>
      </c>
      <c r="O192" s="344">
        <v>1.4</v>
      </c>
      <c r="P192" s="344">
        <v>1.1666666666666701</v>
      </c>
      <c r="Q192" s="344">
        <v>1.4</v>
      </c>
      <c r="R192" s="344">
        <v>3.0333333333333301</v>
      </c>
      <c r="S192" s="344">
        <v>4.43333333333333</v>
      </c>
      <c r="T192" s="344">
        <v>4.2</v>
      </c>
      <c r="U192" s="344">
        <v>5.6</v>
      </c>
      <c r="V192" s="344">
        <v>3.2666666666666702</v>
      </c>
      <c r="W192" s="344">
        <v>2.56666666666667</v>
      </c>
      <c r="X192" s="344">
        <v>3.2666666666666702</v>
      </c>
      <c r="Y192" s="344">
        <v>3.0333333333333301</v>
      </c>
      <c r="Z192" s="344">
        <v>3.2666666666666702</v>
      </c>
      <c r="AA192" s="344">
        <v>3.5</v>
      </c>
      <c r="AB192" s="344">
        <v>4.6666666666666696</v>
      </c>
      <c r="AC192" s="344">
        <v>3.9666666666666699</v>
      </c>
      <c r="AD192" s="344">
        <f t="shared" si="49"/>
        <v>-0.69999999999999973</v>
      </c>
      <c r="AE192" s="344">
        <v>3</v>
      </c>
      <c r="AF192" s="344">
        <v>5</v>
      </c>
      <c r="AG192" s="345">
        <v>9</v>
      </c>
      <c r="AH192" s="346">
        <v>3</v>
      </c>
      <c r="AI192" s="197">
        <v>6</v>
      </c>
      <c r="AJ192" s="197">
        <v>7</v>
      </c>
      <c r="AK192" s="197">
        <v>3</v>
      </c>
      <c r="AL192" s="197">
        <v>3</v>
      </c>
      <c r="AM192" s="197">
        <v>8</v>
      </c>
      <c r="AN192" s="197">
        <v>4</v>
      </c>
      <c r="AO192" s="197">
        <v>3</v>
      </c>
      <c r="AP192" s="197">
        <v>4</v>
      </c>
      <c r="AQ192" s="347">
        <v>3</v>
      </c>
      <c r="AR192" s="197">
        <v>4</v>
      </c>
      <c r="AS192" s="347">
        <v>4</v>
      </c>
      <c r="AT192" s="197">
        <v>4</v>
      </c>
      <c r="AU192" s="347">
        <v>4</v>
      </c>
      <c r="AV192" s="347">
        <v>3</v>
      </c>
      <c r="AW192" s="347">
        <v>3</v>
      </c>
      <c r="AX192" s="347">
        <v>3</v>
      </c>
      <c r="AY192" s="347">
        <v>2</v>
      </c>
      <c r="AZ192" s="347">
        <v>9</v>
      </c>
      <c r="BA192" s="347">
        <v>3</v>
      </c>
      <c r="BB192" s="347">
        <v>3</v>
      </c>
      <c r="BC192" s="347">
        <v>2</v>
      </c>
    </row>
    <row r="193" spans="1:55" s="381" customFormat="1" ht="17.649999999999999" customHeight="1">
      <c r="A193" s="343">
        <v>133</v>
      </c>
      <c r="B193" s="211" t="s">
        <v>2212</v>
      </c>
      <c r="C193" s="211" t="s">
        <v>2055</v>
      </c>
      <c r="D193" s="211" t="s">
        <v>2056</v>
      </c>
      <c r="E193" s="344">
        <v>1</v>
      </c>
      <c r="F193" s="344">
        <v>1.4</v>
      </c>
      <c r="G193" s="209">
        <v>1.86666666666667</v>
      </c>
      <c r="H193" s="344">
        <v>1.86666666666667</v>
      </c>
      <c r="I193" s="344">
        <v>2.1</v>
      </c>
      <c r="J193" s="344">
        <v>1.86666666666667</v>
      </c>
      <c r="K193" s="344">
        <v>1.86666666666667</v>
      </c>
      <c r="L193" s="344">
        <f t="shared" si="48"/>
        <v>0.43555555555555631</v>
      </c>
      <c r="M193" s="344">
        <v>1.1666666666666701</v>
      </c>
      <c r="N193" s="344">
        <v>1.86666666666667</v>
      </c>
      <c r="O193" s="344">
        <v>1.1666666666666701</v>
      </c>
      <c r="P193" s="344">
        <v>1.4</v>
      </c>
      <c r="Q193" s="344">
        <v>1.86666666666667</v>
      </c>
      <c r="R193" s="344">
        <v>2.1</v>
      </c>
      <c r="S193" s="344">
        <v>2.56666666666667</v>
      </c>
      <c r="T193" s="344">
        <v>3.0333333333333301</v>
      </c>
      <c r="U193" s="344">
        <v>3.2666666666666702</v>
      </c>
      <c r="V193" s="344">
        <v>2.1</v>
      </c>
      <c r="W193" s="344">
        <v>2.1</v>
      </c>
      <c r="X193" s="344">
        <v>1.86666666666667</v>
      </c>
      <c r="Y193" s="344">
        <v>1.86666666666667</v>
      </c>
      <c r="Z193" s="344">
        <v>1.86666666666667</v>
      </c>
      <c r="AA193" s="344">
        <v>1.86666666666667</v>
      </c>
      <c r="AB193" s="344">
        <v>2.56666666666667</v>
      </c>
      <c r="AC193" s="344">
        <v>1.86666666666667</v>
      </c>
      <c r="AD193" s="344">
        <f t="shared" si="49"/>
        <v>-0.7</v>
      </c>
      <c r="AE193" s="344">
        <v>8</v>
      </c>
      <c r="AF193" s="344">
        <v>3</v>
      </c>
      <c r="AG193" s="345">
        <v>3</v>
      </c>
      <c r="AH193" s="346">
        <v>3</v>
      </c>
      <c r="AI193" s="197">
        <v>4</v>
      </c>
      <c r="AJ193" s="197">
        <v>3</v>
      </c>
      <c r="AK193" s="197">
        <v>3</v>
      </c>
      <c r="AL193" s="197">
        <v>3</v>
      </c>
      <c r="AM193" s="197">
        <v>2</v>
      </c>
      <c r="AN193" s="197">
        <v>3</v>
      </c>
      <c r="AO193" s="197">
        <v>7</v>
      </c>
      <c r="AP193" s="197">
        <v>5</v>
      </c>
      <c r="AQ193" s="197">
        <v>6</v>
      </c>
      <c r="AR193" s="197">
        <v>5</v>
      </c>
      <c r="AS193" s="197">
        <v>9</v>
      </c>
      <c r="AT193" s="197">
        <v>3</v>
      </c>
      <c r="AU193" s="347">
        <v>4</v>
      </c>
      <c r="AV193" s="347">
        <v>4</v>
      </c>
      <c r="AW193" s="347">
        <v>2</v>
      </c>
      <c r="AX193" s="347">
        <v>2</v>
      </c>
      <c r="AY193" s="347">
        <v>9</v>
      </c>
      <c r="AZ193" s="347">
        <v>2</v>
      </c>
      <c r="BA193" s="347">
        <v>2</v>
      </c>
      <c r="BB193" s="347">
        <v>2</v>
      </c>
      <c r="BC193" s="347">
        <v>2</v>
      </c>
    </row>
    <row r="194" spans="1:55" s="381" customFormat="1" ht="17.649999999999999" customHeight="1">
      <c r="A194" s="343">
        <v>134</v>
      </c>
      <c r="B194" s="211" t="s">
        <v>2213</v>
      </c>
      <c r="C194" s="211" t="s">
        <v>2055</v>
      </c>
      <c r="D194" s="211" t="s">
        <v>2056</v>
      </c>
      <c r="E194" s="344">
        <v>1</v>
      </c>
      <c r="F194" s="344">
        <v>1.4</v>
      </c>
      <c r="G194" s="209">
        <v>1.86666666666667</v>
      </c>
      <c r="H194" s="344">
        <v>2.56666666666667</v>
      </c>
      <c r="I194" s="344">
        <v>3.2666666666666702</v>
      </c>
      <c r="J194" s="344">
        <v>4.2</v>
      </c>
      <c r="K194" s="344">
        <v>4.2</v>
      </c>
      <c r="L194" s="344">
        <f t="shared" si="48"/>
        <v>0.98000000000000009</v>
      </c>
      <c r="M194" s="344">
        <v>3.0333333333333301</v>
      </c>
      <c r="N194" s="344">
        <v>1.4</v>
      </c>
      <c r="O194" s="344">
        <v>0.233333333333333</v>
      </c>
      <c r="P194" s="344">
        <v>0.233333333333333</v>
      </c>
      <c r="Q194" s="344">
        <v>1.1666666666666701</v>
      </c>
      <c r="R194" s="344">
        <v>7</v>
      </c>
      <c r="S194" s="344">
        <v>7.7</v>
      </c>
      <c r="T194" s="344">
        <v>8.8666666666666707</v>
      </c>
      <c r="U194" s="344">
        <v>9.8000000000000007</v>
      </c>
      <c r="V194" s="344">
        <v>4.43333333333333</v>
      </c>
      <c r="W194" s="344">
        <v>5.3666666666666698</v>
      </c>
      <c r="X194" s="344">
        <v>5.3666666666666698</v>
      </c>
      <c r="Y194" s="344">
        <v>6.7666666666666702</v>
      </c>
      <c r="Z194" s="344">
        <v>6.7666666666666702</v>
      </c>
      <c r="AA194" s="344">
        <v>6.5333333333333297</v>
      </c>
      <c r="AB194" s="344">
        <v>8.8666666666666707</v>
      </c>
      <c r="AC194" s="344">
        <v>6.3</v>
      </c>
      <c r="AD194" s="344">
        <f t="shared" si="49"/>
        <v>-2.5666666666666709</v>
      </c>
      <c r="AE194" s="344">
        <v>5</v>
      </c>
      <c r="AF194" s="344">
        <v>6</v>
      </c>
      <c r="AG194" s="345">
        <v>3</v>
      </c>
      <c r="AH194" s="346">
        <v>4</v>
      </c>
      <c r="AI194" s="197">
        <v>5</v>
      </c>
      <c r="AJ194" s="197">
        <v>3</v>
      </c>
      <c r="AK194" s="197">
        <v>2</v>
      </c>
      <c r="AL194" s="197">
        <v>2</v>
      </c>
      <c r="AM194" s="197">
        <v>8</v>
      </c>
      <c r="AN194" s="197">
        <v>10</v>
      </c>
      <c r="AO194" s="197">
        <v>5</v>
      </c>
      <c r="AP194" s="197">
        <v>5</v>
      </c>
      <c r="AQ194" s="197">
        <v>1</v>
      </c>
      <c r="AR194" s="197">
        <v>4</v>
      </c>
      <c r="AS194" s="197">
        <v>3</v>
      </c>
      <c r="AT194" s="197">
        <v>4</v>
      </c>
      <c r="AU194" s="347">
        <v>4</v>
      </c>
      <c r="AV194" s="347">
        <v>2</v>
      </c>
      <c r="AW194" s="347">
        <v>2</v>
      </c>
      <c r="AX194" s="347">
        <v>3</v>
      </c>
      <c r="AY194" s="347">
        <v>2</v>
      </c>
      <c r="AZ194" s="347">
        <v>10</v>
      </c>
      <c r="BA194" s="347">
        <v>2</v>
      </c>
      <c r="BB194" s="347">
        <v>2</v>
      </c>
      <c r="BC194" s="347">
        <v>2</v>
      </c>
    </row>
    <row r="195" spans="1:55" s="381" customFormat="1" ht="17.649999999999999" customHeight="1">
      <c r="A195" s="343">
        <v>135</v>
      </c>
      <c r="B195" s="211" t="s">
        <v>2214</v>
      </c>
      <c r="C195" s="211" t="s">
        <v>2055</v>
      </c>
      <c r="D195" s="211" t="s">
        <v>2056</v>
      </c>
      <c r="E195" s="344">
        <v>4</v>
      </c>
      <c r="F195" s="344">
        <v>4.2</v>
      </c>
      <c r="G195" s="209">
        <v>5.3666666666666698</v>
      </c>
      <c r="H195" s="344">
        <v>4.6666666666666696</v>
      </c>
      <c r="I195" s="344">
        <v>5.6</v>
      </c>
      <c r="J195" s="344">
        <v>4.43333333333333</v>
      </c>
      <c r="K195" s="344">
        <v>2.56666666666667</v>
      </c>
      <c r="L195" s="344">
        <f t="shared" si="48"/>
        <v>0.59888888888888969</v>
      </c>
      <c r="M195" s="344">
        <v>2.1</v>
      </c>
      <c r="N195" s="344">
        <v>2.56666666666667</v>
      </c>
      <c r="O195" s="344">
        <v>3.2666666666666702</v>
      </c>
      <c r="P195" s="344">
        <v>4.2</v>
      </c>
      <c r="Q195" s="344">
        <v>7.93333333333333</v>
      </c>
      <c r="R195" s="344">
        <v>11.2</v>
      </c>
      <c r="S195" s="344">
        <v>11.2</v>
      </c>
      <c r="T195" s="344">
        <v>11.6666666666667</v>
      </c>
      <c r="U195" s="344">
        <v>8.4</v>
      </c>
      <c r="V195" s="344">
        <v>5.6</v>
      </c>
      <c r="W195" s="344">
        <v>4.6666666666666696</v>
      </c>
      <c r="X195" s="344">
        <v>4.2</v>
      </c>
      <c r="Y195" s="344">
        <v>4.6666666666666696</v>
      </c>
      <c r="Z195" s="344">
        <v>4.2</v>
      </c>
      <c r="AA195" s="344">
        <v>4.6666666666666696</v>
      </c>
      <c r="AB195" s="344">
        <v>5.3666666666666698</v>
      </c>
      <c r="AC195" s="344">
        <v>4.43333333333333</v>
      </c>
      <c r="AD195" s="344">
        <f t="shared" si="49"/>
        <v>-0.93333333333333979</v>
      </c>
      <c r="AE195" s="344">
        <v>19</v>
      </c>
      <c r="AF195" s="344">
        <v>32</v>
      </c>
      <c r="AG195" s="345">
        <v>44</v>
      </c>
      <c r="AH195" s="346">
        <v>11</v>
      </c>
      <c r="AI195" s="197">
        <v>24</v>
      </c>
      <c r="AJ195" s="197">
        <v>51</v>
      </c>
      <c r="AK195" s="197">
        <v>20</v>
      </c>
      <c r="AL195" s="197">
        <v>20</v>
      </c>
      <c r="AM195" s="197">
        <v>33</v>
      </c>
      <c r="AN195" s="197">
        <v>10</v>
      </c>
      <c r="AO195" s="347">
        <v>8</v>
      </c>
      <c r="AP195" s="197">
        <v>51</v>
      </c>
      <c r="AQ195" s="347">
        <v>6</v>
      </c>
      <c r="AR195" s="347">
        <v>20</v>
      </c>
      <c r="AS195" s="197">
        <v>6</v>
      </c>
      <c r="AT195" s="347">
        <v>21</v>
      </c>
      <c r="AU195" s="347">
        <v>31</v>
      </c>
      <c r="AV195" s="347">
        <v>4</v>
      </c>
      <c r="AW195" s="347">
        <v>4</v>
      </c>
      <c r="AX195" s="347">
        <v>4</v>
      </c>
      <c r="AY195" s="347">
        <v>4</v>
      </c>
      <c r="AZ195" s="347">
        <v>2</v>
      </c>
      <c r="BA195" s="347">
        <v>2</v>
      </c>
      <c r="BB195" s="347">
        <v>5</v>
      </c>
      <c r="BC195" s="347">
        <v>2</v>
      </c>
    </row>
    <row r="196" spans="1:55" s="381" customFormat="1" ht="17.649999999999999" customHeight="1">
      <c r="A196" s="343">
        <v>136</v>
      </c>
      <c r="B196" s="211" t="s">
        <v>2215</v>
      </c>
      <c r="C196" s="211" t="s">
        <v>2055</v>
      </c>
      <c r="D196" s="211" t="s">
        <v>2056</v>
      </c>
      <c r="E196" s="344">
        <v>2</v>
      </c>
      <c r="F196" s="344">
        <v>1.86666666666667</v>
      </c>
      <c r="G196" s="209">
        <v>1.4</v>
      </c>
      <c r="H196" s="344">
        <v>1.4</v>
      </c>
      <c r="I196" s="344">
        <v>2.1</v>
      </c>
      <c r="J196" s="344">
        <v>1.4</v>
      </c>
      <c r="K196" s="344">
        <v>2.56666666666667</v>
      </c>
      <c r="L196" s="344">
        <f t="shared" si="48"/>
        <v>0.59888888888888969</v>
      </c>
      <c r="M196" s="344">
        <v>3.0333333333333301</v>
      </c>
      <c r="N196" s="344">
        <v>3.9666666666666699</v>
      </c>
      <c r="O196" s="344">
        <v>3.5</v>
      </c>
      <c r="P196" s="344">
        <v>3.0333333333333301</v>
      </c>
      <c r="Q196" s="344">
        <v>3.9666666666666699</v>
      </c>
      <c r="R196" s="344">
        <v>4.2</v>
      </c>
      <c r="S196" s="344">
        <v>5.1333333333333302</v>
      </c>
      <c r="T196" s="344">
        <v>5.1333333333333302</v>
      </c>
      <c r="U196" s="344">
        <v>5.8333333333333304</v>
      </c>
      <c r="V196" s="344">
        <v>4.43333333333333</v>
      </c>
      <c r="W196" s="344">
        <v>3.9666666666666699</v>
      </c>
      <c r="X196" s="344">
        <v>3.9666666666666699</v>
      </c>
      <c r="Y196" s="344">
        <v>3.9666666666666699</v>
      </c>
      <c r="Z196" s="344">
        <v>3.5</v>
      </c>
      <c r="AA196" s="344">
        <v>3.0333333333333301</v>
      </c>
      <c r="AB196" s="344">
        <v>2.56666666666667</v>
      </c>
      <c r="AC196" s="344">
        <v>2.1</v>
      </c>
      <c r="AD196" s="344">
        <f t="shared" si="49"/>
        <v>-0.46666666666666989</v>
      </c>
      <c r="AE196" s="344">
        <v>7</v>
      </c>
      <c r="AF196" s="344">
        <v>9</v>
      </c>
      <c r="AG196" s="345">
        <v>9</v>
      </c>
      <c r="AH196" s="346">
        <v>9</v>
      </c>
      <c r="AI196" s="197">
        <v>8</v>
      </c>
      <c r="AJ196" s="197">
        <v>5</v>
      </c>
      <c r="AK196" s="197">
        <v>10</v>
      </c>
      <c r="AL196" s="197">
        <v>10</v>
      </c>
      <c r="AM196" s="197">
        <v>5</v>
      </c>
      <c r="AN196" s="197">
        <v>10</v>
      </c>
      <c r="AO196" s="197">
        <v>10</v>
      </c>
      <c r="AP196" s="347">
        <v>2</v>
      </c>
      <c r="AQ196" s="197">
        <v>7</v>
      </c>
      <c r="AR196" s="197">
        <v>4</v>
      </c>
      <c r="AS196" s="197">
        <v>7</v>
      </c>
      <c r="AT196" s="347">
        <v>9</v>
      </c>
      <c r="AU196" s="347">
        <v>14</v>
      </c>
      <c r="AV196" s="347">
        <v>8</v>
      </c>
      <c r="AW196" s="347">
        <v>11</v>
      </c>
      <c r="AX196" s="347">
        <v>7</v>
      </c>
      <c r="AY196" s="347">
        <v>9</v>
      </c>
      <c r="AZ196" s="347">
        <v>14</v>
      </c>
      <c r="BA196" s="347">
        <v>10</v>
      </c>
      <c r="BB196" s="347">
        <v>8</v>
      </c>
      <c r="BC196" s="347">
        <v>10</v>
      </c>
    </row>
    <row r="197" spans="1:55" s="381" customFormat="1" ht="17.649999999999999" customHeight="1">
      <c r="A197" s="343">
        <v>137</v>
      </c>
      <c r="B197" s="211" t="s">
        <v>2216</v>
      </c>
      <c r="C197" s="211" t="s">
        <v>2055</v>
      </c>
      <c r="D197" s="211" t="s">
        <v>2056</v>
      </c>
      <c r="E197" s="344">
        <v>2</v>
      </c>
      <c r="F197" s="344">
        <v>2.56666666666667</v>
      </c>
      <c r="G197" s="209">
        <v>2.1</v>
      </c>
      <c r="H197" s="344">
        <v>2.1</v>
      </c>
      <c r="I197" s="344">
        <v>3.2666666666666702</v>
      </c>
      <c r="J197" s="344">
        <v>1.86666666666667</v>
      </c>
      <c r="K197" s="344">
        <v>1.4</v>
      </c>
      <c r="L197" s="344">
        <f t="shared" si="48"/>
        <v>0.32666666666666666</v>
      </c>
      <c r="M197" s="344">
        <v>1.4</v>
      </c>
      <c r="N197" s="344">
        <v>1.86666666666667</v>
      </c>
      <c r="O197" s="344">
        <v>2.1</v>
      </c>
      <c r="P197" s="344">
        <v>0.233333333333333</v>
      </c>
      <c r="Q197" s="344">
        <v>0.233333333333333</v>
      </c>
      <c r="R197" s="344">
        <v>3.2666666666666702</v>
      </c>
      <c r="S197" s="344">
        <v>3.2666666666666702</v>
      </c>
      <c r="T197" s="344">
        <v>4.43333333333333</v>
      </c>
      <c r="U197" s="344">
        <v>5.1333333333333302</v>
      </c>
      <c r="V197" s="344">
        <v>2.56666666666667</v>
      </c>
      <c r="W197" s="344">
        <v>2.3333333333333299</v>
      </c>
      <c r="X197" s="344">
        <v>1.4</v>
      </c>
      <c r="Y197" s="344">
        <v>1.86666666666667</v>
      </c>
      <c r="Z197" s="344">
        <v>2.1</v>
      </c>
      <c r="AA197" s="344">
        <v>1.86666666666667</v>
      </c>
      <c r="AB197" s="344">
        <v>2.3333333333333299</v>
      </c>
      <c r="AC197" s="344">
        <v>1.4</v>
      </c>
      <c r="AD197" s="344">
        <f t="shared" si="49"/>
        <v>-0.93333333333333002</v>
      </c>
      <c r="AE197" s="344">
        <v>2</v>
      </c>
      <c r="AF197" s="344">
        <v>1</v>
      </c>
      <c r="AG197" s="345">
        <v>1</v>
      </c>
      <c r="AH197" s="346">
        <v>1</v>
      </c>
      <c r="AI197" s="197">
        <v>1</v>
      </c>
      <c r="AJ197" s="197">
        <v>2</v>
      </c>
      <c r="AK197" s="197">
        <v>1</v>
      </c>
      <c r="AL197" s="197">
        <v>1</v>
      </c>
      <c r="AM197" s="197">
        <v>1</v>
      </c>
      <c r="AN197" s="197">
        <v>1</v>
      </c>
      <c r="AO197" s="197">
        <v>1</v>
      </c>
      <c r="AP197" s="197">
        <v>1</v>
      </c>
      <c r="AQ197" s="347">
        <v>1</v>
      </c>
      <c r="AR197" s="197">
        <v>10</v>
      </c>
      <c r="AS197" s="197">
        <v>1</v>
      </c>
      <c r="AT197" s="197">
        <v>1</v>
      </c>
      <c r="AU197" s="347">
        <v>1</v>
      </c>
      <c r="AV197" s="347">
        <v>1</v>
      </c>
      <c r="AW197" s="347">
        <v>6</v>
      </c>
      <c r="AX197" s="347">
        <v>6</v>
      </c>
      <c r="AY197" s="347">
        <v>1</v>
      </c>
      <c r="AZ197" s="347">
        <v>3</v>
      </c>
      <c r="BA197" s="347">
        <v>3</v>
      </c>
      <c r="BB197" s="347">
        <v>3</v>
      </c>
      <c r="BC197" s="347">
        <v>3</v>
      </c>
    </row>
    <row r="198" spans="1:55" s="381" customFormat="1" ht="17.649999999999999" customHeight="1">
      <c r="A198" s="343">
        <v>138</v>
      </c>
      <c r="B198" s="211" t="s">
        <v>2217</v>
      </c>
      <c r="C198" s="211" t="s">
        <v>2055</v>
      </c>
      <c r="D198" s="211" t="s">
        <v>2056</v>
      </c>
      <c r="E198" s="344">
        <v>7</v>
      </c>
      <c r="F198" s="344">
        <v>7</v>
      </c>
      <c r="G198" s="209">
        <v>7.93333333333333</v>
      </c>
      <c r="H198" s="344">
        <v>7.4666666666666703</v>
      </c>
      <c r="I198" s="344">
        <v>6.3</v>
      </c>
      <c r="J198" s="344">
        <v>5.8333333333333304</v>
      </c>
      <c r="K198" s="344">
        <v>6.7666666666666702</v>
      </c>
      <c r="L198" s="344">
        <f t="shared" si="48"/>
        <v>1.5788888888888897</v>
      </c>
      <c r="M198" s="344">
        <v>3.5</v>
      </c>
      <c r="N198" s="344">
        <v>4.43333333333333</v>
      </c>
      <c r="O198" s="344">
        <v>4.43333333333333</v>
      </c>
      <c r="P198" s="344">
        <v>5.1333333333333302</v>
      </c>
      <c r="Q198" s="344">
        <v>7.4666666666666703</v>
      </c>
      <c r="R198" s="344">
        <v>8.8666666666666707</v>
      </c>
      <c r="S198" s="344">
        <v>10.966666666666701</v>
      </c>
      <c r="T198" s="344">
        <v>11.6666666666667</v>
      </c>
      <c r="U198" s="344">
        <v>11.9</v>
      </c>
      <c r="V198" s="344">
        <v>10.266666666666699</v>
      </c>
      <c r="W198" s="344">
        <v>8.4</v>
      </c>
      <c r="X198" s="344">
        <v>9.56666666666667</v>
      </c>
      <c r="Y198" s="344">
        <v>12.366666666666699</v>
      </c>
      <c r="Z198" s="344">
        <v>11.6666666666667</v>
      </c>
      <c r="AA198" s="344">
        <v>11.6666666666667</v>
      </c>
      <c r="AB198" s="344">
        <v>12.8333333333333</v>
      </c>
      <c r="AC198" s="344">
        <v>8.4</v>
      </c>
      <c r="AD198" s="344">
        <f t="shared" si="49"/>
        <v>-4.4333333333332998</v>
      </c>
      <c r="AE198" s="344">
        <v>2</v>
      </c>
      <c r="AF198" s="344">
        <v>6</v>
      </c>
      <c r="AG198" s="345">
        <v>4</v>
      </c>
      <c r="AH198" s="346">
        <v>2</v>
      </c>
      <c r="AI198" s="197">
        <v>4</v>
      </c>
      <c r="AJ198" s="197">
        <v>10</v>
      </c>
      <c r="AK198" s="197">
        <v>3</v>
      </c>
      <c r="AL198" s="197">
        <v>3</v>
      </c>
      <c r="AM198" s="197">
        <v>2</v>
      </c>
      <c r="AN198" s="197">
        <v>9</v>
      </c>
      <c r="AO198" s="197">
        <v>2</v>
      </c>
      <c r="AP198" s="197">
        <v>8</v>
      </c>
      <c r="AQ198" s="197">
        <v>3</v>
      </c>
      <c r="AR198" s="197">
        <v>3</v>
      </c>
      <c r="AS198" s="347">
        <v>2</v>
      </c>
      <c r="AT198" s="197">
        <v>2</v>
      </c>
      <c r="AU198" s="347">
        <v>3</v>
      </c>
      <c r="AV198" s="347">
        <v>1</v>
      </c>
      <c r="AW198" s="347">
        <v>1</v>
      </c>
      <c r="AX198" s="347">
        <v>1</v>
      </c>
      <c r="AY198" s="347">
        <v>2</v>
      </c>
      <c r="AZ198" s="347">
        <v>3</v>
      </c>
      <c r="BA198" s="347">
        <v>2</v>
      </c>
      <c r="BB198" s="347">
        <v>10</v>
      </c>
      <c r="BC198" s="347">
        <v>3</v>
      </c>
    </row>
    <row r="199" spans="1:55" s="381" customFormat="1" ht="17.649999999999999" customHeight="1">
      <c r="A199" s="343">
        <v>139</v>
      </c>
      <c r="B199" s="211" t="s">
        <v>2218</v>
      </c>
      <c r="C199" s="211" t="s">
        <v>2055</v>
      </c>
      <c r="D199" s="211" t="s">
        <v>2056</v>
      </c>
      <c r="E199" s="344">
        <v>2</v>
      </c>
      <c r="F199" s="344">
        <v>2.3333333333333299</v>
      </c>
      <c r="G199" s="209">
        <v>2.56666666666667</v>
      </c>
      <c r="H199" s="344">
        <v>2.56666666666667</v>
      </c>
      <c r="I199" s="344">
        <v>2.56666666666667</v>
      </c>
      <c r="J199" s="344">
        <v>2.3333333333333299</v>
      </c>
      <c r="K199" s="344">
        <v>2.1</v>
      </c>
      <c r="L199" s="344">
        <f t="shared" si="48"/>
        <v>0.49000000000000005</v>
      </c>
      <c r="M199" s="344">
        <v>1.1666666666666701</v>
      </c>
      <c r="N199" s="344">
        <v>1.4</v>
      </c>
      <c r="O199" s="344">
        <v>1.4</v>
      </c>
      <c r="P199" s="344">
        <v>1.1666666666666701</v>
      </c>
      <c r="Q199" s="344">
        <v>2.56666666666667</v>
      </c>
      <c r="R199" s="344">
        <v>3.9666666666666699</v>
      </c>
      <c r="S199" s="344">
        <v>4.2</v>
      </c>
      <c r="T199" s="344">
        <v>4.6666666666666696</v>
      </c>
      <c r="U199" s="344">
        <v>4.6666666666666696</v>
      </c>
      <c r="V199" s="344">
        <v>4.2</v>
      </c>
      <c r="W199" s="344">
        <v>3.5</v>
      </c>
      <c r="X199" s="344">
        <v>3.9666666666666699</v>
      </c>
      <c r="Y199" s="344">
        <v>3.2666666666666702</v>
      </c>
      <c r="Z199" s="344">
        <v>3.5</v>
      </c>
      <c r="AA199" s="344">
        <v>3.9666666666666699</v>
      </c>
      <c r="AB199" s="344">
        <v>3.9666666666666699</v>
      </c>
      <c r="AC199" s="344">
        <v>2.56666666666667</v>
      </c>
      <c r="AD199" s="344">
        <f t="shared" si="49"/>
        <v>-1.4</v>
      </c>
      <c r="AE199" s="344">
        <v>4</v>
      </c>
      <c r="AF199" s="344">
        <v>5</v>
      </c>
      <c r="AG199" s="345">
        <v>3</v>
      </c>
      <c r="AH199" s="346">
        <v>8</v>
      </c>
      <c r="AI199" s="197">
        <v>6</v>
      </c>
      <c r="AJ199" s="197">
        <v>6</v>
      </c>
      <c r="AK199" s="197">
        <v>3</v>
      </c>
      <c r="AL199" s="197">
        <v>3</v>
      </c>
      <c r="AM199" s="197">
        <v>5</v>
      </c>
      <c r="AN199" s="197">
        <v>4</v>
      </c>
      <c r="AO199" s="197">
        <v>5</v>
      </c>
      <c r="AP199" s="197">
        <v>4</v>
      </c>
      <c r="AQ199" s="197">
        <v>4</v>
      </c>
      <c r="AR199" s="347">
        <v>4</v>
      </c>
      <c r="AS199" s="197">
        <v>3</v>
      </c>
      <c r="AT199" s="197">
        <v>10</v>
      </c>
      <c r="AU199" s="347">
        <v>3</v>
      </c>
      <c r="AV199" s="347">
        <v>5</v>
      </c>
      <c r="AW199" s="347">
        <v>4</v>
      </c>
      <c r="AX199" s="347">
        <v>4</v>
      </c>
      <c r="AY199" s="347">
        <v>4</v>
      </c>
      <c r="AZ199" s="347">
        <v>6</v>
      </c>
      <c r="BA199" s="347">
        <v>6</v>
      </c>
      <c r="BB199" s="347">
        <v>10</v>
      </c>
      <c r="BC199" s="347">
        <v>6</v>
      </c>
    </row>
    <row r="200" spans="1:55" s="381" customFormat="1" ht="17.649999999999999" customHeight="1">
      <c r="A200" s="343">
        <v>140</v>
      </c>
      <c r="B200" s="211" t="s">
        <v>2219</v>
      </c>
      <c r="C200" s="211" t="s">
        <v>2055</v>
      </c>
      <c r="D200" s="211" t="s">
        <v>2056</v>
      </c>
      <c r="E200" s="344">
        <v>5</v>
      </c>
      <c r="F200" s="344">
        <v>4.6666666666666696</v>
      </c>
      <c r="G200" s="209">
        <v>3.9666666666666699</v>
      </c>
      <c r="H200" s="344">
        <v>3.9666666666666699</v>
      </c>
      <c r="I200" s="344">
        <v>3.9666666666666699</v>
      </c>
      <c r="J200" s="344">
        <v>3.2666666666666702</v>
      </c>
      <c r="K200" s="344">
        <v>3.9666666666666699</v>
      </c>
      <c r="L200" s="344">
        <f t="shared" si="48"/>
        <v>0.92555555555555624</v>
      </c>
      <c r="M200" s="344">
        <v>2.1</v>
      </c>
      <c r="N200" s="344">
        <v>4.6666666666666696</v>
      </c>
      <c r="O200" s="344">
        <v>5.3666666666666698</v>
      </c>
      <c r="P200" s="344">
        <v>6.3</v>
      </c>
      <c r="Q200" s="344">
        <v>8.6333333333333293</v>
      </c>
      <c r="R200" s="344">
        <v>11.6666666666667</v>
      </c>
      <c r="S200" s="344">
        <v>9.8000000000000007</v>
      </c>
      <c r="T200" s="344">
        <v>9.8000000000000007</v>
      </c>
      <c r="U200" s="344">
        <v>9.1</v>
      </c>
      <c r="V200" s="344">
        <v>6.5333333333333297</v>
      </c>
      <c r="W200" s="344">
        <v>6.3</v>
      </c>
      <c r="X200" s="344">
        <v>5.3666666666666698</v>
      </c>
      <c r="Y200" s="344">
        <v>5.1333333333333302</v>
      </c>
      <c r="Z200" s="344">
        <v>4.2</v>
      </c>
      <c r="AA200" s="344">
        <v>3.5</v>
      </c>
      <c r="AB200" s="344">
        <v>4.2</v>
      </c>
      <c r="AC200" s="344">
        <v>3.2666666666666702</v>
      </c>
      <c r="AD200" s="344">
        <f t="shared" si="49"/>
        <v>-0.93333333333333002</v>
      </c>
      <c r="AE200" s="344">
        <v>12</v>
      </c>
      <c r="AF200" s="344">
        <v>12</v>
      </c>
      <c r="AG200" s="345">
        <v>12</v>
      </c>
      <c r="AH200" s="346">
        <v>38</v>
      </c>
      <c r="AI200" s="197">
        <v>7</v>
      </c>
      <c r="AJ200" s="197">
        <v>24</v>
      </c>
      <c r="AK200" s="197">
        <v>31</v>
      </c>
      <c r="AL200" s="197">
        <v>31</v>
      </c>
      <c r="AM200" s="197">
        <v>22</v>
      </c>
      <c r="AN200" s="197">
        <v>33</v>
      </c>
      <c r="AO200" s="347">
        <v>40</v>
      </c>
      <c r="AP200" s="347">
        <v>23</v>
      </c>
      <c r="AQ200" s="347">
        <v>28</v>
      </c>
      <c r="AR200" s="197">
        <v>10</v>
      </c>
      <c r="AS200" s="197">
        <v>51</v>
      </c>
      <c r="AT200" s="347">
        <v>28</v>
      </c>
      <c r="AU200" s="347">
        <v>27</v>
      </c>
      <c r="AV200" s="347">
        <v>18</v>
      </c>
      <c r="AW200" s="347">
        <v>18</v>
      </c>
      <c r="AX200" s="347">
        <v>18</v>
      </c>
      <c r="AY200" s="197">
        <v>51</v>
      </c>
      <c r="AZ200" s="347">
        <v>9</v>
      </c>
      <c r="BA200" s="347">
        <v>5</v>
      </c>
      <c r="BB200" s="347">
        <v>9</v>
      </c>
      <c r="BC200" s="347">
        <v>4</v>
      </c>
    </row>
    <row r="201" spans="1:55" s="381" customFormat="1" ht="17.649999999999999" customHeight="1">
      <c r="A201" s="343">
        <v>141</v>
      </c>
      <c r="B201" s="211" t="s">
        <v>2220</v>
      </c>
      <c r="C201" s="211" t="s">
        <v>2055</v>
      </c>
      <c r="D201" s="211" t="s">
        <v>2056</v>
      </c>
      <c r="E201" s="344">
        <v>2</v>
      </c>
      <c r="F201" s="344">
        <v>2.1</v>
      </c>
      <c r="G201" s="209">
        <v>2.3333333333333299</v>
      </c>
      <c r="H201" s="344">
        <v>2.3333333333333299</v>
      </c>
      <c r="I201" s="344">
        <v>3.0333333333333301</v>
      </c>
      <c r="J201" s="344">
        <v>2.3333333333333299</v>
      </c>
      <c r="K201" s="344">
        <v>3.0333333333333301</v>
      </c>
      <c r="L201" s="344">
        <f t="shared" si="48"/>
        <v>0.70777777777777695</v>
      </c>
      <c r="M201" s="344">
        <v>2.1</v>
      </c>
      <c r="N201" s="344">
        <v>1.86666666666667</v>
      </c>
      <c r="O201" s="344">
        <v>1.1666666666666701</v>
      </c>
      <c r="P201" s="344">
        <v>1.1666666666666701</v>
      </c>
      <c r="Q201" s="344">
        <v>2.1</v>
      </c>
      <c r="R201" s="344">
        <v>2.56666666666667</v>
      </c>
      <c r="S201" s="344">
        <v>2.56666666666667</v>
      </c>
      <c r="T201" s="344">
        <v>3.0333333333333301</v>
      </c>
      <c r="U201" s="344">
        <v>3.9666666666666699</v>
      </c>
      <c r="V201" s="344">
        <v>3.2666666666666702</v>
      </c>
      <c r="W201" s="344">
        <v>4.2</v>
      </c>
      <c r="X201" s="344">
        <v>3.5</v>
      </c>
      <c r="Y201" s="344">
        <v>3.2666666666666702</v>
      </c>
      <c r="Z201" s="344">
        <v>2.3333333333333299</v>
      </c>
      <c r="AA201" s="344">
        <v>1.86666666666667</v>
      </c>
      <c r="AB201" s="344">
        <v>2.3333333333333299</v>
      </c>
      <c r="AC201" s="344">
        <v>1.4</v>
      </c>
      <c r="AD201" s="344">
        <f t="shared" si="49"/>
        <v>-0.93333333333333002</v>
      </c>
      <c r="AE201" s="344">
        <v>3</v>
      </c>
      <c r="AF201" s="344">
        <v>3</v>
      </c>
      <c r="AG201" s="345">
        <v>1</v>
      </c>
      <c r="AH201" s="346">
        <v>6</v>
      </c>
      <c r="AI201" s="197">
        <v>1</v>
      </c>
      <c r="AJ201" s="197">
        <v>1</v>
      </c>
      <c r="AK201" s="197">
        <v>6</v>
      </c>
      <c r="AL201" s="197">
        <v>6</v>
      </c>
      <c r="AM201" s="197">
        <v>1</v>
      </c>
      <c r="AN201" s="197">
        <v>1</v>
      </c>
      <c r="AO201" s="197">
        <v>3</v>
      </c>
      <c r="AP201" s="197">
        <v>1</v>
      </c>
      <c r="AQ201" s="197">
        <v>1</v>
      </c>
      <c r="AR201" s="197">
        <v>1</v>
      </c>
      <c r="AS201" s="197">
        <v>1</v>
      </c>
      <c r="AT201" s="197">
        <v>1</v>
      </c>
      <c r="AU201" s="347">
        <v>1</v>
      </c>
      <c r="AV201" s="347">
        <v>1</v>
      </c>
      <c r="AW201" s="347">
        <v>10</v>
      </c>
      <c r="AX201" s="347">
        <v>1</v>
      </c>
      <c r="AY201" s="347">
        <v>1</v>
      </c>
      <c r="AZ201" s="347">
        <v>1</v>
      </c>
      <c r="BA201" s="347">
        <v>1</v>
      </c>
      <c r="BB201" s="347">
        <v>1</v>
      </c>
      <c r="BC201" s="347">
        <v>1</v>
      </c>
    </row>
    <row r="202" spans="1:55" s="381" customFormat="1" ht="17.649999999999999" customHeight="1">
      <c r="A202" s="343">
        <v>142</v>
      </c>
      <c r="B202" s="211" t="s">
        <v>2221</v>
      </c>
      <c r="C202" s="211" t="s">
        <v>2055</v>
      </c>
      <c r="D202" s="211" t="s">
        <v>2056</v>
      </c>
      <c r="E202" s="344">
        <v>31</v>
      </c>
      <c r="F202" s="344">
        <v>32.200000000000003</v>
      </c>
      <c r="G202" s="209">
        <v>38.266666666666701</v>
      </c>
      <c r="H202" s="344">
        <v>38.266666666666701</v>
      </c>
      <c r="I202" s="344">
        <v>35</v>
      </c>
      <c r="J202" s="344">
        <v>37.3333333333333</v>
      </c>
      <c r="K202" s="344">
        <v>32.6666666666667</v>
      </c>
      <c r="L202" s="344">
        <f t="shared" si="48"/>
        <v>7.6222222222222289</v>
      </c>
      <c r="M202" s="344">
        <v>19.600000000000001</v>
      </c>
      <c r="N202" s="344">
        <v>21.7</v>
      </c>
      <c r="O202" s="344">
        <v>20.766666666666701</v>
      </c>
      <c r="P202" s="344">
        <v>25.2</v>
      </c>
      <c r="Q202" s="344">
        <v>34.066666666666698</v>
      </c>
      <c r="R202" s="344">
        <v>31.733333333333299</v>
      </c>
      <c r="S202" s="344">
        <v>29.4</v>
      </c>
      <c r="T202" s="344">
        <v>30.3333333333333</v>
      </c>
      <c r="U202" s="344">
        <v>26.133333333333301</v>
      </c>
      <c r="V202" s="344">
        <v>25.2</v>
      </c>
      <c r="W202" s="344">
        <v>27.533333333333299</v>
      </c>
      <c r="X202" s="344">
        <v>26.366666666666699</v>
      </c>
      <c r="Y202" s="344">
        <v>22.866666666666699</v>
      </c>
      <c r="Z202" s="344">
        <v>21.233333333333299</v>
      </c>
      <c r="AA202" s="344">
        <v>19.600000000000001</v>
      </c>
      <c r="AB202" s="344">
        <v>19.8333333333333</v>
      </c>
      <c r="AC202" s="344">
        <v>19.600000000000001</v>
      </c>
      <c r="AD202" s="344">
        <f t="shared" si="49"/>
        <v>-0.23333333333329875</v>
      </c>
      <c r="AE202" s="344">
        <v>4</v>
      </c>
      <c r="AF202" s="344">
        <v>1</v>
      </c>
      <c r="AG202" s="345">
        <v>1</v>
      </c>
      <c r="AH202" s="346">
        <v>2</v>
      </c>
      <c r="AI202" s="197">
        <v>2</v>
      </c>
      <c r="AJ202" s="197">
        <v>9</v>
      </c>
      <c r="AK202" s="197">
        <v>2</v>
      </c>
      <c r="AL202" s="197">
        <v>2</v>
      </c>
      <c r="AM202" s="197">
        <v>1</v>
      </c>
      <c r="AN202" s="197">
        <v>1</v>
      </c>
      <c r="AO202" s="197">
        <v>1</v>
      </c>
      <c r="AP202" s="197">
        <v>1</v>
      </c>
      <c r="AQ202" s="347">
        <v>1</v>
      </c>
      <c r="AR202" s="197">
        <v>1</v>
      </c>
      <c r="AS202" s="197">
        <v>1</v>
      </c>
      <c r="AT202" s="197">
        <v>1</v>
      </c>
      <c r="AU202" s="197">
        <v>1</v>
      </c>
      <c r="AV202" s="347">
        <v>1</v>
      </c>
      <c r="AW202" s="347">
        <v>1</v>
      </c>
      <c r="AX202" s="347">
        <v>1</v>
      </c>
      <c r="AY202" s="347">
        <v>1</v>
      </c>
      <c r="AZ202" s="347">
        <v>1</v>
      </c>
      <c r="BA202" s="347">
        <v>1</v>
      </c>
      <c r="BB202" s="347">
        <v>1</v>
      </c>
      <c r="BC202" s="347">
        <v>7</v>
      </c>
    </row>
    <row r="203" spans="1:55" s="381" customFormat="1" ht="17.649999999999999" customHeight="1">
      <c r="A203" s="343">
        <v>143</v>
      </c>
      <c r="B203" s="211" t="s">
        <v>2222</v>
      </c>
      <c r="C203" s="211" t="s">
        <v>2055</v>
      </c>
      <c r="D203" s="211" t="s">
        <v>2056</v>
      </c>
      <c r="E203" s="344">
        <v>0</v>
      </c>
      <c r="F203" s="344">
        <v>0.233333333333333</v>
      </c>
      <c r="G203" s="209">
        <v>1.4</v>
      </c>
      <c r="H203" s="344">
        <v>1.4</v>
      </c>
      <c r="I203" s="344">
        <v>1.86666666666667</v>
      </c>
      <c r="J203" s="344">
        <v>1.4</v>
      </c>
      <c r="K203" s="344">
        <v>0.233333333333333</v>
      </c>
      <c r="L203" s="344">
        <f t="shared" si="48"/>
        <v>5.4444444444444372E-2</v>
      </c>
      <c r="M203" s="344">
        <v>1.1666666666666701</v>
      </c>
      <c r="N203" s="344">
        <v>1.86666666666667</v>
      </c>
      <c r="O203" s="344">
        <v>1.86666666666667</v>
      </c>
      <c r="P203" s="344">
        <v>0.233333333333333</v>
      </c>
      <c r="Q203" s="344">
        <v>2.1</v>
      </c>
      <c r="R203" s="344">
        <v>1.1666666666666701</v>
      </c>
      <c r="S203" s="344">
        <v>2.1</v>
      </c>
      <c r="T203" s="344">
        <v>2.3333333333333299</v>
      </c>
      <c r="U203" s="344">
        <v>2.1</v>
      </c>
      <c r="V203" s="344">
        <v>3.2666666666666702</v>
      </c>
      <c r="W203" s="344">
        <v>3.0333333333333301</v>
      </c>
      <c r="X203" s="344">
        <v>3.2666666666666702</v>
      </c>
      <c r="Y203" s="344">
        <v>3.2666666666666702</v>
      </c>
      <c r="Z203" s="344">
        <v>3.2666666666666702</v>
      </c>
      <c r="AA203" s="344">
        <v>2.1</v>
      </c>
      <c r="AB203" s="344">
        <v>2.56666666666667</v>
      </c>
      <c r="AC203" s="344">
        <v>2.1</v>
      </c>
      <c r="AD203" s="344">
        <f t="shared" si="49"/>
        <v>-0.46666666666666989</v>
      </c>
      <c r="AE203" s="344">
        <v>3</v>
      </c>
      <c r="AF203" s="344">
        <v>2</v>
      </c>
      <c r="AG203" s="345">
        <v>1</v>
      </c>
      <c r="AH203" s="346">
        <v>2</v>
      </c>
      <c r="AI203" s="197">
        <v>2</v>
      </c>
      <c r="AJ203" s="197">
        <v>1</v>
      </c>
      <c r="AK203" s="197">
        <v>1</v>
      </c>
      <c r="AL203" s="197">
        <v>1</v>
      </c>
      <c r="AM203" s="197">
        <v>3</v>
      </c>
      <c r="AN203" s="197">
        <v>2</v>
      </c>
      <c r="AO203" s="197">
        <v>3</v>
      </c>
      <c r="AP203" s="197">
        <v>2</v>
      </c>
      <c r="AQ203" s="197">
        <v>1</v>
      </c>
      <c r="AR203" s="197">
        <v>1</v>
      </c>
      <c r="AS203" s="197">
        <v>9</v>
      </c>
      <c r="AT203" s="347">
        <v>1</v>
      </c>
      <c r="AU203" s="347">
        <v>1</v>
      </c>
      <c r="AV203" s="347">
        <v>1</v>
      </c>
      <c r="AW203" s="347">
        <v>1</v>
      </c>
      <c r="AX203" s="347">
        <v>1</v>
      </c>
      <c r="AY203" s="347">
        <v>1</v>
      </c>
      <c r="AZ203" s="347">
        <v>8</v>
      </c>
      <c r="BA203" s="347">
        <v>1</v>
      </c>
      <c r="BB203" s="347">
        <v>2</v>
      </c>
      <c r="BC203" s="347">
        <v>1</v>
      </c>
    </row>
    <row r="204" spans="1:55" s="381" customFormat="1" ht="17.649999999999999" customHeight="1">
      <c r="A204" s="343">
        <v>144</v>
      </c>
      <c r="B204" s="211" t="s">
        <v>2223</v>
      </c>
      <c r="C204" s="211" t="s">
        <v>2055</v>
      </c>
      <c r="D204" s="211" t="s">
        <v>2056</v>
      </c>
      <c r="E204" s="344">
        <v>4</v>
      </c>
      <c r="F204" s="344">
        <v>5.3666666666666698</v>
      </c>
      <c r="G204" s="209">
        <v>5.3666666666666698</v>
      </c>
      <c r="H204" s="344">
        <v>4.2</v>
      </c>
      <c r="I204" s="344">
        <v>4.43333333333333</v>
      </c>
      <c r="J204" s="344">
        <v>5.3666666666666698</v>
      </c>
      <c r="K204" s="344">
        <v>4.6666666666666696</v>
      </c>
      <c r="L204" s="344">
        <f t="shared" si="48"/>
        <v>1.0888888888888895</v>
      </c>
      <c r="M204" s="344">
        <v>4.43333333333333</v>
      </c>
      <c r="N204" s="344">
        <v>6.3</v>
      </c>
      <c r="O204" s="344">
        <v>5.6</v>
      </c>
      <c r="P204" s="344">
        <v>5.6</v>
      </c>
      <c r="Q204" s="344">
        <v>7</v>
      </c>
      <c r="R204" s="344">
        <v>7.7</v>
      </c>
      <c r="S204" s="344">
        <v>8.6333333333333293</v>
      </c>
      <c r="T204" s="344">
        <v>10.266666666666699</v>
      </c>
      <c r="U204" s="344">
        <v>10.033333333333299</v>
      </c>
      <c r="V204" s="344">
        <v>7</v>
      </c>
      <c r="W204" s="344">
        <v>7.4666666666666703</v>
      </c>
      <c r="X204" s="344">
        <v>5.6</v>
      </c>
      <c r="Y204" s="344">
        <v>6.5333333333333297</v>
      </c>
      <c r="Z204" s="344">
        <v>6.3</v>
      </c>
      <c r="AA204" s="344">
        <v>5.3666666666666698</v>
      </c>
      <c r="AB204" s="344">
        <v>6.5333333333333297</v>
      </c>
      <c r="AC204" s="344">
        <v>6.7666666666666702</v>
      </c>
      <c r="AD204" s="344">
        <f t="shared" si="49"/>
        <v>0.2333333333333405</v>
      </c>
      <c r="AE204" s="344">
        <v>1</v>
      </c>
      <c r="AF204" s="344">
        <v>1</v>
      </c>
      <c r="AG204" s="345">
        <v>1</v>
      </c>
      <c r="AH204" s="346">
        <v>1</v>
      </c>
      <c r="AI204" s="197">
        <v>1</v>
      </c>
      <c r="AJ204" s="197">
        <v>1</v>
      </c>
      <c r="AK204" s="197">
        <v>1</v>
      </c>
      <c r="AL204" s="197">
        <v>1</v>
      </c>
      <c r="AM204" s="197">
        <v>1</v>
      </c>
      <c r="AN204" s="197">
        <v>1</v>
      </c>
      <c r="AO204" s="197">
        <v>1</v>
      </c>
      <c r="AP204" s="197">
        <v>1</v>
      </c>
      <c r="AQ204" s="197">
        <v>1</v>
      </c>
      <c r="AR204" s="197">
        <v>7</v>
      </c>
      <c r="AS204" s="197">
        <v>1</v>
      </c>
      <c r="AT204" s="197">
        <v>9</v>
      </c>
      <c r="AU204" s="347">
        <v>1</v>
      </c>
      <c r="AV204" s="347">
        <v>9</v>
      </c>
      <c r="AW204" s="347">
        <v>1</v>
      </c>
      <c r="AX204" s="347">
        <v>7</v>
      </c>
      <c r="AY204" s="347">
        <v>1</v>
      </c>
      <c r="AZ204" s="347">
        <v>3</v>
      </c>
      <c r="BA204" s="347">
        <v>1</v>
      </c>
      <c r="BB204" s="347">
        <v>9</v>
      </c>
      <c r="BC204" s="347">
        <v>1</v>
      </c>
    </row>
    <row r="205" spans="1:55" s="381" customFormat="1" ht="17.649999999999999" customHeight="1">
      <c r="A205" s="343">
        <v>145</v>
      </c>
      <c r="B205" s="211" t="s">
        <v>2224</v>
      </c>
      <c r="C205" s="211" t="s">
        <v>2055</v>
      </c>
      <c r="D205" s="211" t="s">
        <v>2056</v>
      </c>
      <c r="E205" s="344">
        <v>2</v>
      </c>
      <c r="F205" s="344">
        <v>2.3333333333333299</v>
      </c>
      <c r="G205" s="209">
        <v>2.3333333333333299</v>
      </c>
      <c r="H205" s="344">
        <v>2.3333333333333299</v>
      </c>
      <c r="I205" s="344">
        <v>2.56666666666667</v>
      </c>
      <c r="J205" s="344">
        <v>1.86666666666667</v>
      </c>
      <c r="K205" s="344">
        <v>1.86666666666667</v>
      </c>
      <c r="L205" s="344">
        <f t="shared" si="48"/>
        <v>0.43555555555555631</v>
      </c>
      <c r="M205" s="344">
        <v>2.1</v>
      </c>
      <c r="N205" s="344">
        <v>2.1</v>
      </c>
      <c r="O205" s="344">
        <v>2.1</v>
      </c>
      <c r="P205" s="344">
        <v>1.1666666666666701</v>
      </c>
      <c r="Q205" s="344">
        <v>1.86666666666667</v>
      </c>
      <c r="R205" s="344">
        <v>3.2666666666666702</v>
      </c>
      <c r="S205" s="344">
        <v>2.3333333333333299</v>
      </c>
      <c r="T205" s="344">
        <v>3.5</v>
      </c>
      <c r="U205" s="344">
        <v>3.5</v>
      </c>
      <c r="V205" s="344">
        <v>2.1</v>
      </c>
      <c r="W205" s="344">
        <v>2.3333333333333299</v>
      </c>
      <c r="X205" s="344">
        <v>2.1</v>
      </c>
      <c r="Y205" s="344">
        <v>2.3333333333333299</v>
      </c>
      <c r="Z205" s="344">
        <v>2.56666666666667</v>
      </c>
      <c r="AA205" s="344">
        <v>2.56666666666667</v>
      </c>
      <c r="AB205" s="344">
        <v>4.2</v>
      </c>
      <c r="AC205" s="344">
        <v>2.56666666666667</v>
      </c>
      <c r="AD205" s="344">
        <f t="shared" si="49"/>
        <v>-1.6333333333333302</v>
      </c>
      <c r="AE205" s="344">
        <v>3</v>
      </c>
      <c r="AF205" s="344">
        <v>3</v>
      </c>
      <c r="AG205" s="345">
        <v>4</v>
      </c>
      <c r="AH205" s="346">
        <v>8</v>
      </c>
      <c r="AI205" s="197">
        <v>1</v>
      </c>
      <c r="AJ205" s="197">
        <v>1</v>
      </c>
      <c r="AK205" s="197">
        <v>1</v>
      </c>
      <c r="AL205" s="197">
        <v>1</v>
      </c>
      <c r="AM205" s="197">
        <v>1</v>
      </c>
      <c r="AN205" s="197">
        <v>1</v>
      </c>
      <c r="AO205" s="197">
        <v>1</v>
      </c>
      <c r="AP205" s="197">
        <v>1</v>
      </c>
      <c r="AQ205" s="197">
        <v>1</v>
      </c>
      <c r="AR205" s="197">
        <v>2</v>
      </c>
      <c r="AS205" s="197">
        <v>1</v>
      </c>
      <c r="AT205" s="197">
        <v>1</v>
      </c>
      <c r="AU205" s="347">
        <v>1</v>
      </c>
      <c r="AV205" s="347">
        <v>1</v>
      </c>
      <c r="AW205" s="347">
        <v>9</v>
      </c>
      <c r="AX205" s="347">
        <v>1</v>
      </c>
      <c r="AY205" s="347">
        <v>1</v>
      </c>
      <c r="AZ205" s="347">
        <v>1</v>
      </c>
      <c r="BA205" s="347">
        <v>3</v>
      </c>
      <c r="BB205" s="347">
        <v>1</v>
      </c>
      <c r="BC205" s="347">
        <v>1</v>
      </c>
    </row>
    <row r="206" spans="1:55" s="381" customFormat="1" ht="17.649999999999999" customHeight="1">
      <c r="A206" s="343">
        <v>146</v>
      </c>
      <c r="B206" s="211" t="s">
        <v>2225</v>
      </c>
      <c r="C206" s="211" t="s">
        <v>2055</v>
      </c>
      <c r="D206" s="211" t="s">
        <v>2056</v>
      </c>
      <c r="E206" s="344">
        <v>2</v>
      </c>
      <c r="F206" s="344">
        <v>2.1</v>
      </c>
      <c r="G206" s="209">
        <v>2.3333333333333299</v>
      </c>
      <c r="H206" s="344">
        <v>2.3333333333333299</v>
      </c>
      <c r="I206" s="344">
        <v>2.3333333333333299</v>
      </c>
      <c r="J206" s="344">
        <v>1.86666666666667</v>
      </c>
      <c r="K206" s="344">
        <v>1.86666666666667</v>
      </c>
      <c r="L206" s="344">
        <f t="shared" si="48"/>
        <v>0.43555555555555631</v>
      </c>
      <c r="M206" s="344">
        <v>1.86666666666667</v>
      </c>
      <c r="N206" s="344">
        <v>1.4</v>
      </c>
      <c r="O206" s="344">
        <v>1.1666666666666701</v>
      </c>
      <c r="P206" s="344">
        <v>0.233333333333333</v>
      </c>
      <c r="Q206" s="344">
        <v>0.233333333333333</v>
      </c>
      <c r="R206" s="344">
        <v>4.43333333333333</v>
      </c>
      <c r="S206" s="344">
        <v>5.8333333333333304</v>
      </c>
      <c r="T206" s="344">
        <v>5.8333333333333304</v>
      </c>
      <c r="U206" s="344">
        <v>6.3</v>
      </c>
      <c r="V206" s="344">
        <v>3.5</v>
      </c>
      <c r="W206" s="344">
        <v>3.0333333333333301</v>
      </c>
      <c r="X206" s="344">
        <v>3.0333333333333301</v>
      </c>
      <c r="Y206" s="344">
        <v>3.5</v>
      </c>
      <c r="Z206" s="344">
        <v>3.5</v>
      </c>
      <c r="AA206" s="344">
        <v>3.0333333333333301</v>
      </c>
      <c r="AB206" s="344">
        <v>4.2</v>
      </c>
      <c r="AC206" s="344">
        <v>3.2666666666666702</v>
      </c>
      <c r="AD206" s="344">
        <f t="shared" si="49"/>
        <v>-0.93333333333333002</v>
      </c>
      <c r="AE206" s="344">
        <v>3</v>
      </c>
      <c r="AF206" s="344">
        <v>1</v>
      </c>
      <c r="AG206" s="345">
        <v>1</v>
      </c>
      <c r="AH206" s="346">
        <v>2</v>
      </c>
      <c r="AI206" s="197">
        <v>2</v>
      </c>
      <c r="AJ206" s="197">
        <v>2</v>
      </c>
      <c r="AK206" s="197">
        <v>8</v>
      </c>
      <c r="AL206" s="197">
        <v>8</v>
      </c>
      <c r="AM206" s="197">
        <v>10</v>
      </c>
      <c r="AN206" s="197">
        <v>1</v>
      </c>
      <c r="AO206" s="197">
        <v>1</v>
      </c>
      <c r="AP206" s="197">
        <v>1</v>
      </c>
      <c r="AQ206" s="197">
        <v>1</v>
      </c>
      <c r="AR206" s="197">
        <v>1</v>
      </c>
      <c r="AS206" s="347">
        <v>1</v>
      </c>
      <c r="AT206" s="197">
        <v>1</v>
      </c>
      <c r="AU206" s="347">
        <v>1</v>
      </c>
      <c r="AV206" s="347">
        <v>1</v>
      </c>
      <c r="AW206" s="347">
        <v>4</v>
      </c>
      <c r="AX206" s="347">
        <v>1</v>
      </c>
      <c r="AY206" s="347">
        <v>3</v>
      </c>
      <c r="AZ206" s="347">
        <v>1</v>
      </c>
      <c r="BA206" s="347">
        <v>1</v>
      </c>
      <c r="BB206" s="347">
        <v>1</v>
      </c>
      <c r="BC206" s="347">
        <v>3</v>
      </c>
    </row>
    <row r="207" spans="1:55" s="381" customFormat="1" ht="17.649999999999999" customHeight="1">
      <c r="A207" s="343">
        <v>147</v>
      </c>
      <c r="B207" s="211" t="s">
        <v>2226</v>
      </c>
      <c r="C207" s="211" t="s">
        <v>2055</v>
      </c>
      <c r="D207" s="211" t="s">
        <v>2056</v>
      </c>
      <c r="E207" s="344">
        <v>0</v>
      </c>
      <c r="F207" s="344">
        <v>0.233333333333333</v>
      </c>
      <c r="G207" s="209">
        <v>0.233333333333333</v>
      </c>
      <c r="H207" s="344">
        <v>0.233333333333333</v>
      </c>
      <c r="I207" s="344">
        <v>1.86666666666667</v>
      </c>
      <c r="J207" s="344">
        <v>1.86666666666667</v>
      </c>
      <c r="K207" s="344">
        <v>2.1</v>
      </c>
      <c r="L207" s="344">
        <f t="shared" si="48"/>
        <v>0.49000000000000005</v>
      </c>
      <c r="M207" s="344">
        <v>2.1</v>
      </c>
      <c r="N207" s="344">
        <v>1.86666666666667</v>
      </c>
      <c r="O207" s="344">
        <v>1.1666666666666701</v>
      </c>
      <c r="P207" s="344">
        <v>0.233333333333333</v>
      </c>
      <c r="Q207" s="344">
        <v>0.233333333333333</v>
      </c>
      <c r="R207" s="344">
        <v>3.0333333333333301</v>
      </c>
      <c r="S207" s="344">
        <v>3.2666666666666702</v>
      </c>
      <c r="T207" s="344">
        <v>4.43333333333333</v>
      </c>
      <c r="U207" s="344">
        <v>5.6</v>
      </c>
      <c r="V207" s="344">
        <v>4.2</v>
      </c>
      <c r="W207" s="344">
        <v>4.2</v>
      </c>
      <c r="X207" s="344">
        <v>4.6666666666666696</v>
      </c>
      <c r="Y207" s="344">
        <v>5.3666666666666698</v>
      </c>
      <c r="Z207" s="344">
        <v>4.43333333333333</v>
      </c>
      <c r="AA207" s="344">
        <v>3.9666666666666699</v>
      </c>
      <c r="AB207" s="344">
        <v>3.2666666666666702</v>
      </c>
      <c r="AC207" s="344">
        <v>2.1</v>
      </c>
      <c r="AD207" s="344">
        <f t="shared" si="49"/>
        <v>-1.1666666666666701</v>
      </c>
      <c r="AE207" s="344">
        <v>1</v>
      </c>
      <c r="AF207" s="344">
        <v>2</v>
      </c>
      <c r="AG207" s="345">
        <v>2</v>
      </c>
      <c r="AH207" s="346">
        <v>2</v>
      </c>
      <c r="AI207" s="197">
        <v>2</v>
      </c>
      <c r="AJ207" s="197">
        <v>2</v>
      </c>
      <c r="AK207" s="197">
        <v>2</v>
      </c>
      <c r="AL207" s="197">
        <v>2</v>
      </c>
      <c r="AM207" s="197">
        <v>2</v>
      </c>
      <c r="AN207" s="197">
        <v>2</v>
      </c>
      <c r="AO207" s="197">
        <v>2</v>
      </c>
      <c r="AP207" s="197">
        <v>2</v>
      </c>
      <c r="AQ207" s="197">
        <v>2</v>
      </c>
      <c r="AR207" s="197">
        <v>2</v>
      </c>
      <c r="AS207" s="197">
        <v>2</v>
      </c>
      <c r="AT207" s="197">
        <v>2</v>
      </c>
      <c r="AU207" s="347">
        <v>2</v>
      </c>
      <c r="AV207" s="347">
        <v>8</v>
      </c>
      <c r="AW207" s="347">
        <v>2</v>
      </c>
      <c r="AX207" s="347">
        <v>2</v>
      </c>
      <c r="AY207" s="347">
        <v>2</v>
      </c>
      <c r="AZ207" s="347">
        <v>35</v>
      </c>
      <c r="BA207" s="347">
        <v>7</v>
      </c>
      <c r="BB207" s="347">
        <v>1</v>
      </c>
      <c r="BC207" s="347">
        <v>4</v>
      </c>
    </row>
    <row r="208" spans="1:55" s="381" customFormat="1" ht="17.649999999999999" customHeight="1">
      <c r="A208" s="343">
        <v>148</v>
      </c>
      <c r="B208" s="211" t="s">
        <v>2227</v>
      </c>
      <c r="C208" s="211" t="s">
        <v>2055</v>
      </c>
      <c r="D208" s="211" t="s">
        <v>2056</v>
      </c>
      <c r="E208" s="344">
        <v>4</v>
      </c>
      <c r="F208" s="344">
        <v>4.6666666666666696</v>
      </c>
      <c r="G208" s="209">
        <v>5.1333333333333302</v>
      </c>
      <c r="H208" s="344">
        <v>4.43333333333333</v>
      </c>
      <c r="I208" s="344">
        <v>6.5333333333333297</v>
      </c>
      <c r="J208" s="344">
        <v>5.6</v>
      </c>
      <c r="K208" s="344">
        <v>4.43333333333333</v>
      </c>
      <c r="L208" s="344">
        <f t="shared" si="48"/>
        <v>1.0344444444444436</v>
      </c>
      <c r="M208" s="344">
        <v>2.3333333333333299</v>
      </c>
      <c r="N208" s="344">
        <v>3.0333333333333301</v>
      </c>
      <c r="O208" s="344">
        <v>3.0333333333333301</v>
      </c>
      <c r="P208" s="344">
        <v>3.2666666666666702</v>
      </c>
      <c r="Q208" s="344">
        <v>3.9666666666666699</v>
      </c>
      <c r="R208" s="344">
        <v>4.6666666666666696</v>
      </c>
      <c r="S208" s="344">
        <v>3.5</v>
      </c>
      <c r="T208" s="344">
        <v>3.9666666666666699</v>
      </c>
      <c r="U208" s="344">
        <v>4.2</v>
      </c>
      <c r="V208" s="344">
        <v>2.3333333333333299</v>
      </c>
      <c r="W208" s="344">
        <v>3.5</v>
      </c>
      <c r="X208" s="344">
        <v>3.0333333333333301</v>
      </c>
      <c r="Y208" s="344">
        <v>3.5</v>
      </c>
      <c r="Z208" s="344">
        <v>4.2</v>
      </c>
      <c r="AA208" s="344">
        <v>4.43333333333333</v>
      </c>
      <c r="AB208" s="344">
        <v>4.43333333333333</v>
      </c>
      <c r="AC208" s="344">
        <v>3.2666666666666702</v>
      </c>
      <c r="AD208" s="344">
        <f t="shared" si="49"/>
        <v>-1.1666666666666599</v>
      </c>
      <c r="AE208" s="344">
        <v>3</v>
      </c>
      <c r="AF208" s="344">
        <v>3</v>
      </c>
      <c r="AG208" s="345">
        <v>1</v>
      </c>
      <c r="AH208" s="346">
        <v>1</v>
      </c>
      <c r="AI208" s="197">
        <v>1</v>
      </c>
      <c r="AJ208" s="197">
        <v>1</v>
      </c>
      <c r="AK208" s="197">
        <v>1</v>
      </c>
      <c r="AL208" s="197">
        <v>1</v>
      </c>
      <c r="AM208" s="197">
        <v>1</v>
      </c>
      <c r="AN208" s="197">
        <v>1</v>
      </c>
      <c r="AO208" s="197">
        <v>1</v>
      </c>
      <c r="AP208" s="197">
        <v>1</v>
      </c>
      <c r="AQ208" s="197">
        <v>1</v>
      </c>
      <c r="AR208" s="197">
        <v>1</v>
      </c>
      <c r="AS208" s="197">
        <v>1</v>
      </c>
      <c r="AT208" s="197">
        <v>1</v>
      </c>
      <c r="AU208" s="347">
        <v>10</v>
      </c>
      <c r="AV208" s="347">
        <v>1</v>
      </c>
      <c r="AW208" s="347">
        <v>1</v>
      </c>
      <c r="AX208" s="347">
        <v>10</v>
      </c>
      <c r="AY208" s="347">
        <v>1</v>
      </c>
      <c r="AZ208" s="347">
        <v>1</v>
      </c>
      <c r="BA208" s="347">
        <v>1</v>
      </c>
      <c r="BB208" s="347">
        <v>1</v>
      </c>
      <c r="BC208" s="347">
        <v>1</v>
      </c>
    </row>
    <row r="209" spans="1:55" s="381" customFormat="1" ht="17.649999999999999" customHeight="1">
      <c r="A209" s="343">
        <v>149</v>
      </c>
      <c r="B209" s="211" t="s">
        <v>2228</v>
      </c>
      <c r="C209" s="211" t="s">
        <v>2055</v>
      </c>
      <c r="D209" s="211" t="s">
        <v>2056</v>
      </c>
      <c r="E209" s="344">
        <v>2</v>
      </c>
      <c r="F209" s="344">
        <v>2.1</v>
      </c>
      <c r="G209" s="209">
        <v>2.56666666666667</v>
      </c>
      <c r="H209" s="344">
        <v>2.56666666666667</v>
      </c>
      <c r="I209" s="344">
        <v>3.0333333333333301</v>
      </c>
      <c r="J209" s="344">
        <v>2.56666666666667</v>
      </c>
      <c r="K209" s="344">
        <v>3.0333333333333301</v>
      </c>
      <c r="L209" s="344">
        <f t="shared" si="48"/>
        <v>0.70777777777777695</v>
      </c>
      <c r="M209" s="344">
        <v>2.1</v>
      </c>
      <c r="N209" s="344">
        <v>1.4</v>
      </c>
      <c r="O209" s="344">
        <v>1.1666666666666701</v>
      </c>
      <c r="P209" s="344">
        <v>1.1666666666666701</v>
      </c>
      <c r="Q209" s="344">
        <v>1.86666666666667</v>
      </c>
      <c r="R209" s="344">
        <v>3.0333333333333301</v>
      </c>
      <c r="S209" s="344">
        <v>3.2666666666666702</v>
      </c>
      <c r="T209" s="344">
        <v>3.5</v>
      </c>
      <c r="U209" s="344">
        <v>4.2</v>
      </c>
      <c r="V209" s="344">
        <v>3.0333333333333301</v>
      </c>
      <c r="W209" s="344">
        <v>2.3333333333333299</v>
      </c>
      <c r="X209" s="344">
        <v>2.1</v>
      </c>
      <c r="Y209" s="344">
        <v>3.0333333333333301</v>
      </c>
      <c r="Z209" s="344">
        <v>3.9666666666666699</v>
      </c>
      <c r="AA209" s="344">
        <v>4.43333333333333</v>
      </c>
      <c r="AB209" s="344">
        <v>5.3666666666666698</v>
      </c>
      <c r="AC209" s="344">
        <v>3.9666666666666699</v>
      </c>
      <c r="AD209" s="344">
        <f t="shared" si="49"/>
        <v>-1.4</v>
      </c>
      <c r="AE209" s="344">
        <v>1</v>
      </c>
      <c r="AF209" s="344">
        <v>3</v>
      </c>
      <c r="AG209" s="345">
        <v>4</v>
      </c>
      <c r="AH209" s="346">
        <v>3</v>
      </c>
      <c r="AI209" s="197">
        <v>4</v>
      </c>
      <c r="AJ209" s="197">
        <v>1</v>
      </c>
      <c r="AK209" s="197">
        <v>2</v>
      </c>
      <c r="AL209" s="197">
        <v>2</v>
      </c>
      <c r="AM209" s="197">
        <v>2</v>
      </c>
      <c r="AN209" s="197">
        <v>2</v>
      </c>
      <c r="AO209" s="197">
        <v>1</v>
      </c>
      <c r="AP209" s="197">
        <v>1</v>
      </c>
      <c r="AQ209" s="197">
        <v>8</v>
      </c>
      <c r="AR209" s="197">
        <v>9</v>
      </c>
      <c r="AS209" s="197">
        <v>1</v>
      </c>
      <c r="AT209" s="197">
        <v>3</v>
      </c>
      <c r="AU209" s="347">
        <v>1</v>
      </c>
      <c r="AV209" s="347">
        <v>1</v>
      </c>
      <c r="AW209" s="347">
        <v>9</v>
      </c>
      <c r="AX209" s="347">
        <v>1</v>
      </c>
      <c r="AY209" s="347">
        <v>1</v>
      </c>
      <c r="AZ209" s="347">
        <v>1</v>
      </c>
      <c r="BA209" s="347">
        <v>1</v>
      </c>
      <c r="BB209" s="347">
        <v>1</v>
      </c>
      <c r="BC209" s="347">
        <v>1</v>
      </c>
    </row>
    <row r="210" spans="1:55" s="381" customFormat="1" ht="17.649999999999999" customHeight="1">
      <c r="A210" s="343">
        <v>150</v>
      </c>
      <c r="B210" s="211" t="s">
        <v>2229</v>
      </c>
      <c r="C210" s="211" t="s">
        <v>2055</v>
      </c>
      <c r="D210" s="211" t="s">
        <v>2056</v>
      </c>
      <c r="E210" s="344">
        <v>3</v>
      </c>
      <c r="F210" s="344">
        <v>3.0333333333333301</v>
      </c>
      <c r="G210" s="209">
        <v>3.0333333333333301</v>
      </c>
      <c r="H210" s="344">
        <v>2.1</v>
      </c>
      <c r="I210" s="344">
        <v>3.2666666666666702</v>
      </c>
      <c r="J210" s="344">
        <v>3.0333333333333301</v>
      </c>
      <c r="K210" s="344">
        <v>2.56666666666667</v>
      </c>
      <c r="L210" s="344">
        <f t="shared" si="48"/>
        <v>0.59888888888888969</v>
      </c>
      <c r="M210" s="344">
        <v>1.86666666666667</v>
      </c>
      <c r="N210" s="344">
        <v>2.3333333333333299</v>
      </c>
      <c r="O210" s="344">
        <v>2.1</v>
      </c>
      <c r="P210" s="344">
        <v>3.0333333333333301</v>
      </c>
      <c r="Q210" s="344">
        <v>3.9666666666666699</v>
      </c>
      <c r="R210" s="344">
        <v>4.43333333333333</v>
      </c>
      <c r="S210" s="344">
        <v>6.7666666666666702</v>
      </c>
      <c r="T210" s="344">
        <v>7.7</v>
      </c>
      <c r="U210" s="344">
        <v>7.7</v>
      </c>
      <c r="V210" s="344">
        <v>6.3</v>
      </c>
      <c r="W210" s="344">
        <v>4.6666666666666696</v>
      </c>
      <c r="X210" s="344">
        <v>3.9666666666666699</v>
      </c>
      <c r="Y210" s="344">
        <v>4.43333333333333</v>
      </c>
      <c r="Z210" s="344">
        <v>3.9666666666666699</v>
      </c>
      <c r="AA210" s="344">
        <v>3.5</v>
      </c>
      <c r="AB210" s="344">
        <v>3.9666666666666699</v>
      </c>
      <c r="AC210" s="344">
        <v>2.1</v>
      </c>
      <c r="AD210" s="344">
        <f t="shared" si="49"/>
        <v>-1.8666666666666698</v>
      </c>
      <c r="AE210" s="344">
        <v>5</v>
      </c>
      <c r="AF210" s="344">
        <v>3</v>
      </c>
      <c r="AG210" s="345">
        <v>1</v>
      </c>
      <c r="AH210" s="346">
        <v>1</v>
      </c>
      <c r="AI210" s="197">
        <v>1</v>
      </c>
      <c r="AJ210" s="197">
        <v>2</v>
      </c>
      <c r="AK210" s="197">
        <v>1</v>
      </c>
      <c r="AL210" s="197">
        <v>1</v>
      </c>
      <c r="AM210" s="197">
        <v>1</v>
      </c>
      <c r="AN210" s="197">
        <v>1</v>
      </c>
      <c r="AO210" s="197">
        <v>1</v>
      </c>
      <c r="AP210" s="197">
        <v>1</v>
      </c>
      <c r="AQ210" s="347">
        <v>2</v>
      </c>
      <c r="AR210" s="197">
        <v>3</v>
      </c>
      <c r="AS210" s="197">
        <v>3</v>
      </c>
      <c r="AT210" s="197">
        <v>10</v>
      </c>
      <c r="AU210" s="347">
        <v>2</v>
      </c>
      <c r="AV210" s="347">
        <v>1</v>
      </c>
      <c r="AW210" s="347">
        <v>11</v>
      </c>
      <c r="AX210" s="347">
        <v>1</v>
      </c>
      <c r="AY210" s="347">
        <v>10</v>
      </c>
      <c r="AZ210" s="347">
        <v>1</v>
      </c>
      <c r="BA210" s="347">
        <v>1</v>
      </c>
      <c r="BB210" s="347">
        <v>1</v>
      </c>
      <c r="BC210" s="347">
        <v>8</v>
      </c>
    </row>
    <row r="211" spans="1:55" s="381" customFormat="1" ht="17.649999999999999" customHeight="1">
      <c r="A211" s="343">
        <v>151</v>
      </c>
      <c r="B211" s="211" t="s">
        <v>2230</v>
      </c>
      <c r="C211" s="211" t="s">
        <v>2055</v>
      </c>
      <c r="D211" s="211" t="s">
        <v>2056</v>
      </c>
      <c r="E211" s="344">
        <v>5</v>
      </c>
      <c r="F211" s="344">
        <v>5.8333333333333304</v>
      </c>
      <c r="G211" s="209">
        <v>6.7666666666666702</v>
      </c>
      <c r="H211" s="344">
        <v>7</v>
      </c>
      <c r="I211" s="344">
        <v>10.033333333333299</v>
      </c>
      <c r="J211" s="344">
        <v>10.266666666666699</v>
      </c>
      <c r="K211" s="344">
        <v>9.8000000000000007</v>
      </c>
      <c r="L211" s="344">
        <f t="shared" si="48"/>
        <v>2.2866666666666671</v>
      </c>
      <c r="M211" s="344">
        <v>5.6</v>
      </c>
      <c r="N211" s="344">
        <v>8.6333333333333293</v>
      </c>
      <c r="O211" s="344">
        <v>6.7666666666666702</v>
      </c>
      <c r="P211" s="344">
        <v>9.8000000000000007</v>
      </c>
      <c r="Q211" s="344">
        <v>12.366666666666699</v>
      </c>
      <c r="R211" s="344">
        <v>10.966666666666701</v>
      </c>
      <c r="S211" s="344">
        <v>12.366666666666699</v>
      </c>
      <c r="T211" s="344">
        <v>12.366666666666699</v>
      </c>
      <c r="U211" s="344">
        <v>10.966666666666701</v>
      </c>
      <c r="V211" s="344">
        <v>9.8000000000000007</v>
      </c>
      <c r="W211" s="344">
        <v>8.6333333333333293</v>
      </c>
      <c r="X211" s="344">
        <v>8.4</v>
      </c>
      <c r="Y211" s="344">
        <v>7</v>
      </c>
      <c r="Z211" s="344">
        <v>6.3</v>
      </c>
      <c r="AA211" s="344">
        <v>6.7666666666666702</v>
      </c>
      <c r="AB211" s="344">
        <v>5.8333333333333304</v>
      </c>
      <c r="AC211" s="344">
        <v>4.6666666666666696</v>
      </c>
      <c r="AD211" s="344">
        <f t="shared" si="49"/>
        <v>-1.1666666666666607</v>
      </c>
      <c r="AE211" s="344">
        <v>3</v>
      </c>
      <c r="AF211" s="344">
        <v>1</v>
      </c>
      <c r="AG211" s="345">
        <v>1</v>
      </c>
      <c r="AH211" s="346">
        <v>1</v>
      </c>
      <c r="AI211" s="197">
        <v>1</v>
      </c>
      <c r="AJ211" s="197">
        <v>9</v>
      </c>
      <c r="AK211" s="197">
        <v>1</v>
      </c>
      <c r="AL211" s="197">
        <v>1</v>
      </c>
      <c r="AM211" s="197">
        <v>1</v>
      </c>
      <c r="AN211" s="197">
        <v>1</v>
      </c>
      <c r="AO211" s="197">
        <v>3</v>
      </c>
      <c r="AP211" s="197">
        <v>1</v>
      </c>
      <c r="AQ211" s="197">
        <v>1</v>
      </c>
      <c r="AR211" s="197">
        <v>1</v>
      </c>
      <c r="AS211" s="197">
        <v>1</v>
      </c>
      <c r="AT211" s="197">
        <v>1</v>
      </c>
      <c r="AU211" s="347">
        <v>3</v>
      </c>
      <c r="AV211" s="347">
        <v>1</v>
      </c>
      <c r="AW211" s="347">
        <v>9</v>
      </c>
      <c r="AX211" s="347">
        <v>9</v>
      </c>
      <c r="AY211" s="347">
        <v>1</v>
      </c>
      <c r="AZ211" s="347">
        <v>10</v>
      </c>
      <c r="BA211" s="347">
        <v>1</v>
      </c>
      <c r="BB211" s="347">
        <v>1</v>
      </c>
      <c r="BC211" s="347">
        <v>10</v>
      </c>
    </row>
    <row r="212" spans="1:55" s="381" customFormat="1" ht="17.649999999999999" customHeight="1">
      <c r="A212" s="343">
        <v>152</v>
      </c>
      <c r="B212" s="211" t="s">
        <v>2231</v>
      </c>
      <c r="C212" s="211" t="s">
        <v>2055</v>
      </c>
      <c r="D212" s="211" t="s">
        <v>2056</v>
      </c>
      <c r="E212" s="344">
        <v>2</v>
      </c>
      <c r="F212" s="344">
        <v>2.3333333333333299</v>
      </c>
      <c r="G212" s="209">
        <v>1.86666666666667</v>
      </c>
      <c r="H212" s="344">
        <v>1.4</v>
      </c>
      <c r="I212" s="344">
        <v>1.4</v>
      </c>
      <c r="J212" s="344">
        <v>0.233333333333333</v>
      </c>
      <c r="K212" s="344">
        <v>1.86666666666667</v>
      </c>
      <c r="L212" s="344">
        <f t="shared" si="48"/>
        <v>0.43555555555555631</v>
      </c>
      <c r="M212" s="344">
        <v>2.56666666666667</v>
      </c>
      <c r="N212" s="344">
        <v>2.3333333333333299</v>
      </c>
      <c r="O212" s="344">
        <v>1.4</v>
      </c>
      <c r="P212" s="344">
        <v>0.233333333333333</v>
      </c>
      <c r="Q212" s="344">
        <v>0.233333333333333</v>
      </c>
      <c r="R212" s="344">
        <v>1.1666666666666701</v>
      </c>
      <c r="S212" s="344">
        <v>1.4</v>
      </c>
      <c r="T212" s="344">
        <v>2.3333333333333299</v>
      </c>
      <c r="U212" s="344">
        <v>3.0333333333333301</v>
      </c>
      <c r="V212" s="344">
        <v>2.56666666666667</v>
      </c>
      <c r="W212" s="344">
        <v>2.56666666666667</v>
      </c>
      <c r="X212" s="344">
        <v>2.56666666666667</v>
      </c>
      <c r="Y212" s="344">
        <v>3.2666666666666702</v>
      </c>
      <c r="Z212" s="344">
        <v>2.56666666666667</v>
      </c>
      <c r="AA212" s="344">
        <v>2.56666666666667</v>
      </c>
      <c r="AB212" s="344">
        <v>2.1</v>
      </c>
      <c r="AC212" s="344">
        <v>0.233333333333333</v>
      </c>
      <c r="AD212" s="344">
        <f t="shared" si="49"/>
        <v>-1.8666666666666671</v>
      </c>
      <c r="AE212" s="344">
        <v>1</v>
      </c>
      <c r="AF212" s="344">
        <v>1</v>
      </c>
      <c r="AG212" s="345">
        <v>1</v>
      </c>
      <c r="AH212" s="346">
        <v>1</v>
      </c>
      <c r="AI212" s="197">
        <v>1</v>
      </c>
      <c r="AJ212" s="197">
        <v>1</v>
      </c>
      <c r="AK212" s="197">
        <v>1</v>
      </c>
      <c r="AL212" s="197">
        <v>1</v>
      </c>
      <c r="AM212" s="197">
        <v>2</v>
      </c>
      <c r="AN212" s="197">
        <v>1</v>
      </c>
      <c r="AO212" s="197">
        <v>1</v>
      </c>
      <c r="AP212" s="197">
        <v>10</v>
      </c>
      <c r="AQ212" s="197">
        <v>1</v>
      </c>
      <c r="AR212" s="197">
        <v>1</v>
      </c>
      <c r="AS212" s="197">
        <v>1</v>
      </c>
      <c r="AT212" s="197">
        <v>1</v>
      </c>
      <c r="AU212" s="347">
        <v>1</v>
      </c>
      <c r="AV212" s="347">
        <v>1</v>
      </c>
      <c r="AW212" s="347">
        <v>1</v>
      </c>
      <c r="AX212" s="347">
        <v>1</v>
      </c>
      <c r="AY212" s="347">
        <v>10</v>
      </c>
      <c r="AZ212" s="347">
        <v>1</v>
      </c>
      <c r="BA212" s="347">
        <v>1</v>
      </c>
      <c r="BB212" s="347">
        <v>2</v>
      </c>
      <c r="BC212" s="347">
        <v>1</v>
      </c>
    </row>
    <row r="213" spans="1:55" s="381" customFormat="1" ht="17.649999999999999" customHeight="1">
      <c r="A213" s="343">
        <v>153</v>
      </c>
      <c r="B213" s="211" t="s">
        <v>2232</v>
      </c>
      <c r="C213" s="211" t="s">
        <v>2055</v>
      </c>
      <c r="D213" s="211" t="s">
        <v>2056</v>
      </c>
      <c r="E213" s="344">
        <v>2</v>
      </c>
      <c r="F213" s="344">
        <v>2.1</v>
      </c>
      <c r="G213" s="209">
        <v>2.3333333333333299</v>
      </c>
      <c r="H213" s="344">
        <v>2.1</v>
      </c>
      <c r="I213" s="344">
        <v>2.56666666666667</v>
      </c>
      <c r="J213" s="344">
        <v>3.5</v>
      </c>
      <c r="K213" s="344">
        <v>4.2</v>
      </c>
      <c r="L213" s="344">
        <f t="shared" si="48"/>
        <v>0.98000000000000009</v>
      </c>
      <c r="M213" s="344">
        <v>3.2666666666666702</v>
      </c>
      <c r="N213" s="344">
        <v>2.56666666666667</v>
      </c>
      <c r="O213" s="344">
        <v>1.4</v>
      </c>
      <c r="P213" s="344">
        <v>0.233333333333333</v>
      </c>
      <c r="Q213" s="344">
        <v>1.4</v>
      </c>
      <c r="R213" s="344">
        <v>2.3333333333333299</v>
      </c>
      <c r="S213" s="344">
        <v>3.2666666666666702</v>
      </c>
      <c r="T213" s="344">
        <v>4.43333333333333</v>
      </c>
      <c r="U213" s="344">
        <v>5.8333333333333304</v>
      </c>
      <c r="V213" s="344">
        <v>5.1333333333333302</v>
      </c>
      <c r="W213" s="344">
        <v>4.2</v>
      </c>
      <c r="X213" s="344">
        <v>3.5</v>
      </c>
      <c r="Y213" s="344">
        <v>2.56666666666667</v>
      </c>
      <c r="Z213" s="344">
        <v>2.1</v>
      </c>
      <c r="AA213" s="344">
        <v>1.86666666666667</v>
      </c>
      <c r="AB213" s="344">
        <v>2.3333333333333299</v>
      </c>
      <c r="AC213" s="344">
        <v>1.86666666666667</v>
      </c>
      <c r="AD213" s="344">
        <f t="shared" si="49"/>
        <v>-0.4666666666666599</v>
      </c>
      <c r="AE213" s="344">
        <v>1</v>
      </c>
      <c r="AF213" s="344">
        <v>3</v>
      </c>
      <c r="AG213" s="345">
        <v>8</v>
      </c>
      <c r="AH213" s="346">
        <v>4</v>
      </c>
      <c r="AI213" s="197">
        <v>3</v>
      </c>
      <c r="AJ213" s="197">
        <v>1</v>
      </c>
      <c r="AK213" s="197">
        <v>3</v>
      </c>
      <c r="AL213" s="197">
        <v>3</v>
      </c>
      <c r="AM213" s="197">
        <v>7</v>
      </c>
      <c r="AN213" s="197">
        <v>1</v>
      </c>
      <c r="AO213" s="197">
        <v>5</v>
      </c>
      <c r="AP213" s="197">
        <v>4</v>
      </c>
      <c r="AQ213" s="197">
        <v>4</v>
      </c>
      <c r="AR213" s="197">
        <v>4</v>
      </c>
      <c r="AS213" s="197">
        <v>3</v>
      </c>
      <c r="AT213" s="197">
        <v>10</v>
      </c>
      <c r="AU213" s="347">
        <v>2</v>
      </c>
      <c r="AV213" s="347">
        <v>2</v>
      </c>
      <c r="AW213" s="347">
        <v>10</v>
      </c>
      <c r="AX213" s="347">
        <v>1</v>
      </c>
      <c r="AY213" s="347">
        <v>7</v>
      </c>
      <c r="AZ213" s="347">
        <v>1</v>
      </c>
      <c r="BA213" s="347">
        <v>1</v>
      </c>
      <c r="BB213" s="347">
        <v>1</v>
      </c>
      <c r="BC213" s="347">
        <v>1</v>
      </c>
    </row>
    <row r="214" spans="1:55" s="381" customFormat="1" ht="17.649999999999999" customHeight="1">
      <c r="A214" s="343">
        <v>154</v>
      </c>
      <c r="B214" s="211" t="s">
        <v>2233</v>
      </c>
      <c r="C214" s="211" t="s">
        <v>2055</v>
      </c>
      <c r="D214" s="211" t="s">
        <v>2056</v>
      </c>
      <c r="E214" s="344">
        <v>0</v>
      </c>
      <c r="F214" s="344">
        <v>0.233333333333333</v>
      </c>
      <c r="G214" s="209">
        <v>1.1666666666666701</v>
      </c>
      <c r="H214" s="344">
        <v>1.1666666666666701</v>
      </c>
      <c r="I214" s="344">
        <v>1.86666666666667</v>
      </c>
      <c r="J214" s="344">
        <v>2.56666666666667</v>
      </c>
      <c r="K214" s="344">
        <v>2.3333333333333299</v>
      </c>
      <c r="L214" s="344">
        <f t="shared" si="48"/>
        <v>0.54444444444444362</v>
      </c>
      <c r="M214" s="344">
        <v>1.86666666666667</v>
      </c>
      <c r="N214" s="344">
        <v>1.4</v>
      </c>
      <c r="O214" s="344">
        <v>2.1</v>
      </c>
      <c r="P214" s="344">
        <v>1.86666666666667</v>
      </c>
      <c r="Q214" s="344">
        <v>2.56666666666667</v>
      </c>
      <c r="R214" s="344">
        <v>4.43333333333333</v>
      </c>
      <c r="S214" s="344">
        <v>4.2</v>
      </c>
      <c r="T214" s="344">
        <v>4.43333333333333</v>
      </c>
      <c r="U214" s="344">
        <v>4.2</v>
      </c>
      <c r="V214" s="344">
        <v>2.1</v>
      </c>
      <c r="W214" s="344">
        <v>2.1</v>
      </c>
      <c r="X214" s="344">
        <v>2.3333333333333299</v>
      </c>
      <c r="Y214" s="344">
        <v>3.2666666666666702</v>
      </c>
      <c r="Z214" s="344">
        <v>3.2666666666666702</v>
      </c>
      <c r="AA214" s="344">
        <v>3.2666666666666702</v>
      </c>
      <c r="AB214" s="344">
        <v>3.9666666666666699</v>
      </c>
      <c r="AC214" s="344">
        <v>2.3333333333333299</v>
      </c>
      <c r="AD214" s="344">
        <f t="shared" si="49"/>
        <v>-1.63333333333334</v>
      </c>
      <c r="AE214" s="344">
        <v>3</v>
      </c>
      <c r="AF214" s="344">
        <v>6</v>
      </c>
      <c r="AG214" s="345">
        <v>9</v>
      </c>
      <c r="AH214" s="346">
        <v>4</v>
      </c>
      <c r="AI214" s="197">
        <v>4</v>
      </c>
      <c r="AJ214" s="197">
        <v>8</v>
      </c>
      <c r="AK214" s="197">
        <v>6</v>
      </c>
      <c r="AL214" s="197">
        <v>6</v>
      </c>
      <c r="AM214" s="197">
        <v>3</v>
      </c>
      <c r="AN214" s="197">
        <v>1</v>
      </c>
      <c r="AO214" s="197">
        <v>5</v>
      </c>
      <c r="AP214" s="197">
        <v>1</v>
      </c>
      <c r="AQ214" s="197">
        <v>3</v>
      </c>
      <c r="AR214" s="197">
        <v>1</v>
      </c>
      <c r="AS214" s="197">
        <v>9</v>
      </c>
      <c r="AT214" s="197">
        <v>2</v>
      </c>
      <c r="AU214" s="347">
        <v>1</v>
      </c>
      <c r="AV214" s="347">
        <v>1</v>
      </c>
      <c r="AW214" s="347">
        <v>1</v>
      </c>
      <c r="AX214" s="347">
        <v>1</v>
      </c>
      <c r="AY214" s="347">
        <v>2</v>
      </c>
      <c r="AZ214" s="347">
        <v>1</v>
      </c>
      <c r="BA214" s="347">
        <v>2</v>
      </c>
      <c r="BB214" s="347">
        <v>9</v>
      </c>
      <c r="BC214" s="347">
        <v>1</v>
      </c>
    </row>
    <row r="215" spans="1:55" s="381" customFormat="1" ht="17.649999999999999" customHeight="1">
      <c r="A215" s="343">
        <v>155</v>
      </c>
      <c r="B215" s="211" t="s">
        <v>2234</v>
      </c>
      <c r="C215" s="211" t="s">
        <v>2055</v>
      </c>
      <c r="D215" s="211" t="s">
        <v>2056</v>
      </c>
      <c r="E215" s="344">
        <v>6</v>
      </c>
      <c r="F215" s="344">
        <v>5.6</v>
      </c>
      <c r="G215" s="209">
        <v>5.8333333333333304</v>
      </c>
      <c r="H215" s="344">
        <v>5.8333333333333304</v>
      </c>
      <c r="I215" s="344">
        <v>6.3</v>
      </c>
      <c r="J215" s="344">
        <v>5.8333333333333304</v>
      </c>
      <c r="K215" s="344">
        <v>6.3</v>
      </c>
      <c r="L215" s="344">
        <f t="shared" si="48"/>
        <v>1.47</v>
      </c>
      <c r="M215" s="344">
        <v>4.2</v>
      </c>
      <c r="N215" s="344">
        <v>4.2</v>
      </c>
      <c r="O215" s="344">
        <v>3.9666666666666699</v>
      </c>
      <c r="P215" s="344">
        <v>4.2</v>
      </c>
      <c r="Q215" s="344">
        <v>5.1333333333333302</v>
      </c>
      <c r="R215" s="344">
        <v>6.3</v>
      </c>
      <c r="S215" s="344">
        <v>6.5333333333333297</v>
      </c>
      <c r="T215" s="344">
        <v>8.8666666666666707</v>
      </c>
      <c r="U215" s="344">
        <v>13.0666666666667</v>
      </c>
      <c r="V215" s="344">
        <v>12.366666666666699</v>
      </c>
      <c r="W215" s="344">
        <v>13.0666666666667</v>
      </c>
      <c r="X215" s="344">
        <v>13.3</v>
      </c>
      <c r="Y215" s="344">
        <v>10.733333333333301</v>
      </c>
      <c r="Z215" s="344">
        <v>6.7666666666666702</v>
      </c>
      <c r="AA215" s="344">
        <v>6.3</v>
      </c>
      <c r="AB215" s="344">
        <v>6.3</v>
      </c>
      <c r="AC215" s="344">
        <v>5.3666666666666698</v>
      </c>
      <c r="AD215" s="344">
        <f t="shared" si="49"/>
        <v>-0.93333333333333002</v>
      </c>
      <c r="AE215" s="344">
        <v>2</v>
      </c>
      <c r="AF215" s="344">
        <v>1</v>
      </c>
      <c r="AG215" s="345">
        <v>1</v>
      </c>
      <c r="AH215" s="346">
        <v>1</v>
      </c>
      <c r="AI215" s="197">
        <v>1</v>
      </c>
      <c r="AJ215" s="197">
        <v>2</v>
      </c>
      <c r="AK215" s="197">
        <v>1</v>
      </c>
      <c r="AL215" s="197">
        <v>1</v>
      </c>
      <c r="AM215" s="197">
        <v>2</v>
      </c>
      <c r="AN215" s="197">
        <v>1</v>
      </c>
      <c r="AO215" s="197">
        <v>1</v>
      </c>
      <c r="AP215" s="197">
        <v>2</v>
      </c>
      <c r="AQ215" s="197">
        <v>2</v>
      </c>
      <c r="AR215" s="197">
        <v>1</v>
      </c>
      <c r="AS215" s="197">
        <v>1</v>
      </c>
      <c r="AT215" s="197">
        <v>2</v>
      </c>
      <c r="AU215" s="347">
        <v>2</v>
      </c>
      <c r="AV215" s="347">
        <v>2</v>
      </c>
      <c r="AW215" s="347">
        <v>2</v>
      </c>
      <c r="AX215" s="347">
        <v>1</v>
      </c>
      <c r="AY215" s="347">
        <v>2</v>
      </c>
      <c r="AZ215" s="347">
        <v>3</v>
      </c>
      <c r="BA215" s="347">
        <v>2</v>
      </c>
      <c r="BB215" s="347">
        <v>2</v>
      </c>
      <c r="BC215" s="347">
        <v>2</v>
      </c>
    </row>
    <row r="216" spans="1:55" s="381" customFormat="1" ht="17.649999999999999" customHeight="1">
      <c r="A216" s="343">
        <v>156</v>
      </c>
      <c r="B216" s="211" t="s">
        <v>2235</v>
      </c>
      <c r="C216" s="211" t="s">
        <v>2055</v>
      </c>
      <c r="D216" s="211" t="s">
        <v>2056</v>
      </c>
      <c r="E216" s="344">
        <v>2</v>
      </c>
      <c r="F216" s="344">
        <v>2.1</v>
      </c>
      <c r="G216" s="209">
        <v>1.86666666666667</v>
      </c>
      <c r="H216" s="344">
        <v>2.1</v>
      </c>
      <c r="I216" s="344">
        <v>2.56666666666667</v>
      </c>
      <c r="J216" s="344">
        <v>3.0333333333333301</v>
      </c>
      <c r="K216" s="344">
        <v>3.0333333333333301</v>
      </c>
      <c r="L216" s="344">
        <f t="shared" si="48"/>
        <v>0.70777777777777695</v>
      </c>
      <c r="M216" s="344">
        <v>2.3333333333333299</v>
      </c>
      <c r="N216" s="344">
        <v>1.4</v>
      </c>
      <c r="O216" s="344">
        <v>1.1666666666666701</v>
      </c>
      <c r="P216" s="344">
        <v>0.233333333333333</v>
      </c>
      <c r="Q216" s="344">
        <v>2.1</v>
      </c>
      <c r="R216" s="344">
        <v>4.43333333333333</v>
      </c>
      <c r="S216" s="344">
        <v>5.1333333333333302</v>
      </c>
      <c r="T216" s="344">
        <v>6.3</v>
      </c>
      <c r="U216" s="344">
        <v>5.1333333333333302</v>
      </c>
      <c r="V216" s="344">
        <v>3.2666666666666702</v>
      </c>
      <c r="W216" s="344">
        <v>3.2666666666666702</v>
      </c>
      <c r="X216" s="344">
        <v>3.0333333333333301</v>
      </c>
      <c r="Y216" s="344">
        <v>3.2666666666666702</v>
      </c>
      <c r="Z216" s="344">
        <v>3.5</v>
      </c>
      <c r="AA216" s="344">
        <v>2.56666666666667</v>
      </c>
      <c r="AB216" s="344">
        <v>2.3333333333333299</v>
      </c>
      <c r="AC216" s="344">
        <v>1.1666666666666701</v>
      </c>
      <c r="AD216" s="344">
        <f t="shared" si="49"/>
        <v>-1.1666666666666599</v>
      </c>
      <c r="AE216" s="344">
        <v>2</v>
      </c>
      <c r="AF216" s="344">
        <v>2</v>
      </c>
      <c r="AG216" s="344">
        <v>2</v>
      </c>
      <c r="AH216" s="346">
        <v>2</v>
      </c>
      <c r="AI216" s="197">
        <v>3</v>
      </c>
      <c r="AJ216" s="197">
        <v>2</v>
      </c>
      <c r="AK216" s="197">
        <v>2</v>
      </c>
      <c r="AL216" s="197">
        <v>2</v>
      </c>
      <c r="AM216" s="197">
        <v>2</v>
      </c>
      <c r="AN216" s="197">
        <v>2</v>
      </c>
      <c r="AO216" s="197">
        <v>2</v>
      </c>
      <c r="AP216" s="197">
        <v>2</v>
      </c>
      <c r="AQ216" s="197">
        <v>2</v>
      </c>
      <c r="AR216" s="347">
        <v>2</v>
      </c>
      <c r="AS216" s="197">
        <v>2</v>
      </c>
      <c r="AT216" s="197">
        <v>1</v>
      </c>
      <c r="AU216" s="347">
        <v>1</v>
      </c>
      <c r="AV216" s="347">
        <v>1</v>
      </c>
      <c r="AW216" s="347">
        <v>1</v>
      </c>
      <c r="AX216" s="347">
        <v>1</v>
      </c>
      <c r="AY216" s="347">
        <v>1</v>
      </c>
      <c r="AZ216" s="347">
        <v>1</v>
      </c>
      <c r="BA216" s="347">
        <v>2</v>
      </c>
      <c r="BB216" s="347">
        <v>7</v>
      </c>
      <c r="BC216" s="347">
        <v>7</v>
      </c>
    </row>
    <row r="217" spans="1:55" s="381" customFormat="1" ht="17.649999999999999" customHeight="1">
      <c r="A217" s="343">
        <v>157</v>
      </c>
      <c r="B217" s="211" t="s">
        <v>2236</v>
      </c>
      <c r="C217" s="211" t="s">
        <v>2055</v>
      </c>
      <c r="D217" s="211" t="s">
        <v>2056</v>
      </c>
      <c r="E217" s="344">
        <v>1</v>
      </c>
      <c r="F217" s="344">
        <v>2.1</v>
      </c>
      <c r="G217" s="209">
        <v>2.1</v>
      </c>
      <c r="H217" s="344">
        <v>1.4</v>
      </c>
      <c r="I217" s="344">
        <v>2.1</v>
      </c>
      <c r="J217" s="344">
        <v>2.3333333333333299</v>
      </c>
      <c r="K217" s="344">
        <v>2.56666666666667</v>
      </c>
      <c r="L217" s="344">
        <f t="shared" si="48"/>
        <v>0.59888888888888969</v>
      </c>
      <c r="M217" s="344">
        <v>2.56666666666667</v>
      </c>
      <c r="N217" s="344">
        <v>3.2666666666666702</v>
      </c>
      <c r="O217" s="344">
        <v>2.56666666666667</v>
      </c>
      <c r="P217" s="344">
        <v>2.1</v>
      </c>
      <c r="Q217" s="344">
        <v>3.5</v>
      </c>
      <c r="R217" s="344">
        <v>4.2</v>
      </c>
      <c r="S217" s="344">
        <v>4.2</v>
      </c>
      <c r="T217" s="344">
        <v>4.43333333333333</v>
      </c>
      <c r="U217" s="344">
        <v>5.1333333333333302</v>
      </c>
      <c r="V217" s="344">
        <v>3.5</v>
      </c>
      <c r="W217" s="344">
        <v>3.5</v>
      </c>
      <c r="X217" s="344">
        <v>3.2666666666666702</v>
      </c>
      <c r="Y217" s="344">
        <v>3.0333333333333301</v>
      </c>
      <c r="Z217" s="344">
        <v>2.1</v>
      </c>
      <c r="AA217" s="344">
        <v>1.4</v>
      </c>
      <c r="AB217" s="344">
        <v>2.3333333333333299</v>
      </c>
      <c r="AC217" s="344">
        <v>1.4</v>
      </c>
      <c r="AD217" s="344">
        <f t="shared" si="49"/>
        <v>-0.93333333333333002</v>
      </c>
      <c r="AE217" s="344">
        <v>1</v>
      </c>
      <c r="AF217" s="344">
        <v>1</v>
      </c>
      <c r="AG217" s="345">
        <v>1</v>
      </c>
      <c r="AH217" s="346">
        <v>1</v>
      </c>
      <c r="AI217" s="197">
        <v>1</v>
      </c>
      <c r="AJ217" s="197">
        <v>8</v>
      </c>
      <c r="AK217" s="197">
        <v>1</v>
      </c>
      <c r="AL217" s="197">
        <v>1</v>
      </c>
      <c r="AM217" s="197">
        <v>1</v>
      </c>
      <c r="AN217" s="197">
        <v>1</v>
      </c>
      <c r="AO217" s="197">
        <v>1</v>
      </c>
      <c r="AP217" s="197">
        <v>9</v>
      </c>
      <c r="AQ217" s="197">
        <v>1</v>
      </c>
      <c r="AR217" s="197">
        <v>10</v>
      </c>
      <c r="AS217" s="197">
        <v>9</v>
      </c>
      <c r="AT217" s="197">
        <v>10</v>
      </c>
      <c r="AU217" s="347">
        <v>10</v>
      </c>
      <c r="AV217" s="347">
        <v>10</v>
      </c>
      <c r="AW217" s="347">
        <v>1</v>
      </c>
      <c r="AX217" s="347">
        <v>1</v>
      </c>
      <c r="AY217" s="347">
        <v>1</v>
      </c>
      <c r="AZ217" s="347">
        <v>1</v>
      </c>
      <c r="BA217" s="347">
        <v>1</v>
      </c>
      <c r="BB217" s="347">
        <v>2</v>
      </c>
      <c r="BC217" s="347">
        <v>1</v>
      </c>
    </row>
    <row r="218" spans="1:55" s="381" customFormat="1" ht="17.649999999999999" customHeight="1">
      <c r="A218" s="343">
        <v>158</v>
      </c>
      <c r="B218" s="211" t="s">
        <v>2237</v>
      </c>
      <c r="C218" s="211" t="s">
        <v>2055</v>
      </c>
      <c r="D218" s="211" t="s">
        <v>2056</v>
      </c>
      <c r="E218" s="344">
        <v>1</v>
      </c>
      <c r="F218" s="344">
        <v>0.233333333333333</v>
      </c>
      <c r="G218" s="209">
        <v>0.233333333333333</v>
      </c>
      <c r="H218" s="344">
        <v>0.233333333333333</v>
      </c>
      <c r="I218" s="344">
        <v>1.1666666666666701</v>
      </c>
      <c r="J218" s="344">
        <v>0.233333333333333</v>
      </c>
      <c r="K218" s="344">
        <v>0.233333333333333</v>
      </c>
      <c r="L218" s="344">
        <f t="shared" si="48"/>
        <v>5.4444444444444372E-2</v>
      </c>
      <c r="M218" s="344">
        <v>1.4</v>
      </c>
      <c r="N218" s="344">
        <v>1.86666666666667</v>
      </c>
      <c r="O218" s="344">
        <v>1.86666666666667</v>
      </c>
      <c r="P218" s="344">
        <v>0.233333333333333</v>
      </c>
      <c r="Q218" s="344">
        <v>1.4</v>
      </c>
      <c r="R218" s="344">
        <v>1.4</v>
      </c>
      <c r="S218" s="344">
        <v>2.3333333333333299</v>
      </c>
      <c r="T218" s="344">
        <v>2.56666666666667</v>
      </c>
      <c r="U218" s="344">
        <v>3.5</v>
      </c>
      <c r="V218" s="344">
        <v>3.5</v>
      </c>
      <c r="W218" s="344">
        <v>2.56666666666667</v>
      </c>
      <c r="X218" s="344">
        <v>3.9666666666666699</v>
      </c>
      <c r="Y218" s="344">
        <v>3.5</v>
      </c>
      <c r="Z218" s="344">
        <v>3.9666666666666699</v>
      </c>
      <c r="AA218" s="344">
        <v>3.9666666666666699</v>
      </c>
      <c r="AB218" s="344">
        <v>2.56666666666667</v>
      </c>
      <c r="AC218" s="344">
        <v>2.1</v>
      </c>
      <c r="AD218" s="344">
        <f t="shared" si="49"/>
        <v>-0.46666666666666989</v>
      </c>
      <c r="AE218" s="344">
        <v>2</v>
      </c>
      <c r="AF218" s="344">
        <v>2</v>
      </c>
      <c r="AG218" s="345">
        <v>5</v>
      </c>
      <c r="AH218" s="346">
        <v>2</v>
      </c>
      <c r="AI218" s="197">
        <v>7</v>
      </c>
      <c r="AJ218" s="197">
        <v>4</v>
      </c>
      <c r="AK218" s="197">
        <v>4</v>
      </c>
      <c r="AL218" s="197">
        <v>4</v>
      </c>
      <c r="AM218" s="197">
        <v>4</v>
      </c>
      <c r="AN218" s="197">
        <v>6</v>
      </c>
      <c r="AO218" s="197">
        <v>2</v>
      </c>
      <c r="AP218" s="197">
        <v>2</v>
      </c>
      <c r="AQ218" s="197">
        <v>4</v>
      </c>
      <c r="AR218" s="197">
        <v>8</v>
      </c>
      <c r="AS218" s="197">
        <v>2</v>
      </c>
      <c r="AT218" s="197">
        <v>6</v>
      </c>
      <c r="AU218" s="347">
        <v>4</v>
      </c>
      <c r="AV218" s="347">
        <v>8</v>
      </c>
      <c r="AW218" s="347">
        <v>4</v>
      </c>
      <c r="AX218" s="347">
        <v>4</v>
      </c>
      <c r="AY218" s="347">
        <v>3</v>
      </c>
      <c r="AZ218" s="347">
        <v>3</v>
      </c>
      <c r="BA218" s="347">
        <v>3</v>
      </c>
      <c r="BB218" s="347">
        <v>3</v>
      </c>
      <c r="BC218" s="347">
        <v>9</v>
      </c>
    </row>
    <row r="219" spans="1:55" s="381" customFormat="1" ht="17.649999999999999" customHeight="1">
      <c r="A219" s="343">
        <v>159</v>
      </c>
      <c r="B219" s="211" t="s">
        <v>2238</v>
      </c>
      <c r="C219" s="211" t="s">
        <v>2055</v>
      </c>
      <c r="D219" s="211" t="s">
        <v>2056</v>
      </c>
      <c r="E219" s="344">
        <v>0</v>
      </c>
      <c r="F219" s="344">
        <v>0.233333333333333</v>
      </c>
      <c r="G219" s="209">
        <v>0.233333333333333</v>
      </c>
      <c r="H219" s="344">
        <v>0.233333333333333</v>
      </c>
      <c r="I219" s="344">
        <v>1.1666666666666701</v>
      </c>
      <c r="J219" s="344">
        <v>2.1</v>
      </c>
      <c r="K219" s="344">
        <v>2.1</v>
      </c>
      <c r="L219" s="344">
        <f t="shared" si="48"/>
        <v>0.49000000000000005</v>
      </c>
      <c r="M219" s="344">
        <v>2.3333333333333299</v>
      </c>
      <c r="N219" s="344">
        <v>1.86666666666667</v>
      </c>
      <c r="O219" s="344">
        <v>0.233333333333333</v>
      </c>
      <c r="P219" s="344">
        <v>0.233333333333333</v>
      </c>
      <c r="Q219" s="344">
        <v>1.1666666666666701</v>
      </c>
      <c r="R219" s="344">
        <v>2.3333333333333299</v>
      </c>
      <c r="S219" s="344">
        <v>3.2666666666666702</v>
      </c>
      <c r="T219" s="344">
        <v>3.5</v>
      </c>
      <c r="U219" s="344">
        <v>4.2</v>
      </c>
      <c r="V219" s="344">
        <v>3.2666666666666702</v>
      </c>
      <c r="W219" s="344">
        <v>2.56666666666667</v>
      </c>
      <c r="X219" s="344">
        <v>3.0333333333333301</v>
      </c>
      <c r="Y219" s="344">
        <v>3.2666666666666702</v>
      </c>
      <c r="Z219" s="344">
        <v>3.0333333333333301</v>
      </c>
      <c r="AA219" s="344">
        <v>3.2666666666666702</v>
      </c>
      <c r="AB219" s="344">
        <v>3.2666666666666702</v>
      </c>
      <c r="AC219" s="344">
        <v>2.1</v>
      </c>
      <c r="AD219" s="344">
        <f t="shared" si="49"/>
        <v>-1.1666666666666701</v>
      </c>
      <c r="AE219" s="344">
        <v>6</v>
      </c>
      <c r="AF219" s="344">
        <v>1</v>
      </c>
      <c r="AG219" s="345">
        <v>1</v>
      </c>
      <c r="AH219" s="346">
        <v>6</v>
      </c>
      <c r="AI219" s="197">
        <v>4</v>
      </c>
      <c r="AJ219" s="197">
        <v>3</v>
      </c>
      <c r="AK219" s="197">
        <v>3</v>
      </c>
      <c r="AL219" s="197">
        <v>3</v>
      </c>
      <c r="AM219" s="197">
        <v>1</v>
      </c>
      <c r="AN219" s="197">
        <v>5</v>
      </c>
      <c r="AO219" s="197">
        <v>7</v>
      </c>
      <c r="AP219" s="197">
        <v>4</v>
      </c>
      <c r="AQ219" s="347">
        <v>4</v>
      </c>
      <c r="AR219" s="197">
        <v>4</v>
      </c>
      <c r="AS219" s="197">
        <v>4</v>
      </c>
      <c r="AT219" s="197">
        <v>2</v>
      </c>
      <c r="AU219" s="197">
        <v>4</v>
      </c>
      <c r="AV219" s="347">
        <v>3</v>
      </c>
      <c r="AW219" s="347">
        <v>3</v>
      </c>
      <c r="AX219" s="347">
        <v>3</v>
      </c>
      <c r="AY219" s="347">
        <v>1</v>
      </c>
      <c r="AZ219" s="347">
        <v>4</v>
      </c>
      <c r="BA219" s="347">
        <v>9</v>
      </c>
      <c r="BB219" s="347">
        <v>1</v>
      </c>
      <c r="BC219" s="347">
        <v>1</v>
      </c>
    </row>
    <row r="220" spans="1:55" s="381" customFormat="1" ht="17.649999999999999" customHeight="1">
      <c r="A220" s="343">
        <v>160</v>
      </c>
      <c r="B220" s="211" t="s">
        <v>2239</v>
      </c>
      <c r="C220" s="211" t="s">
        <v>2055</v>
      </c>
      <c r="D220" s="211" t="s">
        <v>2056</v>
      </c>
      <c r="E220" s="344">
        <v>23</v>
      </c>
      <c r="F220" s="344">
        <v>23.8</v>
      </c>
      <c r="G220" s="209">
        <v>19.8333333333333</v>
      </c>
      <c r="H220" s="344">
        <v>18.6666666666667</v>
      </c>
      <c r="I220" s="344">
        <v>19.366666666666699</v>
      </c>
      <c r="J220" s="344">
        <v>19.366666666666699</v>
      </c>
      <c r="K220" s="344">
        <v>17.966666666666701</v>
      </c>
      <c r="L220" s="344">
        <f t="shared" si="48"/>
        <v>4.1922222222222301</v>
      </c>
      <c r="M220" s="344">
        <v>11.2</v>
      </c>
      <c r="N220" s="344">
        <v>10.033333333333299</v>
      </c>
      <c r="O220" s="344">
        <v>14</v>
      </c>
      <c r="P220" s="344">
        <v>21</v>
      </c>
      <c r="Q220" s="344">
        <v>27.766666666666701</v>
      </c>
      <c r="R220" s="344">
        <v>32.200000000000003</v>
      </c>
      <c r="S220" s="344">
        <v>32.6666666666667</v>
      </c>
      <c r="T220" s="344">
        <v>30.8</v>
      </c>
      <c r="U220" s="344">
        <v>28.466666666666701</v>
      </c>
      <c r="V220" s="344">
        <v>23.8</v>
      </c>
      <c r="W220" s="344">
        <v>21.233333333333299</v>
      </c>
      <c r="X220" s="344">
        <v>21</v>
      </c>
      <c r="Y220" s="344">
        <v>16.566666666666698</v>
      </c>
      <c r="Z220" s="344">
        <v>14.233333333333301</v>
      </c>
      <c r="AA220" s="344">
        <v>14.9333333333333</v>
      </c>
      <c r="AB220" s="344">
        <v>14.466666666666701</v>
      </c>
      <c r="AC220" s="344">
        <v>12.8333333333333</v>
      </c>
      <c r="AD220" s="344">
        <f t="shared" si="49"/>
        <v>-1.6333333333334004</v>
      </c>
      <c r="AE220" s="344">
        <v>3</v>
      </c>
      <c r="AF220" s="344">
        <v>3</v>
      </c>
      <c r="AG220" s="345">
        <v>3</v>
      </c>
      <c r="AH220" s="346">
        <v>1</v>
      </c>
      <c r="AI220" s="197">
        <v>1</v>
      </c>
      <c r="AJ220" s="197">
        <v>10</v>
      </c>
      <c r="AK220" s="197">
        <v>2</v>
      </c>
      <c r="AL220" s="197">
        <v>2</v>
      </c>
      <c r="AM220" s="197">
        <v>1</v>
      </c>
      <c r="AN220" s="197">
        <v>1</v>
      </c>
      <c r="AO220" s="197">
        <v>4</v>
      </c>
      <c r="AP220" s="197">
        <v>2</v>
      </c>
      <c r="AQ220" s="197">
        <v>3</v>
      </c>
      <c r="AR220" s="197">
        <v>1</v>
      </c>
      <c r="AS220" s="347">
        <v>3</v>
      </c>
      <c r="AT220" s="197">
        <v>3</v>
      </c>
      <c r="AU220" s="347">
        <v>3</v>
      </c>
      <c r="AV220" s="347">
        <v>3</v>
      </c>
      <c r="AW220" s="347">
        <v>2</v>
      </c>
      <c r="AX220" s="347">
        <v>3</v>
      </c>
      <c r="AY220" s="347">
        <v>8</v>
      </c>
      <c r="AZ220" s="347">
        <v>5</v>
      </c>
      <c r="BA220" s="347">
        <v>7</v>
      </c>
      <c r="BB220" s="347">
        <v>1</v>
      </c>
      <c r="BC220" s="347">
        <v>2</v>
      </c>
    </row>
    <row r="221" spans="1:55" s="381" customFormat="1" ht="17.649999999999999" customHeight="1">
      <c r="A221" s="343">
        <v>161</v>
      </c>
      <c r="B221" s="211" t="s">
        <v>2240</v>
      </c>
      <c r="C221" s="211" t="s">
        <v>2055</v>
      </c>
      <c r="D221" s="211" t="s">
        <v>2056</v>
      </c>
      <c r="E221" s="344">
        <v>15</v>
      </c>
      <c r="F221" s="344">
        <v>17.733333333333299</v>
      </c>
      <c r="G221" s="209">
        <v>22.866666666666699</v>
      </c>
      <c r="H221" s="344">
        <v>22.866666666666699</v>
      </c>
      <c r="I221" s="344">
        <v>23.1</v>
      </c>
      <c r="J221" s="344">
        <v>25.6666666666667</v>
      </c>
      <c r="K221" s="344">
        <v>23.8</v>
      </c>
      <c r="L221" s="344">
        <f t="shared" si="48"/>
        <v>5.5533333333333337</v>
      </c>
      <c r="M221" s="344">
        <v>17.966666666666701</v>
      </c>
      <c r="N221" s="344">
        <v>16.100000000000001</v>
      </c>
      <c r="O221" s="344">
        <v>20.066666666666698</v>
      </c>
      <c r="P221" s="344">
        <v>22.633333333333301</v>
      </c>
      <c r="Q221" s="344">
        <v>28.7</v>
      </c>
      <c r="R221" s="344">
        <v>28.933333333333302</v>
      </c>
      <c r="S221" s="344">
        <v>23.8</v>
      </c>
      <c r="T221" s="344">
        <v>25.6666666666667</v>
      </c>
      <c r="U221" s="344">
        <v>21.233333333333299</v>
      </c>
      <c r="V221" s="344">
        <v>20.533333333333299</v>
      </c>
      <c r="W221" s="344">
        <v>18.433333333333302</v>
      </c>
      <c r="X221" s="344">
        <v>15.4</v>
      </c>
      <c r="Y221" s="344">
        <v>11.6666666666667</v>
      </c>
      <c r="Z221" s="344">
        <v>11.2</v>
      </c>
      <c r="AA221" s="344">
        <v>12.366666666666699</v>
      </c>
      <c r="AB221" s="344">
        <v>14</v>
      </c>
      <c r="AC221" s="344">
        <v>12.366666666666699</v>
      </c>
      <c r="AD221" s="344">
        <f t="shared" si="49"/>
        <v>-1.6333333333333009</v>
      </c>
      <c r="AE221" s="344">
        <v>1</v>
      </c>
      <c r="AF221" s="344">
        <v>1</v>
      </c>
      <c r="AG221" s="345">
        <v>1</v>
      </c>
      <c r="AH221" s="346">
        <v>1</v>
      </c>
      <c r="AI221" s="197">
        <v>1</v>
      </c>
      <c r="AJ221" s="197">
        <v>1</v>
      </c>
      <c r="AK221" s="197">
        <v>1</v>
      </c>
      <c r="AL221" s="197">
        <v>1</v>
      </c>
      <c r="AM221" s="197">
        <v>1</v>
      </c>
      <c r="AN221" s="197">
        <v>1</v>
      </c>
      <c r="AO221" s="197">
        <v>1</v>
      </c>
      <c r="AP221" s="347">
        <v>1</v>
      </c>
      <c r="AQ221" s="197">
        <v>1</v>
      </c>
      <c r="AR221" s="197">
        <v>1</v>
      </c>
      <c r="AS221" s="197">
        <v>1</v>
      </c>
      <c r="AT221" s="197">
        <v>1</v>
      </c>
      <c r="AU221" s="347">
        <v>1</v>
      </c>
      <c r="AV221" s="347">
        <v>1</v>
      </c>
      <c r="AW221" s="347">
        <v>1</v>
      </c>
      <c r="AX221" s="347">
        <v>1</v>
      </c>
      <c r="AY221" s="347">
        <v>9</v>
      </c>
      <c r="AZ221" s="347">
        <v>7</v>
      </c>
      <c r="BA221" s="347">
        <v>1</v>
      </c>
      <c r="BB221" s="347">
        <v>1</v>
      </c>
      <c r="BC221" s="347">
        <v>1</v>
      </c>
    </row>
    <row r="222" spans="1:55" s="381" customFormat="1" ht="17.649999999999999" customHeight="1">
      <c r="A222" s="343">
        <v>162</v>
      </c>
      <c r="B222" s="211" t="s">
        <v>2241</v>
      </c>
      <c r="C222" s="211" t="s">
        <v>2055</v>
      </c>
      <c r="D222" s="211" t="s">
        <v>2056</v>
      </c>
      <c r="E222" s="344">
        <v>0</v>
      </c>
      <c r="F222" s="344">
        <v>0.233333333333333</v>
      </c>
      <c r="G222" s="209">
        <v>1.4</v>
      </c>
      <c r="H222" s="344">
        <v>1.1666666666666701</v>
      </c>
      <c r="I222" s="344">
        <v>1.86666666666667</v>
      </c>
      <c r="J222" s="344">
        <v>1.4</v>
      </c>
      <c r="K222" s="344">
        <v>1.1666666666666701</v>
      </c>
      <c r="L222" s="344">
        <f t="shared" si="48"/>
        <v>0.27222222222222303</v>
      </c>
      <c r="M222" s="344">
        <v>0.233333333333333</v>
      </c>
      <c r="N222" s="344">
        <v>0.233333333333333</v>
      </c>
      <c r="O222" s="344">
        <v>0.233333333333333</v>
      </c>
      <c r="P222" s="344">
        <v>0.233333333333333</v>
      </c>
      <c r="Q222" s="344">
        <v>1.86666666666667</v>
      </c>
      <c r="R222" s="344">
        <v>3.0333333333333301</v>
      </c>
      <c r="S222" s="344">
        <v>3.9666666666666699</v>
      </c>
      <c r="T222" s="344">
        <v>4.6666666666666696</v>
      </c>
      <c r="U222" s="344">
        <v>5.3666666666666698</v>
      </c>
      <c r="V222" s="344">
        <v>5.1333333333333302</v>
      </c>
      <c r="W222" s="344">
        <v>4.43333333333333</v>
      </c>
      <c r="X222" s="344">
        <v>3.5</v>
      </c>
      <c r="Y222" s="344">
        <v>3.9666666666666699</v>
      </c>
      <c r="Z222" s="344">
        <v>3.0333333333333301</v>
      </c>
      <c r="AA222" s="344">
        <v>2.3333333333333299</v>
      </c>
      <c r="AB222" s="344">
        <v>3.2666666666666702</v>
      </c>
      <c r="AC222" s="344">
        <v>2.1</v>
      </c>
      <c r="AD222" s="344">
        <f t="shared" si="49"/>
        <v>-1.1666666666666701</v>
      </c>
      <c r="AE222" s="344">
        <v>4</v>
      </c>
      <c r="AF222" s="344">
        <v>5</v>
      </c>
      <c r="AG222" s="345">
        <v>8</v>
      </c>
      <c r="AH222" s="346">
        <v>2</v>
      </c>
      <c r="AI222" s="197">
        <v>2</v>
      </c>
      <c r="AJ222" s="197">
        <v>1</v>
      </c>
      <c r="AK222" s="197">
        <v>1</v>
      </c>
      <c r="AL222" s="197">
        <v>1</v>
      </c>
      <c r="AM222" s="197">
        <v>1</v>
      </c>
      <c r="AN222" s="197">
        <v>1</v>
      </c>
      <c r="AO222" s="197">
        <v>6</v>
      </c>
      <c r="AP222" s="197">
        <v>4</v>
      </c>
      <c r="AQ222" s="197">
        <v>3</v>
      </c>
      <c r="AR222" s="197">
        <v>3</v>
      </c>
      <c r="AS222" s="347">
        <v>1</v>
      </c>
      <c r="AT222" s="197">
        <v>1</v>
      </c>
      <c r="AU222" s="347">
        <v>2</v>
      </c>
      <c r="AV222" s="347">
        <v>2</v>
      </c>
      <c r="AW222" s="347">
        <v>2</v>
      </c>
      <c r="AX222" s="347">
        <v>2</v>
      </c>
      <c r="AY222" s="347">
        <v>2</v>
      </c>
      <c r="AZ222" s="347">
        <v>5</v>
      </c>
      <c r="BA222" s="347">
        <v>1</v>
      </c>
      <c r="BB222" s="347">
        <v>1</v>
      </c>
      <c r="BC222" s="347">
        <v>1</v>
      </c>
    </row>
    <row r="223" spans="1:55" s="381" customFormat="1" ht="17.649999999999999" customHeight="1">
      <c r="A223" s="343">
        <v>163</v>
      </c>
      <c r="B223" s="211" t="s">
        <v>2242</v>
      </c>
      <c r="C223" s="211" t="s">
        <v>2055</v>
      </c>
      <c r="D223" s="211" t="s">
        <v>2056</v>
      </c>
      <c r="E223" s="344">
        <v>2</v>
      </c>
      <c r="F223" s="344">
        <v>2.56666666666667</v>
      </c>
      <c r="G223" s="209">
        <v>3.9666666666666699</v>
      </c>
      <c r="H223" s="344">
        <v>3.2666666666666702</v>
      </c>
      <c r="I223" s="344">
        <v>3.9666666666666699</v>
      </c>
      <c r="J223" s="344">
        <v>4.6666666666666696</v>
      </c>
      <c r="K223" s="344">
        <v>5.6</v>
      </c>
      <c r="L223" s="344">
        <f t="shared" si="48"/>
        <v>1.3066666666666666</v>
      </c>
      <c r="M223" s="344">
        <v>3.0333333333333301</v>
      </c>
      <c r="N223" s="344">
        <v>3.0333333333333301</v>
      </c>
      <c r="O223" s="344">
        <v>2.1</v>
      </c>
      <c r="P223" s="344">
        <v>2.56666666666667</v>
      </c>
      <c r="Q223" s="344">
        <v>3.5</v>
      </c>
      <c r="R223" s="344">
        <v>5.1333333333333302</v>
      </c>
      <c r="S223" s="344">
        <v>4.6666666666666696</v>
      </c>
      <c r="T223" s="344">
        <v>5.3666666666666698</v>
      </c>
      <c r="U223" s="344">
        <v>5.8333333333333304</v>
      </c>
      <c r="V223" s="344">
        <v>3.9666666666666699</v>
      </c>
      <c r="W223" s="344">
        <v>3.0333333333333301</v>
      </c>
      <c r="X223" s="344">
        <v>4.2</v>
      </c>
      <c r="Y223" s="344">
        <v>4.2</v>
      </c>
      <c r="Z223" s="344">
        <v>4.2</v>
      </c>
      <c r="AA223" s="344">
        <v>6.5333333333333297</v>
      </c>
      <c r="AB223" s="344">
        <v>6.5333333333333297</v>
      </c>
      <c r="AC223" s="344">
        <v>5.3666666666666698</v>
      </c>
      <c r="AD223" s="344">
        <f t="shared" si="49"/>
        <v>-1.1666666666666599</v>
      </c>
      <c r="AE223" s="344">
        <v>3</v>
      </c>
      <c r="AF223" s="344">
        <v>3</v>
      </c>
      <c r="AG223" s="345">
        <v>1</v>
      </c>
      <c r="AH223" s="346">
        <v>1</v>
      </c>
      <c r="AI223" s="197">
        <v>1</v>
      </c>
      <c r="AJ223" s="197">
        <v>1</v>
      </c>
      <c r="AK223" s="197">
        <v>1</v>
      </c>
      <c r="AL223" s="197">
        <v>1</v>
      </c>
      <c r="AM223" s="197">
        <v>1</v>
      </c>
      <c r="AN223" s="197">
        <v>1</v>
      </c>
      <c r="AO223" s="197">
        <v>1</v>
      </c>
      <c r="AP223" s="197">
        <v>1</v>
      </c>
      <c r="AQ223" s="197">
        <v>1</v>
      </c>
      <c r="AR223" s="197">
        <v>1</v>
      </c>
      <c r="AS223" s="197">
        <v>1</v>
      </c>
      <c r="AT223" s="347">
        <v>11</v>
      </c>
      <c r="AU223" s="347">
        <v>1</v>
      </c>
      <c r="AV223" s="347">
        <v>1</v>
      </c>
      <c r="AW223" s="347">
        <v>10</v>
      </c>
      <c r="AX223" s="347">
        <v>9</v>
      </c>
      <c r="AY223" s="347">
        <v>1</v>
      </c>
      <c r="AZ223" s="347">
        <v>3</v>
      </c>
      <c r="BA223" s="347">
        <v>7</v>
      </c>
      <c r="BB223" s="347">
        <v>4</v>
      </c>
      <c r="BC223" s="347">
        <v>1</v>
      </c>
    </row>
    <row r="224" spans="1:55" s="381" customFormat="1" ht="17.649999999999999" customHeight="1">
      <c r="A224" s="343">
        <v>164</v>
      </c>
      <c r="B224" s="211" t="s">
        <v>2243</v>
      </c>
      <c r="C224" s="211" t="s">
        <v>2055</v>
      </c>
      <c r="D224" s="211" t="s">
        <v>2056</v>
      </c>
      <c r="E224" s="344">
        <v>0</v>
      </c>
      <c r="F224" s="344">
        <v>0.233333333333333</v>
      </c>
      <c r="G224" s="209">
        <v>1.4</v>
      </c>
      <c r="H224" s="344">
        <v>2.3333333333333299</v>
      </c>
      <c r="I224" s="344">
        <v>3.2666666666666702</v>
      </c>
      <c r="J224" s="344">
        <v>3.5</v>
      </c>
      <c r="K224" s="344">
        <v>3.2666666666666702</v>
      </c>
      <c r="L224" s="344">
        <f t="shared" si="48"/>
        <v>0.76222222222222302</v>
      </c>
      <c r="M224" s="344">
        <v>2.3333333333333299</v>
      </c>
      <c r="N224" s="344">
        <v>2.3333333333333299</v>
      </c>
      <c r="O224" s="344">
        <v>2.1</v>
      </c>
      <c r="P224" s="344">
        <v>1.4</v>
      </c>
      <c r="Q224" s="344">
        <v>3.2666666666666702</v>
      </c>
      <c r="R224" s="344">
        <v>5.3666666666666698</v>
      </c>
      <c r="S224" s="344">
        <v>5.8333333333333304</v>
      </c>
      <c r="T224" s="344">
        <v>5.6</v>
      </c>
      <c r="U224" s="344">
        <v>4.6666666666666696</v>
      </c>
      <c r="V224" s="344">
        <v>3.2666666666666702</v>
      </c>
      <c r="W224" s="344">
        <v>3.5</v>
      </c>
      <c r="X224" s="344">
        <v>4.43333333333333</v>
      </c>
      <c r="Y224" s="344">
        <v>5.1333333333333302</v>
      </c>
      <c r="Z224" s="344">
        <v>3.9666666666666699</v>
      </c>
      <c r="AA224" s="344">
        <v>2.1</v>
      </c>
      <c r="AB224" s="344">
        <v>2.56666666666667</v>
      </c>
      <c r="AC224" s="344">
        <v>1.1666666666666701</v>
      </c>
      <c r="AD224" s="344">
        <f t="shared" si="49"/>
        <v>-1.4</v>
      </c>
      <c r="AE224" s="344">
        <v>3</v>
      </c>
      <c r="AF224" s="344">
        <v>1</v>
      </c>
      <c r="AG224" s="345">
        <v>3</v>
      </c>
      <c r="AH224" s="346">
        <v>1</v>
      </c>
      <c r="AI224" s="197">
        <v>1</v>
      </c>
      <c r="AJ224" s="197">
        <v>1</v>
      </c>
      <c r="AK224" s="197">
        <v>4</v>
      </c>
      <c r="AL224" s="197">
        <v>4</v>
      </c>
      <c r="AM224" s="197">
        <v>1</v>
      </c>
      <c r="AN224" s="197">
        <v>1</v>
      </c>
      <c r="AO224" s="197">
        <v>5</v>
      </c>
      <c r="AP224" s="347">
        <v>2</v>
      </c>
      <c r="AQ224" s="347">
        <v>1</v>
      </c>
      <c r="AR224" s="347">
        <v>1</v>
      </c>
      <c r="AS224" s="347">
        <v>4</v>
      </c>
      <c r="AT224" s="197">
        <v>1</v>
      </c>
      <c r="AU224" s="347">
        <v>5</v>
      </c>
      <c r="AV224" s="347">
        <v>5</v>
      </c>
      <c r="AW224" s="347">
        <v>9</v>
      </c>
      <c r="AX224" s="347">
        <v>2</v>
      </c>
      <c r="AY224" s="347">
        <v>1</v>
      </c>
      <c r="AZ224" s="347">
        <v>10</v>
      </c>
      <c r="BA224" s="347">
        <v>1</v>
      </c>
      <c r="BB224" s="347">
        <v>1</v>
      </c>
      <c r="BC224" s="347">
        <v>1</v>
      </c>
    </row>
    <row r="225" spans="1:55" s="381" customFormat="1" ht="17.649999999999999" customHeight="1">
      <c r="A225" s="343">
        <v>165</v>
      </c>
      <c r="B225" s="211" t="s">
        <v>2244</v>
      </c>
      <c r="C225" s="211" t="s">
        <v>2055</v>
      </c>
      <c r="D225" s="211" t="s">
        <v>2056</v>
      </c>
      <c r="E225" s="344">
        <v>2</v>
      </c>
      <c r="F225" s="344">
        <v>3.2666666666666702</v>
      </c>
      <c r="G225" s="209">
        <v>3.5</v>
      </c>
      <c r="H225" s="344">
        <v>3.5</v>
      </c>
      <c r="I225" s="344">
        <v>3.2666666666666702</v>
      </c>
      <c r="J225" s="344">
        <v>2.3333333333333299</v>
      </c>
      <c r="K225" s="344">
        <v>1.4</v>
      </c>
      <c r="L225" s="344">
        <f t="shared" si="48"/>
        <v>0.32666666666666666</v>
      </c>
      <c r="M225" s="344">
        <v>1.86666666666667</v>
      </c>
      <c r="N225" s="344">
        <v>2.1</v>
      </c>
      <c r="O225" s="344">
        <v>2.1</v>
      </c>
      <c r="P225" s="344">
        <v>1.4</v>
      </c>
      <c r="Q225" s="344">
        <v>1.86666666666667</v>
      </c>
      <c r="R225" s="344">
        <v>2.56666666666667</v>
      </c>
      <c r="S225" s="344">
        <v>2.56666666666667</v>
      </c>
      <c r="T225" s="344">
        <v>3.9666666666666699</v>
      </c>
      <c r="U225" s="344">
        <v>5.1333333333333302</v>
      </c>
      <c r="V225" s="344">
        <v>3.9666666666666699</v>
      </c>
      <c r="W225" s="344">
        <v>4.2</v>
      </c>
      <c r="X225" s="344">
        <v>3.9666666666666699</v>
      </c>
      <c r="Y225" s="344">
        <v>3.9666666666666699</v>
      </c>
      <c r="Z225" s="344">
        <v>3.9666666666666699</v>
      </c>
      <c r="AA225" s="344">
        <v>3.0333333333333301</v>
      </c>
      <c r="AB225" s="344">
        <v>3.5</v>
      </c>
      <c r="AC225" s="344">
        <v>2.56666666666667</v>
      </c>
      <c r="AD225" s="344">
        <f t="shared" si="49"/>
        <v>-0.93333333333333002</v>
      </c>
      <c r="AE225" s="344">
        <v>3</v>
      </c>
      <c r="AF225" s="344">
        <v>1</v>
      </c>
      <c r="AG225" s="345">
        <v>2</v>
      </c>
      <c r="AH225" s="346">
        <v>1</v>
      </c>
      <c r="AI225" s="197">
        <v>1</v>
      </c>
      <c r="AJ225" s="197">
        <v>1</v>
      </c>
      <c r="AK225" s="197">
        <v>1</v>
      </c>
      <c r="AL225" s="197">
        <v>1</v>
      </c>
      <c r="AM225" s="197">
        <v>1</v>
      </c>
      <c r="AN225" s="197">
        <v>1</v>
      </c>
      <c r="AO225" s="197">
        <v>1</v>
      </c>
      <c r="AP225" s="347">
        <v>1</v>
      </c>
      <c r="AQ225" s="347">
        <v>1</v>
      </c>
      <c r="AR225" s="197">
        <v>1</v>
      </c>
      <c r="AS225" s="197">
        <v>1</v>
      </c>
      <c r="AT225" s="347">
        <v>1</v>
      </c>
      <c r="AU225" s="347">
        <v>1</v>
      </c>
      <c r="AV225" s="347">
        <v>1</v>
      </c>
      <c r="AW225" s="347">
        <v>1</v>
      </c>
      <c r="AX225" s="347">
        <v>2</v>
      </c>
      <c r="AY225" s="347">
        <v>1</v>
      </c>
      <c r="AZ225" s="347">
        <v>1</v>
      </c>
      <c r="BA225" s="347">
        <v>1</v>
      </c>
      <c r="BB225" s="347">
        <v>1</v>
      </c>
      <c r="BC225" s="347">
        <v>1</v>
      </c>
    </row>
    <row r="226" spans="1:55" s="381" customFormat="1" ht="17.649999999999999" customHeight="1">
      <c r="A226" s="343">
        <v>166</v>
      </c>
      <c r="B226" s="211" t="s">
        <v>2245</v>
      </c>
      <c r="C226" s="211" t="s">
        <v>2055</v>
      </c>
      <c r="D226" s="211" t="s">
        <v>2056</v>
      </c>
      <c r="E226" s="344">
        <v>1</v>
      </c>
      <c r="F226" s="344">
        <v>2.3333333333333299</v>
      </c>
      <c r="G226" s="209">
        <v>2.1</v>
      </c>
      <c r="H226" s="344">
        <v>2.3333333333333299</v>
      </c>
      <c r="I226" s="344">
        <v>3.0333333333333301</v>
      </c>
      <c r="J226" s="344">
        <v>3.0333333333333301</v>
      </c>
      <c r="K226" s="344">
        <v>3.0333333333333301</v>
      </c>
      <c r="L226" s="344">
        <f t="shared" si="48"/>
        <v>0.70777777777777695</v>
      </c>
      <c r="M226" s="344">
        <v>2.3333333333333299</v>
      </c>
      <c r="N226" s="344">
        <v>2.56666666666667</v>
      </c>
      <c r="O226" s="344">
        <v>2.3333333333333299</v>
      </c>
      <c r="P226" s="344">
        <v>2.3333333333333299</v>
      </c>
      <c r="Q226" s="344">
        <v>3.2666666666666702</v>
      </c>
      <c r="R226" s="344">
        <v>4.43333333333333</v>
      </c>
      <c r="S226" s="344">
        <v>5.8333333333333304</v>
      </c>
      <c r="T226" s="344">
        <v>5.8333333333333304</v>
      </c>
      <c r="U226" s="344">
        <v>6.3</v>
      </c>
      <c r="V226" s="344">
        <v>4.6666666666666696</v>
      </c>
      <c r="W226" s="344">
        <v>3.9666666666666699</v>
      </c>
      <c r="X226" s="344">
        <v>3.9666666666666699</v>
      </c>
      <c r="Y226" s="344">
        <v>3.9666666666666699</v>
      </c>
      <c r="Z226" s="344">
        <v>3.0333333333333301</v>
      </c>
      <c r="AA226" s="344">
        <v>3.0333333333333301</v>
      </c>
      <c r="AB226" s="344">
        <v>2.56666666666667</v>
      </c>
      <c r="AC226" s="344">
        <v>2.3333333333333299</v>
      </c>
      <c r="AD226" s="344">
        <f t="shared" si="49"/>
        <v>-0.23333333333334005</v>
      </c>
      <c r="AE226" s="344">
        <v>1</v>
      </c>
      <c r="AF226" s="344">
        <v>1</v>
      </c>
      <c r="AG226" s="344">
        <v>1</v>
      </c>
      <c r="AH226" s="346">
        <v>1</v>
      </c>
      <c r="AI226" s="197">
        <v>2</v>
      </c>
      <c r="AJ226" s="197">
        <v>8</v>
      </c>
      <c r="AK226" s="197">
        <v>1</v>
      </c>
      <c r="AL226" s="197">
        <v>1</v>
      </c>
      <c r="AM226" s="197">
        <v>1</v>
      </c>
      <c r="AN226" s="197">
        <v>2</v>
      </c>
      <c r="AO226" s="197">
        <v>1</v>
      </c>
      <c r="AP226" s="197">
        <v>1</v>
      </c>
      <c r="AQ226" s="197">
        <v>10</v>
      </c>
      <c r="AR226" s="197">
        <v>1</v>
      </c>
      <c r="AS226" s="347">
        <v>1</v>
      </c>
      <c r="AT226" s="197">
        <v>1</v>
      </c>
      <c r="AU226" s="347">
        <v>1</v>
      </c>
      <c r="AV226" s="347">
        <v>1</v>
      </c>
      <c r="AW226" s="347">
        <v>1</v>
      </c>
      <c r="AX226" s="347">
        <v>1</v>
      </c>
      <c r="AY226" s="347">
        <v>1</v>
      </c>
      <c r="AZ226" s="347">
        <v>1</v>
      </c>
      <c r="BA226" s="347">
        <v>9</v>
      </c>
      <c r="BB226" s="347">
        <v>10</v>
      </c>
      <c r="BC226" s="347">
        <v>10</v>
      </c>
    </row>
    <row r="227" spans="1:55" s="381" customFormat="1" ht="17.649999999999999" customHeight="1">
      <c r="A227" s="343">
        <v>167</v>
      </c>
      <c r="B227" s="211" t="s">
        <v>2246</v>
      </c>
      <c r="C227" s="211" t="s">
        <v>2055</v>
      </c>
      <c r="D227" s="211" t="s">
        <v>2056</v>
      </c>
      <c r="E227" s="344">
        <v>2</v>
      </c>
      <c r="F227" s="344">
        <v>2.56666666666667</v>
      </c>
      <c r="G227" s="209">
        <v>3.2666666666666702</v>
      </c>
      <c r="H227" s="344">
        <v>3.0333333333333301</v>
      </c>
      <c r="I227" s="344">
        <v>3.5</v>
      </c>
      <c r="J227" s="344">
        <v>2.56666666666667</v>
      </c>
      <c r="K227" s="344">
        <v>2.3333333333333299</v>
      </c>
      <c r="L227" s="344">
        <f t="shared" si="48"/>
        <v>0.54444444444444362</v>
      </c>
      <c r="M227" s="344">
        <v>1.1666666666666701</v>
      </c>
      <c r="N227" s="344">
        <v>0.233333333333333</v>
      </c>
      <c r="O227" s="344">
        <v>0.233333333333333</v>
      </c>
      <c r="P227" s="344">
        <v>1.1666666666666701</v>
      </c>
      <c r="Q227" s="344">
        <v>1.4</v>
      </c>
      <c r="R227" s="344">
        <v>3.2666666666666702</v>
      </c>
      <c r="S227" s="344">
        <v>3.5</v>
      </c>
      <c r="T227" s="344">
        <v>4.43333333333333</v>
      </c>
      <c r="U227" s="344">
        <v>4.43333333333333</v>
      </c>
      <c r="V227" s="344">
        <v>3.0333333333333301</v>
      </c>
      <c r="W227" s="344">
        <v>3.2666666666666702</v>
      </c>
      <c r="X227" s="344">
        <v>2.3333333333333299</v>
      </c>
      <c r="Y227" s="344">
        <v>2.56666666666667</v>
      </c>
      <c r="Z227" s="344">
        <v>3.9666666666666699</v>
      </c>
      <c r="AA227" s="344">
        <v>3.2666666666666702</v>
      </c>
      <c r="AB227" s="344">
        <v>3.9666666666666699</v>
      </c>
      <c r="AC227" s="344">
        <v>3.2666666666666702</v>
      </c>
      <c r="AD227" s="344">
        <f t="shared" si="49"/>
        <v>-0.69999999999999973</v>
      </c>
      <c r="AE227" s="344">
        <v>3</v>
      </c>
      <c r="AF227" s="344">
        <v>3</v>
      </c>
      <c r="AG227" s="345">
        <v>1</v>
      </c>
      <c r="AH227" s="346">
        <v>1</v>
      </c>
      <c r="AI227" s="197">
        <v>1</v>
      </c>
      <c r="AJ227" s="197">
        <v>1</v>
      </c>
      <c r="AK227" s="197">
        <v>10</v>
      </c>
      <c r="AL227" s="197">
        <v>10</v>
      </c>
      <c r="AM227" s="197">
        <v>1</v>
      </c>
      <c r="AN227" s="197">
        <v>1</v>
      </c>
      <c r="AO227" s="197">
        <v>3</v>
      </c>
      <c r="AP227" s="197">
        <v>9</v>
      </c>
      <c r="AQ227" s="197">
        <v>10</v>
      </c>
      <c r="AR227" s="347">
        <v>1</v>
      </c>
      <c r="AS227" s="197">
        <v>1</v>
      </c>
      <c r="AT227" s="347">
        <v>1</v>
      </c>
      <c r="AU227" s="347">
        <v>1</v>
      </c>
      <c r="AV227" s="347">
        <v>10</v>
      </c>
      <c r="AW227" s="347">
        <v>7</v>
      </c>
      <c r="AX227" s="347">
        <v>7</v>
      </c>
      <c r="AY227" s="347">
        <v>1</v>
      </c>
      <c r="AZ227" s="347">
        <v>1</v>
      </c>
      <c r="BA227" s="347">
        <v>8</v>
      </c>
      <c r="BB227" s="347">
        <v>1</v>
      </c>
      <c r="BC227" s="347">
        <v>1</v>
      </c>
    </row>
    <row r="228" spans="1:55" s="381" customFormat="1" ht="17.649999999999999" customHeight="1">
      <c r="A228" s="343">
        <v>168</v>
      </c>
      <c r="B228" s="211" t="s">
        <v>2247</v>
      </c>
      <c r="C228" s="211" t="s">
        <v>2055</v>
      </c>
      <c r="D228" s="211" t="s">
        <v>2056</v>
      </c>
      <c r="E228" s="344">
        <v>4</v>
      </c>
      <c r="F228" s="344">
        <v>4.43333333333333</v>
      </c>
      <c r="G228" s="209">
        <v>4.43333333333333</v>
      </c>
      <c r="H228" s="344">
        <v>4.43333333333333</v>
      </c>
      <c r="I228" s="344">
        <v>3.5</v>
      </c>
      <c r="J228" s="344">
        <v>3.0333333333333301</v>
      </c>
      <c r="K228" s="344">
        <v>3.5</v>
      </c>
      <c r="L228" s="344">
        <f t="shared" si="48"/>
        <v>0.81666666666666665</v>
      </c>
      <c r="M228" s="344">
        <v>2.56666666666667</v>
      </c>
      <c r="N228" s="344">
        <v>2.56666666666667</v>
      </c>
      <c r="O228" s="344">
        <v>2.1</v>
      </c>
      <c r="P228" s="344">
        <v>3.9666666666666699</v>
      </c>
      <c r="Q228" s="344">
        <v>4.2</v>
      </c>
      <c r="R228" s="344">
        <v>3.9666666666666699</v>
      </c>
      <c r="S228" s="344">
        <v>4.6666666666666696</v>
      </c>
      <c r="T228" s="344">
        <v>3.2666666666666702</v>
      </c>
      <c r="U228" s="344">
        <v>4.43333333333333</v>
      </c>
      <c r="V228" s="344">
        <v>3.9666666666666699</v>
      </c>
      <c r="W228" s="344">
        <v>3.2666666666666702</v>
      </c>
      <c r="X228" s="344">
        <v>3.2666666666666702</v>
      </c>
      <c r="Y228" s="344">
        <v>2.3333333333333299</v>
      </c>
      <c r="Z228" s="344">
        <v>3.0333333333333301</v>
      </c>
      <c r="AA228" s="344">
        <v>4.43333333333333</v>
      </c>
      <c r="AB228" s="344">
        <v>5.6</v>
      </c>
      <c r="AC228" s="344">
        <v>3.9666666666666699</v>
      </c>
      <c r="AD228" s="344">
        <f t="shared" si="49"/>
        <v>-1.6333333333333298</v>
      </c>
      <c r="AE228" s="344">
        <v>1</v>
      </c>
      <c r="AF228" s="344">
        <v>1</v>
      </c>
      <c r="AG228" s="345">
        <v>6</v>
      </c>
      <c r="AH228" s="346">
        <v>1</v>
      </c>
      <c r="AI228" s="197">
        <v>1</v>
      </c>
      <c r="AJ228" s="197">
        <v>1</v>
      </c>
      <c r="AK228" s="197">
        <v>1</v>
      </c>
      <c r="AL228" s="197">
        <v>1</v>
      </c>
      <c r="AM228" s="197">
        <v>1</v>
      </c>
      <c r="AN228" s="197">
        <v>1</v>
      </c>
      <c r="AO228" s="197">
        <v>1</v>
      </c>
      <c r="AP228" s="197">
        <v>2</v>
      </c>
      <c r="AQ228" s="197">
        <v>1</v>
      </c>
      <c r="AR228" s="197">
        <v>1</v>
      </c>
      <c r="AS228" s="197">
        <v>2</v>
      </c>
      <c r="AT228" s="197">
        <v>2</v>
      </c>
      <c r="AU228" s="347">
        <v>1</v>
      </c>
      <c r="AV228" s="347">
        <v>8</v>
      </c>
      <c r="AW228" s="347">
        <v>1</v>
      </c>
      <c r="AX228" s="347">
        <v>1</v>
      </c>
      <c r="AY228" s="347">
        <v>1</v>
      </c>
      <c r="AZ228" s="347">
        <v>1</v>
      </c>
      <c r="BA228" s="347">
        <v>1</v>
      </c>
      <c r="BB228" s="347">
        <v>1</v>
      </c>
      <c r="BC228" s="347">
        <v>2</v>
      </c>
    </row>
    <row r="229" spans="1:55" s="381" customFormat="1" ht="17.649999999999999" customHeight="1">
      <c r="A229" s="343">
        <v>169</v>
      </c>
      <c r="B229" s="211" t="s">
        <v>2248</v>
      </c>
      <c r="C229" s="211" t="s">
        <v>2055</v>
      </c>
      <c r="D229" s="211" t="s">
        <v>2056</v>
      </c>
      <c r="E229" s="344">
        <v>1</v>
      </c>
      <c r="F229" s="344">
        <v>1.1666666666666701</v>
      </c>
      <c r="G229" s="209">
        <v>0.233333333333333</v>
      </c>
      <c r="H229" s="344">
        <v>0.233333333333333</v>
      </c>
      <c r="I229" s="344">
        <v>0.233333333333333</v>
      </c>
      <c r="J229" s="344">
        <v>0.233333333333333</v>
      </c>
      <c r="K229" s="344">
        <v>1.86666666666667</v>
      </c>
      <c r="L229" s="344">
        <f t="shared" si="48"/>
        <v>0.43555555555555631</v>
      </c>
      <c r="M229" s="344">
        <v>2.56666666666667</v>
      </c>
      <c r="N229" s="344">
        <v>2.3333333333333299</v>
      </c>
      <c r="O229" s="344">
        <v>1.86666666666667</v>
      </c>
      <c r="P229" s="344">
        <v>1.86666666666667</v>
      </c>
      <c r="Q229" s="344">
        <v>2.56666666666667</v>
      </c>
      <c r="R229" s="344">
        <v>4.2</v>
      </c>
      <c r="S229" s="344">
        <v>4.6666666666666696</v>
      </c>
      <c r="T229" s="344">
        <v>4.43333333333333</v>
      </c>
      <c r="U229" s="344">
        <v>5.6</v>
      </c>
      <c r="V229" s="344">
        <v>4.2</v>
      </c>
      <c r="W229" s="344">
        <v>3.5</v>
      </c>
      <c r="X229" s="344">
        <v>3.2666666666666702</v>
      </c>
      <c r="Y229" s="344">
        <v>3.0333333333333301</v>
      </c>
      <c r="Z229" s="344">
        <v>2.3333333333333299</v>
      </c>
      <c r="AA229" s="344">
        <v>1.86666666666667</v>
      </c>
      <c r="AB229" s="344">
        <v>2.1</v>
      </c>
      <c r="AC229" s="344">
        <v>0.233333333333333</v>
      </c>
      <c r="AD229" s="344">
        <f t="shared" si="49"/>
        <v>-1.8666666666666671</v>
      </c>
      <c r="AE229" s="344">
        <v>3</v>
      </c>
      <c r="AF229" s="344">
        <v>1</v>
      </c>
      <c r="AG229" s="345">
        <v>1</v>
      </c>
      <c r="AH229" s="346">
        <v>1</v>
      </c>
      <c r="AI229" s="197">
        <v>1</v>
      </c>
      <c r="AJ229" s="197">
        <v>1</v>
      </c>
      <c r="AK229" s="197">
        <v>1</v>
      </c>
      <c r="AL229" s="197">
        <v>1</v>
      </c>
      <c r="AM229" s="197">
        <v>1</v>
      </c>
      <c r="AN229" s="197">
        <v>1</v>
      </c>
      <c r="AO229" s="197">
        <v>3</v>
      </c>
      <c r="AP229" s="197">
        <v>1</v>
      </c>
      <c r="AQ229" s="197">
        <v>1</v>
      </c>
      <c r="AR229" s="197">
        <v>1</v>
      </c>
      <c r="AS229" s="197">
        <v>1</v>
      </c>
      <c r="AT229" s="197">
        <v>2</v>
      </c>
      <c r="AU229" s="347">
        <v>1</v>
      </c>
      <c r="AV229" s="347">
        <v>1</v>
      </c>
      <c r="AW229" s="347">
        <v>1</v>
      </c>
      <c r="AX229" s="347">
        <v>7</v>
      </c>
      <c r="AY229" s="347">
        <v>1</v>
      </c>
      <c r="AZ229" s="347">
        <v>1</v>
      </c>
      <c r="BA229" s="347">
        <v>1</v>
      </c>
      <c r="BB229" s="347">
        <v>1</v>
      </c>
      <c r="BC229" s="347">
        <v>9</v>
      </c>
    </row>
    <row r="230" spans="1:55" s="381" customFormat="1" ht="17.649999999999999" customHeight="1">
      <c r="A230" s="343">
        <v>170</v>
      </c>
      <c r="B230" s="211" t="s">
        <v>2249</v>
      </c>
      <c r="C230" s="211" t="s">
        <v>2055</v>
      </c>
      <c r="D230" s="211" t="s">
        <v>2056</v>
      </c>
      <c r="E230" s="344">
        <v>0</v>
      </c>
      <c r="F230" s="344">
        <v>1.1666666666666701</v>
      </c>
      <c r="G230" s="209">
        <v>0.233333333333333</v>
      </c>
      <c r="H230" s="344">
        <v>0.233333333333333</v>
      </c>
      <c r="I230" s="344">
        <v>0.233333333333333</v>
      </c>
      <c r="J230" s="344">
        <v>0.233333333333333</v>
      </c>
      <c r="K230" s="344">
        <v>0.233333333333333</v>
      </c>
      <c r="L230" s="344">
        <f t="shared" si="48"/>
        <v>5.4444444444444372E-2</v>
      </c>
      <c r="M230" s="344">
        <v>0.233333333333333</v>
      </c>
      <c r="N230" s="344">
        <v>1.86666666666667</v>
      </c>
      <c r="O230" s="344">
        <v>1.4</v>
      </c>
      <c r="P230" s="344">
        <v>0.233333333333333</v>
      </c>
      <c r="Q230" s="344">
        <v>1.4</v>
      </c>
      <c r="R230" s="344">
        <v>2.3333333333333299</v>
      </c>
      <c r="S230" s="344">
        <v>3.0333333333333301</v>
      </c>
      <c r="T230" s="344">
        <v>3.5</v>
      </c>
      <c r="U230" s="344">
        <v>4.43333333333333</v>
      </c>
      <c r="V230" s="344">
        <v>2.56666666666667</v>
      </c>
      <c r="W230" s="344">
        <v>2.1</v>
      </c>
      <c r="X230" s="344">
        <v>2.3333333333333299</v>
      </c>
      <c r="Y230" s="344">
        <v>3.0333333333333301</v>
      </c>
      <c r="Z230" s="344">
        <v>3.0333333333333301</v>
      </c>
      <c r="AA230" s="344">
        <v>4.2</v>
      </c>
      <c r="AB230" s="344">
        <v>3.5</v>
      </c>
      <c r="AC230" s="344">
        <v>1.86666666666667</v>
      </c>
      <c r="AD230" s="344">
        <f t="shared" si="49"/>
        <v>-1.63333333333333</v>
      </c>
      <c r="AE230" s="344">
        <v>3</v>
      </c>
      <c r="AF230" s="344">
        <v>1</v>
      </c>
      <c r="AG230" s="345">
        <v>1</v>
      </c>
      <c r="AH230" s="346">
        <v>3</v>
      </c>
      <c r="AI230" s="197">
        <v>1</v>
      </c>
      <c r="AJ230" s="197">
        <v>1</v>
      </c>
      <c r="AK230" s="197">
        <v>1</v>
      </c>
      <c r="AL230" s="197">
        <v>1</v>
      </c>
      <c r="AM230" s="197">
        <v>3</v>
      </c>
      <c r="AN230" s="197">
        <v>1</v>
      </c>
      <c r="AO230" s="197">
        <v>3</v>
      </c>
      <c r="AP230" s="197">
        <v>9</v>
      </c>
      <c r="AQ230" s="347">
        <v>1</v>
      </c>
      <c r="AR230" s="197">
        <v>2</v>
      </c>
      <c r="AS230" s="197">
        <v>1</v>
      </c>
      <c r="AT230" s="197">
        <v>2</v>
      </c>
      <c r="AU230" s="347">
        <v>1</v>
      </c>
      <c r="AV230" s="347">
        <v>1</v>
      </c>
      <c r="AW230" s="347">
        <v>9</v>
      </c>
      <c r="AX230" s="347">
        <v>1</v>
      </c>
      <c r="AY230" s="347">
        <v>9</v>
      </c>
      <c r="AZ230" s="347">
        <v>1</v>
      </c>
      <c r="BA230" s="347">
        <v>1</v>
      </c>
      <c r="BB230" s="347">
        <v>1</v>
      </c>
      <c r="BC230" s="347">
        <v>1</v>
      </c>
    </row>
    <row r="231" spans="1:55" s="381" customFormat="1" ht="17.649999999999999" customHeight="1">
      <c r="A231" s="343">
        <v>171</v>
      </c>
      <c r="B231" s="211" t="s">
        <v>2250</v>
      </c>
      <c r="C231" s="211" t="s">
        <v>2055</v>
      </c>
      <c r="D231" s="211" t="s">
        <v>2056</v>
      </c>
      <c r="E231" s="344">
        <v>0</v>
      </c>
      <c r="F231" s="344">
        <v>1.1666666666666701</v>
      </c>
      <c r="G231" s="209">
        <v>1.1666666666666701</v>
      </c>
      <c r="H231" s="344">
        <v>1.4</v>
      </c>
      <c r="I231" s="344">
        <v>2.1</v>
      </c>
      <c r="J231" s="344">
        <v>1.4</v>
      </c>
      <c r="K231" s="344">
        <v>1.86666666666667</v>
      </c>
      <c r="L231" s="344">
        <f t="shared" si="48"/>
        <v>0.43555555555555631</v>
      </c>
      <c r="M231" s="344">
        <v>1.1666666666666701</v>
      </c>
      <c r="N231" s="344">
        <v>2.1</v>
      </c>
      <c r="O231" s="344">
        <v>1.1666666666666701</v>
      </c>
      <c r="P231" s="344">
        <v>1.1666666666666701</v>
      </c>
      <c r="Q231" s="344">
        <v>1.4</v>
      </c>
      <c r="R231" s="344">
        <v>2.1</v>
      </c>
      <c r="S231" s="344">
        <v>3.0333333333333301</v>
      </c>
      <c r="T231" s="344">
        <v>3.9666666666666699</v>
      </c>
      <c r="U231" s="344">
        <v>5.3666666666666698</v>
      </c>
      <c r="V231" s="344">
        <v>3.5</v>
      </c>
      <c r="W231" s="344">
        <v>3.2666666666666702</v>
      </c>
      <c r="X231" s="344">
        <v>3.0333333333333301</v>
      </c>
      <c r="Y231" s="344">
        <v>2.56666666666667</v>
      </c>
      <c r="Z231" s="344">
        <v>3.0333333333333301</v>
      </c>
      <c r="AA231" s="344">
        <v>2.56666666666667</v>
      </c>
      <c r="AB231" s="344">
        <v>2.56666666666667</v>
      </c>
      <c r="AC231" s="344">
        <v>1.4</v>
      </c>
      <c r="AD231" s="344">
        <f t="shared" si="49"/>
        <v>-1.1666666666666701</v>
      </c>
      <c r="AE231" s="344">
        <v>3</v>
      </c>
      <c r="AF231" s="344">
        <v>3</v>
      </c>
      <c r="AG231" s="345">
        <v>1</v>
      </c>
      <c r="AH231" s="346">
        <v>2</v>
      </c>
      <c r="AI231" s="197">
        <v>1</v>
      </c>
      <c r="AJ231" s="197">
        <v>10</v>
      </c>
      <c r="AK231" s="197">
        <v>1</v>
      </c>
      <c r="AL231" s="197">
        <v>1</v>
      </c>
      <c r="AM231" s="197">
        <v>1</v>
      </c>
      <c r="AN231" s="197">
        <v>9</v>
      </c>
      <c r="AO231" s="197">
        <v>3</v>
      </c>
      <c r="AP231" s="197">
        <v>2</v>
      </c>
      <c r="AQ231" s="197">
        <v>8</v>
      </c>
      <c r="AR231" s="197">
        <v>3</v>
      </c>
      <c r="AS231" s="197">
        <v>3</v>
      </c>
      <c r="AT231" s="347">
        <v>1</v>
      </c>
      <c r="AU231" s="347">
        <v>1</v>
      </c>
      <c r="AV231" s="347">
        <v>1</v>
      </c>
      <c r="AW231" s="347">
        <v>1</v>
      </c>
      <c r="AX231" s="347">
        <v>1</v>
      </c>
      <c r="AY231" s="347">
        <v>1</v>
      </c>
      <c r="AZ231" s="347">
        <v>8</v>
      </c>
      <c r="BA231" s="347">
        <v>1</v>
      </c>
      <c r="BB231" s="347">
        <v>1</v>
      </c>
      <c r="BC231" s="347">
        <v>8</v>
      </c>
    </row>
    <row r="232" spans="1:55" s="381" customFormat="1" ht="17.649999999999999" customHeight="1">
      <c r="A232" s="343">
        <v>172</v>
      </c>
      <c r="B232" s="211" t="s">
        <v>2251</v>
      </c>
      <c r="C232" s="211" t="s">
        <v>2055</v>
      </c>
      <c r="D232" s="211" t="s">
        <v>2056</v>
      </c>
      <c r="E232" s="344">
        <v>8</v>
      </c>
      <c r="F232" s="344">
        <v>7.93333333333333</v>
      </c>
      <c r="G232" s="209">
        <v>9.8000000000000007</v>
      </c>
      <c r="H232" s="344">
        <v>9.1</v>
      </c>
      <c r="I232" s="344">
        <v>9.56666666666667</v>
      </c>
      <c r="J232" s="344">
        <v>9.56666666666667</v>
      </c>
      <c r="K232" s="344">
        <v>9.1</v>
      </c>
      <c r="L232" s="344">
        <f t="shared" si="48"/>
        <v>2.1233333333333335</v>
      </c>
      <c r="M232" s="344">
        <v>8.4</v>
      </c>
      <c r="N232" s="344">
        <v>8.8666666666666707</v>
      </c>
      <c r="O232" s="344">
        <v>8.4</v>
      </c>
      <c r="P232" s="344">
        <v>9.56666666666667</v>
      </c>
      <c r="Q232" s="344">
        <v>14</v>
      </c>
      <c r="R232" s="344">
        <v>16.566666666666698</v>
      </c>
      <c r="S232" s="344">
        <v>16.3333333333333</v>
      </c>
      <c r="T232" s="344">
        <v>16.3333333333333</v>
      </c>
      <c r="U232" s="344">
        <v>14.9333333333333</v>
      </c>
      <c r="V232" s="344">
        <v>9.1</v>
      </c>
      <c r="W232" s="344">
        <v>9.1</v>
      </c>
      <c r="X232" s="344">
        <v>7.7</v>
      </c>
      <c r="Y232" s="344">
        <v>7</v>
      </c>
      <c r="Z232" s="344">
        <v>8.6333333333333293</v>
      </c>
      <c r="AA232" s="344">
        <v>7.7</v>
      </c>
      <c r="AB232" s="344">
        <v>9.56666666666667</v>
      </c>
      <c r="AC232" s="344">
        <v>7.4666666666666703</v>
      </c>
      <c r="AD232" s="344">
        <f t="shared" si="49"/>
        <v>-2.0999999999999996</v>
      </c>
      <c r="AE232" s="344">
        <v>8</v>
      </c>
      <c r="AF232" s="344">
        <v>8</v>
      </c>
      <c r="AG232" s="345">
        <v>9</v>
      </c>
      <c r="AH232" s="346">
        <v>6</v>
      </c>
      <c r="AI232" s="197">
        <v>13</v>
      </c>
      <c r="AJ232" s="197">
        <v>10</v>
      </c>
      <c r="AK232" s="197">
        <v>11</v>
      </c>
      <c r="AL232" s="197">
        <v>11</v>
      </c>
      <c r="AM232" s="197">
        <v>10</v>
      </c>
      <c r="AN232" s="197">
        <v>9</v>
      </c>
      <c r="AO232" s="347">
        <v>10</v>
      </c>
      <c r="AP232" s="197">
        <v>10</v>
      </c>
      <c r="AQ232" s="347">
        <v>10</v>
      </c>
      <c r="AR232" s="197">
        <v>8</v>
      </c>
      <c r="AS232" s="197">
        <v>3</v>
      </c>
      <c r="AT232" s="197">
        <v>9</v>
      </c>
      <c r="AU232" s="347">
        <v>11</v>
      </c>
      <c r="AV232" s="347">
        <v>12</v>
      </c>
      <c r="AW232" s="347">
        <v>7</v>
      </c>
      <c r="AX232" s="347">
        <v>12</v>
      </c>
      <c r="AY232" s="347">
        <v>35</v>
      </c>
      <c r="AZ232" s="347">
        <v>4</v>
      </c>
      <c r="BA232" s="347">
        <v>4</v>
      </c>
      <c r="BB232" s="347">
        <v>8</v>
      </c>
      <c r="BC232" s="347">
        <v>10</v>
      </c>
    </row>
    <row r="233" spans="1:55" s="381" customFormat="1" ht="17.649999999999999" customHeight="1">
      <c r="A233" s="343">
        <v>173</v>
      </c>
      <c r="B233" s="211" t="s">
        <v>2252</v>
      </c>
      <c r="C233" s="211" t="s">
        <v>2055</v>
      </c>
      <c r="D233" s="211" t="s">
        <v>2056</v>
      </c>
      <c r="E233" s="344">
        <v>1</v>
      </c>
      <c r="F233" s="344">
        <v>1.4</v>
      </c>
      <c r="G233" s="209">
        <v>1.1666666666666701</v>
      </c>
      <c r="H233" s="344">
        <v>1.4</v>
      </c>
      <c r="I233" s="344">
        <v>2.1</v>
      </c>
      <c r="J233" s="344">
        <v>1.86666666666667</v>
      </c>
      <c r="K233" s="344">
        <v>1.86666666666667</v>
      </c>
      <c r="L233" s="344">
        <f t="shared" si="48"/>
        <v>0.43555555555555631</v>
      </c>
      <c r="M233" s="344">
        <v>0.233333333333333</v>
      </c>
      <c r="N233" s="344">
        <v>0.233333333333333</v>
      </c>
      <c r="O233" s="344">
        <v>1.1666666666666701</v>
      </c>
      <c r="P233" s="344">
        <v>1.4</v>
      </c>
      <c r="Q233" s="344">
        <v>3.0333333333333301</v>
      </c>
      <c r="R233" s="344">
        <v>5.1333333333333302</v>
      </c>
      <c r="S233" s="344">
        <v>5.1333333333333302</v>
      </c>
      <c r="T233" s="344">
        <v>5.3666666666666698</v>
      </c>
      <c r="U233" s="344">
        <v>5.1333333333333302</v>
      </c>
      <c r="V233" s="344">
        <v>3.9666666666666699</v>
      </c>
      <c r="W233" s="344">
        <v>4.43333333333333</v>
      </c>
      <c r="X233" s="344">
        <v>3.9666666666666699</v>
      </c>
      <c r="Y233" s="344">
        <v>3.2666666666666702</v>
      </c>
      <c r="Z233" s="344">
        <v>2.56666666666667</v>
      </c>
      <c r="AA233" s="344">
        <v>1.1666666666666701</v>
      </c>
      <c r="AB233" s="344">
        <v>1.4</v>
      </c>
      <c r="AC233" s="344">
        <v>1.1666666666666701</v>
      </c>
      <c r="AD233" s="344">
        <f t="shared" si="49"/>
        <v>-0.23333333333332984</v>
      </c>
      <c r="AE233" s="344">
        <v>5</v>
      </c>
      <c r="AF233" s="344">
        <v>1</v>
      </c>
      <c r="AG233" s="344">
        <v>1</v>
      </c>
      <c r="AH233" s="346">
        <v>2</v>
      </c>
      <c r="AI233" s="197">
        <v>3</v>
      </c>
      <c r="AJ233" s="197">
        <v>1</v>
      </c>
      <c r="AK233" s="197">
        <v>4</v>
      </c>
      <c r="AL233" s="197">
        <v>4</v>
      </c>
      <c r="AM233" s="197">
        <v>1</v>
      </c>
      <c r="AN233" s="197">
        <v>1</v>
      </c>
      <c r="AO233" s="197">
        <v>7</v>
      </c>
      <c r="AP233" s="197">
        <v>3</v>
      </c>
      <c r="AQ233" s="347">
        <v>3</v>
      </c>
      <c r="AR233" s="197">
        <v>3</v>
      </c>
      <c r="AS233" s="197">
        <v>3</v>
      </c>
      <c r="AT233" s="197">
        <v>9</v>
      </c>
      <c r="AU233" s="197">
        <v>1</v>
      </c>
      <c r="AV233" s="347">
        <v>1</v>
      </c>
      <c r="AW233" s="347">
        <v>10</v>
      </c>
      <c r="AX233" s="347">
        <v>1</v>
      </c>
      <c r="AY233" s="347">
        <v>1</v>
      </c>
      <c r="AZ233" s="347">
        <v>7</v>
      </c>
      <c r="BA233" s="347">
        <v>1</v>
      </c>
      <c r="BB233" s="347">
        <v>1</v>
      </c>
      <c r="BC233" s="347">
        <v>1</v>
      </c>
    </row>
    <row r="234" spans="1:55" s="381" customFormat="1" ht="17.649999999999999" customHeight="1">
      <c r="A234" s="343">
        <v>174</v>
      </c>
      <c r="B234" s="211" t="s">
        <v>2253</v>
      </c>
      <c r="C234" s="211" t="s">
        <v>2055</v>
      </c>
      <c r="D234" s="211" t="s">
        <v>2056</v>
      </c>
      <c r="E234" s="344">
        <v>0</v>
      </c>
      <c r="F234" s="344">
        <v>1.86666666666667</v>
      </c>
      <c r="G234" s="209">
        <v>2.1</v>
      </c>
      <c r="H234" s="344">
        <v>2.1</v>
      </c>
      <c r="I234" s="344">
        <v>2.3333333333333299</v>
      </c>
      <c r="J234" s="344">
        <v>1.86666666666667</v>
      </c>
      <c r="K234" s="344">
        <v>1.1666666666666701</v>
      </c>
      <c r="L234" s="344">
        <f t="shared" si="48"/>
        <v>0.27222222222222303</v>
      </c>
      <c r="M234" s="344">
        <v>0.233333333333333</v>
      </c>
      <c r="N234" s="344">
        <v>0.233333333333333</v>
      </c>
      <c r="O234" s="344">
        <v>0.233333333333333</v>
      </c>
      <c r="P234" s="344">
        <v>0.233333333333333</v>
      </c>
      <c r="Q234" s="344">
        <v>1.1666666666666701</v>
      </c>
      <c r="R234" s="344">
        <v>3.0333333333333301</v>
      </c>
      <c r="S234" s="344">
        <v>4.43333333333333</v>
      </c>
      <c r="T234" s="344">
        <v>4.6666666666666696</v>
      </c>
      <c r="U234" s="344">
        <v>5.6</v>
      </c>
      <c r="V234" s="344">
        <v>3.9666666666666699</v>
      </c>
      <c r="W234" s="344">
        <v>3.0333333333333301</v>
      </c>
      <c r="X234" s="344">
        <v>3.2666666666666702</v>
      </c>
      <c r="Y234" s="344">
        <v>3.0333333333333301</v>
      </c>
      <c r="Z234" s="344">
        <v>2.56666666666667</v>
      </c>
      <c r="AA234" s="344">
        <v>2.56666666666667</v>
      </c>
      <c r="AB234" s="344">
        <v>2.3333333333333299</v>
      </c>
      <c r="AC234" s="344">
        <v>1.4</v>
      </c>
      <c r="AD234" s="344">
        <f t="shared" si="49"/>
        <v>-0.93333333333333002</v>
      </c>
      <c r="AE234" s="344">
        <v>3</v>
      </c>
      <c r="AF234" s="344">
        <v>3</v>
      </c>
      <c r="AG234" s="345">
        <v>1</v>
      </c>
      <c r="AH234" s="346">
        <v>1</v>
      </c>
      <c r="AI234" s="197">
        <v>1</v>
      </c>
      <c r="AJ234" s="197">
        <v>5</v>
      </c>
      <c r="AK234" s="197">
        <v>1</v>
      </c>
      <c r="AL234" s="197">
        <v>1</v>
      </c>
      <c r="AM234" s="197">
        <v>2</v>
      </c>
      <c r="AN234" s="197">
        <v>10</v>
      </c>
      <c r="AO234" s="197">
        <v>1</v>
      </c>
      <c r="AP234" s="197">
        <v>2</v>
      </c>
      <c r="AQ234" s="197">
        <v>1</v>
      </c>
      <c r="AR234" s="347">
        <v>2</v>
      </c>
      <c r="AS234" s="197">
        <v>1</v>
      </c>
      <c r="AT234" s="197">
        <v>1</v>
      </c>
      <c r="AU234" s="347">
        <v>1</v>
      </c>
      <c r="AV234" s="347">
        <v>1</v>
      </c>
      <c r="AW234" s="347">
        <v>1</v>
      </c>
      <c r="AX234" s="347">
        <v>1</v>
      </c>
      <c r="AY234" s="347">
        <v>1</v>
      </c>
      <c r="AZ234" s="347">
        <v>1</v>
      </c>
      <c r="BA234" s="347">
        <v>9</v>
      </c>
      <c r="BB234" s="347">
        <v>1</v>
      </c>
      <c r="BC234" s="347">
        <v>1</v>
      </c>
    </row>
    <row r="235" spans="1:55" s="381" customFormat="1" ht="17.649999999999999" customHeight="1">
      <c r="A235" s="343">
        <v>175</v>
      </c>
      <c r="B235" s="211" t="s">
        <v>2254</v>
      </c>
      <c r="C235" s="211" t="s">
        <v>2055</v>
      </c>
      <c r="D235" s="211" t="s">
        <v>2056</v>
      </c>
      <c r="E235" s="344">
        <v>5</v>
      </c>
      <c r="F235" s="344">
        <v>5.6</v>
      </c>
      <c r="G235" s="209">
        <v>6.3</v>
      </c>
      <c r="H235" s="344">
        <v>5.6</v>
      </c>
      <c r="I235" s="344">
        <v>5.6</v>
      </c>
      <c r="J235" s="344">
        <v>5.1333333333333302</v>
      </c>
      <c r="K235" s="344">
        <v>5.1333333333333302</v>
      </c>
      <c r="L235" s="344">
        <f t="shared" si="48"/>
        <v>1.1977777777777772</v>
      </c>
      <c r="M235" s="344">
        <v>3.5</v>
      </c>
      <c r="N235" s="344">
        <v>2.1</v>
      </c>
      <c r="O235" s="344">
        <v>1.1666666666666701</v>
      </c>
      <c r="P235" s="344">
        <v>1.86666666666667</v>
      </c>
      <c r="Q235" s="344">
        <v>3.2666666666666702</v>
      </c>
      <c r="R235" s="344">
        <v>4.43333333333333</v>
      </c>
      <c r="S235" s="344">
        <v>6.7666666666666702</v>
      </c>
      <c r="T235" s="344">
        <v>6.5333333333333297</v>
      </c>
      <c r="U235" s="344">
        <v>7</v>
      </c>
      <c r="V235" s="344">
        <v>6.3</v>
      </c>
      <c r="W235" s="344">
        <v>4.2</v>
      </c>
      <c r="X235" s="344">
        <v>3.5</v>
      </c>
      <c r="Y235" s="344">
        <v>3.5</v>
      </c>
      <c r="Z235" s="344">
        <v>3.5</v>
      </c>
      <c r="AA235" s="344">
        <v>4.2</v>
      </c>
      <c r="AB235" s="344">
        <v>5.3666666666666698</v>
      </c>
      <c r="AC235" s="344">
        <v>5.6</v>
      </c>
      <c r="AD235" s="344">
        <f t="shared" si="49"/>
        <v>0.23333333333332984</v>
      </c>
      <c r="AE235" s="344">
        <v>3</v>
      </c>
      <c r="AF235" s="344">
        <v>4</v>
      </c>
      <c r="AG235" s="345">
        <v>2</v>
      </c>
      <c r="AH235" s="346">
        <v>1</v>
      </c>
      <c r="AI235" s="197">
        <v>8</v>
      </c>
      <c r="AJ235" s="197">
        <v>2</v>
      </c>
      <c r="AK235" s="197">
        <v>1</v>
      </c>
      <c r="AL235" s="197">
        <v>1</v>
      </c>
      <c r="AM235" s="197">
        <v>2</v>
      </c>
      <c r="AN235" s="197">
        <v>1</v>
      </c>
      <c r="AO235" s="197">
        <v>4</v>
      </c>
      <c r="AP235" s="197">
        <v>1</v>
      </c>
      <c r="AQ235" s="197">
        <v>1</v>
      </c>
      <c r="AR235" s="197">
        <v>1</v>
      </c>
      <c r="AS235" s="347">
        <v>2</v>
      </c>
      <c r="AT235" s="197">
        <v>2</v>
      </c>
      <c r="AU235" s="347">
        <v>1</v>
      </c>
      <c r="AV235" s="347">
        <v>8</v>
      </c>
      <c r="AW235" s="347">
        <v>2</v>
      </c>
      <c r="AX235" s="347">
        <v>1</v>
      </c>
      <c r="AY235" s="347">
        <v>2</v>
      </c>
      <c r="AZ235" s="347">
        <v>1</v>
      </c>
      <c r="BA235" s="347">
        <v>2</v>
      </c>
      <c r="BB235" s="347">
        <v>2</v>
      </c>
      <c r="BC235" s="347">
        <v>1</v>
      </c>
    </row>
    <row r="236" spans="1:55" s="381" customFormat="1" ht="17.649999999999999" customHeight="1">
      <c r="A236" s="343">
        <v>176</v>
      </c>
      <c r="B236" s="211" t="s">
        <v>2255</v>
      </c>
      <c r="C236" s="211" t="s">
        <v>2055</v>
      </c>
      <c r="D236" s="211" t="s">
        <v>2056</v>
      </c>
      <c r="E236" s="344">
        <v>2</v>
      </c>
      <c r="F236" s="344">
        <v>1.86666666666667</v>
      </c>
      <c r="G236" s="209">
        <v>1.86666666666667</v>
      </c>
      <c r="H236" s="344">
        <v>1.86666666666667</v>
      </c>
      <c r="I236" s="344">
        <v>2.56666666666667</v>
      </c>
      <c r="J236" s="344">
        <v>2.3333333333333299</v>
      </c>
      <c r="K236" s="344">
        <v>2.56666666666667</v>
      </c>
      <c r="L236" s="344">
        <f t="shared" si="48"/>
        <v>0.59888888888888969</v>
      </c>
      <c r="M236" s="344">
        <v>1.86666666666667</v>
      </c>
      <c r="N236" s="344">
        <v>2.1</v>
      </c>
      <c r="O236" s="344">
        <v>1.86666666666667</v>
      </c>
      <c r="P236" s="344">
        <v>1.1666666666666701</v>
      </c>
      <c r="Q236" s="344">
        <v>1.4</v>
      </c>
      <c r="R236" s="344">
        <v>2.1</v>
      </c>
      <c r="S236" s="344">
        <v>3.5</v>
      </c>
      <c r="T236" s="344">
        <v>4.43333333333333</v>
      </c>
      <c r="U236" s="344">
        <v>5.6</v>
      </c>
      <c r="V236" s="344">
        <v>4.43333333333333</v>
      </c>
      <c r="W236" s="344">
        <v>3.2666666666666702</v>
      </c>
      <c r="X236" s="344">
        <v>3.2666666666666702</v>
      </c>
      <c r="Y236" s="344">
        <v>3.0333333333333301</v>
      </c>
      <c r="Z236" s="344">
        <v>2.56666666666667</v>
      </c>
      <c r="AA236" s="344">
        <v>2.3333333333333299</v>
      </c>
      <c r="AB236" s="344">
        <v>3.9666666666666699</v>
      </c>
      <c r="AC236" s="344">
        <v>2.56666666666667</v>
      </c>
      <c r="AD236" s="344">
        <f t="shared" si="49"/>
        <v>-1.4</v>
      </c>
      <c r="AE236" s="344">
        <v>3</v>
      </c>
      <c r="AF236" s="344">
        <v>1</v>
      </c>
      <c r="AG236" s="345">
        <v>10</v>
      </c>
      <c r="AH236" s="346">
        <v>1</v>
      </c>
      <c r="AI236" s="197">
        <v>1</v>
      </c>
      <c r="AJ236" s="197">
        <v>1</v>
      </c>
      <c r="AK236" s="197">
        <v>8</v>
      </c>
      <c r="AL236" s="197">
        <v>8</v>
      </c>
      <c r="AM236" s="197">
        <v>1</v>
      </c>
      <c r="AN236" s="197">
        <v>9</v>
      </c>
      <c r="AO236" s="197">
        <v>3</v>
      </c>
      <c r="AP236" s="197">
        <v>1</v>
      </c>
      <c r="AQ236" s="197">
        <v>1</v>
      </c>
      <c r="AR236" s="197">
        <v>10</v>
      </c>
      <c r="AS236" s="197">
        <v>1</v>
      </c>
      <c r="AT236" s="197">
        <v>1</v>
      </c>
      <c r="AU236" s="347">
        <v>10</v>
      </c>
      <c r="AV236" s="347">
        <v>9</v>
      </c>
      <c r="AW236" s="347">
        <v>1</v>
      </c>
      <c r="AX236" s="347">
        <v>1</v>
      </c>
      <c r="AY236" s="347">
        <v>1</v>
      </c>
      <c r="AZ236" s="347">
        <v>7</v>
      </c>
      <c r="BA236" s="347">
        <v>1</v>
      </c>
      <c r="BB236" s="347">
        <v>8</v>
      </c>
      <c r="BC236" s="347">
        <v>6</v>
      </c>
    </row>
    <row r="237" spans="1:55" s="381" customFormat="1" ht="17.649999999999999" customHeight="1">
      <c r="A237" s="343">
        <v>177</v>
      </c>
      <c r="B237" s="211" t="s">
        <v>2256</v>
      </c>
      <c r="C237" s="211" t="s">
        <v>2055</v>
      </c>
      <c r="D237" s="211" t="s">
        <v>2056</v>
      </c>
      <c r="E237" s="344">
        <v>4</v>
      </c>
      <c r="F237" s="344">
        <v>3.9666666666666699</v>
      </c>
      <c r="G237" s="209">
        <v>4.43333333333333</v>
      </c>
      <c r="H237" s="344">
        <v>5.1333333333333302</v>
      </c>
      <c r="I237" s="344">
        <v>5.1333333333333302</v>
      </c>
      <c r="J237" s="344">
        <v>4.2</v>
      </c>
      <c r="K237" s="344">
        <v>4.2</v>
      </c>
      <c r="L237" s="344">
        <f t="shared" si="48"/>
        <v>0.98000000000000009</v>
      </c>
      <c r="M237" s="344">
        <v>2.1</v>
      </c>
      <c r="N237" s="344">
        <v>2.56666666666667</v>
      </c>
      <c r="O237" s="344">
        <v>2.56666666666667</v>
      </c>
      <c r="P237" s="344">
        <v>3.9666666666666699</v>
      </c>
      <c r="Q237" s="344">
        <v>5.3666666666666698</v>
      </c>
      <c r="R237" s="344">
        <v>6.7666666666666702</v>
      </c>
      <c r="S237" s="344">
        <v>6.5333333333333297</v>
      </c>
      <c r="T237" s="344">
        <v>5.6</v>
      </c>
      <c r="U237" s="344">
        <v>5.3666666666666698</v>
      </c>
      <c r="V237" s="344">
        <v>2.56666666666667</v>
      </c>
      <c r="W237" s="344">
        <v>2.56666666666667</v>
      </c>
      <c r="X237" s="344">
        <v>3.0333333333333301</v>
      </c>
      <c r="Y237" s="344">
        <v>3.5</v>
      </c>
      <c r="Z237" s="344">
        <v>3.2666666666666702</v>
      </c>
      <c r="AA237" s="344">
        <v>3.0333333333333301</v>
      </c>
      <c r="AB237" s="344">
        <v>3.2666666666666702</v>
      </c>
      <c r="AC237" s="344">
        <v>2.3333333333333299</v>
      </c>
      <c r="AD237" s="344">
        <f t="shared" si="49"/>
        <v>-0.93333333333334023</v>
      </c>
      <c r="AE237" s="344">
        <v>3</v>
      </c>
      <c r="AF237" s="344">
        <v>1</v>
      </c>
      <c r="AG237" s="344">
        <v>1</v>
      </c>
      <c r="AH237" s="346">
        <v>1</v>
      </c>
      <c r="AI237" s="197">
        <v>3</v>
      </c>
      <c r="AJ237" s="197">
        <v>7</v>
      </c>
      <c r="AK237" s="197">
        <v>1</v>
      </c>
      <c r="AL237" s="197">
        <v>1</v>
      </c>
      <c r="AM237" s="197">
        <v>2</v>
      </c>
      <c r="AN237" s="197">
        <v>9</v>
      </c>
      <c r="AO237" s="197">
        <v>3</v>
      </c>
      <c r="AP237" s="197">
        <v>8</v>
      </c>
      <c r="AQ237" s="197">
        <v>1</v>
      </c>
      <c r="AR237" s="197">
        <v>1</v>
      </c>
      <c r="AS237" s="197">
        <v>1</v>
      </c>
      <c r="AT237" s="197">
        <v>1</v>
      </c>
      <c r="AU237" s="347">
        <v>1</v>
      </c>
      <c r="AV237" s="347">
        <v>1</v>
      </c>
      <c r="AW237" s="347">
        <v>9</v>
      </c>
      <c r="AX237" s="347">
        <v>1</v>
      </c>
      <c r="AY237" s="347">
        <v>1</v>
      </c>
      <c r="AZ237" s="347">
        <v>4</v>
      </c>
      <c r="BA237" s="347">
        <v>9</v>
      </c>
      <c r="BB237" s="347">
        <v>1</v>
      </c>
      <c r="BC237" s="347">
        <v>1</v>
      </c>
    </row>
    <row r="238" spans="1:55" s="381" customFormat="1" ht="17.649999999999999" customHeight="1">
      <c r="A238" s="343">
        <v>178</v>
      </c>
      <c r="B238" s="211" t="s">
        <v>2257</v>
      </c>
      <c r="C238" s="211" t="s">
        <v>2055</v>
      </c>
      <c r="D238" s="211" t="s">
        <v>2056</v>
      </c>
      <c r="E238" s="344">
        <v>0</v>
      </c>
      <c r="F238" s="344">
        <v>0.233333333333333</v>
      </c>
      <c r="G238" s="209">
        <v>0.233333333333333</v>
      </c>
      <c r="H238" s="344">
        <v>0.233333333333333</v>
      </c>
      <c r="I238" s="344">
        <v>1.4</v>
      </c>
      <c r="J238" s="344">
        <v>2.1</v>
      </c>
      <c r="K238" s="344">
        <v>2.56666666666667</v>
      </c>
      <c r="L238" s="344">
        <f t="shared" si="48"/>
        <v>0.59888888888888969</v>
      </c>
      <c r="M238" s="344">
        <v>2.1</v>
      </c>
      <c r="N238" s="344">
        <v>1.4</v>
      </c>
      <c r="O238" s="344">
        <v>1.4</v>
      </c>
      <c r="P238" s="344">
        <v>1.4</v>
      </c>
      <c r="Q238" s="344">
        <v>2.3333333333333299</v>
      </c>
      <c r="R238" s="344">
        <v>3.5</v>
      </c>
      <c r="S238" s="344">
        <v>3.9666666666666699</v>
      </c>
      <c r="T238" s="344">
        <v>3.5</v>
      </c>
      <c r="U238" s="344">
        <v>3.2666666666666702</v>
      </c>
      <c r="V238" s="344">
        <v>2.1</v>
      </c>
      <c r="W238" s="344">
        <v>1.86666666666667</v>
      </c>
      <c r="X238" s="344">
        <v>2.1</v>
      </c>
      <c r="Y238" s="344">
        <v>2.3333333333333299</v>
      </c>
      <c r="Z238" s="344">
        <v>3.0333333333333301</v>
      </c>
      <c r="AA238" s="344">
        <v>3.0333333333333301</v>
      </c>
      <c r="AB238" s="344">
        <v>4.2</v>
      </c>
      <c r="AC238" s="344">
        <v>3.5</v>
      </c>
      <c r="AD238" s="344">
        <f t="shared" si="49"/>
        <v>-0.70000000000000018</v>
      </c>
      <c r="AE238" s="344">
        <v>3</v>
      </c>
      <c r="AF238" s="344">
        <v>1</v>
      </c>
      <c r="AG238" s="345">
        <v>1</v>
      </c>
      <c r="AH238" s="346">
        <v>1</v>
      </c>
      <c r="AI238" s="197">
        <v>1</v>
      </c>
      <c r="AJ238" s="197">
        <v>1</v>
      </c>
      <c r="AK238" s="197">
        <v>1</v>
      </c>
      <c r="AL238" s="197">
        <v>1</v>
      </c>
      <c r="AM238" s="197">
        <v>1</v>
      </c>
      <c r="AN238" s="197">
        <v>1</v>
      </c>
      <c r="AO238" s="197">
        <v>1</v>
      </c>
      <c r="AP238" s="197">
        <v>3</v>
      </c>
      <c r="AQ238" s="197">
        <v>1</v>
      </c>
      <c r="AR238" s="347">
        <v>13</v>
      </c>
      <c r="AS238" s="197">
        <v>1</v>
      </c>
      <c r="AT238" s="197">
        <v>1</v>
      </c>
      <c r="AU238" s="347">
        <v>1</v>
      </c>
      <c r="AV238" s="347">
        <v>1</v>
      </c>
      <c r="AW238" s="347">
        <v>1</v>
      </c>
      <c r="AX238" s="347">
        <v>1</v>
      </c>
      <c r="AY238" s="347">
        <v>1</v>
      </c>
      <c r="AZ238" s="347">
        <v>1</v>
      </c>
      <c r="BA238" s="347">
        <v>1</v>
      </c>
      <c r="BB238" s="347">
        <v>2</v>
      </c>
      <c r="BC238" s="347">
        <v>1</v>
      </c>
    </row>
    <row r="239" spans="1:55" s="381" customFormat="1" ht="17.649999999999999" customHeight="1">
      <c r="A239" s="343">
        <v>179</v>
      </c>
      <c r="B239" s="211" t="s">
        <v>2258</v>
      </c>
      <c r="C239" s="211" t="s">
        <v>2055</v>
      </c>
      <c r="D239" s="211" t="s">
        <v>2056</v>
      </c>
      <c r="E239" s="344">
        <v>1</v>
      </c>
      <c r="F239" s="344">
        <v>1.86666666666667</v>
      </c>
      <c r="G239" s="209">
        <v>1.86666666666667</v>
      </c>
      <c r="H239" s="344">
        <v>1.86666666666667</v>
      </c>
      <c r="I239" s="344">
        <v>1.86666666666667</v>
      </c>
      <c r="J239" s="344">
        <v>2.56666666666667</v>
      </c>
      <c r="K239" s="344">
        <v>2.56666666666667</v>
      </c>
      <c r="L239" s="344">
        <f t="shared" si="48"/>
        <v>0.59888888888888969</v>
      </c>
      <c r="M239" s="344">
        <v>2.1</v>
      </c>
      <c r="N239" s="344">
        <v>2.1</v>
      </c>
      <c r="O239" s="344">
        <v>2.56666666666667</v>
      </c>
      <c r="P239" s="344">
        <v>3.0333333333333301</v>
      </c>
      <c r="Q239" s="344">
        <v>4.2</v>
      </c>
      <c r="R239" s="344">
        <v>6.5333333333333297</v>
      </c>
      <c r="S239" s="344">
        <v>5.3666666666666698</v>
      </c>
      <c r="T239" s="344">
        <v>5.8333333333333304</v>
      </c>
      <c r="U239" s="344">
        <v>6.3</v>
      </c>
      <c r="V239" s="344">
        <v>3.9666666666666699</v>
      </c>
      <c r="W239" s="344">
        <v>3.5</v>
      </c>
      <c r="X239" s="344">
        <v>3.0333333333333301</v>
      </c>
      <c r="Y239" s="344">
        <v>2.56666666666667</v>
      </c>
      <c r="Z239" s="344">
        <v>2.56666666666667</v>
      </c>
      <c r="AA239" s="344">
        <v>3.0333333333333301</v>
      </c>
      <c r="AB239" s="344">
        <v>3.5</v>
      </c>
      <c r="AC239" s="344">
        <v>2.56666666666667</v>
      </c>
      <c r="AD239" s="344">
        <f t="shared" si="49"/>
        <v>-0.93333333333333002</v>
      </c>
      <c r="AE239" s="344">
        <v>3</v>
      </c>
      <c r="AF239" s="344">
        <v>1</v>
      </c>
      <c r="AG239" s="345">
        <v>1</v>
      </c>
      <c r="AH239" s="346">
        <v>1</v>
      </c>
      <c r="AI239" s="197">
        <v>1</v>
      </c>
      <c r="AJ239" s="197">
        <v>10</v>
      </c>
      <c r="AK239" s="197">
        <v>1</v>
      </c>
      <c r="AL239" s="197">
        <v>1</v>
      </c>
      <c r="AM239" s="197">
        <v>1</v>
      </c>
      <c r="AN239" s="197">
        <v>1</v>
      </c>
      <c r="AO239" s="197">
        <v>3</v>
      </c>
      <c r="AP239" s="347">
        <v>1</v>
      </c>
      <c r="AQ239" s="197">
        <v>1</v>
      </c>
      <c r="AR239" s="197">
        <v>1</v>
      </c>
      <c r="AS239" s="197">
        <v>1</v>
      </c>
      <c r="AT239" s="347">
        <v>1</v>
      </c>
      <c r="AU239" s="347">
        <v>1</v>
      </c>
      <c r="AV239" s="347">
        <v>1</v>
      </c>
      <c r="AW239" s="347">
        <v>1</v>
      </c>
      <c r="AX239" s="347">
        <v>1</v>
      </c>
      <c r="AY239" s="347">
        <v>1</v>
      </c>
      <c r="AZ239" s="347">
        <v>2</v>
      </c>
      <c r="BA239" s="197">
        <v>51</v>
      </c>
      <c r="BB239" s="347">
        <v>10</v>
      </c>
      <c r="BC239" s="347">
        <v>3</v>
      </c>
    </row>
    <row r="240" spans="1:55" s="381" customFormat="1" ht="17.649999999999999" customHeight="1">
      <c r="A240" s="343">
        <v>180</v>
      </c>
      <c r="B240" s="211" t="s">
        <v>2259</v>
      </c>
      <c r="C240" s="211" t="s">
        <v>2055</v>
      </c>
      <c r="D240" s="211" t="s">
        <v>2056</v>
      </c>
      <c r="E240" s="344">
        <v>7</v>
      </c>
      <c r="F240" s="344">
        <v>6.7666666666666702</v>
      </c>
      <c r="G240" s="209">
        <v>7</v>
      </c>
      <c r="H240" s="344">
        <v>7</v>
      </c>
      <c r="I240" s="344">
        <v>4.43333333333333</v>
      </c>
      <c r="J240" s="344">
        <v>4.43333333333333</v>
      </c>
      <c r="K240" s="344">
        <v>3.0333333333333301</v>
      </c>
      <c r="L240" s="344">
        <f t="shared" si="48"/>
        <v>0.70777777777777695</v>
      </c>
      <c r="M240" s="344">
        <v>2.56666666666667</v>
      </c>
      <c r="N240" s="344">
        <v>2.1</v>
      </c>
      <c r="O240" s="344">
        <v>2.56666666666667</v>
      </c>
      <c r="P240" s="344">
        <v>3.0333333333333301</v>
      </c>
      <c r="Q240" s="344">
        <v>3.9666666666666699</v>
      </c>
      <c r="R240" s="344">
        <v>4.6666666666666696</v>
      </c>
      <c r="S240" s="344">
        <v>7</v>
      </c>
      <c r="T240" s="344">
        <v>6.7666666666666702</v>
      </c>
      <c r="U240" s="344">
        <v>6.7666666666666702</v>
      </c>
      <c r="V240" s="344">
        <v>7.7</v>
      </c>
      <c r="W240" s="344">
        <v>6.5333333333333297</v>
      </c>
      <c r="X240" s="344">
        <v>6.5333333333333297</v>
      </c>
      <c r="Y240" s="344">
        <v>6.5333333333333297</v>
      </c>
      <c r="Z240" s="344">
        <v>6.3</v>
      </c>
      <c r="AA240" s="344">
        <v>3.0333333333333301</v>
      </c>
      <c r="AB240" s="344">
        <v>3.0333333333333301</v>
      </c>
      <c r="AC240" s="344">
        <v>2.1</v>
      </c>
      <c r="AD240" s="344">
        <f t="shared" si="49"/>
        <v>-0.93333333333333002</v>
      </c>
      <c r="AE240" s="344">
        <v>3</v>
      </c>
      <c r="AF240" s="344">
        <v>1</v>
      </c>
      <c r="AG240" s="345">
        <v>1</v>
      </c>
      <c r="AH240" s="346">
        <v>1</v>
      </c>
      <c r="AI240" s="197">
        <v>1</v>
      </c>
      <c r="AJ240" s="197">
        <v>1</v>
      </c>
      <c r="AK240" s="197">
        <v>1</v>
      </c>
      <c r="AL240" s="197">
        <v>1</v>
      </c>
      <c r="AM240" s="197">
        <v>1</v>
      </c>
      <c r="AN240" s="197">
        <v>2</v>
      </c>
      <c r="AO240" s="197">
        <v>3</v>
      </c>
      <c r="AP240" s="347">
        <v>3</v>
      </c>
      <c r="AQ240" s="197">
        <v>1</v>
      </c>
      <c r="AR240" s="197">
        <v>1</v>
      </c>
      <c r="AS240" s="197">
        <v>1</v>
      </c>
      <c r="AT240" s="197">
        <v>1</v>
      </c>
      <c r="AU240" s="347">
        <v>1</v>
      </c>
      <c r="AV240" s="347">
        <v>1</v>
      </c>
      <c r="AW240" s="347">
        <v>2</v>
      </c>
      <c r="AX240" s="347">
        <v>1</v>
      </c>
      <c r="AY240" s="347">
        <v>1</v>
      </c>
      <c r="AZ240" s="347">
        <v>10</v>
      </c>
      <c r="BA240" s="347">
        <v>1</v>
      </c>
      <c r="BB240" s="347">
        <v>1</v>
      </c>
      <c r="BC240" s="347">
        <v>1</v>
      </c>
    </row>
    <row r="241" spans="1:55" s="381" customFormat="1" ht="17.649999999999999" customHeight="1">
      <c r="A241" s="343">
        <v>181</v>
      </c>
      <c r="B241" s="211" t="s">
        <v>2260</v>
      </c>
      <c r="C241" s="211" t="s">
        <v>2055</v>
      </c>
      <c r="D241" s="211" t="s">
        <v>2056</v>
      </c>
      <c r="E241" s="344">
        <v>0</v>
      </c>
      <c r="F241" s="344">
        <v>0.233333333333333</v>
      </c>
      <c r="G241" s="209">
        <v>2.1</v>
      </c>
      <c r="H241" s="344">
        <v>2.1</v>
      </c>
      <c r="I241" s="344">
        <v>3.2666666666666702</v>
      </c>
      <c r="J241" s="344">
        <v>3.0333333333333301</v>
      </c>
      <c r="K241" s="344">
        <v>3.2666666666666702</v>
      </c>
      <c r="L241" s="344">
        <f t="shared" si="48"/>
        <v>0.76222222222222302</v>
      </c>
      <c r="M241" s="344">
        <v>2.1</v>
      </c>
      <c r="N241" s="344">
        <v>1.86666666666667</v>
      </c>
      <c r="O241" s="344">
        <v>0.233333333333333</v>
      </c>
      <c r="P241" s="344">
        <v>0.233333333333333</v>
      </c>
      <c r="Q241" s="344">
        <v>0.233333333333333</v>
      </c>
      <c r="R241" s="344">
        <v>2.56666666666667</v>
      </c>
      <c r="S241" s="344">
        <v>3.5</v>
      </c>
      <c r="T241" s="344">
        <v>3.9666666666666699</v>
      </c>
      <c r="U241" s="344">
        <v>3.5</v>
      </c>
      <c r="V241" s="344">
        <v>2.3333333333333299</v>
      </c>
      <c r="W241" s="344">
        <v>2.3333333333333299</v>
      </c>
      <c r="X241" s="344">
        <v>2.3333333333333299</v>
      </c>
      <c r="Y241" s="344">
        <v>2.56666666666667</v>
      </c>
      <c r="Z241" s="344">
        <v>2.56666666666667</v>
      </c>
      <c r="AA241" s="344">
        <v>1.86666666666667</v>
      </c>
      <c r="AB241" s="344">
        <v>1.1666666666666701</v>
      </c>
      <c r="AC241" s="344">
        <v>1.1666666666666701</v>
      </c>
      <c r="AD241" s="344">
        <f t="shared" si="49"/>
        <v>0</v>
      </c>
      <c r="AE241" s="344">
        <v>3</v>
      </c>
      <c r="AF241" s="344">
        <v>1</v>
      </c>
      <c r="AG241" s="345">
        <v>1</v>
      </c>
      <c r="AH241" s="346">
        <v>1</v>
      </c>
      <c r="AI241" s="197">
        <v>1</v>
      </c>
      <c r="AJ241" s="197">
        <v>1</v>
      </c>
      <c r="AK241" s="197">
        <v>1</v>
      </c>
      <c r="AL241" s="197">
        <v>1</v>
      </c>
      <c r="AM241" s="197">
        <v>1</v>
      </c>
      <c r="AN241" s="197">
        <v>1</v>
      </c>
      <c r="AO241" s="197">
        <v>3</v>
      </c>
      <c r="AP241" s="197">
        <v>1</v>
      </c>
      <c r="AQ241" s="197">
        <v>1</v>
      </c>
      <c r="AR241" s="197">
        <v>1</v>
      </c>
      <c r="AS241" s="197">
        <v>1</v>
      </c>
      <c r="AT241" s="197">
        <v>1</v>
      </c>
      <c r="AU241" s="347">
        <v>1</v>
      </c>
      <c r="AV241" s="347">
        <v>1</v>
      </c>
      <c r="AW241" s="347">
        <v>1</v>
      </c>
      <c r="AX241" s="347">
        <v>1</v>
      </c>
      <c r="AY241" s="347">
        <v>1</v>
      </c>
      <c r="AZ241" s="347">
        <v>2</v>
      </c>
      <c r="BA241" s="347">
        <v>2</v>
      </c>
      <c r="BB241" s="347">
        <v>1</v>
      </c>
      <c r="BC241" s="347">
        <v>1</v>
      </c>
    </row>
    <row r="242" spans="1:55" s="381" customFormat="1" ht="17.649999999999999" customHeight="1">
      <c r="A242" s="343">
        <v>182</v>
      </c>
      <c r="B242" s="211" t="s">
        <v>2261</v>
      </c>
      <c r="C242" s="211" t="s">
        <v>2055</v>
      </c>
      <c r="D242" s="211" t="s">
        <v>2056</v>
      </c>
      <c r="E242" s="344">
        <v>0</v>
      </c>
      <c r="F242" s="344">
        <v>1.1666666666666701</v>
      </c>
      <c r="G242" s="209">
        <v>1.4</v>
      </c>
      <c r="H242" s="344">
        <v>1.4</v>
      </c>
      <c r="I242" s="344">
        <v>1.86666666666667</v>
      </c>
      <c r="J242" s="344">
        <v>2.1</v>
      </c>
      <c r="K242" s="344">
        <v>1.4</v>
      </c>
      <c r="L242" s="344">
        <f t="shared" si="48"/>
        <v>0.32666666666666666</v>
      </c>
      <c r="M242" s="344">
        <v>0.233333333333333</v>
      </c>
      <c r="N242" s="344">
        <v>0.233333333333333</v>
      </c>
      <c r="O242" s="344">
        <v>0.233333333333333</v>
      </c>
      <c r="P242" s="344">
        <v>0.233333333333333</v>
      </c>
      <c r="Q242" s="344">
        <v>1.1666666666666701</v>
      </c>
      <c r="R242" s="344">
        <v>0.233333333333333</v>
      </c>
      <c r="S242" s="344">
        <v>0.233333333333333</v>
      </c>
      <c r="T242" s="344">
        <v>1.1666666666666701</v>
      </c>
      <c r="U242" s="344">
        <v>1.4</v>
      </c>
      <c r="V242" s="344">
        <v>1.4</v>
      </c>
      <c r="W242" s="344">
        <v>2.1</v>
      </c>
      <c r="X242" s="344">
        <v>2.56666666666667</v>
      </c>
      <c r="Y242" s="344">
        <v>3.0333333333333301</v>
      </c>
      <c r="Z242" s="344">
        <v>2.56666666666667</v>
      </c>
      <c r="AA242" s="344">
        <v>2.3333333333333299</v>
      </c>
      <c r="AB242" s="344">
        <v>3.0333333333333301</v>
      </c>
      <c r="AC242" s="344">
        <v>1.4</v>
      </c>
      <c r="AD242" s="344">
        <f t="shared" si="49"/>
        <v>-1.6333333333333302</v>
      </c>
      <c r="AE242" s="344">
        <v>1</v>
      </c>
      <c r="AF242" s="344">
        <v>1</v>
      </c>
      <c r="AG242" s="345">
        <v>1</v>
      </c>
      <c r="AH242" s="346">
        <v>1</v>
      </c>
      <c r="AI242" s="197">
        <v>1</v>
      </c>
      <c r="AJ242" s="197">
        <v>10</v>
      </c>
      <c r="AK242" s="197">
        <v>1</v>
      </c>
      <c r="AL242" s="197">
        <v>1</v>
      </c>
      <c r="AM242" s="197">
        <v>1</v>
      </c>
      <c r="AN242" s="197">
        <v>1</v>
      </c>
      <c r="AO242" s="197">
        <v>1</v>
      </c>
      <c r="AP242" s="197">
        <v>1</v>
      </c>
      <c r="AQ242" s="197">
        <v>1</v>
      </c>
      <c r="AR242" s="197">
        <v>1</v>
      </c>
      <c r="AS242" s="197">
        <v>9</v>
      </c>
      <c r="AT242" s="197">
        <v>1</v>
      </c>
      <c r="AU242" s="347">
        <v>9</v>
      </c>
      <c r="AV242" s="347">
        <v>1</v>
      </c>
      <c r="AW242" s="347">
        <v>1</v>
      </c>
      <c r="AX242" s="347">
        <v>1</v>
      </c>
      <c r="AY242" s="347">
        <v>8</v>
      </c>
      <c r="AZ242" s="347">
        <v>8</v>
      </c>
      <c r="BA242" s="347">
        <v>1</v>
      </c>
      <c r="BB242" s="347">
        <v>1</v>
      </c>
      <c r="BC242" s="347">
        <v>1</v>
      </c>
    </row>
    <row r="243" spans="1:55" s="381" customFormat="1" ht="17.649999999999999" customHeight="1">
      <c r="A243" s="343">
        <v>183</v>
      </c>
      <c r="B243" s="211" t="s">
        <v>2262</v>
      </c>
      <c r="C243" s="211" t="s">
        <v>2055</v>
      </c>
      <c r="D243" s="211" t="s">
        <v>2056</v>
      </c>
      <c r="E243" s="344">
        <v>0</v>
      </c>
      <c r="F243" s="344">
        <v>0.233333333333333</v>
      </c>
      <c r="G243" s="209">
        <v>0.233333333333333</v>
      </c>
      <c r="H243" s="344">
        <v>0.233333333333333</v>
      </c>
      <c r="I243" s="344">
        <v>1.4</v>
      </c>
      <c r="J243" s="344">
        <v>1.86666666666667</v>
      </c>
      <c r="K243" s="344">
        <v>2.3333333333333299</v>
      </c>
      <c r="L243" s="344">
        <f t="shared" si="48"/>
        <v>0.54444444444444362</v>
      </c>
      <c r="M243" s="344">
        <v>2.3333333333333299</v>
      </c>
      <c r="N243" s="344">
        <v>2.3333333333333299</v>
      </c>
      <c r="O243" s="344">
        <v>1.4</v>
      </c>
      <c r="P243" s="344">
        <v>1.4</v>
      </c>
      <c r="Q243" s="344">
        <v>2.1</v>
      </c>
      <c r="R243" s="344">
        <v>1.86666666666667</v>
      </c>
      <c r="S243" s="344">
        <v>1.86666666666667</v>
      </c>
      <c r="T243" s="344">
        <v>1.86666666666667</v>
      </c>
      <c r="U243" s="344">
        <v>2.1</v>
      </c>
      <c r="V243" s="344">
        <v>2.56666666666667</v>
      </c>
      <c r="W243" s="344">
        <v>3.5</v>
      </c>
      <c r="X243" s="344">
        <v>3.0333333333333301</v>
      </c>
      <c r="Y243" s="344">
        <v>3.0333333333333301</v>
      </c>
      <c r="Z243" s="344">
        <v>3.2666666666666702</v>
      </c>
      <c r="AA243" s="344">
        <v>2.3333333333333299</v>
      </c>
      <c r="AB243" s="344">
        <v>3.0333333333333301</v>
      </c>
      <c r="AC243" s="344">
        <v>2.1</v>
      </c>
      <c r="AD243" s="344">
        <f t="shared" si="49"/>
        <v>-0.93333333333333002</v>
      </c>
      <c r="AE243" s="344">
        <v>7</v>
      </c>
      <c r="AF243" s="344">
        <v>7</v>
      </c>
      <c r="AG243" s="345">
        <v>5</v>
      </c>
      <c r="AH243" s="346">
        <v>8</v>
      </c>
      <c r="AI243" s="197">
        <v>7</v>
      </c>
      <c r="AJ243" s="197">
        <v>7</v>
      </c>
      <c r="AK243" s="197">
        <v>1</v>
      </c>
      <c r="AL243" s="197">
        <v>1</v>
      </c>
      <c r="AM243" s="197">
        <v>3</v>
      </c>
      <c r="AN243" s="197">
        <v>5</v>
      </c>
      <c r="AO243" s="197">
        <v>6</v>
      </c>
      <c r="AP243" s="197">
        <v>5</v>
      </c>
      <c r="AQ243" s="197">
        <v>5</v>
      </c>
      <c r="AR243" s="197">
        <v>5</v>
      </c>
      <c r="AS243" s="197">
        <v>4</v>
      </c>
      <c r="AT243" s="197">
        <v>6</v>
      </c>
      <c r="AU243" s="347">
        <v>5</v>
      </c>
      <c r="AV243" s="347">
        <v>1</v>
      </c>
      <c r="AW243" s="347">
        <v>3</v>
      </c>
      <c r="AX243" s="347">
        <v>3</v>
      </c>
      <c r="AY243" s="347">
        <v>1</v>
      </c>
      <c r="AZ243" s="347">
        <v>7</v>
      </c>
      <c r="BA243" s="347">
        <v>1</v>
      </c>
      <c r="BB243" s="347">
        <v>1</v>
      </c>
      <c r="BC243" s="347">
        <v>1</v>
      </c>
    </row>
    <row r="244" spans="1:55" s="381" customFormat="1" ht="17.649999999999999" customHeight="1">
      <c r="A244" s="343">
        <v>184</v>
      </c>
      <c r="B244" s="211" t="s">
        <v>2263</v>
      </c>
      <c r="C244" s="211" t="s">
        <v>2055</v>
      </c>
      <c r="D244" s="211" t="s">
        <v>2056</v>
      </c>
      <c r="E244" s="344">
        <v>1</v>
      </c>
      <c r="F244" s="344">
        <v>1.86666666666667</v>
      </c>
      <c r="G244" s="209">
        <v>2.56666666666667</v>
      </c>
      <c r="H244" s="344">
        <v>2.56666666666667</v>
      </c>
      <c r="I244" s="344">
        <v>2.56666666666667</v>
      </c>
      <c r="J244" s="344">
        <v>1.4</v>
      </c>
      <c r="K244" s="344">
        <v>0.233333333333333</v>
      </c>
      <c r="L244" s="344">
        <f t="shared" si="48"/>
        <v>5.4444444444444372E-2</v>
      </c>
      <c r="M244" s="344">
        <v>1.1666666666666701</v>
      </c>
      <c r="N244" s="344">
        <v>2.1</v>
      </c>
      <c r="O244" s="344">
        <v>1.86666666666667</v>
      </c>
      <c r="P244" s="344">
        <v>0.233333333333333</v>
      </c>
      <c r="Q244" s="344">
        <v>2.1</v>
      </c>
      <c r="R244" s="344">
        <v>4.2</v>
      </c>
      <c r="S244" s="344">
        <v>4.43333333333333</v>
      </c>
      <c r="T244" s="344">
        <v>4.6666666666666696</v>
      </c>
      <c r="U244" s="344">
        <v>5.3666666666666698</v>
      </c>
      <c r="V244" s="344">
        <v>2.3333333333333299</v>
      </c>
      <c r="W244" s="344">
        <v>2.56666666666667</v>
      </c>
      <c r="X244" s="344">
        <v>4.43333333333333</v>
      </c>
      <c r="Y244" s="344">
        <v>4.2</v>
      </c>
      <c r="Z244" s="344">
        <v>3.5</v>
      </c>
      <c r="AA244" s="344">
        <v>3.0333333333333301</v>
      </c>
      <c r="AB244" s="344">
        <v>2.56666666666667</v>
      </c>
      <c r="AC244" s="344">
        <v>1.1666666666666701</v>
      </c>
      <c r="AD244" s="344">
        <f t="shared" si="49"/>
        <v>-1.4</v>
      </c>
      <c r="AE244" s="344">
        <v>3</v>
      </c>
      <c r="AF244" s="344">
        <v>1</v>
      </c>
      <c r="AG244" s="345">
        <v>1</v>
      </c>
      <c r="AH244" s="346">
        <v>1</v>
      </c>
      <c r="AI244" s="197">
        <v>1</v>
      </c>
      <c r="AJ244" s="197">
        <v>1</v>
      </c>
      <c r="AK244" s="197">
        <v>1</v>
      </c>
      <c r="AL244" s="197">
        <v>1</v>
      </c>
      <c r="AM244" s="197">
        <v>1</v>
      </c>
      <c r="AN244" s="197">
        <v>1</v>
      </c>
      <c r="AO244" s="197">
        <v>3</v>
      </c>
      <c r="AP244" s="347">
        <v>10</v>
      </c>
      <c r="AQ244" s="197">
        <v>1</v>
      </c>
      <c r="AR244" s="197">
        <v>3</v>
      </c>
      <c r="AS244" s="347">
        <v>1</v>
      </c>
      <c r="AT244" s="197">
        <v>1</v>
      </c>
      <c r="AU244" s="347">
        <v>1</v>
      </c>
      <c r="AV244" s="347">
        <v>1</v>
      </c>
      <c r="AW244" s="347">
        <v>10</v>
      </c>
      <c r="AX244" s="347">
        <v>1</v>
      </c>
      <c r="AY244" s="347">
        <v>10</v>
      </c>
      <c r="AZ244" s="347">
        <v>5</v>
      </c>
      <c r="BA244" s="347">
        <v>1</v>
      </c>
      <c r="BB244" s="347">
        <v>1</v>
      </c>
      <c r="BC244" s="347">
        <v>1</v>
      </c>
    </row>
    <row r="245" spans="1:55" s="381" customFormat="1" ht="17.649999999999999" customHeight="1">
      <c r="A245" s="343">
        <v>185</v>
      </c>
      <c r="B245" s="211" t="s">
        <v>2264</v>
      </c>
      <c r="C245" s="211" t="s">
        <v>2055</v>
      </c>
      <c r="D245" s="211" t="s">
        <v>2056</v>
      </c>
      <c r="E245" s="344">
        <v>2</v>
      </c>
      <c r="F245" s="344">
        <v>2.3333333333333299</v>
      </c>
      <c r="G245" s="209">
        <v>3.0333333333333301</v>
      </c>
      <c r="H245" s="344">
        <v>3.0333333333333301</v>
      </c>
      <c r="I245" s="344">
        <v>3.5</v>
      </c>
      <c r="J245" s="344">
        <v>3.9666666666666699</v>
      </c>
      <c r="K245" s="344">
        <v>3.5</v>
      </c>
      <c r="L245" s="344">
        <f t="shared" si="48"/>
        <v>0.81666666666666665</v>
      </c>
      <c r="M245" s="344">
        <v>3.2666666666666702</v>
      </c>
      <c r="N245" s="344">
        <v>2.56666666666667</v>
      </c>
      <c r="O245" s="344">
        <v>2.1</v>
      </c>
      <c r="P245" s="344">
        <v>3.5</v>
      </c>
      <c r="Q245" s="344">
        <v>4.2</v>
      </c>
      <c r="R245" s="344">
        <v>5.3666666666666698</v>
      </c>
      <c r="S245" s="344">
        <v>6.3</v>
      </c>
      <c r="T245" s="344">
        <v>4.6666666666666696</v>
      </c>
      <c r="U245" s="344">
        <v>5.8333333333333304</v>
      </c>
      <c r="V245" s="344">
        <v>4.2</v>
      </c>
      <c r="W245" s="344">
        <v>4.2</v>
      </c>
      <c r="X245" s="344">
        <v>4.2</v>
      </c>
      <c r="Y245" s="344">
        <v>5.1333333333333302</v>
      </c>
      <c r="Z245" s="344">
        <v>5.3666666666666698</v>
      </c>
      <c r="AA245" s="344">
        <v>4.43333333333333</v>
      </c>
      <c r="AB245" s="344">
        <v>4.6666666666666696</v>
      </c>
      <c r="AC245" s="344">
        <v>3.5</v>
      </c>
      <c r="AD245" s="344">
        <f t="shared" si="49"/>
        <v>-1.1666666666666696</v>
      </c>
      <c r="AE245" s="344">
        <v>1</v>
      </c>
      <c r="AF245" s="344">
        <v>1</v>
      </c>
      <c r="AG245" s="345">
        <v>1</v>
      </c>
      <c r="AH245" s="346">
        <v>1</v>
      </c>
      <c r="AI245" s="197">
        <v>1</v>
      </c>
      <c r="AJ245" s="197">
        <v>1</v>
      </c>
      <c r="AK245" s="197">
        <v>1</v>
      </c>
      <c r="AL245" s="197">
        <v>1</v>
      </c>
      <c r="AM245" s="197">
        <v>1</v>
      </c>
      <c r="AN245" s="197">
        <v>1</v>
      </c>
      <c r="AO245" s="197">
        <v>1</v>
      </c>
      <c r="AP245" s="197">
        <v>1</v>
      </c>
      <c r="AQ245" s="197">
        <v>1</v>
      </c>
      <c r="AR245" s="197">
        <v>1</v>
      </c>
      <c r="AS245" s="197">
        <v>1</v>
      </c>
      <c r="AT245" s="197">
        <v>1</v>
      </c>
      <c r="AU245" s="347">
        <v>1</v>
      </c>
      <c r="AV245" s="347">
        <v>1</v>
      </c>
      <c r="AW245" s="347">
        <v>1</v>
      </c>
      <c r="AX245" s="347">
        <v>1</v>
      </c>
      <c r="AY245" s="347">
        <v>1</v>
      </c>
      <c r="AZ245" s="347">
        <v>3</v>
      </c>
      <c r="BA245" s="347">
        <v>1</v>
      </c>
      <c r="BB245" s="347">
        <v>1</v>
      </c>
      <c r="BC245" s="347">
        <v>1</v>
      </c>
    </row>
    <row r="246" spans="1:55" s="381" customFormat="1" ht="17.649999999999999" customHeight="1">
      <c r="A246" s="343">
        <v>186</v>
      </c>
      <c r="B246" s="211" t="s">
        <v>2265</v>
      </c>
      <c r="C246" s="211" t="s">
        <v>2055</v>
      </c>
      <c r="D246" s="211" t="s">
        <v>2056</v>
      </c>
      <c r="E246" s="344">
        <v>6</v>
      </c>
      <c r="F246" s="344">
        <v>4.2</v>
      </c>
      <c r="G246" s="209">
        <v>3.0333333333333301</v>
      </c>
      <c r="H246" s="344">
        <v>2.3333333333333299</v>
      </c>
      <c r="I246" s="344">
        <v>3.0333333333333301</v>
      </c>
      <c r="J246" s="344">
        <v>1.86666666666667</v>
      </c>
      <c r="K246" s="344">
        <v>2.1</v>
      </c>
      <c r="L246" s="344">
        <f t="shared" si="48"/>
        <v>0.49000000000000005</v>
      </c>
      <c r="M246" s="344">
        <v>2.56666666666667</v>
      </c>
      <c r="N246" s="344">
        <v>2.56666666666667</v>
      </c>
      <c r="O246" s="344">
        <v>2.56666666666667</v>
      </c>
      <c r="P246" s="344">
        <v>3.0333333333333301</v>
      </c>
      <c r="Q246" s="344">
        <v>2.56666666666667</v>
      </c>
      <c r="R246" s="344">
        <v>5.8333333333333304</v>
      </c>
      <c r="S246" s="344">
        <v>7.4666666666666703</v>
      </c>
      <c r="T246" s="344">
        <v>6.3</v>
      </c>
      <c r="U246" s="344">
        <v>7.7</v>
      </c>
      <c r="V246" s="344">
        <v>5.3666666666666698</v>
      </c>
      <c r="W246" s="344">
        <v>3.9666666666666699</v>
      </c>
      <c r="X246" s="344">
        <v>5.6</v>
      </c>
      <c r="Y246" s="344">
        <v>6.3</v>
      </c>
      <c r="Z246" s="344">
        <v>6.5333333333333297</v>
      </c>
      <c r="AA246" s="344">
        <v>7</v>
      </c>
      <c r="AB246" s="344">
        <v>8.6333333333333293</v>
      </c>
      <c r="AC246" s="344">
        <v>7</v>
      </c>
      <c r="AD246" s="344">
        <f t="shared" si="49"/>
        <v>-1.6333333333333293</v>
      </c>
      <c r="AE246" s="344">
        <v>3</v>
      </c>
      <c r="AF246" s="344">
        <v>3</v>
      </c>
      <c r="AG246" s="345">
        <v>1</v>
      </c>
      <c r="AH246" s="346">
        <v>1</v>
      </c>
      <c r="AI246" s="197">
        <v>1</v>
      </c>
      <c r="AJ246" s="197">
        <v>1</v>
      </c>
      <c r="AK246" s="197">
        <v>1</v>
      </c>
      <c r="AL246" s="197">
        <v>1</v>
      </c>
      <c r="AM246" s="197">
        <v>8</v>
      </c>
      <c r="AN246" s="197">
        <v>1</v>
      </c>
      <c r="AO246" s="197">
        <v>1</v>
      </c>
      <c r="AP246" s="197">
        <v>9</v>
      </c>
      <c r="AQ246" s="197">
        <v>1</v>
      </c>
      <c r="AR246" s="197">
        <v>1</v>
      </c>
      <c r="AS246" s="197">
        <v>10</v>
      </c>
      <c r="AT246" s="197">
        <v>1</v>
      </c>
      <c r="AU246" s="347">
        <v>1</v>
      </c>
      <c r="AV246" s="347">
        <v>1</v>
      </c>
      <c r="AW246" s="347">
        <v>7</v>
      </c>
      <c r="AX246" s="347">
        <v>1</v>
      </c>
      <c r="AY246" s="347">
        <v>9</v>
      </c>
      <c r="AZ246" s="347">
        <v>2</v>
      </c>
      <c r="BA246" s="347">
        <v>9</v>
      </c>
      <c r="BB246" s="347">
        <v>1</v>
      </c>
      <c r="BC246" s="347">
        <v>1</v>
      </c>
    </row>
    <row r="247" spans="1:55" s="381" customFormat="1" ht="17.649999999999999" customHeight="1">
      <c r="A247" s="343">
        <v>187</v>
      </c>
      <c r="B247" s="211" t="s">
        <v>2266</v>
      </c>
      <c r="C247" s="211" t="s">
        <v>2055</v>
      </c>
      <c r="D247" s="211" t="s">
        <v>2056</v>
      </c>
      <c r="E247" s="344">
        <v>1</v>
      </c>
      <c r="F247" s="344">
        <v>1.4</v>
      </c>
      <c r="G247" s="209">
        <v>1.86666666666667</v>
      </c>
      <c r="H247" s="344">
        <v>1.4</v>
      </c>
      <c r="I247" s="344">
        <v>2.3333333333333299</v>
      </c>
      <c r="J247" s="344">
        <v>1.4</v>
      </c>
      <c r="K247" s="344">
        <v>1.86666666666667</v>
      </c>
      <c r="L247" s="344">
        <f t="shared" si="48"/>
        <v>0.43555555555555631</v>
      </c>
      <c r="M247" s="344">
        <v>1.86666666666667</v>
      </c>
      <c r="N247" s="344">
        <v>2.3333333333333299</v>
      </c>
      <c r="O247" s="344">
        <v>2.1</v>
      </c>
      <c r="P247" s="344">
        <v>1.86666666666667</v>
      </c>
      <c r="Q247" s="344">
        <v>2.3333333333333299</v>
      </c>
      <c r="R247" s="344">
        <v>3.9666666666666699</v>
      </c>
      <c r="S247" s="344">
        <v>4.6666666666666696</v>
      </c>
      <c r="T247" s="344">
        <v>5.1333333333333302</v>
      </c>
      <c r="U247" s="344">
        <v>5.3666666666666698</v>
      </c>
      <c r="V247" s="344">
        <v>3.5</v>
      </c>
      <c r="W247" s="344">
        <v>2.1</v>
      </c>
      <c r="X247" s="344">
        <v>3.5</v>
      </c>
      <c r="Y247" s="344">
        <v>3.9666666666666699</v>
      </c>
      <c r="Z247" s="344">
        <v>4.43333333333333</v>
      </c>
      <c r="AA247" s="344">
        <v>4.43333333333333</v>
      </c>
      <c r="AB247" s="344">
        <v>4.43333333333333</v>
      </c>
      <c r="AC247" s="344">
        <v>2.56666666666667</v>
      </c>
      <c r="AD247" s="344">
        <f t="shared" si="49"/>
        <v>-1.86666666666666</v>
      </c>
      <c r="AE247" s="344">
        <v>3</v>
      </c>
      <c r="AF247" s="344">
        <v>3</v>
      </c>
      <c r="AG247" s="345">
        <v>1</v>
      </c>
      <c r="AH247" s="346">
        <v>1</v>
      </c>
      <c r="AI247" s="197">
        <v>1</v>
      </c>
      <c r="AJ247" s="197">
        <v>1</v>
      </c>
      <c r="AK247" s="197">
        <v>1</v>
      </c>
      <c r="AL247" s="197">
        <v>1</v>
      </c>
      <c r="AM247" s="197">
        <v>1</v>
      </c>
      <c r="AN247" s="197">
        <v>1</v>
      </c>
      <c r="AO247" s="197">
        <v>3</v>
      </c>
      <c r="AP247" s="197">
        <v>1</v>
      </c>
      <c r="AQ247" s="197">
        <v>1</v>
      </c>
      <c r="AR247" s="347">
        <v>1</v>
      </c>
      <c r="AS247" s="347">
        <v>1</v>
      </c>
      <c r="AT247" s="197">
        <v>1</v>
      </c>
      <c r="AU247" s="347">
        <v>1</v>
      </c>
      <c r="AV247" s="347">
        <v>1</v>
      </c>
      <c r="AW247" s="347">
        <v>1</v>
      </c>
      <c r="AX247" s="347">
        <v>1</v>
      </c>
      <c r="AY247" s="347">
        <v>1</v>
      </c>
      <c r="AZ247" s="347">
        <v>1</v>
      </c>
      <c r="BA247" s="347">
        <v>10</v>
      </c>
      <c r="BB247" s="347">
        <v>1</v>
      </c>
      <c r="BC247" s="347">
        <v>1</v>
      </c>
    </row>
    <row r="248" spans="1:55" s="381" customFormat="1" ht="17.649999999999999" customHeight="1">
      <c r="A248" s="343">
        <v>188</v>
      </c>
      <c r="B248" s="211" t="s">
        <v>2267</v>
      </c>
      <c r="C248" s="211" t="s">
        <v>2055</v>
      </c>
      <c r="D248" s="211" t="s">
        <v>2056</v>
      </c>
      <c r="E248" s="344">
        <v>2</v>
      </c>
      <c r="F248" s="344">
        <v>2.3333333333333299</v>
      </c>
      <c r="G248" s="209">
        <v>2.56666666666667</v>
      </c>
      <c r="H248" s="344">
        <v>2.56666666666667</v>
      </c>
      <c r="I248" s="344">
        <v>3.5</v>
      </c>
      <c r="J248" s="344">
        <v>3.5</v>
      </c>
      <c r="K248" s="344">
        <v>3.5</v>
      </c>
      <c r="L248" s="344">
        <f t="shared" si="48"/>
        <v>0.81666666666666665</v>
      </c>
      <c r="M248" s="344">
        <v>1.86666666666667</v>
      </c>
      <c r="N248" s="344">
        <v>1.4</v>
      </c>
      <c r="O248" s="344">
        <v>0.233333333333333</v>
      </c>
      <c r="P248" s="344">
        <v>0.233333333333333</v>
      </c>
      <c r="Q248" s="344">
        <v>1.4</v>
      </c>
      <c r="R248" s="344">
        <v>2.3333333333333299</v>
      </c>
      <c r="S248" s="344">
        <v>3.2666666666666702</v>
      </c>
      <c r="T248" s="344">
        <v>3.2666666666666702</v>
      </c>
      <c r="U248" s="344">
        <v>3.2666666666666702</v>
      </c>
      <c r="V248" s="344">
        <v>1.86666666666667</v>
      </c>
      <c r="W248" s="344">
        <v>1.4</v>
      </c>
      <c r="X248" s="344">
        <v>1.4</v>
      </c>
      <c r="Y248" s="344">
        <v>1.86666666666667</v>
      </c>
      <c r="Z248" s="344">
        <v>2.1</v>
      </c>
      <c r="AA248" s="344">
        <v>1.4</v>
      </c>
      <c r="AB248" s="344">
        <v>1.86666666666667</v>
      </c>
      <c r="AC248" s="344">
        <v>1.1666666666666701</v>
      </c>
      <c r="AD248" s="344">
        <f t="shared" si="49"/>
        <v>-0.7</v>
      </c>
      <c r="AE248" s="344">
        <v>1</v>
      </c>
      <c r="AF248" s="344">
        <v>1</v>
      </c>
      <c r="AG248" s="345">
        <v>1</v>
      </c>
      <c r="AH248" s="346">
        <v>1</v>
      </c>
      <c r="AI248" s="197">
        <v>1</v>
      </c>
      <c r="AJ248" s="197">
        <v>1</v>
      </c>
      <c r="AK248" s="197">
        <v>1</v>
      </c>
      <c r="AL248" s="197">
        <v>1</v>
      </c>
      <c r="AM248" s="197">
        <v>1</v>
      </c>
      <c r="AN248" s="197">
        <v>1</v>
      </c>
      <c r="AO248" s="197">
        <v>1</v>
      </c>
      <c r="AP248" s="197">
        <v>1</v>
      </c>
      <c r="AQ248" s="197">
        <v>1</v>
      </c>
      <c r="AR248" s="197">
        <v>1</v>
      </c>
      <c r="AS248" s="197">
        <v>1</v>
      </c>
      <c r="AT248" s="197">
        <v>1</v>
      </c>
      <c r="AU248" s="347">
        <v>6</v>
      </c>
      <c r="AV248" s="347">
        <v>1</v>
      </c>
      <c r="AW248" s="347">
        <v>1</v>
      </c>
      <c r="AX248" s="347">
        <v>1</v>
      </c>
      <c r="AY248" s="347">
        <v>1</v>
      </c>
      <c r="AZ248" s="347">
        <v>1</v>
      </c>
      <c r="BA248" s="347">
        <v>1</v>
      </c>
      <c r="BB248" s="347">
        <v>4</v>
      </c>
      <c r="BC248" s="347">
        <v>1</v>
      </c>
    </row>
    <row r="249" spans="1:55" s="381" customFormat="1" ht="17.649999999999999" customHeight="1">
      <c r="A249" s="343">
        <v>189</v>
      </c>
      <c r="B249" s="211" t="s">
        <v>2268</v>
      </c>
      <c r="C249" s="211" t="s">
        <v>2055</v>
      </c>
      <c r="D249" s="211" t="s">
        <v>2056</v>
      </c>
      <c r="E249" s="344">
        <v>2</v>
      </c>
      <c r="F249" s="344">
        <v>3.0333333333333301</v>
      </c>
      <c r="G249" s="209">
        <v>3.0333333333333301</v>
      </c>
      <c r="H249" s="344">
        <v>3.2666666666666702</v>
      </c>
      <c r="I249" s="344">
        <v>3.5</v>
      </c>
      <c r="J249" s="344">
        <v>2.3333333333333299</v>
      </c>
      <c r="K249" s="344">
        <v>1.1666666666666701</v>
      </c>
      <c r="L249" s="344">
        <f t="shared" si="48"/>
        <v>0.27222222222222303</v>
      </c>
      <c r="M249" s="344">
        <v>0.233333333333333</v>
      </c>
      <c r="N249" s="344">
        <v>1.1666666666666701</v>
      </c>
      <c r="O249" s="344">
        <v>1.1666666666666701</v>
      </c>
      <c r="P249" s="344">
        <v>0.233333333333333</v>
      </c>
      <c r="Q249" s="344">
        <v>1.86666666666667</v>
      </c>
      <c r="R249" s="344">
        <v>2.56666666666667</v>
      </c>
      <c r="S249" s="344">
        <v>3.0333333333333301</v>
      </c>
      <c r="T249" s="344">
        <v>3.0333333333333301</v>
      </c>
      <c r="U249" s="344">
        <v>3.5</v>
      </c>
      <c r="V249" s="344">
        <v>2.3333333333333299</v>
      </c>
      <c r="W249" s="344">
        <v>2.1</v>
      </c>
      <c r="X249" s="344">
        <v>2.1</v>
      </c>
      <c r="Y249" s="344">
        <v>3.0333333333333301</v>
      </c>
      <c r="Z249" s="344">
        <v>2.3333333333333299</v>
      </c>
      <c r="AA249" s="344">
        <v>2.56666666666667</v>
      </c>
      <c r="AB249" s="344">
        <v>3.2666666666666702</v>
      </c>
      <c r="AC249" s="344">
        <v>2.1</v>
      </c>
      <c r="AD249" s="344">
        <f t="shared" si="49"/>
        <v>-1.1666666666666701</v>
      </c>
      <c r="AE249" s="344">
        <v>1</v>
      </c>
      <c r="AF249" s="344">
        <v>1</v>
      </c>
      <c r="AG249" s="345">
        <v>1</v>
      </c>
      <c r="AH249" s="346">
        <v>8</v>
      </c>
      <c r="AI249" s="197">
        <v>7</v>
      </c>
      <c r="AJ249" s="197">
        <v>1</v>
      </c>
      <c r="AK249" s="197">
        <v>1</v>
      </c>
      <c r="AL249" s="197">
        <v>1</v>
      </c>
      <c r="AM249" s="197">
        <v>1</v>
      </c>
      <c r="AN249" s="197">
        <v>1</v>
      </c>
      <c r="AO249" s="197">
        <v>3</v>
      </c>
      <c r="AP249" s="197">
        <v>1</v>
      </c>
      <c r="AQ249" s="197">
        <v>1</v>
      </c>
      <c r="AR249" s="197">
        <v>1</v>
      </c>
      <c r="AS249" s="197">
        <v>1</v>
      </c>
      <c r="AT249" s="197">
        <v>1</v>
      </c>
      <c r="AU249" s="347">
        <v>1</v>
      </c>
      <c r="AV249" s="347">
        <v>10</v>
      </c>
      <c r="AW249" s="347">
        <v>1</v>
      </c>
      <c r="AX249" s="347">
        <v>1</v>
      </c>
      <c r="AY249" s="347">
        <v>4</v>
      </c>
      <c r="AZ249" s="347">
        <v>3</v>
      </c>
      <c r="BA249" s="347">
        <v>1</v>
      </c>
      <c r="BB249" s="347">
        <v>10</v>
      </c>
      <c r="BC249" s="347">
        <v>6</v>
      </c>
    </row>
    <row r="250" spans="1:55" s="381" customFormat="1" ht="17.649999999999999" customHeight="1">
      <c r="A250" s="343">
        <v>190</v>
      </c>
      <c r="B250" s="211" t="s">
        <v>2269</v>
      </c>
      <c r="C250" s="211" t="s">
        <v>2055</v>
      </c>
      <c r="D250" s="211" t="s">
        <v>2056</v>
      </c>
      <c r="E250" s="344">
        <v>10</v>
      </c>
      <c r="F250" s="344">
        <v>10.733333333333301</v>
      </c>
      <c r="G250" s="209">
        <v>10.033333333333299</v>
      </c>
      <c r="H250" s="344">
        <v>10.266666666666699</v>
      </c>
      <c r="I250" s="344">
        <v>9.8000000000000007</v>
      </c>
      <c r="J250" s="344">
        <v>8.8666666666666707</v>
      </c>
      <c r="K250" s="344">
        <v>10.266666666666699</v>
      </c>
      <c r="L250" s="344">
        <f t="shared" si="48"/>
        <v>2.3955555555555632</v>
      </c>
      <c r="M250" s="344">
        <v>7.4666666666666703</v>
      </c>
      <c r="N250" s="344">
        <v>9.8000000000000007</v>
      </c>
      <c r="O250" s="344">
        <v>8.8666666666666707</v>
      </c>
      <c r="P250" s="344">
        <v>8.8666666666666707</v>
      </c>
      <c r="Q250" s="344">
        <v>10.733333333333301</v>
      </c>
      <c r="R250" s="344">
        <v>12.8333333333333</v>
      </c>
      <c r="S250" s="344">
        <v>12.8333333333333</v>
      </c>
      <c r="T250" s="344">
        <v>11.9</v>
      </c>
      <c r="U250" s="344">
        <v>10.733333333333301</v>
      </c>
      <c r="V250" s="344">
        <v>6.5333333333333297</v>
      </c>
      <c r="W250" s="344">
        <v>4.2</v>
      </c>
      <c r="X250" s="344">
        <v>4.2</v>
      </c>
      <c r="Y250" s="344">
        <v>4.43333333333333</v>
      </c>
      <c r="Z250" s="344">
        <v>4.2</v>
      </c>
      <c r="AA250" s="344">
        <v>3.9666666666666699</v>
      </c>
      <c r="AB250" s="344">
        <v>4.2</v>
      </c>
      <c r="AC250" s="344">
        <v>3.5</v>
      </c>
      <c r="AD250" s="344">
        <f t="shared" si="49"/>
        <v>-0.70000000000000018</v>
      </c>
      <c r="AE250" s="344">
        <v>3</v>
      </c>
      <c r="AF250" s="344">
        <v>3</v>
      </c>
      <c r="AG250" s="345">
        <v>3</v>
      </c>
      <c r="AH250" s="346">
        <v>2</v>
      </c>
      <c r="AI250" s="197">
        <v>1</v>
      </c>
      <c r="AJ250" s="197">
        <v>2</v>
      </c>
      <c r="AK250" s="197">
        <v>3</v>
      </c>
      <c r="AL250" s="197">
        <v>3</v>
      </c>
      <c r="AM250" s="197">
        <v>3</v>
      </c>
      <c r="AN250" s="197">
        <v>3</v>
      </c>
      <c r="AO250" s="197">
        <v>3</v>
      </c>
      <c r="AP250" s="197">
        <v>3</v>
      </c>
      <c r="AQ250" s="197">
        <v>3</v>
      </c>
      <c r="AR250" s="197">
        <v>3</v>
      </c>
      <c r="AS250" s="197">
        <v>2</v>
      </c>
      <c r="AT250" s="197">
        <v>3</v>
      </c>
      <c r="AU250" s="347">
        <v>3</v>
      </c>
      <c r="AV250" s="347">
        <v>3</v>
      </c>
      <c r="AW250" s="347">
        <v>2</v>
      </c>
      <c r="AX250" s="347">
        <v>11</v>
      </c>
      <c r="AY250" s="347">
        <v>3</v>
      </c>
      <c r="AZ250" s="347">
        <v>4</v>
      </c>
      <c r="BA250" s="347">
        <v>5</v>
      </c>
      <c r="BB250" s="347">
        <v>3</v>
      </c>
      <c r="BC250" s="347">
        <v>5</v>
      </c>
    </row>
    <row r="251" spans="1:55" s="381" customFormat="1" ht="17.649999999999999" customHeight="1">
      <c r="A251" s="343">
        <v>191</v>
      </c>
      <c r="B251" s="211" t="s">
        <v>2270</v>
      </c>
      <c r="C251" s="211" t="s">
        <v>2055</v>
      </c>
      <c r="D251" s="211" t="s">
        <v>2056</v>
      </c>
      <c r="E251" s="344">
        <v>2</v>
      </c>
      <c r="F251" s="344">
        <v>2.3333333333333299</v>
      </c>
      <c r="G251" s="209">
        <v>3.0333333333333301</v>
      </c>
      <c r="H251" s="344">
        <v>2.3333333333333299</v>
      </c>
      <c r="I251" s="344">
        <v>3.2666666666666702</v>
      </c>
      <c r="J251" s="344">
        <v>3.0333333333333301</v>
      </c>
      <c r="K251" s="344">
        <v>3.0333333333333301</v>
      </c>
      <c r="L251" s="344">
        <f t="shared" si="48"/>
        <v>0.70777777777777695</v>
      </c>
      <c r="M251" s="344">
        <v>3.2666666666666702</v>
      </c>
      <c r="N251" s="344">
        <v>3.5</v>
      </c>
      <c r="O251" s="344">
        <v>2.56666666666667</v>
      </c>
      <c r="P251" s="344">
        <v>1.1666666666666701</v>
      </c>
      <c r="Q251" s="344">
        <v>1.4</v>
      </c>
      <c r="R251" s="344">
        <v>3.0333333333333301</v>
      </c>
      <c r="S251" s="344">
        <v>4.2</v>
      </c>
      <c r="T251" s="344">
        <v>5.3666666666666698</v>
      </c>
      <c r="U251" s="344">
        <v>7</v>
      </c>
      <c r="V251" s="344">
        <v>5.3666666666666698</v>
      </c>
      <c r="W251" s="344">
        <v>4.6666666666666696</v>
      </c>
      <c r="X251" s="344">
        <v>6.7666666666666702</v>
      </c>
      <c r="Y251" s="344">
        <v>7</v>
      </c>
      <c r="Z251" s="344">
        <v>6.3</v>
      </c>
      <c r="AA251" s="344">
        <v>5.8333333333333304</v>
      </c>
      <c r="AB251" s="344">
        <v>4.2</v>
      </c>
      <c r="AC251" s="344">
        <v>2.3333333333333299</v>
      </c>
      <c r="AD251" s="344">
        <f t="shared" si="49"/>
        <v>-1.8666666666666702</v>
      </c>
      <c r="AE251" s="344">
        <v>1</v>
      </c>
      <c r="AF251" s="344">
        <v>1</v>
      </c>
      <c r="AG251" s="345">
        <v>1</v>
      </c>
      <c r="AH251" s="346">
        <v>1</v>
      </c>
      <c r="AI251" s="197">
        <v>1</v>
      </c>
      <c r="AJ251" s="197">
        <v>1</v>
      </c>
      <c r="AK251" s="197">
        <v>2</v>
      </c>
      <c r="AL251" s="197">
        <v>2</v>
      </c>
      <c r="AM251" s="197">
        <v>5</v>
      </c>
      <c r="AN251" s="197">
        <v>9</v>
      </c>
      <c r="AO251" s="197">
        <v>3</v>
      </c>
      <c r="AP251" s="197">
        <v>8</v>
      </c>
      <c r="AQ251" s="197">
        <v>1</v>
      </c>
      <c r="AR251" s="197">
        <v>1</v>
      </c>
      <c r="AS251" s="197">
        <v>1</v>
      </c>
      <c r="AT251" s="197">
        <v>1</v>
      </c>
      <c r="AU251" s="347">
        <v>1</v>
      </c>
      <c r="AV251" s="347">
        <v>1</v>
      </c>
      <c r="AW251" s="347">
        <v>10</v>
      </c>
      <c r="AX251" s="347">
        <v>1</v>
      </c>
      <c r="AY251" s="347">
        <v>3</v>
      </c>
      <c r="AZ251" s="347">
        <v>4</v>
      </c>
      <c r="BA251" s="347">
        <v>1</v>
      </c>
      <c r="BB251" s="347">
        <v>1</v>
      </c>
      <c r="BC251" s="347">
        <v>1</v>
      </c>
    </row>
    <row r="252" spans="1:55" s="381" customFormat="1" ht="17.649999999999999" customHeight="1">
      <c r="A252" s="343">
        <v>192</v>
      </c>
      <c r="B252" s="211" t="s">
        <v>2271</v>
      </c>
      <c r="C252" s="211" t="s">
        <v>2055</v>
      </c>
      <c r="D252" s="211" t="s">
        <v>2056</v>
      </c>
      <c r="E252" s="344">
        <v>18</v>
      </c>
      <c r="F252" s="344">
        <v>14</v>
      </c>
      <c r="G252" s="209">
        <v>3.5</v>
      </c>
      <c r="H252" s="344">
        <v>3.0333333333333301</v>
      </c>
      <c r="I252" s="344">
        <v>2.56666666666667</v>
      </c>
      <c r="J252" s="344">
        <v>1.1666666666666701</v>
      </c>
      <c r="K252" s="344">
        <v>1.86666666666667</v>
      </c>
      <c r="L252" s="344">
        <f t="shared" si="48"/>
        <v>0.43555555555555631</v>
      </c>
      <c r="M252" s="344">
        <v>2.56666666666667</v>
      </c>
      <c r="N252" s="344">
        <v>3.2666666666666702</v>
      </c>
      <c r="O252" s="344">
        <v>3.0333333333333301</v>
      </c>
      <c r="P252" s="344">
        <v>3.0333333333333301</v>
      </c>
      <c r="Q252" s="344">
        <v>3.2666666666666702</v>
      </c>
      <c r="R252" s="344">
        <v>4.2</v>
      </c>
      <c r="S252" s="344">
        <v>4.2</v>
      </c>
      <c r="T252" s="344">
        <v>4.6666666666666696</v>
      </c>
      <c r="U252" s="344">
        <v>5.8333333333333304</v>
      </c>
      <c r="V252" s="344">
        <v>4.43333333333333</v>
      </c>
      <c r="W252" s="344">
        <v>5.8333333333333304</v>
      </c>
      <c r="X252" s="344">
        <v>5.6</v>
      </c>
      <c r="Y252" s="344">
        <v>5.3666666666666698</v>
      </c>
      <c r="Z252" s="344">
        <v>5.1333333333333302</v>
      </c>
      <c r="AA252" s="344">
        <v>4.43333333333333</v>
      </c>
      <c r="AB252" s="344">
        <v>4.2</v>
      </c>
      <c r="AC252" s="344">
        <v>3.0333333333333301</v>
      </c>
      <c r="AD252" s="344">
        <f t="shared" si="49"/>
        <v>-1.1666666666666701</v>
      </c>
      <c r="AE252" s="344">
        <v>5</v>
      </c>
      <c r="AF252" s="344">
        <v>6</v>
      </c>
      <c r="AG252" s="345">
        <v>4</v>
      </c>
      <c r="AH252" s="346">
        <v>7</v>
      </c>
      <c r="AI252" s="197">
        <v>5</v>
      </c>
      <c r="AJ252" s="197">
        <v>2</v>
      </c>
      <c r="AK252" s="197">
        <v>4</v>
      </c>
      <c r="AL252" s="197">
        <v>4</v>
      </c>
      <c r="AM252" s="197">
        <v>1</v>
      </c>
      <c r="AN252" s="197">
        <v>4</v>
      </c>
      <c r="AO252" s="197">
        <v>3</v>
      </c>
      <c r="AP252" s="197">
        <v>2</v>
      </c>
      <c r="AQ252" s="347">
        <v>3</v>
      </c>
      <c r="AR252" s="197">
        <v>2</v>
      </c>
      <c r="AS252" s="197">
        <v>3</v>
      </c>
      <c r="AT252" s="197">
        <v>2</v>
      </c>
      <c r="AU252" s="347">
        <v>3</v>
      </c>
      <c r="AV252" s="347">
        <v>12</v>
      </c>
      <c r="AW252" s="347">
        <v>3</v>
      </c>
      <c r="AX252" s="347">
        <v>8</v>
      </c>
      <c r="AY252" s="347">
        <v>4</v>
      </c>
      <c r="AZ252" s="347">
        <v>5</v>
      </c>
      <c r="BA252" s="347">
        <v>4</v>
      </c>
      <c r="BB252" s="347">
        <v>3</v>
      </c>
      <c r="BC252" s="347">
        <v>4</v>
      </c>
    </row>
    <row r="253" spans="1:55" s="381" customFormat="1" ht="17.649999999999999" customHeight="1">
      <c r="A253" s="343">
        <v>193</v>
      </c>
      <c r="B253" s="211" t="s">
        <v>2272</v>
      </c>
      <c r="C253" s="211" t="s">
        <v>2055</v>
      </c>
      <c r="D253" s="211" t="s">
        <v>2056</v>
      </c>
      <c r="E253" s="344">
        <v>8</v>
      </c>
      <c r="F253" s="344">
        <v>8.6333333333333293</v>
      </c>
      <c r="G253" s="209">
        <v>8.4</v>
      </c>
      <c r="H253" s="344">
        <v>7.4666666666666703</v>
      </c>
      <c r="I253" s="344">
        <v>6.3</v>
      </c>
      <c r="J253" s="344">
        <v>3.2666666666666702</v>
      </c>
      <c r="K253" s="344">
        <v>3.0333333333333301</v>
      </c>
      <c r="L253" s="344">
        <f t="shared" ref="L253:L316" si="50">K253/30*7</f>
        <v>0.70777777777777695</v>
      </c>
      <c r="M253" s="344">
        <v>2.3333333333333299</v>
      </c>
      <c r="N253" s="344">
        <v>3.0333333333333301</v>
      </c>
      <c r="O253" s="344">
        <v>2.1</v>
      </c>
      <c r="P253" s="344">
        <v>1.1666666666666701</v>
      </c>
      <c r="Q253" s="344">
        <v>1.86666666666667</v>
      </c>
      <c r="R253" s="344">
        <v>2.1</v>
      </c>
      <c r="S253" s="344">
        <v>2.56666666666667</v>
      </c>
      <c r="T253" s="344">
        <v>3.2666666666666702</v>
      </c>
      <c r="U253" s="344">
        <v>4.2</v>
      </c>
      <c r="V253" s="344">
        <v>3.5</v>
      </c>
      <c r="W253" s="344">
        <v>2.56666666666667</v>
      </c>
      <c r="X253" s="344">
        <v>3.0333333333333301</v>
      </c>
      <c r="Y253" s="344">
        <v>4.2</v>
      </c>
      <c r="Z253" s="344">
        <v>2.3333333333333299</v>
      </c>
      <c r="AA253" s="344">
        <v>2.56666666666667</v>
      </c>
      <c r="AB253" s="344">
        <v>2.56666666666667</v>
      </c>
      <c r="AC253" s="344">
        <v>2.1</v>
      </c>
      <c r="AD253" s="344">
        <f t="shared" ref="AD253:AD316" si="51">AC253-AB253</f>
        <v>-0.46666666666666989</v>
      </c>
      <c r="AE253" s="344">
        <v>5</v>
      </c>
      <c r="AF253" s="344">
        <v>3</v>
      </c>
      <c r="AG253" s="345">
        <v>3</v>
      </c>
      <c r="AH253" s="346">
        <v>3</v>
      </c>
      <c r="AI253" s="197">
        <v>2</v>
      </c>
      <c r="AJ253" s="197">
        <v>2</v>
      </c>
      <c r="AK253" s="197">
        <v>3</v>
      </c>
      <c r="AL253" s="197">
        <v>3</v>
      </c>
      <c r="AM253" s="197">
        <v>4</v>
      </c>
      <c r="AN253" s="197">
        <v>4</v>
      </c>
      <c r="AO253" s="197">
        <v>5</v>
      </c>
      <c r="AP253" s="197">
        <v>4</v>
      </c>
      <c r="AQ253" s="197">
        <v>4</v>
      </c>
      <c r="AR253" s="197">
        <v>4</v>
      </c>
      <c r="AS253" s="197">
        <v>4</v>
      </c>
      <c r="AT253" s="197">
        <v>4</v>
      </c>
      <c r="AU253" s="347">
        <v>4</v>
      </c>
      <c r="AV253" s="347">
        <v>4</v>
      </c>
      <c r="AW253" s="347">
        <v>4</v>
      </c>
      <c r="AX253" s="347">
        <v>4</v>
      </c>
      <c r="AY253" s="347">
        <v>4</v>
      </c>
      <c r="AZ253" s="347">
        <v>3</v>
      </c>
      <c r="BA253" s="347">
        <v>7</v>
      </c>
      <c r="BB253" s="347">
        <v>6</v>
      </c>
      <c r="BC253" s="347">
        <v>6</v>
      </c>
    </row>
    <row r="254" spans="1:55" s="381" customFormat="1" ht="17.649999999999999" customHeight="1">
      <c r="A254" s="343">
        <v>194</v>
      </c>
      <c r="B254" s="211" t="s">
        <v>2273</v>
      </c>
      <c r="C254" s="211" t="s">
        <v>2055</v>
      </c>
      <c r="D254" s="211" t="s">
        <v>2056</v>
      </c>
      <c r="E254" s="344">
        <v>1</v>
      </c>
      <c r="F254" s="344">
        <v>1.86666666666667</v>
      </c>
      <c r="G254" s="209">
        <v>2.56666666666667</v>
      </c>
      <c r="H254" s="344">
        <v>2.56666666666667</v>
      </c>
      <c r="I254" s="344">
        <v>1.86666666666667</v>
      </c>
      <c r="J254" s="344">
        <v>1.86666666666667</v>
      </c>
      <c r="K254" s="344">
        <v>1.1666666666666701</v>
      </c>
      <c r="L254" s="344">
        <f t="shared" si="50"/>
        <v>0.27222222222222303</v>
      </c>
      <c r="M254" s="344">
        <v>0.233333333333333</v>
      </c>
      <c r="N254" s="344">
        <v>0.233333333333333</v>
      </c>
      <c r="O254" s="344">
        <v>0.233333333333333</v>
      </c>
      <c r="P254" s="344">
        <v>0.233333333333333</v>
      </c>
      <c r="Q254" s="344">
        <v>1.4</v>
      </c>
      <c r="R254" s="344">
        <v>2.3333333333333299</v>
      </c>
      <c r="S254" s="344">
        <v>2.56666666666667</v>
      </c>
      <c r="T254" s="344">
        <v>3.0333333333333301</v>
      </c>
      <c r="U254" s="344">
        <v>3.2666666666666702</v>
      </c>
      <c r="V254" s="344">
        <v>2.1</v>
      </c>
      <c r="W254" s="344">
        <v>2.1</v>
      </c>
      <c r="X254" s="344">
        <v>3.2666666666666702</v>
      </c>
      <c r="Y254" s="344">
        <v>3.2666666666666702</v>
      </c>
      <c r="Z254" s="344">
        <v>3.2666666666666702</v>
      </c>
      <c r="AA254" s="344">
        <v>3.2666666666666702</v>
      </c>
      <c r="AB254" s="344">
        <v>3.5</v>
      </c>
      <c r="AC254" s="344">
        <v>2.3333333333333299</v>
      </c>
      <c r="AD254" s="344">
        <f t="shared" si="51"/>
        <v>-1.1666666666666701</v>
      </c>
      <c r="AE254" s="344">
        <v>3</v>
      </c>
      <c r="AF254" s="344">
        <v>5</v>
      </c>
      <c r="AG254" s="345">
        <v>3</v>
      </c>
      <c r="AH254" s="346">
        <v>3</v>
      </c>
      <c r="AI254" s="197">
        <v>2</v>
      </c>
      <c r="AJ254" s="197">
        <v>2</v>
      </c>
      <c r="AK254" s="197">
        <v>4</v>
      </c>
      <c r="AL254" s="197">
        <v>4</v>
      </c>
      <c r="AM254" s="197">
        <v>8</v>
      </c>
      <c r="AN254" s="197">
        <v>3</v>
      </c>
      <c r="AO254" s="197">
        <v>3</v>
      </c>
      <c r="AP254" s="197">
        <v>3</v>
      </c>
      <c r="AQ254" s="197">
        <v>4</v>
      </c>
      <c r="AR254" s="197">
        <v>5</v>
      </c>
      <c r="AS254" s="197">
        <v>4</v>
      </c>
      <c r="AT254" s="197">
        <v>9</v>
      </c>
      <c r="AU254" s="347">
        <v>4</v>
      </c>
      <c r="AV254" s="347">
        <v>2</v>
      </c>
      <c r="AW254" s="347">
        <v>2</v>
      </c>
      <c r="AX254" s="347">
        <v>2</v>
      </c>
      <c r="AY254" s="347">
        <v>4</v>
      </c>
      <c r="AZ254" s="347">
        <v>2</v>
      </c>
      <c r="BA254" s="347">
        <v>9</v>
      </c>
      <c r="BB254" s="347">
        <v>2</v>
      </c>
      <c r="BC254" s="347">
        <v>2</v>
      </c>
    </row>
    <row r="255" spans="1:55" s="381" customFormat="1" ht="17.649999999999999" customHeight="1">
      <c r="A255" s="343">
        <v>195</v>
      </c>
      <c r="B255" s="211" t="s">
        <v>2274</v>
      </c>
      <c r="C255" s="211" t="s">
        <v>2055</v>
      </c>
      <c r="D255" s="211" t="s">
        <v>2056</v>
      </c>
      <c r="E255" s="344">
        <v>134</v>
      </c>
      <c r="F255" s="344">
        <v>137.9</v>
      </c>
      <c r="G255" s="209">
        <v>135.333333333333</v>
      </c>
      <c r="H255" s="344">
        <v>139.30000000000001</v>
      </c>
      <c r="I255" s="344">
        <v>131.6</v>
      </c>
      <c r="J255" s="344">
        <v>124.833333333333</v>
      </c>
      <c r="K255" s="344">
        <v>129.26666666666699</v>
      </c>
      <c r="L255" s="344">
        <f t="shared" si="50"/>
        <v>30.162222222222297</v>
      </c>
      <c r="M255" s="344">
        <v>109.9</v>
      </c>
      <c r="N255" s="344">
        <v>122.033333333333</v>
      </c>
      <c r="O255" s="344">
        <v>121.8</v>
      </c>
      <c r="P255" s="344">
        <v>125.066666666667</v>
      </c>
      <c r="Q255" s="344">
        <v>166.13333333333301</v>
      </c>
      <c r="R255" s="344">
        <v>178.96666666666701</v>
      </c>
      <c r="S255" s="344">
        <v>188.76666666666699</v>
      </c>
      <c r="T255" s="344">
        <v>198.333333333333</v>
      </c>
      <c r="U255" s="344">
        <v>190.63333333333301</v>
      </c>
      <c r="V255" s="344">
        <v>175.46666666666701</v>
      </c>
      <c r="W255" s="344">
        <v>154.933333333333</v>
      </c>
      <c r="X255" s="344">
        <v>165.9</v>
      </c>
      <c r="Y255" s="344">
        <v>184.8</v>
      </c>
      <c r="Z255" s="344">
        <v>205.1</v>
      </c>
      <c r="AA255" s="344">
        <v>229.6</v>
      </c>
      <c r="AB255" s="344">
        <v>226.333333333333</v>
      </c>
      <c r="AC255" s="344">
        <v>214.433333333333</v>
      </c>
      <c r="AD255" s="344">
        <f t="shared" si="51"/>
        <v>-11.900000000000006</v>
      </c>
      <c r="AE255" s="344">
        <v>6</v>
      </c>
      <c r="AF255" s="344">
        <v>3</v>
      </c>
      <c r="AG255" s="344">
        <v>3</v>
      </c>
      <c r="AH255" s="346">
        <v>4</v>
      </c>
      <c r="AI255" s="197">
        <v>3</v>
      </c>
      <c r="AJ255" s="197">
        <v>5</v>
      </c>
      <c r="AK255" s="197">
        <v>4</v>
      </c>
      <c r="AL255" s="197">
        <v>4</v>
      </c>
      <c r="AM255" s="197">
        <v>2</v>
      </c>
      <c r="AN255" s="197">
        <v>3</v>
      </c>
      <c r="AO255" s="197">
        <v>6</v>
      </c>
      <c r="AP255" s="197">
        <v>4</v>
      </c>
      <c r="AQ255" s="197">
        <v>2</v>
      </c>
      <c r="AR255" s="197">
        <v>10</v>
      </c>
      <c r="AS255" s="197">
        <v>2</v>
      </c>
      <c r="AT255" s="197">
        <v>4</v>
      </c>
      <c r="AU255" s="347">
        <v>4</v>
      </c>
      <c r="AV255" s="347">
        <v>2</v>
      </c>
      <c r="AW255" s="347">
        <v>5</v>
      </c>
      <c r="AX255" s="347">
        <v>6</v>
      </c>
      <c r="AY255" s="347">
        <v>10</v>
      </c>
      <c r="AZ255" s="347">
        <v>6</v>
      </c>
      <c r="BA255" s="347">
        <v>3</v>
      </c>
      <c r="BB255" s="347">
        <v>4</v>
      </c>
      <c r="BC255" s="347">
        <v>5</v>
      </c>
    </row>
    <row r="256" spans="1:55" s="381" customFormat="1" ht="17.649999999999999" customHeight="1">
      <c r="A256" s="343">
        <v>196</v>
      </c>
      <c r="B256" s="211" t="s">
        <v>2275</v>
      </c>
      <c r="C256" s="211" t="s">
        <v>2055</v>
      </c>
      <c r="D256" s="211" t="s">
        <v>2056</v>
      </c>
      <c r="E256" s="344">
        <v>2</v>
      </c>
      <c r="F256" s="344">
        <v>2.1</v>
      </c>
      <c r="G256" s="209">
        <v>2.1</v>
      </c>
      <c r="H256" s="344">
        <v>2.1</v>
      </c>
      <c r="I256" s="344">
        <v>3.2666666666666702</v>
      </c>
      <c r="J256" s="344">
        <v>2.56666666666667</v>
      </c>
      <c r="K256" s="344">
        <v>2.1</v>
      </c>
      <c r="L256" s="344">
        <f t="shared" si="50"/>
        <v>0.49000000000000005</v>
      </c>
      <c r="M256" s="344">
        <v>2.1</v>
      </c>
      <c r="N256" s="344">
        <v>2.1</v>
      </c>
      <c r="O256" s="344">
        <v>1.86666666666667</v>
      </c>
      <c r="P256" s="344">
        <v>2.3333333333333299</v>
      </c>
      <c r="Q256" s="344">
        <v>2.3333333333333299</v>
      </c>
      <c r="R256" s="344">
        <v>3.5</v>
      </c>
      <c r="S256" s="344">
        <v>3.9666666666666699</v>
      </c>
      <c r="T256" s="344">
        <v>3.5</v>
      </c>
      <c r="U256" s="344">
        <v>4.43333333333333</v>
      </c>
      <c r="V256" s="344">
        <v>3.5</v>
      </c>
      <c r="W256" s="344">
        <v>5.1333333333333302</v>
      </c>
      <c r="X256" s="344">
        <v>4.6666666666666696</v>
      </c>
      <c r="Y256" s="344">
        <v>6.3</v>
      </c>
      <c r="Z256" s="344">
        <v>7.93333333333333</v>
      </c>
      <c r="AA256" s="344">
        <v>5.3666666666666698</v>
      </c>
      <c r="AB256" s="344">
        <v>6.3</v>
      </c>
      <c r="AC256" s="344">
        <v>4.6666666666666696</v>
      </c>
      <c r="AD256" s="344">
        <f t="shared" si="51"/>
        <v>-1.6333333333333302</v>
      </c>
      <c r="AE256" s="344">
        <v>3</v>
      </c>
      <c r="AF256" s="344">
        <v>3</v>
      </c>
      <c r="AG256" s="345">
        <v>3</v>
      </c>
      <c r="AH256" s="346">
        <v>4</v>
      </c>
      <c r="AI256" s="197">
        <v>7</v>
      </c>
      <c r="AJ256" s="197">
        <v>10</v>
      </c>
      <c r="AK256" s="197">
        <v>5</v>
      </c>
      <c r="AL256" s="197">
        <v>5</v>
      </c>
      <c r="AM256" s="197">
        <v>5</v>
      </c>
      <c r="AN256" s="197">
        <v>3</v>
      </c>
      <c r="AO256" s="197">
        <v>3</v>
      </c>
      <c r="AP256" s="197">
        <v>3</v>
      </c>
      <c r="AQ256" s="197">
        <v>3</v>
      </c>
      <c r="AR256" s="197">
        <v>7</v>
      </c>
      <c r="AS256" s="197">
        <v>3</v>
      </c>
      <c r="AT256" s="347">
        <v>15</v>
      </c>
      <c r="AU256" s="347">
        <v>3</v>
      </c>
      <c r="AV256" s="347">
        <v>7</v>
      </c>
      <c r="AW256" s="347">
        <v>3</v>
      </c>
      <c r="AX256" s="347">
        <v>3</v>
      </c>
      <c r="AY256" s="347">
        <v>3</v>
      </c>
      <c r="AZ256" s="347">
        <v>3</v>
      </c>
      <c r="BA256" s="347">
        <v>3</v>
      </c>
      <c r="BB256" s="347">
        <v>3</v>
      </c>
      <c r="BC256" s="347">
        <v>3</v>
      </c>
    </row>
    <row r="257" spans="1:55" s="381" customFormat="1" ht="17.649999999999999" customHeight="1">
      <c r="A257" s="343">
        <v>197</v>
      </c>
      <c r="B257" s="211" t="s">
        <v>2276</v>
      </c>
      <c r="C257" s="211" t="s">
        <v>2055</v>
      </c>
      <c r="D257" s="211" t="s">
        <v>2056</v>
      </c>
      <c r="E257" s="344">
        <v>30</v>
      </c>
      <c r="F257" s="344">
        <v>27.766666666666701</v>
      </c>
      <c r="G257" s="209">
        <v>24.966666666666701</v>
      </c>
      <c r="H257" s="344">
        <v>21.7</v>
      </c>
      <c r="I257" s="344">
        <v>23.3333333333333</v>
      </c>
      <c r="J257" s="344">
        <v>24.266666666666701</v>
      </c>
      <c r="K257" s="344">
        <v>23.1</v>
      </c>
      <c r="L257" s="344">
        <f t="shared" si="50"/>
        <v>5.3900000000000006</v>
      </c>
      <c r="M257" s="344">
        <v>21.7</v>
      </c>
      <c r="N257" s="344">
        <v>20.066666666666698</v>
      </c>
      <c r="O257" s="344">
        <v>16.3333333333333</v>
      </c>
      <c r="P257" s="344">
        <v>12.133333333333301</v>
      </c>
      <c r="Q257" s="344">
        <v>13.3</v>
      </c>
      <c r="R257" s="344">
        <v>16.3333333333333</v>
      </c>
      <c r="S257" s="344">
        <v>17.5</v>
      </c>
      <c r="T257" s="344">
        <v>18.433333333333302</v>
      </c>
      <c r="U257" s="344">
        <v>21.233333333333299</v>
      </c>
      <c r="V257" s="344">
        <v>17.5</v>
      </c>
      <c r="W257" s="344">
        <v>13.533333333333299</v>
      </c>
      <c r="X257" s="344">
        <v>15.1666666666667</v>
      </c>
      <c r="Y257" s="344">
        <v>14</v>
      </c>
      <c r="Z257" s="344">
        <v>12.8333333333333</v>
      </c>
      <c r="AA257" s="344">
        <v>10.966666666666701</v>
      </c>
      <c r="AB257" s="344">
        <v>10.266666666666699</v>
      </c>
      <c r="AC257" s="344">
        <v>7.93333333333333</v>
      </c>
      <c r="AD257" s="344">
        <f t="shared" si="51"/>
        <v>-2.3333333333333695</v>
      </c>
      <c r="AE257" s="344">
        <v>1</v>
      </c>
      <c r="AF257" s="344">
        <v>1</v>
      </c>
      <c r="AG257" s="345">
        <v>1</v>
      </c>
      <c r="AH257" s="346">
        <v>1</v>
      </c>
      <c r="AI257" s="197">
        <v>1</v>
      </c>
      <c r="AJ257" s="197">
        <v>1</v>
      </c>
      <c r="AK257" s="197">
        <v>1</v>
      </c>
      <c r="AL257" s="197">
        <v>1</v>
      </c>
      <c r="AM257" s="197">
        <v>1</v>
      </c>
      <c r="AN257" s="197">
        <v>1</v>
      </c>
      <c r="AO257" s="197">
        <v>1</v>
      </c>
      <c r="AP257" s="197">
        <v>1</v>
      </c>
      <c r="AQ257" s="347">
        <v>1</v>
      </c>
      <c r="AR257" s="197">
        <v>1</v>
      </c>
      <c r="AS257" s="197">
        <v>1</v>
      </c>
      <c r="AT257" s="197">
        <v>3</v>
      </c>
      <c r="AU257" s="347">
        <v>2</v>
      </c>
      <c r="AV257" s="347">
        <v>12</v>
      </c>
      <c r="AW257" s="347">
        <v>1</v>
      </c>
      <c r="AX257" s="347">
        <v>1</v>
      </c>
      <c r="AY257" s="347">
        <v>1</v>
      </c>
      <c r="AZ257" s="347">
        <v>2</v>
      </c>
      <c r="BA257" s="347">
        <v>10</v>
      </c>
      <c r="BB257" s="347">
        <v>1</v>
      </c>
      <c r="BC257" s="347">
        <v>1</v>
      </c>
    </row>
    <row r="258" spans="1:55" s="381" customFormat="1" ht="17.649999999999999" customHeight="1">
      <c r="A258" s="343">
        <v>198</v>
      </c>
      <c r="B258" s="211" t="s">
        <v>2277</v>
      </c>
      <c r="C258" s="211" t="s">
        <v>2055</v>
      </c>
      <c r="D258" s="211" t="s">
        <v>2056</v>
      </c>
      <c r="E258" s="344">
        <v>0</v>
      </c>
      <c r="F258" s="344">
        <v>1.4</v>
      </c>
      <c r="G258" s="209">
        <v>2.3333333333333299</v>
      </c>
      <c r="H258" s="344">
        <v>2.56666666666667</v>
      </c>
      <c r="I258" s="344">
        <v>3.2666666666666702</v>
      </c>
      <c r="J258" s="344">
        <v>3.5</v>
      </c>
      <c r="K258" s="344">
        <v>2.56666666666667</v>
      </c>
      <c r="L258" s="344">
        <f t="shared" si="50"/>
        <v>0.59888888888888969</v>
      </c>
      <c r="M258" s="344">
        <v>2.1</v>
      </c>
      <c r="N258" s="344">
        <v>1.86666666666667</v>
      </c>
      <c r="O258" s="344">
        <v>1.86666666666667</v>
      </c>
      <c r="P258" s="344">
        <v>1.4</v>
      </c>
      <c r="Q258" s="344">
        <v>2.56666666666667</v>
      </c>
      <c r="R258" s="344">
        <v>4.2</v>
      </c>
      <c r="S258" s="344">
        <v>5.1333333333333302</v>
      </c>
      <c r="T258" s="344">
        <v>5.6</v>
      </c>
      <c r="U258" s="344">
        <v>5.3666666666666698</v>
      </c>
      <c r="V258" s="344">
        <v>3.5</v>
      </c>
      <c r="W258" s="344">
        <v>3.5</v>
      </c>
      <c r="X258" s="344">
        <v>2.3333333333333299</v>
      </c>
      <c r="Y258" s="344">
        <v>3.0333333333333301</v>
      </c>
      <c r="Z258" s="344">
        <v>2.3333333333333299</v>
      </c>
      <c r="AA258" s="344">
        <v>1.86666666666667</v>
      </c>
      <c r="AB258" s="344">
        <v>3.2666666666666702</v>
      </c>
      <c r="AC258" s="344">
        <v>2.56666666666667</v>
      </c>
      <c r="AD258" s="344">
        <f t="shared" si="51"/>
        <v>-0.70000000000000018</v>
      </c>
      <c r="AE258" s="344">
        <v>3</v>
      </c>
      <c r="AF258" s="344">
        <v>1</v>
      </c>
      <c r="AG258" s="345">
        <v>1</v>
      </c>
      <c r="AH258" s="346">
        <v>2</v>
      </c>
      <c r="AI258" s="197">
        <v>1</v>
      </c>
      <c r="AJ258" s="197">
        <v>1</v>
      </c>
      <c r="AK258" s="197">
        <v>1</v>
      </c>
      <c r="AL258" s="197">
        <v>1</v>
      </c>
      <c r="AM258" s="197">
        <v>1</v>
      </c>
      <c r="AN258" s="197">
        <v>1</v>
      </c>
      <c r="AO258" s="197">
        <v>1</v>
      </c>
      <c r="AP258" s="347">
        <v>1</v>
      </c>
      <c r="AQ258" s="347">
        <v>10</v>
      </c>
      <c r="AR258" s="197">
        <v>9</v>
      </c>
      <c r="AS258" s="197">
        <v>1</v>
      </c>
      <c r="AT258" s="197">
        <v>1</v>
      </c>
      <c r="AU258" s="347">
        <v>2</v>
      </c>
      <c r="AV258" s="347">
        <v>1</v>
      </c>
      <c r="AW258" s="347">
        <v>10</v>
      </c>
      <c r="AX258" s="347">
        <v>1</v>
      </c>
      <c r="AY258" s="347">
        <v>1</v>
      </c>
      <c r="AZ258" s="347">
        <v>1</v>
      </c>
      <c r="BA258" s="347">
        <v>1</v>
      </c>
      <c r="BB258" s="347">
        <v>1</v>
      </c>
      <c r="BC258" s="347">
        <v>1</v>
      </c>
    </row>
    <row r="259" spans="1:55" s="381" customFormat="1" ht="17.649999999999999" customHeight="1">
      <c r="A259" s="343">
        <v>199</v>
      </c>
      <c r="B259" s="211" t="s">
        <v>2278</v>
      </c>
      <c r="C259" s="211" t="s">
        <v>2055</v>
      </c>
      <c r="D259" s="211" t="s">
        <v>2056</v>
      </c>
      <c r="E259" s="344">
        <v>1</v>
      </c>
      <c r="F259" s="344">
        <v>1.86666666666667</v>
      </c>
      <c r="G259" s="209">
        <v>2.1</v>
      </c>
      <c r="H259" s="344">
        <v>2.1</v>
      </c>
      <c r="I259" s="344">
        <v>2.3333333333333299</v>
      </c>
      <c r="J259" s="344">
        <v>1.4</v>
      </c>
      <c r="K259" s="344">
        <v>1.4</v>
      </c>
      <c r="L259" s="344">
        <f t="shared" si="50"/>
        <v>0.32666666666666666</v>
      </c>
      <c r="M259" s="344">
        <v>2.56666666666667</v>
      </c>
      <c r="N259" s="344">
        <v>3.0333333333333301</v>
      </c>
      <c r="O259" s="344">
        <v>2.3333333333333299</v>
      </c>
      <c r="P259" s="344">
        <v>0.233333333333333</v>
      </c>
      <c r="Q259" s="344">
        <v>2.1</v>
      </c>
      <c r="R259" s="344">
        <v>3.2666666666666702</v>
      </c>
      <c r="S259" s="344">
        <v>3.9666666666666699</v>
      </c>
      <c r="T259" s="344">
        <v>3.9666666666666699</v>
      </c>
      <c r="U259" s="344">
        <v>2.3333333333333299</v>
      </c>
      <c r="V259" s="344">
        <v>1.1666666666666701</v>
      </c>
      <c r="W259" s="344">
        <v>0.233333333333333</v>
      </c>
      <c r="X259" s="344">
        <v>0.233333333333333</v>
      </c>
      <c r="Y259" s="344">
        <v>1.4</v>
      </c>
      <c r="Z259" s="344">
        <v>1.86666666666667</v>
      </c>
      <c r="AA259" s="344">
        <v>1.86666666666667</v>
      </c>
      <c r="AB259" s="344">
        <v>2.3333333333333299</v>
      </c>
      <c r="AC259" s="344">
        <v>1.86666666666667</v>
      </c>
      <c r="AD259" s="344">
        <f t="shared" si="51"/>
        <v>-0.4666666666666599</v>
      </c>
      <c r="AE259" s="344">
        <v>1</v>
      </c>
      <c r="AF259" s="344">
        <v>2</v>
      </c>
      <c r="AG259" s="345">
        <v>2</v>
      </c>
      <c r="AH259" s="346">
        <v>1</v>
      </c>
      <c r="AI259" s="197">
        <v>8</v>
      </c>
      <c r="AJ259" s="197">
        <v>2</v>
      </c>
      <c r="AK259" s="197">
        <v>2</v>
      </c>
      <c r="AL259" s="197">
        <v>2</v>
      </c>
      <c r="AM259" s="197">
        <v>6</v>
      </c>
      <c r="AN259" s="197">
        <v>4</v>
      </c>
      <c r="AO259" s="197">
        <v>2</v>
      </c>
      <c r="AP259" s="197">
        <v>2</v>
      </c>
      <c r="AQ259" s="197">
        <v>2</v>
      </c>
      <c r="AR259" s="197">
        <v>2</v>
      </c>
      <c r="AS259" s="197">
        <v>2</v>
      </c>
      <c r="AT259" s="197">
        <v>4</v>
      </c>
      <c r="AU259" s="347">
        <v>3</v>
      </c>
      <c r="AV259" s="347">
        <v>2</v>
      </c>
      <c r="AW259" s="347">
        <v>2</v>
      </c>
      <c r="AX259" s="347">
        <v>10</v>
      </c>
      <c r="AY259" s="347">
        <v>3</v>
      </c>
      <c r="AZ259" s="347">
        <v>11</v>
      </c>
      <c r="BA259" s="347">
        <v>2</v>
      </c>
      <c r="BB259" s="347">
        <v>3</v>
      </c>
      <c r="BC259" s="347">
        <v>2</v>
      </c>
    </row>
    <row r="260" spans="1:55" s="381" customFormat="1" ht="17.649999999999999" customHeight="1">
      <c r="A260" s="343">
        <v>200</v>
      </c>
      <c r="B260" s="211" t="s">
        <v>2279</v>
      </c>
      <c r="C260" s="211" t="s">
        <v>2055</v>
      </c>
      <c r="D260" s="211" t="s">
        <v>2056</v>
      </c>
      <c r="E260" s="344">
        <v>4</v>
      </c>
      <c r="F260" s="344">
        <v>4.6666666666666696</v>
      </c>
      <c r="G260" s="209">
        <v>5.3666666666666698</v>
      </c>
      <c r="H260" s="344">
        <v>4.43333333333333</v>
      </c>
      <c r="I260" s="344">
        <v>5.1333333333333302</v>
      </c>
      <c r="J260" s="344">
        <v>4.6666666666666696</v>
      </c>
      <c r="K260" s="344">
        <v>3.5</v>
      </c>
      <c r="L260" s="344">
        <f t="shared" si="50"/>
        <v>0.81666666666666665</v>
      </c>
      <c r="M260" s="344">
        <v>2.56666666666667</v>
      </c>
      <c r="N260" s="344">
        <v>1.86666666666667</v>
      </c>
      <c r="O260" s="344">
        <v>0.233333333333333</v>
      </c>
      <c r="P260" s="344">
        <v>2.3333333333333299</v>
      </c>
      <c r="Q260" s="344">
        <v>3.0333333333333301</v>
      </c>
      <c r="R260" s="344">
        <v>6.3</v>
      </c>
      <c r="S260" s="344">
        <v>7</v>
      </c>
      <c r="T260" s="344">
        <v>6.3</v>
      </c>
      <c r="U260" s="344">
        <v>6.5333333333333297</v>
      </c>
      <c r="V260" s="344">
        <v>3.5</v>
      </c>
      <c r="W260" s="344">
        <v>2.56666666666667</v>
      </c>
      <c r="X260" s="344">
        <v>2.56666666666667</v>
      </c>
      <c r="Y260" s="344">
        <v>2.1</v>
      </c>
      <c r="Z260" s="344">
        <v>2.3333333333333299</v>
      </c>
      <c r="AA260" s="344">
        <v>3.0333333333333301</v>
      </c>
      <c r="AB260" s="344">
        <v>3.2666666666666702</v>
      </c>
      <c r="AC260" s="344">
        <v>3.2666666666666702</v>
      </c>
      <c r="AD260" s="344">
        <f t="shared" si="51"/>
        <v>0</v>
      </c>
      <c r="AE260" s="344">
        <v>3</v>
      </c>
      <c r="AF260" s="344">
        <v>3</v>
      </c>
      <c r="AG260" s="345">
        <v>3</v>
      </c>
      <c r="AH260" s="346">
        <v>6</v>
      </c>
      <c r="AI260" s="197">
        <v>5</v>
      </c>
      <c r="AJ260" s="197">
        <v>10</v>
      </c>
      <c r="AK260" s="197">
        <v>3</v>
      </c>
      <c r="AL260" s="197">
        <v>3</v>
      </c>
      <c r="AM260" s="197">
        <v>3</v>
      </c>
      <c r="AN260" s="197">
        <v>2</v>
      </c>
      <c r="AO260" s="197">
        <v>2</v>
      </c>
      <c r="AP260" s="197">
        <v>3</v>
      </c>
      <c r="AQ260" s="197">
        <v>3</v>
      </c>
      <c r="AR260" s="197">
        <v>2</v>
      </c>
      <c r="AS260" s="197">
        <v>8</v>
      </c>
      <c r="AT260" s="197">
        <v>2</v>
      </c>
      <c r="AU260" s="347">
        <v>3</v>
      </c>
      <c r="AV260" s="347">
        <v>2</v>
      </c>
      <c r="AW260" s="347">
        <v>7</v>
      </c>
      <c r="AX260" s="347">
        <v>2</v>
      </c>
      <c r="AY260" s="347">
        <v>2</v>
      </c>
      <c r="AZ260" s="347">
        <v>6</v>
      </c>
      <c r="BA260" s="347">
        <v>2</v>
      </c>
      <c r="BB260" s="347">
        <v>3</v>
      </c>
      <c r="BC260" s="347">
        <v>3</v>
      </c>
    </row>
    <row r="261" spans="1:55" s="381" customFormat="1" ht="17.649999999999999" customHeight="1">
      <c r="A261" s="343">
        <v>201</v>
      </c>
      <c r="B261" s="211" t="s">
        <v>2280</v>
      </c>
      <c r="C261" s="211" t="s">
        <v>2061</v>
      </c>
      <c r="D261" s="211" t="s">
        <v>2056</v>
      </c>
      <c r="E261" s="344">
        <v>2706</v>
      </c>
      <c r="F261" s="344">
        <v>2784.13333333333</v>
      </c>
      <c r="G261" s="209">
        <v>2582.3000000000002</v>
      </c>
      <c r="H261" s="344">
        <v>2429.6999999999998</v>
      </c>
      <c r="I261" s="344">
        <v>2256.5666666666698</v>
      </c>
      <c r="J261" s="344">
        <v>2223.4333333333302</v>
      </c>
      <c r="K261" s="344">
        <v>2030.7</v>
      </c>
      <c r="L261" s="344">
        <f t="shared" si="50"/>
        <v>473.83</v>
      </c>
      <c r="M261" s="344">
        <v>1572.43333333333</v>
      </c>
      <c r="N261" s="344">
        <v>2129.1666666666702</v>
      </c>
      <c r="O261" s="344">
        <v>2448.36666666667</v>
      </c>
      <c r="P261" s="344">
        <v>3041.9666666666699</v>
      </c>
      <c r="Q261" s="344">
        <v>4009.6</v>
      </c>
      <c r="R261" s="344">
        <v>4165.9333333333298</v>
      </c>
      <c r="S261" s="344">
        <v>4501.9333333333298</v>
      </c>
      <c r="T261" s="344">
        <v>4642.1666666666697</v>
      </c>
      <c r="U261" s="344">
        <v>4329.7333333333299</v>
      </c>
      <c r="V261" s="344">
        <v>3923.9666666666699</v>
      </c>
      <c r="W261" s="344">
        <v>3350.6666666666702</v>
      </c>
      <c r="X261" s="344">
        <v>3327.5666666666698</v>
      </c>
      <c r="Y261" s="344">
        <v>3109.4</v>
      </c>
      <c r="Z261" s="344">
        <v>3132.0333333333301</v>
      </c>
      <c r="AA261" s="344">
        <v>3036.13333333333</v>
      </c>
      <c r="AB261" s="344">
        <v>2721.6</v>
      </c>
      <c r="AC261" s="344">
        <v>2443</v>
      </c>
      <c r="AD261" s="344">
        <f t="shared" si="51"/>
        <v>-278.59999999999991</v>
      </c>
      <c r="AE261" s="344">
        <v>19</v>
      </c>
      <c r="AF261" s="344">
        <v>9</v>
      </c>
      <c r="AG261" s="345">
        <v>9</v>
      </c>
      <c r="AH261" s="346">
        <v>4</v>
      </c>
      <c r="AI261" s="197">
        <v>3</v>
      </c>
      <c r="AJ261" s="197">
        <v>6</v>
      </c>
      <c r="AK261" s="197">
        <v>6</v>
      </c>
      <c r="AL261" s="197">
        <v>6</v>
      </c>
      <c r="AM261" s="197">
        <v>10</v>
      </c>
      <c r="AN261" s="197">
        <v>10</v>
      </c>
      <c r="AO261" s="197">
        <v>10</v>
      </c>
      <c r="AP261" s="347">
        <v>8</v>
      </c>
      <c r="AQ261" s="197">
        <v>6</v>
      </c>
      <c r="AR261" s="197">
        <v>6</v>
      </c>
      <c r="AS261" s="197">
        <v>6</v>
      </c>
      <c r="AT261" s="347">
        <v>4</v>
      </c>
      <c r="AU261" s="347">
        <v>9</v>
      </c>
      <c r="AV261" s="348">
        <v>20</v>
      </c>
      <c r="AW261" s="347">
        <v>5</v>
      </c>
      <c r="AX261" s="347">
        <v>2</v>
      </c>
      <c r="AY261" s="347">
        <v>2</v>
      </c>
      <c r="AZ261" s="347">
        <v>3</v>
      </c>
      <c r="BA261" s="347">
        <v>8</v>
      </c>
      <c r="BB261" s="347">
        <v>2</v>
      </c>
      <c r="BC261" s="347">
        <v>4</v>
      </c>
    </row>
    <row r="262" spans="1:55" s="381" customFormat="1" ht="17.649999999999999" customHeight="1">
      <c r="A262" s="343">
        <v>202</v>
      </c>
      <c r="B262" s="211" t="s">
        <v>2281</v>
      </c>
      <c r="C262" s="211" t="s">
        <v>2061</v>
      </c>
      <c r="D262" s="211" t="s">
        <v>2063</v>
      </c>
      <c r="E262" s="344">
        <v>516</v>
      </c>
      <c r="F262" s="344">
        <v>524.29999999999995</v>
      </c>
      <c r="G262" s="209">
        <v>497.23333333333301</v>
      </c>
      <c r="H262" s="344">
        <v>468.3</v>
      </c>
      <c r="I262" s="344">
        <v>418.36666666666702</v>
      </c>
      <c r="J262" s="344">
        <v>400.86666666666702</v>
      </c>
      <c r="K262" s="344">
        <v>353.73333333333301</v>
      </c>
      <c r="L262" s="344">
        <f t="shared" si="50"/>
        <v>82.537777777777706</v>
      </c>
      <c r="M262" s="344">
        <v>238.46666666666701</v>
      </c>
      <c r="N262" s="344">
        <v>303.10000000000002</v>
      </c>
      <c r="O262" s="344">
        <v>356.3</v>
      </c>
      <c r="P262" s="344">
        <v>475.53333333333302</v>
      </c>
      <c r="Q262" s="344">
        <v>574</v>
      </c>
      <c r="R262" s="344">
        <v>559.06666666666695</v>
      </c>
      <c r="S262" s="344">
        <v>531.06666666666695</v>
      </c>
      <c r="T262" s="344">
        <v>493.73333333333301</v>
      </c>
      <c r="U262" s="344">
        <v>465.26666666666699</v>
      </c>
      <c r="V262" s="344">
        <v>453.13333333333298</v>
      </c>
      <c r="W262" s="344">
        <v>417.2</v>
      </c>
      <c r="X262" s="344">
        <v>457.566666666667</v>
      </c>
      <c r="Y262" s="344">
        <v>446.36666666666702</v>
      </c>
      <c r="Z262" s="344">
        <v>455.23333333333301</v>
      </c>
      <c r="AA262" s="344">
        <v>464.33333333333297</v>
      </c>
      <c r="AB262" s="344">
        <v>438.9</v>
      </c>
      <c r="AC262" s="344">
        <v>383.83333333333297</v>
      </c>
      <c r="AD262" s="344">
        <f t="shared" si="51"/>
        <v>-55.066666666667004</v>
      </c>
      <c r="AE262" s="344">
        <v>51</v>
      </c>
      <c r="AF262" s="344">
        <v>18</v>
      </c>
      <c r="AG262" s="345">
        <v>51</v>
      </c>
      <c r="AH262" s="346">
        <v>10</v>
      </c>
      <c r="AI262" s="197">
        <v>10</v>
      </c>
      <c r="AJ262" s="197">
        <v>10</v>
      </c>
      <c r="AK262" s="197">
        <v>51</v>
      </c>
      <c r="AL262" s="197">
        <v>10</v>
      </c>
      <c r="AM262" s="197">
        <v>10</v>
      </c>
      <c r="AN262" s="197">
        <v>10</v>
      </c>
      <c r="AO262" s="197">
        <v>10</v>
      </c>
      <c r="AP262" s="347">
        <v>8</v>
      </c>
      <c r="AQ262" s="347">
        <v>23</v>
      </c>
      <c r="AR262" s="197">
        <v>51</v>
      </c>
      <c r="AS262" s="347">
        <v>31</v>
      </c>
      <c r="AT262" s="197">
        <v>51</v>
      </c>
      <c r="AU262" s="197">
        <v>51</v>
      </c>
      <c r="AV262" s="347">
        <v>35</v>
      </c>
      <c r="AW262" s="347">
        <v>4</v>
      </c>
      <c r="AX262" s="347">
        <v>30</v>
      </c>
      <c r="AY262" s="197">
        <v>8</v>
      </c>
      <c r="AZ262" s="197">
        <v>9</v>
      </c>
      <c r="BA262" s="347">
        <v>4</v>
      </c>
      <c r="BB262" s="197">
        <v>51</v>
      </c>
      <c r="BC262" s="347">
        <v>5</v>
      </c>
    </row>
    <row r="263" spans="1:55" s="381" customFormat="1" ht="17.649999999999999" customHeight="1">
      <c r="A263" s="343">
        <v>203</v>
      </c>
      <c r="B263" s="211" t="s">
        <v>2282</v>
      </c>
      <c r="C263" s="211" t="s">
        <v>2061</v>
      </c>
      <c r="D263" s="211" t="s">
        <v>2283</v>
      </c>
      <c r="E263" s="344">
        <v>0</v>
      </c>
      <c r="F263" s="344">
        <v>0.233333333333333</v>
      </c>
      <c r="G263" s="209">
        <v>0.233333333333333</v>
      </c>
      <c r="H263" s="344">
        <v>0.233333333333333</v>
      </c>
      <c r="I263" s="344">
        <v>1.1666666666666701</v>
      </c>
      <c r="J263" s="344">
        <v>1.4</v>
      </c>
      <c r="K263" s="344">
        <v>1.86666666666667</v>
      </c>
      <c r="L263" s="344">
        <f t="shared" si="50"/>
        <v>0.43555555555555631</v>
      </c>
      <c r="M263" s="344">
        <v>1.4</v>
      </c>
      <c r="N263" s="344">
        <v>1.4</v>
      </c>
      <c r="O263" s="344">
        <v>1.1666666666666701</v>
      </c>
      <c r="P263" s="344">
        <v>3.5</v>
      </c>
      <c r="Q263" s="344">
        <v>4.6666666666666696</v>
      </c>
      <c r="R263" s="344">
        <v>7</v>
      </c>
      <c r="S263" s="344">
        <v>7</v>
      </c>
      <c r="T263" s="344">
        <v>4.6666666666666696</v>
      </c>
      <c r="U263" s="344">
        <v>5.3666666666666698</v>
      </c>
      <c r="V263" s="344">
        <v>3.9666666666666699</v>
      </c>
      <c r="W263" s="344">
        <v>5.6</v>
      </c>
      <c r="X263" s="344">
        <v>5.3666666666666698</v>
      </c>
      <c r="Y263" s="344">
        <v>5.3666666666666698</v>
      </c>
      <c r="Z263" s="344">
        <v>5.1333333333333302</v>
      </c>
      <c r="AA263" s="344">
        <v>3.2666666666666702</v>
      </c>
      <c r="AB263" s="344">
        <v>3.2666666666666702</v>
      </c>
      <c r="AC263" s="344">
        <v>3.0333333333333301</v>
      </c>
      <c r="AD263" s="344">
        <f t="shared" si="51"/>
        <v>-0.23333333333334005</v>
      </c>
      <c r="AE263" s="344">
        <v>1</v>
      </c>
      <c r="AF263" s="344">
        <v>3</v>
      </c>
      <c r="AG263" s="345">
        <v>1</v>
      </c>
      <c r="AH263" s="346">
        <v>1</v>
      </c>
      <c r="AI263" s="197">
        <v>1</v>
      </c>
      <c r="AJ263" s="197">
        <v>1</v>
      </c>
      <c r="AK263" s="197">
        <v>1</v>
      </c>
      <c r="AL263" s="197">
        <v>1</v>
      </c>
      <c r="AM263" s="197">
        <v>1</v>
      </c>
      <c r="AN263" s="197">
        <v>1</v>
      </c>
      <c r="AO263" s="197">
        <v>1</v>
      </c>
      <c r="AP263" s="197">
        <v>1</v>
      </c>
      <c r="AQ263" s="197">
        <v>1</v>
      </c>
      <c r="AR263" s="197">
        <v>1</v>
      </c>
      <c r="AS263" s="197">
        <v>1</v>
      </c>
      <c r="AT263" s="197">
        <v>1</v>
      </c>
      <c r="AU263" s="347">
        <v>1</v>
      </c>
      <c r="AV263" s="347">
        <v>1</v>
      </c>
      <c r="AW263" s="347">
        <v>3</v>
      </c>
      <c r="AX263" s="347">
        <v>7</v>
      </c>
      <c r="AY263" s="347">
        <v>1</v>
      </c>
      <c r="AZ263" s="347">
        <v>1</v>
      </c>
      <c r="BA263" s="347">
        <v>1</v>
      </c>
      <c r="BB263" s="347">
        <v>1</v>
      </c>
      <c r="BC263" s="347">
        <v>1</v>
      </c>
    </row>
    <row r="264" spans="1:55" s="381" customFormat="1" ht="17.649999999999999" customHeight="1">
      <c r="A264" s="343">
        <v>204</v>
      </c>
      <c r="B264" s="211" t="s">
        <v>2284</v>
      </c>
      <c r="C264" s="211" t="s">
        <v>2061</v>
      </c>
      <c r="D264" s="211" t="s">
        <v>2283</v>
      </c>
      <c r="E264" s="344">
        <v>1</v>
      </c>
      <c r="F264" s="344">
        <v>1.1666666666666701</v>
      </c>
      <c r="G264" s="209">
        <v>1.86666666666667</v>
      </c>
      <c r="H264" s="344">
        <v>3.5</v>
      </c>
      <c r="I264" s="344">
        <v>3.5</v>
      </c>
      <c r="J264" s="344">
        <v>4.6666666666666696</v>
      </c>
      <c r="K264" s="344">
        <v>4.43333333333333</v>
      </c>
      <c r="L264" s="344">
        <f t="shared" si="50"/>
        <v>1.0344444444444436</v>
      </c>
      <c r="M264" s="344">
        <v>2.56666666666667</v>
      </c>
      <c r="N264" s="344">
        <v>3.0333333333333301</v>
      </c>
      <c r="O264" s="344">
        <v>6.5333333333333297</v>
      </c>
      <c r="P264" s="344">
        <v>13.3</v>
      </c>
      <c r="Q264" s="344">
        <v>17.266666666666701</v>
      </c>
      <c r="R264" s="344">
        <v>20.533333333333299</v>
      </c>
      <c r="S264" s="344">
        <v>23.1</v>
      </c>
      <c r="T264" s="344">
        <v>17.5</v>
      </c>
      <c r="U264" s="344">
        <v>17.266666666666701</v>
      </c>
      <c r="V264" s="344">
        <v>14.9333333333333</v>
      </c>
      <c r="W264" s="344">
        <v>12.133333333333301</v>
      </c>
      <c r="X264" s="344">
        <v>8.4</v>
      </c>
      <c r="Y264" s="344">
        <v>8.4</v>
      </c>
      <c r="Z264" s="344">
        <v>7.93333333333333</v>
      </c>
      <c r="AA264" s="344">
        <v>5.8333333333333304</v>
      </c>
      <c r="AB264" s="344">
        <v>5.8333333333333304</v>
      </c>
      <c r="AC264" s="344">
        <v>3.5</v>
      </c>
      <c r="AD264" s="344">
        <f t="shared" si="51"/>
        <v>-2.3333333333333304</v>
      </c>
      <c r="AE264" s="344">
        <v>51</v>
      </c>
      <c r="AF264" s="344">
        <v>0</v>
      </c>
      <c r="AG264" s="345">
        <v>51</v>
      </c>
      <c r="AH264" s="346">
        <v>51</v>
      </c>
      <c r="AI264" s="197">
        <v>51</v>
      </c>
      <c r="AJ264" s="197">
        <v>51</v>
      </c>
      <c r="AK264" s="197">
        <v>51</v>
      </c>
      <c r="AL264" s="197">
        <v>51</v>
      </c>
      <c r="AM264" s="197">
        <v>51</v>
      </c>
      <c r="AN264" s="197">
        <v>51</v>
      </c>
      <c r="AO264" s="197">
        <v>51</v>
      </c>
      <c r="AP264" s="197">
        <v>51</v>
      </c>
      <c r="AQ264" s="197">
        <v>51</v>
      </c>
      <c r="AR264" s="197">
        <v>51</v>
      </c>
      <c r="AS264" s="197">
        <v>5</v>
      </c>
      <c r="AT264" s="197">
        <v>51</v>
      </c>
      <c r="AU264" s="197">
        <v>51</v>
      </c>
      <c r="AV264" s="197">
        <v>51</v>
      </c>
      <c r="AW264" s="347">
        <v>2</v>
      </c>
      <c r="AX264" s="197">
        <v>51</v>
      </c>
      <c r="AY264" s="347">
        <v>2</v>
      </c>
      <c r="AZ264" s="347">
        <v>4</v>
      </c>
      <c r="BA264" s="347">
        <v>4</v>
      </c>
      <c r="BB264" s="347">
        <v>7</v>
      </c>
      <c r="BC264" s="347">
        <v>7</v>
      </c>
    </row>
    <row r="265" spans="1:55" s="381" customFormat="1" ht="17.649999999999999" customHeight="1">
      <c r="A265" s="343">
        <v>205</v>
      </c>
      <c r="B265" s="211" t="s">
        <v>2285</v>
      </c>
      <c r="C265" s="211" t="s">
        <v>2061</v>
      </c>
      <c r="D265" s="211" t="s">
        <v>2283</v>
      </c>
      <c r="E265" s="344">
        <v>8</v>
      </c>
      <c r="F265" s="344">
        <v>9.56666666666667</v>
      </c>
      <c r="G265" s="209">
        <v>10.733333333333301</v>
      </c>
      <c r="H265" s="344">
        <v>10.733333333333301</v>
      </c>
      <c r="I265" s="344">
        <v>13.0666666666667</v>
      </c>
      <c r="J265" s="344">
        <v>15.1666666666667</v>
      </c>
      <c r="K265" s="344">
        <v>13.3</v>
      </c>
      <c r="L265" s="344">
        <f t="shared" si="50"/>
        <v>3.1033333333333335</v>
      </c>
      <c r="M265" s="344">
        <v>7.7</v>
      </c>
      <c r="N265" s="344">
        <v>7.7</v>
      </c>
      <c r="O265" s="344">
        <v>7.4666666666666703</v>
      </c>
      <c r="P265" s="344">
        <v>13.533333333333299</v>
      </c>
      <c r="Q265" s="344">
        <v>17.733333333333299</v>
      </c>
      <c r="R265" s="344">
        <v>18.899999999999999</v>
      </c>
      <c r="S265" s="344">
        <v>18.433333333333302</v>
      </c>
      <c r="T265" s="344">
        <v>14.233333333333301</v>
      </c>
      <c r="U265" s="344">
        <v>14.233333333333301</v>
      </c>
      <c r="V265" s="344">
        <v>12.366666666666699</v>
      </c>
      <c r="W265" s="344">
        <v>11.2</v>
      </c>
      <c r="X265" s="344">
        <v>9.56666666666667</v>
      </c>
      <c r="Y265" s="344">
        <v>10.733333333333301</v>
      </c>
      <c r="Z265" s="344">
        <v>6.5333333333333297</v>
      </c>
      <c r="AA265" s="344">
        <v>4.2</v>
      </c>
      <c r="AB265" s="344">
        <v>6.3</v>
      </c>
      <c r="AC265" s="344">
        <v>4.2</v>
      </c>
      <c r="AD265" s="344">
        <f t="shared" si="51"/>
        <v>-2.0999999999999996</v>
      </c>
      <c r="AE265" s="344">
        <v>51</v>
      </c>
      <c r="AF265" s="344">
        <v>0</v>
      </c>
      <c r="AG265" s="345">
        <v>51</v>
      </c>
      <c r="AH265" s="346">
        <v>51</v>
      </c>
      <c r="AI265" s="197">
        <v>51</v>
      </c>
      <c r="AJ265" s="197">
        <v>51</v>
      </c>
      <c r="AK265" s="197">
        <v>51</v>
      </c>
      <c r="AL265" s="197">
        <v>51</v>
      </c>
      <c r="AM265" s="197">
        <v>51</v>
      </c>
      <c r="AN265" s="197">
        <v>51</v>
      </c>
      <c r="AO265" s="347">
        <v>1</v>
      </c>
      <c r="AP265" s="197">
        <v>2</v>
      </c>
      <c r="AQ265" s="197">
        <v>2</v>
      </c>
      <c r="AR265" s="347">
        <v>10</v>
      </c>
      <c r="AS265" s="347">
        <v>13</v>
      </c>
      <c r="AT265" s="197">
        <v>2</v>
      </c>
      <c r="AU265" s="347">
        <v>14</v>
      </c>
      <c r="AV265" s="347">
        <v>13</v>
      </c>
      <c r="AW265" s="197">
        <v>51</v>
      </c>
      <c r="AX265" s="197">
        <v>51</v>
      </c>
      <c r="AY265" s="197">
        <v>51</v>
      </c>
      <c r="AZ265" s="197">
        <v>51</v>
      </c>
      <c r="BA265" s="197">
        <v>51</v>
      </c>
      <c r="BB265" s="347">
        <v>2</v>
      </c>
      <c r="BC265" s="347">
        <v>2</v>
      </c>
    </row>
    <row r="266" spans="1:55" s="381" customFormat="1" ht="17.649999999999999" customHeight="1">
      <c r="A266" s="343">
        <v>206</v>
      </c>
      <c r="B266" s="211" t="s">
        <v>2286</v>
      </c>
      <c r="C266" s="211" t="s">
        <v>2061</v>
      </c>
      <c r="D266" s="211" t="s">
        <v>2283</v>
      </c>
      <c r="E266" s="344">
        <v>5</v>
      </c>
      <c r="F266" s="344">
        <v>5.3666666666666698</v>
      </c>
      <c r="G266" s="209">
        <v>5.6</v>
      </c>
      <c r="H266" s="344">
        <v>3.9666666666666699</v>
      </c>
      <c r="I266" s="344">
        <v>4.43333333333333</v>
      </c>
      <c r="J266" s="344">
        <v>4.6666666666666696</v>
      </c>
      <c r="K266" s="344">
        <v>4.6666666666666696</v>
      </c>
      <c r="L266" s="344">
        <f t="shared" si="50"/>
        <v>1.0888888888888895</v>
      </c>
      <c r="M266" s="344">
        <v>2.3333333333333299</v>
      </c>
      <c r="N266" s="344">
        <v>3.5</v>
      </c>
      <c r="O266" s="344">
        <v>3.5</v>
      </c>
      <c r="P266" s="344">
        <v>5.1333333333333302</v>
      </c>
      <c r="Q266" s="344">
        <v>6.3</v>
      </c>
      <c r="R266" s="344">
        <v>7.93333333333333</v>
      </c>
      <c r="S266" s="344">
        <v>7.4666666666666703</v>
      </c>
      <c r="T266" s="344">
        <v>6.5333333333333297</v>
      </c>
      <c r="U266" s="344">
        <v>7.4666666666666703</v>
      </c>
      <c r="V266" s="344">
        <v>6.7666666666666702</v>
      </c>
      <c r="W266" s="344">
        <v>6.7666666666666702</v>
      </c>
      <c r="X266" s="344">
        <v>8.4</v>
      </c>
      <c r="Y266" s="344">
        <v>7.7</v>
      </c>
      <c r="Z266" s="344">
        <v>7.93333333333333</v>
      </c>
      <c r="AA266" s="344">
        <v>7</v>
      </c>
      <c r="AB266" s="344">
        <v>8.6333333333333293</v>
      </c>
      <c r="AC266" s="344">
        <v>7.93333333333333</v>
      </c>
      <c r="AD266" s="344">
        <f t="shared" si="51"/>
        <v>-0.69999999999999929</v>
      </c>
      <c r="AE266" s="344">
        <v>51</v>
      </c>
      <c r="AF266" s="344">
        <v>0</v>
      </c>
      <c r="AG266" s="345">
        <v>51</v>
      </c>
      <c r="AH266" s="346">
        <v>51</v>
      </c>
      <c r="AI266" s="197">
        <v>51</v>
      </c>
      <c r="AJ266" s="197">
        <v>51</v>
      </c>
      <c r="AK266" s="197">
        <v>51</v>
      </c>
      <c r="AL266" s="197">
        <v>51</v>
      </c>
      <c r="AM266" s="197">
        <v>51</v>
      </c>
      <c r="AN266" s="197">
        <v>51</v>
      </c>
      <c r="AO266" s="197">
        <v>51</v>
      </c>
      <c r="AP266" s="197">
        <v>51</v>
      </c>
      <c r="AQ266" s="347">
        <v>35</v>
      </c>
      <c r="AR266" s="197">
        <v>51</v>
      </c>
      <c r="AS266" s="347">
        <v>32</v>
      </c>
      <c r="AT266" s="197">
        <v>51</v>
      </c>
      <c r="AU266" s="197">
        <v>51</v>
      </c>
      <c r="AV266" s="197">
        <v>51</v>
      </c>
      <c r="AW266" s="197">
        <v>51</v>
      </c>
      <c r="AX266" s="197">
        <v>51</v>
      </c>
      <c r="AY266" s="197">
        <v>51</v>
      </c>
      <c r="AZ266" s="197">
        <v>51</v>
      </c>
      <c r="BA266" s="347">
        <v>5</v>
      </c>
      <c r="BB266" s="197">
        <v>51</v>
      </c>
      <c r="BC266" s="347" t="s">
        <v>2287</v>
      </c>
    </row>
    <row r="267" spans="1:55" s="381" customFormat="1" ht="17.649999999999999" customHeight="1">
      <c r="A267" s="343">
        <v>207</v>
      </c>
      <c r="B267" s="211" t="s">
        <v>2288</v>
      </c>
      <c r="C267" s="211" t="s">
        <v>2061</v>
      </c>
      <c r="D267" s="211" t="s">
        <v>2283</v>
      </c>
      <c r="E267" s="344">
        <v>1</v>
      </c>
      <c r="F267" s="344">
        <v>1.1666666666666701</v>
      </c>
      <c r="G267" s="209">
        <v>2.3333333333333299</v>
      </c>
      <c r="H267" s="344">
        <v>3.0333333333333301</v>
      </c>
      <c r="I267" s="344">
        <v>6.3</v>
      </c>
      <c r="J267" s="344">
        <v>7.4666666666666703</v>
      </c>
      <c r="K267" s="344">
        <v>8.6333333333333293</v>
      </c>
      <c r="L267" s="344">
        <f t="shared" si="50"/>
        <v>2.0144444444444436</v>
      </c>
      <c r="M267" s="344">
        <v>4.2</v>
      </c>
      <c r="N267" s="344">
        <v>3.9666666666666699</v>
      </c>
      <c r="O267" s="344">
        <v>3.5</v>
      </c>
      <c r="P267" s="344">
        <v>3.5</v>
      </c>
      <c r="Q267" s="344">
        <v>5.6</v>
      </c>
      <c r="R267" s="344">
        <v>9.1</v>
      </c>
      <c r="S267" s="344">
        <v>9.1</v>
      </c>
      <c r="T267" s="344">
        <v>8.8666666666666707</v>
      </c>
      <c r="U267" s="344">
        <v>8.6333333333333293</v>
      </c>
      <c r="V267" s="344">
        <v>5.3666666666666698</v>
      </c>
      <c r="W267" s="344">
        <v>5.8333333333333304</v>
      </c>
      <c r="X267" s="344">
        <v>5.8333333333333304</v>
      </c>
      <c r="Y267" s="344">
        <v>5.3666666666666698</v>
      </c>
      <c r="Z267" s="344">
        <v>6.3</v>
      </c>
      <c r="AA267" s="344">
        <v>5.6</v>
      </c>
      <c r="AB267" s="344">
        <v>6.5333333333333297</v>
      </c>
      <c r="AC267" s="344">
        <v>5.6</v>
      </c>
      <c r="AD267" s="344">
        <f t="shared" si="51"/>
        <v>-0.93333333333333002</v>
      </c>
      <c r="AE267" s="344">
        <v>51</v>
      </c>
      <c r="AF267" s="344">
        <v>17</v>
      </c>
      <c r="AG267" s="345">
        <v>15</v>
      </c>
      <c r="AH267" s="346">
        <v>10</v>
      </c>
      <c r="AI267" s="197">
        <v>5</v>
      </c>
      <c r="AJ267" s="197">
        <v>51</v>
      </c>
      <c r="AK267" s="197">
        <v>51</v>
      </c>
      <c r="AL267" s="197">
        <v>51</v>
      </c>
      <c r="AM267" s="197">
        <v>2</v>
      </c>
      <c r="AN267" s="197">
        <v>2</v>
      </c>
      <c r="AO267" s="197">
        <v>2</v>
      </c>
      <c r="AP267" s="347">
        <v>34</v>
      </c>
      <c r="AQ267" s="347">
        <v>10</v>
      </c>
      <c r="AR267" s="347">
        <v>12</v>
      </c>
      <c r="AS267" s="197">
        <v>2</v>
      </c>
      <c r="AT267" s="347">
        <v>13</v>
      </c>
      <c r="AU267" s="347">
        <v>12</v>
      </c>
      <c r="AV267" s="347">
        <v>19</v>
      </c>
      <c r="AW267" s="347">
        <v>15</v>
      </c>
      <c r="AX267" s="347">
        <v>41</v>
      </c>
      <c r="AY267" s="347">
        <v>11</v>
      </c>
      <c r="AZ267" s="197">
        <v>51</v>
      </c>
      <c r="BA267" s="347">
        <v>11</v>
      </c>
      <c r="BB267" s="347">
        <v>8</v>
      </c>
      <c r="BC267" s="347">
        <v>10</v>
      </c>
    </row>
    <row r="268" spans="1:55" s="381" customFormat="1" ht="17.649999999999999" customHeight="1">
      <c r="A268" s="343">
        <v>208</v>
      </c>
      <c r="B268" s="211" t="s">
        <v>2289</v>
      </c>
      <c r="C268" s="211" t="s">
        <v>2061</v>
      </c>
      <c r="D268" s="211" t="s">
        <v>2283</v>
      </c>
      <c r="E268" s="344">
        <v>106</v>
      </c>
      <c r="F268" s="344">
        <v>108.73333333333299</v>
      </c>
      <c r="G268" s="209">
        <v>98.7</v>
      </c>
      <c r="H268" s="344">
        <v>97.766666666666694</v>
      </c>
      <c r="I268" s="344">
        <v>99.866666666666703</v>
      </c>
      <c r="J268" s="344">
        <v>112</v>
      </c>
      <c r="K268" s="344">
        <v>101.033333333333</v>
      </c>
      <c r="L268" s="344">
        <f t="shared" si="50"/>
        <v>23.574444444444367</v>
      </c>
      <c r="M268" s="344">
        <v>87.966666666666697</v>
      </c>
      <c r="N268" s="344">
        <v>132.53333333333299</v>
      </c>
      <c r="O268" s="344">
        <v>164.5</v>
      </c>
      <c r="P268" s="344">
        <v>233.1</v>
      </c>
      <c r="Q268" s="344">
        <v>282.10000000000002</v>
      </c>
      <c r="R268" s="344">
        <v>253.63333333333301</v>
      </c>
      <c r="S268" s="344">
        <v>210.7</v>
      </c>
      <c r="T268" s="344">
        <v>178.73333333333301</v>
      </c>
      <c r="U268" s="344">
        <v>161.69999999999999</v>
      </c>
      <c r="V268" s="344">
        <v>156.1</v>
      </c>
      <c r="W268" s="344">
        <v>155.166666666667</v>
      </c>
      <c r="X268" s="344">
        <v>161.23333333333301</v>
      </c>
      <c r="Y268" s="344">
        <v>151.19999999999999</v>
      </c>
      <c r="Z268" s="344">
        <v>145.833333333333</v>
      </c>
      <c r="AA268" s="344">
        <v>144.9</v>
      </c>
      <c r="AB268" s="344">
        <v>144.19999999999999</v>
      </c>
      <c r="AC268" s="344">
        <v>147</v>
      </c>
      <c r="AD268" s="344">
        <f t="shared" si="51"/>
        <v>2.8000000000000114</v>
      </c>
      <c r="AE268" s="344">
        <v>22</v>
      </c>
      <c r="AF268" s="344">
        <v>0</v>
      </c>
      <c r="AG268" s="345">
        <v>10</v>
      </c>
      <c r="AH268" s="346">
        <v>51</v>
      </c>
      <c r="AI268" s="197">
        <v>51</v>
      </c>
      <c r="AJ268" s="197">
        <v>6</v>
      </c>
      <c r="AK268" s="197">
        <v>51</v>
      </c>
      <c r="AL268" s="197">
        <v>10</v>
      </c>
      <c r="AM268" s="197">
        <v>10</v>
      </c>
      <c r="AN268" s="197">
        <v>8</v>
      </c>
      <c r="AO268" s="197">
        <v>8</v>
      </c>
      <c r="AP268" s="197">
        <v>51</v>
      </c>
      <c r="AQ268" s="347">
        <v>4</v>
      </c>
      <c r="AR268" s="197">
        <v>51</v>
      </c>
      <c r="AS268" s="347">
        <v>13</v>
      </c>
      <c r="AT268" s="197">
        <v>4</v>
      </c>
      <c r="AU268" s="347">
        <v>3</v>
      </c>
      <c r="AV268" s="347">
        <v>40</v>
      </c>
      <c r="AW268" s="347">
        <v>3</v>
      </c>
      <c r="AX268" s="347">
        <v>10</v>
      </c>
      <c r="AY268" s="197">
        <v>51</v>
      </c>
      <c r="AZ268" s="347">
        <v>44</v>
      </c>
      <c r="BA268" s="347">
        <v>2</v>
      </c>
      <c r="BB268" s="347">
        <v>8</v>
      </c>
      <c r="BC268" s="347">
        <v>7</v>
      </c>
    </row>
    <row r="269" spans="1:55" s="381" customFormat="1" ht="17.649999999999999" customHeight="1">
      <c r="A269" s="343">
        <v>209</v>
      </c>
      <c r="B269" s="211" t="s">
        <v>2290</v>
      </c>
      <c r="C269" s="211" t="s">
        <v>2061</v>
      </c>
      <c r="D269" s="211" t="s">
        <v>2056</v>
      </c>
      <c r="E269" s="344">
        <v>529</v>
      </c>
      <c r="F269" s="344">
        <v>532.46666666666704</v>
      </c>
      <c r="G269" s="209">
        <v>478.1</v>
      </c>
      <c r="H269" s="344">
        <v>414.86666666666702</v>
      </c>
      <c r="I269" s="344">
        <v>351.16666666666703</v>
      </c>
      <c r="J269" s="344">
        <v>315</v>
      </c>
      <c r="K269" s="344">
        <v>261.33333333333297</v>
      </c>
      <c r="L269" s="344">
        <f t="shared" si="50"/>
        <v>60.977777777777696</v>
      </c>
      <c r="M269" s="344">
        <v>221.433333333333</v>
      </c>
      <c r="N269" s="344">
        <v>354.9</v>
      </c>
      <c r="O269" s="344">
        <v>437.03333333333302</v>
      </c>
      <c r="P269" s="344">
        <v>581.70000000000005</v>
      </c>
      <c r="Q269" s="344">
        <v>695.1</v>
      </c>
      <c r="R269" s="344">
        <v>610.4</v>
      </c>
      <c r="S269" s="344">
        <v>590.1</v>
      </c>
      <c r="T269" s="344">
        <v>563.26666666666699</v>
      </c>
      <c r="U269" s="344">
        <v>548.33333333333303</v>
      </c>
      <c r="V269" s="344">
        <v>547.4</v>
      </c>
      <c r="W269" s="344">
        <v>529.20000000000005</v>
      </c>
      <c r="X269" s="344">
        <v>587.06666666666695</v>
      </c>
      <c r="Y269" s="344">
        <v>613.43333333333305</v>
      </c>
      <c r="Z269" s="344">
        <v>687.4</v>
      </c>
      <c r="AA269" s="344">
        <v>733.13333333333298</v>
      </c>
      <c r="AB269" s="344">
        <v>700</v>
      </c>
      <c r="AC269" s="344">
        <v>643.53333333333296</v>
      </c>
      <c r="AD269" s="344">
        <f t="shared" si="51"/>
        <v>-56.466666666667038</v>
      </c>
      <c r="AE269" s="344">
        <v>3</v>
      </c>
      <c r="AF269" s="344">
        <v>3</v>
      </c>
      <c r="AG269" s="345">
        <v>1</v>
      </c>
      <c r="AH269" s="346">
        <v>2</v>
      </c>
      <c r="AI269" s="197">
        <v>1</v>
      </c>
      <c r="AJ269" s="197">
        <v>1</v>
      </c>
      <c r="AK269" s="197">
        <v>1</v>
      </c>
      <c r="AL269" s="197">
        <v>1</v>
      </c>
      <c r="AM269" s="197">
        <v>1</v>
      </c>
      <c r="AN269" s="197">
        <v>4</v>
      </c>
      <c r="AO269" s="197">
        <v>3</v>
      </c>
      <c r="AP269" s="347">
        <v>2</v>
      </c>
      <c r="AQ269" s="197">
        <v>1</v>
      </c>
      <c r="AR269" s="197">
        <v>1</v>
      </c>
      <c r="AS269" s="197">
        <v>2</v>
      </c>
      <c r="AT269" s="197">
        <v>1</v>
      </c>
      <c r="AU269" s="347">
        <v>1</v>
      </c>
      <c r="AV269" s="347">
        <v>1</v>
      </c>
      <c r="AW269" s="347">
        <v>1</v>
      </c>
      <c r="AX269" s="347">
        <v>1</v>
      </c>
      <c r="AY269" s="347">
        <v>1</v>
      </c>
      <c r="AZ269" s="347">
        <v>2</v>
      </c>
      <c r="BA269" s="347">
        <v>1</v>
      </c>
      <c r="BB269" s="347">
        <v>1</v>
      </c>
      <c r="BC269" s="347">
        <v>2</v>
      </c>
    </row>
    <row r="270" spans="1:55" s="381" customFormat="1" ht="17.649999999999999" customHeight="1">
      <c r="A270" s="343">
        <v>210</v>
      </c>
      <c r="B270" s="211" t="s">
        <v>2291</v>
      </c>
      <c r="C270" s="211" t="s">
        <v>2061</v>
      </c>
      <c r="D270" s="211" t="s">
        <v>2283</v>
      </c>
      <c r="E270" s="344">
        <v>18</v>
      </c>
      <c r="F270" s="344">
        <v>21</v>
      </c>
      <c r="G270" s="209">
        <v>16.3333333333333</v>
      </c>
      <c r="H270" s="344">
        <v>18.899999999999999</v>
      </c>
      <c r="I270" s="344">
        <v>23.1</v>
      </c>
      <c r="J270" s="344">
        <v>23.3333333333333</v>
      </c>
      <c r="K270" s="344">
        <v>22.1666666666667</v>
      </c>
      <c r="L270" s="344">
        <f t="shared" si="50"/>
        <v>5.1722222222222305</v>
      </c>
      <c r="M270" s="344">
        <v>14.233333333333301</v>
      </c>
      <c r="N270" s="344">
        <v>25.433333333333302</v>
      </c>
      <c r="O270" s="344">
        <v>30.8</v>
      </c>
      <c r="P270" s="344">
        <v>37.3333333333333</v>
      </c>
      <c r="Q270" s="344">
        <v>48.3</v>
      </c>
      <c r="R270" s="344">
        <v>53.9</v>
      </c>
      <c r="S270" s="344">
        <v>85.4</v>
      </c>
      <c r="T270" s="344">
        <v>120.4</v>
      </c>
      <c r="U270" s="344">
        <v>141.63333333333301</v>
      </c>
      <c r="V270" s="344">
        <v>142.333333333333</v>
      </c>
      <c r="W270" s="344">
        <v>128.566666666667</v>
      </c>
      <c r="X270" s="344">
        <v>105.23333333333299</v>
      </c>
      <c r="Y270" s="344">
        <v>85.633333333333297</v>
      </c>
      <c r="Z270" s="344">
        <v>82.133333333333297</v>
      </c>
      <c r="AA270" s="344">
        <v>84.933333333333294</v>
      </c>
      <c r="AB270" s="344">
        <v>77</v>
      </c>
      <c r="AC270" s="344">
        <v>68.8333333333333</v>
      </c>
      <c r="AD270" s="344">
        <f t="shared" si="51"/>
        <v>-8.1666666666666998</v>
      </c>
      <c r="AE270" s="344">
        <v>13</v>
      </c>
      <c r="AF270" s="344">
        <v>48</v>
      </c>
      <c r="AG270" s="345">
        <v>12</v>
      </c>
      <c r="AH270" s="346">
        <v>8</v>
      </c>
      <c r="AI270" s="197">
        <v>10</v>
      </c>
      <c r="AJ270" s="197">
        <v>10</v>
      </c>
      <c r="AK270" s="197">
        <v>9</v>
      </c>
      <c r="AL270" s="197">
        <v>9</v>
      </c>
      <c r="AM270" s="197">
        <v>5</v>
      </c>
      <c r="AN270" s="197">
        <v>15</v>
      </c>
      <c r="AO270" s="197">
        <v>5</v>
      </c>
      <c r="AP270" s="197">
        <v>9</v>
      </c>
      <c r="AQ270" s="347">
        <v>24</v>
      </c>
      <c r="AR270" s="347">
        <v>12</v>
      </c>
      <c r="AS270" s="347">
        <v>15</v>
      </c>
      <c r="AT270" s="347">
        <v>38</v>
      </c>
      <c r="AU270" s="347">
        <v>14</v>
      </c>
      <c r="AV270" s="347">
        <v>14</v>
      </c>
      <c r="AW270" s="347">
        <v>17</v>
      </c>
      <c r="AX270" s="347">
        <v>8</v>
      </c>
      <c r="AY270" s="347">
        <v>48</v>
      </c>
      <c r="AZ270" s="347">
        <v>1</v>
      </c>
      <c r="BA270" s="347">
        <v>16</v>
      </c>
      <c r="BB270" s="347">
        <v>7</v>
      </c>
      <c r="BC270" s="347">
        <v>7</v>
      </c>
    </row>
    <row r="271" spans="1:55" s="381" customFormat="1" ht="17.649999999999999" customHeight="1">
      <c r="A271" s="343">
        <v>211</v>
      </c>
      <c r="B271" s="211" t="s">
        <v>2292</v>
      </c>
      <c r="C271" s="211" t="s">
        <v>2061</v>
      </c>
      <c r="D271" s="211" t="s">
        <v>2283</v>
      </c>
      <c r="E271" s="344">
        <v>1</v>
      </c>
      <c r="F271" s="344">
        <v>1.4</v>
      </c>
      <c r="G271" s="209">
        <v>2.1</v>
      </c>
      <c r="H271" s="344">
        <v>2.1</v>
      </c>
      <c r="I271" s="344">
        <v>1.86666666666667</v>
      </c>
      <c r="J271" s="344">
        <v>1.86666666666667</v>
      </c>
      <c r="K271" s="344">
        <v>2.1</v>
      </c>
      <c r="L271" s="344">
        <f t="shared" si="50"/>
        <v>0.49000000000000005</v>
      </c>
      <c r="M271" s="344">
        <v>1.1666666666666701</v>
      </c>
      <c r="N271" s="344">
        <v>1.86666666666667</v>
      </c>
      <c r="O271" s="344">
        <v>1.1666666666666701</v>
      </c>
      <c r="P271" s="344">
        <v>2.3333333333333299</v>
      </c>
      <c r="Q271" s="344">
        <v>3.5</v>
      </c>
      <c r="R271" s="344">
        <v>5.3666666666666698</v>
      </c>
      <c r="S271" s="344">
        <v>7.93333333333333</v>
      </c>
      <c r="T271" s="344">
        <v>7.4666666666666703</v>
      </c>
      <c r="U271" s="344">
        <v>6.5333333333333297</v>
      </c>
      <c r="V271" s="344">
        <v>4.2</v>
      </c>
      <c r="W271" s="344">
        <v>1.86666666666667</v>
      </c>
      <c r="X271" s="344">
        <v>1.4</v>
      </c>
      <c r="Y271" s="344">
        <v>1.86666666666667</v>
      </c>
      <c r="Z271" s="344">
        <v>3.2666666666666702</v>
      </c>
      <c r="AA271" s="344">
        <v>3.0333333333333301</v>
      </c>
      <c r="AB271" s="344">
        <v>3.9666666666666699</v>
      </c>
      <c r="AC271" s="344">
        <v>3.2666666666666702</v>
      </c>
      <c r="AD271" s="344">
        <f t="shared" si="51"/>
        <v>-0.69999999999999973</v>
      </c>
      <c r="AE271" s="344">
        <v>45</v>
      </c>
      <c r="AF271" s="344">
        <v>0</v>
      </c>
      <c r="AG271" s="345">
        <v>1</v>
      </c>
      <c r="AH271" s="346">
        <v>3</v>
      </c>
      <c r="AI271" s="197">
        <v>3</v>
      </c>
      <c r="AJ271" s="197">
        <v>4</v>
      </c>
      <c r="AK271" s="197">
        <v>1</v>
      </c>
      <c r="AL271" s="197">
        <v>1</v>
      </c>
      <c r="AM271" s="197">
        <v>2</v>
      </c>
      <c r="AN271" s="197">
        <v>10</v>
      </c>
      <c r="AO271" s="197">
        <v>4</v>
      </c>
      <c r="AP271" s="197">
        <v>1</v>
      </c>
      <c r="AQ271" s="347">
        <v>2</v>
      </c>
      <c r="AR271" s="197">
        <v>2</v>
      </c>
      <c r="AS271" s="197">
        <v>10</v>
      </c>
      <c r="AT271" s="197">
        <v>4</v>
      </c>
      <c r="AU271" s="347">
        <v>1</v>
      </c>
      <c r="AV271" s="347">
        <v>1</v>
      </c>
      <c r="AW271" s="347">
        <v>1</v>
      </c>
      <c r="AX271" s="347">
        <v>1</v>
      </c>
      <c r="AY271" s="347">
        <v>1</v>
      </c>
      <c r="AZ271" s="347">
        <v>1</v>
      </c>
      <c r="BA271" s="347">
        <v>4</v>
      </c>
      <c r="BB271" s="347">
        <v>1</v>
      </c>
      <c r="BC271" s="347">
        <v>1</v>
      </c>
    </row>
    <row r="272" spans="1:55" s="381" customFormat="1" ht="17.649999999999999" customHeight="1">
      <c r="A272" s="343">
        <v>212</v>
      </c>
      <c r="B272" s="211" t="s">
        <v>2293</v>
      </c>
      <c r="C272" s="211" t="s">
        <v>2061</v>
      </c>
      <c r="D272" s="211" t="s">
        <v>2283</v>
      </c>
      <c r="E272" s="344">
        <v>94</v>
      </c>
      <c r="F272" s="344">
        <v>107.566666666667</v>
      </c>
      <c r="G272" s="209">
        <v>106.166666666667</v>
      </c>
      <c r="H272" s="344">
        <v>110.133333333333</v>
      </c>
      <c r="I272" s="344">
        <v>76.533333333333303</v>
      </c>
      <c r="J272" s="344">
        <v>59.266666666666701</v>
      </c>
      <c r="K272" s="344">
        <v>49</v>
      </c>
      <c r="L272" s="344">
        <f t="shared" si="50"/>
        <v>11.433333333333334</v>
      </c>
      <c r="M272" s="344">
        <v>34.766666666666701</v>
      </c>
      <c r="N272" s="344">
        <v>36.633333333333297</v>
      </c>
      <c r="O272" s="344">
        <v>32.6666666666667</v>
      </c>
      <c r="P272" s="344">
        <v>28.7</v>
      </c>
      <c r="Q272" s="344">
        <v>36.4</v>
      </c>
      <c r="R272" s="344">
        <v>33.8333333333333</v>
      </c>
      <c r="S272" s="344">
        <v>29.633333333333301</v>
      </c>
      <c r="T272" s="344">
        <v>31.966666666666701</v>
      </c>
      <c r="U272" s="344">
        <v>31.966666666666701</v>
      </c>
      <c r="V272" s="344">
        <v>26.6</v>
      </c>
      <c r="W272" s="344">
        <v>23.1</v>
      </c>
      <c r="X272" s="344">
        <v>26.366666666666699</v>
      </c>
      <c r="Y272" s="344">
        <v>20.066666666666698</v>
      </c>
      <c r="Z272" s="344">
        <v>21.233333333333299</v>
      </c>
      <c r="AA272" s="344">
        <v>22.1666666666667</v>
      </c>
      <c r="AB272" s="344">
        <v>21</v>
      </c>
      <c r="AC272" s="344">
        <v>17.733333333333299</v>
      </c>
      <c r="AD272" s="344">
        <f t="shared" si="51"/>
        <v>-3.2666666666667012</v>
      </c>
      <c r="AE272" s="344">
        <v>16</v>
      </c>
      <c r="AF272" s="344">
        <v>0</v>
      </c>
      <c r="AG272" s="345">
        <v>2</v>
      </c>
      <c r="AH272" s="346">
        <v>2</v>
      </c>
      <c r="AI272" s="197">
        <v>1</v>
      </c>
      <c r="AJ272" s="197">
        <v>1</v>
      </c>
      <c r="AK272" s="197">
        <v>1</v>
      </c>
      <c r="AL272" s="197">
        <v>1</v>
      </c>
      <c r="AM272" s="197">
        <v>1</v>
      </c>
      <c r="AN272" s="197">
        <v>1</v>
      </c>
      <c r="AO272" s="197">
        <v>3</v>
      </c>
      <c r="AP272" s="347">
        <v>1</v>
      </c>
      <c r="AQ272" s="197">
        <v>1</v>
      </c>
      <c r="AR272" s="197">
        <v>4</v>
      </c>
      <c r="AS272" s="347">
        <v>1</v>
      </c>
      <c r="AT272" s="197">
        <v>1</v>
      </c>
      <c r="AU272" s="347">
        <v>1</v>
      </c>
      <c r="AV272" s="347">
        <v>1</v>
      </c>
      <c r="AW272" s="347">
        <v>1</v>
      </c>
      <c r="AX272" s="347">
        <v>3</v>
      </c>
      <c r="AY272" s="347">
        <v>1</v>
      </c>
      <c r="AZ272" s="347">
        <v>3</v>
      </c>
      <c r="BA272" s="347">
        <v>3</v>
      </c>
      <c r="BB272" s="347">
        <v>8</v>
      </c>
      <c r="BC272" s="347">
        <v>8</v>
      </c>
    </row>
    <row r="273" spans="1:55" s="381" customFormat="1" ht="17.649999999999999" customHeight="1">
      <c r="A273" s="343">
        <v>213</v>
      </c>
      <c r="B273" s="211" t="s">
        <v>2294</v>
      </c>
      <c r="C273" s="211" t="s">
        <v>2061</v>
      </c>
      <c r="D273" s="211" t="s">
        <v>2283</v>
      </c>
      <c r="E273" s="344">
        <v>3</v>
      </c>
      <c r="F273" s="344">
        <v>3.0333333333333301</v>
      </c>
      <c r="G273" s="209">
        <v>2.56666666666667</v>
      </c>
      <c r="H273" s="344">
        <v>3.0333333333333301</v>
      </c>
      <c r="I273" s="344">
        <v>4.43333333333333</v>
      </c>
      <c r="J273" s="344">
        <v>5.3666666666666698</v>
      </c>
      <c r="K273" s="344">
        <v>5.1333333333333302</v>
      </c>
      <c r="L273" s="344">
        <f t="shared" si="50"/>
        <v>1.1977777777777772</v>
      </c>
      <c r="M273" s="344">
        <v>4.2</v>
      </c>
      <c r="N273" s="344">
        <v>4.43333333333333</v>
      </c>
      <c r="O273" s="344">
        <v>4.2</v>
      </c>
      <c r="P273" s="344">
        <v>5.1333333333333302</v>
      </c>
      <c r="Q273" s="344">
        <v>6.3</v>
      </c>
      <c r="R273" s="344">
        <v>7.4666666666666703</v>
      </c>
      <c r="S273" s="344">
        <v>7</v>
      </c>
      <c r="T273" s="344">
        <v>5.6</v>
      </c>
      <c r="U273" s="344">
        <v>5.1333333333333302</v>
      </c>
      <c r="V273" s="344">
        <v>2.3333333333333299</v>
      </c>
      <c r="W273" s="344">
        <v>3.9666666666666699</v>
      </c>
      <c r="X273" s="344">
        <v>4.6666666666666696</v>
      </c>
      <c r="Y273" s="344">
        <v>6.7666666666666702</v>
      </c>
      <c r="Z273" s="344">
        <v>7.93333333333333</v>
      </c>
      <c r="AA273" s="344">
        <v>6.3</v>
      </c>
      <c r="AB273" s="344">
        <v>5.8333333333333304</v>
      </c>
      <c r="AC273" s="344">
        <v>3.9666666666666699</v>
      </c>
      <c r="AD273" s="344">
        <f t="shared" si="51"/>
        <v>-1.8666666666666605</v>
      </c>
      <c r="AE273" s="344">
        <v>51</v>
      </c>
      <c r="AF273" s="344">
        <v>0</v>
      </c>
      <c r="AG273" s="345">
        <v>51</v>
      </c>
      <c r="AH273" s="346">
        <v>51</v>
      </c>
      <c r="AI273" s="197">
        <v>51</v>
      </c>
      <c r="AJ273" s="197">
        <v>51</v>
      </c>
      <c r="AK273" s="197">
        <v>51</v>
      </c>
      <c r="AL273" s="197">
        <v>51</v>
      </c>
      <c r="AM273" s="197">
        <v>51</v>
      </c>
      <c r="AN273" s="197">
        <v>51</v>
      </c>
      <c r="AO273" s="197">
        <v>51</v>
      </c>
      <c r="AP273" s="197">
        <v>51</v>
      </c>
      <c r="AQ273" s="197">
        <v>51</v>
      </c>
      <c r="AR273" s="197">
        <v>51</v>
      </c>
      <c r="AS273" s="197">
        <v>51</v>
      </c>
      <c r="AT273" s="197">
        <v>51</v>
      </c>
      <c r="AU273" s="197">
        <v>51</v>
      </c>
      <c r="AV273" s="197">
        <v>51</v>
      </c>
      <c r="AW273" s="197">
        <v>51</v>
      </c>
      <c r="AX273" s="197">
        <v>51</v>
      </c>
      <c r="AY273" s="197">
        <v>51</v>
      </c>
      <c r="AZ273" s="197">
        <v>51</v>
      </c>
      <c r="BA273" s="197">
        <v>51</v>
      </c>
      <c r="BB273" s="347">
        <v>7</v>
      </c>
      <c r="BC273" s="347">
        <v>7</v>
      </c>
    </row>
    <row r="274" spans="1:55" s="381" customFormat="1" ht="17.649999999999999" customHeight="1">
      <c r="A274" s="343">
        <v>214</v>
      </c>
      <c r="B274" s="211" t="s">
        <v>2295</v>
      </c>
      <c r="C274" s="211" t="s">
        <v>2061</v>
      </c>
      <c r="D274" s="211" t="s">
        <v>2283</v>
      </c>
      <c r="E274" s="344">
        <v>3</v>
      </c>
      <c r="F274" s="344">
        <v>5.3666666666666698</v>
      </c>
      <c r="G274" s="209">
        <v>10.266666666666699</v>
      </c>
      <c r="H274" s="344">
        <v>11.2</v>
      </c>
      <c r="I274" s="344">
        <v>15.1666666666667</v>
      </c>
      <c r="J274" s="344">
        <v>21.7</v>
      </c>
      <c r="K274" s="344">
        <v>25.433333333333302</v>
      </c>
      <c r="L274" s="344">
        <f t="shared" si="50"/>
        <v>5.9344444444444369</v>
      </c>
      <c r="M274" s="344">
        <v>27.066666666666698</v>
      </c>
      <c r="N274" s="344">
        <v>36.1666666666667</v>
      </c>
      <c r="O274" s="344">
        <v>38.033333333333303</v>
      </c>
      <c r="P274" s="344">
        <v>34.766666666666701</v>
      </c>
      <c r="Q274" s="344">
        <v>32.9</v>
      </c>
      <c r="R274" s="344">
        <v>21.933333333333302</v>
      </c>
      <c r="S274" s="344">
        <v>6.5333333333333297</v>
      </c>
      <c r="T274" s="344">
        <v>5.1333333333333302</v>
      </c>
      <c r="U274" s="344">
        <v>5.1333333333333302</v>
      </c>
      <c r="V274" s="344">
        <v>4.43333333333333</v>
      </c>
      <c r="W274" s="344">
        <v>6.3</v>
      </c>
      <c r="X274" s="344">
        <v>12.8333333333333</v>
      </c>
      <c r="Y274" s="344">
        <v>15.4</v>
      </c>
      <c r="Z274" s="344">
        <v>18.433333333333302</v>
      </c>
      <c r="AA274" s="344">
        <v>16.100000000000001</v>
      </c>
      <c r="AB274" s="344">
        <v>11.6666666666667</v>
      </c>
      <c r="AC274" s="344">
        <v>7</v>
      </c>
      <c r="AD274" s="344">
        <f t="shared" si="51"/>
        <v>-4.6666666666666998</v>
      </c>
      <c r="AE274" s="344">
        <v>51</v>
      </c>
      <c r="AF274" s="344">
        <v>0</v>
      </c>
      <c r="AG274" s="345">
        <v>51</v>
      </c>
      <c r="AH274" s="346">
        <v>51</v>
      </c>
      <c r="AI274" s="197">
        <v>51</v>
      </c>
      <c r="AJ274" s="197">
        <v>51</v>
      </c>
      <c r="AK274" s="197">
        <v>51</v>
      </c>
      <c r="AL274" s="197">
        <v>51</v>
      </c>
      <c r="AM274" s="197">
        <v>51</v>
      </c>
      <c r="AN274" s="197">
        <v>51</v>
      </c>
      <c r="AO274" s="197">
        <v>51</v>
      </c>
      <c r="AP274" s="347">
        <v>43</v>
      </c>
      <c r="AQ274" s="197">
        <v>51</v>
      </c>
      <c r="AR274" s="347">
        <v>43</v>
      </c>
      <c r="AS274" s="347">
        <v>31</v>
      </c>
      <c r="AT274" s="197">
        <v>51</v>
      </c>
      <c r="AU274" s="197">
        <v>51</v>
      </c>
      <c r="AV274" s="197">
        <v>51</v>
      </c>
      <c r="AW274" s="197">
        <v>51</v>
      </c>
      <c r="AX274" s="197">
        <v>51</v>
      </c>
      <c r="AY274" s="197">
        <v>51</v>
      </c>
      <c r="AZ274" s="197">
        <v>51</v>
      </c>
      <c r="BA274" s="197">
        <v>51</v>
      </c>
      <c r="BB274" s="197">
        <v>51</v>
      </c>
      <c r="BC274" s="347" t="s">
        <v>2287</v>
      </c>
    </row>
    <row r="275" spans="1:55" s="381" customFormat="1" ht="17.649999999999999" customHeight="1">
      <c r="A275" s="343">
        <v>215</v>
      </c>
      <c r="B275" s="211" t="s">
        <v>2296</v>
      </c>
      <c r="C275" s="211" t="s">
        <v>2061</v>
      </c>
      <c r="D275" s="211" t="s">
        <v>2283</v>
      </c>
      <c r="E275" s="344">
        <v>111</v>
      </c>
      <c r="F275" s="344">
        <v>112.933333333333</v>
      </c>
      <c r="G275" s="209">
        <v>100.566666666667</v>
      </c>
      <c r="H275" s="344">
        <v>91</v>
      </c>
      <c r="I275" s="344">
        <v>84.466666666666697</v>
      </c>
      <c r="J275" s="344">
        <v>77.233333333333306</v>
      </c>
      <c r="K275" s="344">
        <v>66.966666666666697</v>
      </c>
      <c r="L275" s="344">
        <f t="shared" si="50"/>
        <v>15.625555555555565</v>
      </c>
      <c r="M275" s="344">
        <v>55.766666666666701</v>
      </c>
      <c r="N275" s="344">
        <v>77</v>
      </c>
      <c r="O275" s="344">
        <v>98.933333333333294</v>
      </c>
      <c r="P275" s="344">
        <v>139.76666666666699</v>
      </c>
      <c r="Q275" s="344">
        <v>164.96666666666701</v>
      </c>
      <c r="R275" s="344">
        <v>165.9</v>
      </c>
      <c r="S275" s="344">
        <v>147.46666666666701</v>
      </c>
      <c r="T275" s="344">
        <v>128.333333333333</v>
      </c>
      <c r="U275" s="344">
        <v>128.80000000000001</v>
      </c>
      <c r="V275" s="344">
        <v>119.466666666667</v>
      </c>
      <c r="W275" s="344">
        <v>107.8</v>
      </c>
      <c r="X275" s="344">
        <v>106.4</v>
      </c>
      <c r="Y275" s="344">
        <v>102.9</v>
      </c>
      <c r="Z275" s="344">
        <v>101.966666666667</v>
      </c>
      <c r="AA275" s="344">
        <v>113.4</v>
      </c>
      <c r="AB275" s="344">
        <v>117.833333333333</v>
      </c>
      <c r="AC275" s="344">
        <v>112.933333333333</v>
      </c>
      <c r="AD275" s="344">
        <f t="shared" si="51"/>
        <v>-4.9000000000000057</v>
      </c>
      <c r="AE275" s="344">
        <v>51</v>
      </c>
      <c r="AF275" s="344">
        <v>0</v>
      </c>
      <c r="AG275" s="345">
        <v>51</v>
      </c>
      <c r="AH275" s="346">
        <v>51</v>
      </c>
      <c r="AI275" s="197">
        <v>51</v>
      </c>
      <c r="AJ275" s="197">
        <v>51</v>
      </c>
      <c r="AK275" s="197">
        <v>51</v>
      </c>
      <c r="AL275" s="197">
        <v>51</v>
      </c>
      <c r="AM275" s="197">
        <v>51</v>
      </c>
      <c r="AN275" s="197">
        <v>51</v>
      </c>
      <c r="AO275" s="197">
        <v>51</v>
      </c>
      <c r="AP275" s="197">
        <v>51</v>
      </c>
      <c r="AQ275" s="197">
        <v>51</v>
      </c>
      <c r="AR275" s="197">
        <v>51</v>
      </c>
      <c r="AS275" s="197">
        <v>51</v>
      </c>
      <c r="AT275" s="197">
        <v>51</v>
      </c>
      <c r="AU275" s="197">
        <v>51</v>
      </c>
      <c r="AV275" s="197">
        <v>51</v>
      </c>
      <c r="AW275" s="197">
        <v>51</v>
      </c>
      <c r="AX275" s="197">
        <v>51</v>
      </c>
      <c r="AY275" s="197">
        <v>51</v>
      </c>
      <c r="AZ275" s="197">
        <v>51</v>
      </c>
      <c r="BA275" s="197">
        <v>51</v>
      </c>
      <c r="BB275" s="197">
        <v>51</v>
      </c>
      <c r="BC275" s="347" t="s">
        <v>2287</v>
      </c>
    </row>
    <row r="276" spans="1:55" s="381" customFormat="1" ht="17.649999999999999" customHeight="1">
      <c r="A276" s="343">
        <v>216</v>
      </c>
      <c r="B276" s="211" t="s">
        <v>2297</v>
      </c>
      <c r="C276" s="211" t="s">
        <v>2061</v>
      </c>
      <c r="D276" s="211" t="s">
        <v>2283</v>
      </c>
      <c r="E276" s="344">
        <v>5</v>
      </c>
      <c r="F276" s="344">
        <v>3.5</v>
      </c>
      <c r="G276" s="209">
        <v>2.56666666666667</v>
      </c>
      <c r="H276" s="344">
        <v>2.56666666666667</v>
      </c>
      <c r="I276" s="344">
        <v>6.3</v>
      </c>
      <c r="J276" s="344">
        <v>7</v>
      </c>
      <c r="K276" s="344">
        <v>7.7</v>
      </c>
      <c r="L276" s="344">
        <f t="shared" si="50"/>
        <v>1.7966666666666666</v>
      </c>
      <c r="M276" s="344">
        <v>5.3666666666666698</v>
      </c>
      <c r="N276" s="344">
        <v>5.3666666666666698</v>
      </c>
      <c r="O276" s="344">
        <v>6.3</v>
      </c>
      <c r="P276" s="344">
        <v>9.56666666666667</v>
      </c>
      <c r="Q276" s="344">
        <v>10.266666666666699</v>
      </c>
      <c r="R276" s="344">
        <v>10.966666666666701</v>
      </c>
      <c r="S276" s="344">
        <v>10.966666666666701</v>
      </c>
      <c r="T276" s="344">
        <v>9.8000000000000007</v>
      </c>
      <c r="U276" s="344">
        <v>9.8000000000000007</v>
      </c>
      <c r="V276" s="344">
        <v>7.93333333333333</v>
      </c>
      <c r="W276" s="344">
        <v>5.8333333333333304</v>
      </c>
      <c r="X276" s="344">
        <v>3.9666666666666699</v>
      </c>
      <c r="Y276" s="344">
        <v>4.2</v>
      </c>
      <c r="Z276" s="344">
        <v>4.2</v>
      </c>
      <c r="AA276" s="344">
        <v>4.43333333333333</v>
      </c>
      <c r="AB276" s="344">
        <v>5.3666666666666698</v>
      </c>
      <c r="AC276" s="344">
        <v>4.2</v>
      </c>
      <c r="AD276" s="344">
        <f t="shared" si="51"/>
        <v>-1.1666666666666696</v>
      </c>
      <c r="AE276" s="344">
        <v>34</v>
      </c>
      <c r="AF276" s="344">
        <v>36</v>
      </c>
      <c r="AG276" s="345">
        <v>51</v>
      </c>
      <c r="AH276" s="346">
        <v>18</v>
      </c>
      <c r="AI276" s="197">
        <v>13</v>
      </c>
      <c r="AJ276" s="197">
        <v>17</v>
      </c>
      <c r="AK276" s="197">
        <v>51</v>
      </c>
      <c r="AL276" s="197">
        <v>10</v>
      </c>
      <c r="AM276" s="197">
        <v>4</v>
      </c>
      <c r="AN276" s="197">
        <v>4</v>
      </c>
      <c r="AO276" s="197">
        <v>4</v>
      </c>
      <c r="AP276" s="347">
        <v>15</v>
      </c>
      <c r="AQ276" s="347">
        <v>5</v>
      </c>
      <c r="AR276" s="347">
        <v>4</v>
      </c>
      <c r="AS276" s="197">
        <v>4</v>
      </c>
      <c r="AT276" s="197">
        <v>3</v>
      </c>
      <c r="AU276" s="347">
        <v>40</v>
      </c>
      <c r="AV276" s="347">
        <v>3</v>
      </c>
      <c r="AW276" s="347">
        <v>19</v>
      </c>
      <c r="AX276" s="347">
        <v>15</v>
      </c>
      <c r="AY276" s="347">
        <v>3</v>
      </c>
      <c r="AZ276" s="347">
        <v>32</v>
      </c>
      <c r="BA276" s="347">
        <v>19</v>
      </c>
      <c r="BB276" s="347">
        <v>17</v>
      </c>
      <c r="BC276" s="347">
        <v>13</v>
      </c>
    </row>
    <row r="277" spans="1:55" s="381" customFormat="1" ht="17.649999999999999" customHeight="1">
      <c r="A277" s="343">
        <v>217</v>
      </c>
      <c r="B277" s="211" t="s">
        <v>2298</v>
      </c>
      <c r="C277" s="211" t="s">
        <v>2061</v>
      </c>
      <c r="D277" s="211" t="s">
        <v>2283</v>
      </c>
      <c r="E277" s="344">
        <v>122</v>
      </c>
      <c r="F277" s="344">
        <v>98.7</v>
      </c>
      <c r="G277" s="209">
        <v>39.6666666666667</v>
      </c>
      <c r="H277" s="344">
        <v>39.200000000000003</v>
      </c>
      <c r="I277" s="344">
        <v>37.3333333333333</v>
      </c>
      <c r="J277" s="344">
        <v>89.6</v>
      </c>
      <c r="K277" s="344">
        <v>127.166666666667</v>
      </c>
      <c r="L277" s="344">
        <f t="shared" si="50"/>
        <v>29.672222222222295</v>
      </c>
      <c r="M277" s="344">
        <v>157.96666666666701</v>
      </c>
      <c r="N277" s="344">
        <v>208.36666666666699</v>
      </c>
      <c r="O277" s="344">
        <v>155.63333333333301</v>
      </c>
      <c r="P277" s="344">
        <v>130.19999999999999</v>
      </c>
      <c r="Q277" s="344">
        <v>154.933333333333</v>
      </c>
      <c r="R277" s="344">
        <v>189.46666666666701</v>
      </c>
      <c r="S277" s="344">
        <v>220.26666666666699</v>
      </c>
      <c r="T277" s="344">
        <v>242.666666666667</v>
      </c>
      <c r="U277" s="344">
        <v>244.066666666667</v>
      </c>
      <c r="V277" s="344">
        <v>186.9</v>
      </c>
      <c r="W277" s="344">
        <v>183.63333333333301</v>
      </c>
      <c r="X277" s="344">
        <v>213.26666666666699</v>
      </c>
      <c r="Y277" s="344">
        <v>209.3</v>
      </c>
      <c r="Z277" s="344">
        <v>184.333333333333</v>
      </c>
      <c r="AA277" s="344">
        <v>139.76666666666699</v>
      </c>
      <c r="AB277" s="344">
        <v>92.866666666666703</v>
      </c>
      <c r="AC277" s="344">
        <v>88.2</v>
      </c>
      <c r="AD277" s="344">
        <f t="shared" si="51"/>
        <v>-4.6666666666666998</v>
      </c>
      <c r="AE277" s="344">
        <v>22</v>
      </c>
      <c r="AF277" s="344">
        <v>0</v>
      </c>
      <c r="AG277" s="345">
        <v>51</v>
      </c>
      <c r="AH277" s="346">
        <v>51</v>
      </c>
      <c r="AI277" s="197">
        <v>51</v>
      </c>
      <c r="AJ277" s="197">
        <v>41</v>
      </c>
      <c r="AK277" s="197">
        <v>44</v>
      </c>
      <c r="AL277" s="197">
        <v>44</v>
      </c>
      <c r="AM277" s="197">
        <v>51</v>
      </c>
      <c r="AN277" s="197">
        <v>51</v>
      </c>
      <c r="AO277" s="197">
        <v>51</v>
      </c>
      <c r="AP277" s="347">
        <v>45</v>
      </c>
      <c r="AQ277" s="347">
        <v>5</v>
      </c>
      <c r="AR277" s="347">
        <v>13</v>
      </c>
      <c r="AS277" s="347">
        <v>9</v>
      </c>
      <c r="AT277" s="347">
        <v>36</v>
      </c>
      <c r="AU277" s="197">
        <v>51</v>
      </c>
      <c r="AV277" s="347">
        <v>40</v>
      </c>
      <c r="AW277" s="347">
        <v>8</v>
      </c>
      <c r="AX277" s="347">
        <v>10</v>
      </c>
      <c r="AY277" s="347">
        <v>35</v>
      </c>
      <c r="AZ277" s="197">
        <v>51</v>
      </c>
      <c r="BA277" s="347">
        <v>23</v>
      </c>
      <c r="BB277" s="347">
        <v>4</v>
      </c>
      <c r="BC277" s="347">
        <v>4</v>
      </c>
    </row>
    <row r="278" spans="1:55" s="381" customFormat="1" ht="17.649999999999999" customHeight="1">
      <c r="A278" s="343">
        <v>218</v>
      </c>
      <c r="B278" s="211" t="s">
        <v>2299</v>
      </c>
      <c r="C278" s="211" t="s">
        <v>2061</v>
      </c>
      <c r="D278" s="211" t="s">
        <v>2283</v>
      </c>
      <c r="E278" s="344">
        <v>4</v>
      </c>
      <c r="F278" s="344">
        <v>5.8333333333333304</v>
      </c>
      <c r="G278" s="209">
        <v>6.3</v>
      </c>
      <c r="H278" s="344">
        <v>6.7666666666666702</v>
      </c>
      <c r="I278" s="344">
        <v>7.93333333333333</v>
      </c>
      <c r="J278" s="344">
        <v>9.56666666666667</v>
      </c>
      <c r="K278" s="344">
        <v>7.93333333333333</v>
      </c>
      <c r="L278" s="344">
        <f t="shared" si="50"/>
        <v>1.8511111111111103</v>
      </c>
      <c r="M278" s="344">
        <v>4.2</v>
      </c>
      <c r="N278" s="344">
        <v>5.6</v>
      </c>
      <c r="O278" s="344">
        <v>7.7</v>
      </c>
      <c r="P278" s="344">
        <v>9.1</v>
      </c>
      <c r="Q278" s="344">
        <v>10.966666666666701</v>
      </c>
      <c r="R278" s="344">
        <v>12.8333333333333</v>
      </c>
      <c r="S278" s="344">
        <v>12.366666666666699</v>
      </c>
      <c r="T278" s="344">
        <v>12.133333333333301</v>
      </c>
      <c r="U278" s="344">
        <v>13.3</v>
      </c>
      <c r="V278" s="344">
        <v>11.2</v>
      </c>
      <c r="W278" s="344">
        <v>9.56666666666667</v>
      </c>
      <c r="X278" s="344">
        <v>9.8000000000000007</v>
      </c>
      <c r="Y278" s="344">
        <v>9.56666666666667</v>
      </c>
      <c r="Z278" s="344">
        <v>10.966666666666701</v>
      </c>
      <c r="AA278" s="344">
        <v>11.6666666666667</v>
      </c>
      <c r="AB278" s="344">
        <v>10.966666666666701</v>
      </c>
      <c r="AC278" s="344">
        <v>9.1</v>
      </c>
      <c r="AD278" s="344">
        <f t="shared" si="51"/>
        <v>-1.8666666666667009</v>
      </c>
      <c r="AE278" s="344">
        <v>13</v>
      </c>
      <c r="AF278" s="344">
        <v>18</v>
      </c>
      <c r="AG278" s="345">
        <v>1</v>
      </c>
      <c r="AH278" s="346">
        <v>10</v>
      </c>
      <c r="AI278" s="197">
        <v>7</v>
      </c>
      <c r="AJ278" s="197">
        <v>9</v>
      </c>
      <c r="AK278" s="197">
        <v>12</v>
      </c>
      <c r="AL278" s="197">
        <v>7</v>
      </c>
      <c r="AM278" s="197">
        <v>9</v>
      </c>
      <c r="AN278" s="197">
        <v>9</v>
      </c>
      <c r="AO278" s="197">
        <v>9</v>
      </c>
      <c r="AP278" s="197">
        <v>51</v>
      </c>
      <c r="AQ278" s="197">
        <v>10</v>
      </c>
      <c r="AR278" s="197">
        <v>8</v>
      </c>
      <c r="AS278" s="347">
        <v>2</v>
      </c>
      <c r="AT278" s="347">
        <v>2</v>
      </c>
      <c r="AU278" s="347">
        <v>10</v>
      </c>
      <c r="AV278" s="347">
        <v>9</v>
      </c>
      <c r="AW278" s="347">
        <v>7</v>
      </c>
      <c r="AX278" s="197">
        <v>51</v>
      </c>
      <c r="AY278" s="347">
        <v>9</v>
      </c>
      <c r="AZ278" s="197">
        <v>51</v>
      </c>
      <c r="BA278" s="347">
        <v>7</v>
      </c>
      <c r="BB278" s="347">
        <v>8</v>
      </c>
      <c r="BC278" s="347">
        <v>8</v>
      </c>
    </row>
    <row r="279" spans="1:55" s="381" customFormat="1" ht="17.649999999999999" customHeight="1">
      <c r="A279" s="343">
        <v>219</v>
      </c>
      <c r="B279" s="211" t="s">
        <v>2300</v>
      </c>
      <c r="C279" s="211" t="s">
        <v>2061</v>
      </c>
      <c r="D279" s="211" t="s">
        <v>2283</v>
      </c>
      <c r="E279" s="344">
        <v>3</v>
      </c>
      <c r="F279" s="344">
        <v>1.86666666666667</v>
      </c>
      <c r="G279" s="209">
        <v>2.56666666666667</v>
      </c>
      <c r="H279" s="344">
        <v>3.9666666666666699</v>
      </c>
      <c r="I279" s="344">
        <v>5.8333333333333304</v>
      </c>
      <c r="J279" s="344">
        <v>7</v>
      </c>
      <c r="K279" s="344">
        <v>7.93333333333333</v>
      </c>
      <c r="L279" s="344">
        <f t="shared" si="50"/>
        <v>1.8511111111111103</v>
      </c>
      <c r="M279" s="344">
        <v>5.1333333333333302</v>
      </c>
      <c r="N279" s="344">
        <v>9.56666666666667</v>
      </c>
      <c r="O279" s="344">
        <v>15.633333333333301</v>
      </c>
      <c r="P279" s="344">
        <v>35.466666666666697</v>
      </c>
      <c r="Q279" s="344">
        <v>47.6</v>
      </c>
      <c r="R279" s="344">
        <v>54.6</v>
      </c>
      <c r="S279" s="344">
        <v>51.3333333333333</v>
      </c>
      <c r="T279" s="344">
        <v>38.266666666666701</v>
      </c>
      <c r="U279" s="344">
        <v>26.6</v>
      </c>
      <c r="V279" s="344">
        <v>12.8333333333333</v>
      </c>
      <c r="W279" s="344">
        <v>7.93333333333333</v>
      </c>
      <c r="X279" s="344">
        <v>5.1333333333333302</v>
      </c>
      <c r="Y279" s="344">
        <v>4.43333333333333</v>
      </c>
      <c r="Z279" s="344">
        <v>4.6666666666666696</v>
      </c>
      <c r="AA279" s="344">
        <v>5.6</v>
      </c>
      <c r="AB279" s="344">
        <v>7.93333333333333</v>
      </c>
      <c r="AC279" s="344">
        <v>6.7666666666666702</v>
      </c>
      <c r="AD279" s="344">
        <f t="shared" si="51"/>
        <v>-1.1666666666666599</v>
      </c>
      <c r="AE279" s="344">
        <v>3</v>
      </c>
      <c r="AF279" s="344">
        <v>3</v>
      </c>
      <c r="AG279" s="345">
        <v>1</v>
      </c>
      <c r="AH279" s="346">
        <v>4</v>
      </c>
      <c r="AI279" s="197">
        <v>1</v>
      </c>
      <c r="AJ279" s="197">
        <v>1</v>
      </c>
      <c r="AK279" s="197">
        <v>1</v>
      </c>
      <c r="AL279" s="197">
        <v>1</v>
      </c>
      <c r="AM279" s="197">
        <v>1</v>
      </c>
      <c r="AN279" s="197">
        <v>1</v>
      </c>
      <c r="AO279" s="197">
        <v>3</v>
      </c>
      <c r="AP279" s="197">
        <v>10</v>
      </c>
      <c r="AQ279" s="347">
        <v>3</v>
      </c>
      <c r="AR279" s="347">
        <v>1</v>
      </c>
      <c r="AS279" s="197">
        <v>1</v>
      </c>
      <c r="AT279" s="197">
        <v>2</v>
      </c>
      <c r="AU279" s="347">
        <v>1</v>
      </c>
      <c r="AV279" s="347">
        <v>2</v>
      </c>
      <c r="AW279" s="347">
        <v>1</v>
      </c>
      <c r="AX279" s="347">
        <v>2</v>
      </c>
      <c r="AY279" s="347">
        <v>3</v>
      </c>
      <c r="AZ279" s="347">
        <v>1</v>
      </c>
      <c r="BA279" s="347">
        <v>1</v>
      </c>
      <c r="BB279" s="347">
        <v>1</v>
      </c>
      <c r="BC279" s="347">
        <v>1</v>
      </c>
    </row>
    <row r="280" spans="1:55" s="381" customFormat="1" ht="17.649999999999999" customHeight="1">
      <c r="A280" s="343">
        <v>220</v>
      </c>
      <c r="B280" s="211" t="s">
        <v>2301</v>
      </c>
      <c r="C280" s="211" t="s">
        <v>2061</v>
      </c>
      <c r="D280" s="211" t="s">
        <v>2283</v>
      </c>
      <c r="E280" s="344">
        <v>72</v>
      </c>
      <c r="F280" s="344">
        <v>77.233333333333306</v>
      </c>
      <c r="G280" s="209">
        <v>66.966666666666697</v>
      </c>
      <c r="H280" s="344">
        <v>65.566666666666706</v>
      </c>
      <c r="I280" s="344">
        <v>58.566666666666698</v>
      </c>
      <c r="J280" s="344">
        <v>61.6</v>
      </c>
      <c r="K280" s="344">
        <v>55.3</v>
      </c>
      <c r="L280" s="344">
        <f t="shared" si="50"/>
        <v>12.903333333333332</v>
      </c>
      <c r="M280" s="344">
        <v>38.5</v>
      </c>
      <c r="N280" s="344">
        <v>56.233333333333299</v>
      </c>
      <c r="O280" s="344">
        <v>66.733333333333306</v>
      </c>
      <c r="P280" s="344">
        <v>94.5</v>
      </c>
      <c r="Q280" s="344">
        <v>113.4</v>
      </c>
      <c r="R280" s="344">
        <v>104.066666666667</v>
      </c>
      <c r="S280" s="344">
        <v>99.633333333333297</v>
      </c>
      <c r="T280" s="344">
        <v>85.4</v>
      </c>
      <c r="U280" s="344">
        <v>82.6</v>
      </c>
      <c r="V280" s="344">
        <v>76.766666666666694</v>
      </c>
      <c r="W280" s="344">
        <v>66.266666666666694</v>
      </c>
      <c r="X280" s="344">
        <v>73.5</v>
      </c>
      <c r="Y280" s="344">
        <v>75.8333333333333</v>
      </c>
      <c r="Z280" s="344">
        <v>86.3333333333333</v>
      </c>
      <c r="AA280" s="344">
        <v>94.5</v>
      </c>
      <c r="AB280" s="344">
        <v>98.466666666666697</v>
      </c>
      <c r="AC280" s="344">
        <v>86.3333333333333</v>
      </c>
      <c r="AD280" s="344">
        <f t="shared" si="51"/>
        <v>-12.133333333333397</v>
      </c>
      <c r="AE280" s="344">
        <v>51</v>
      </c>
      <c r="AF280" s="344">
        <v>46</v>
      </c>
      <c r="AG280" s="345">
        <v>51</v>
      </c>
      <c r="AH280" s="346">
        <v>51</v>
      </c>
      <c r="AI280" s="197">
        <v>51</v>
      </c>
      <c r="AJ280" s="197">
        <v>51</v>
      </c>
      <c r="AK280" s="197">
        <v>51</v>
      </c>
      <c r="AL280" s="197">
        <v>51</v>
      </c>
      <c r="AM280" s="197">
        <v>51</v>
      </c>
      <c r="AN280" s="197">
        <v>51</v>
      </c>
      <c r="AO280" s="197">
        <v>51</v>
      </c>
      <c r="AP280" s="197">
        <v>51</v>
      </c>
      <c r="AQ280" s="197">
        <v>51</v>
      </c>
      <c r="AR280" s="197">
        <v>51</v>
      </c>
      <c r="AS280" s="197">
        <v>51</v>
      </c>
      <c r="AT280" s="347">
        <v>19</v>
      </c>
      <c r="AU280" s="347">
        <v>10</v>
      </c>
      <c r="AV280" s="347">
        <v>9</v>
      </c>
      <c r="AW280" s="347">
        <v>9</v>
      </c>
      <c r="AX280" s="347">
        <v>22</v>
      </c>
      <c r="AY280" s="197">
        <v>51</v>
      </c>
      <c r="AZ280" s="347">
        <v>11</v>
      </c>
      <c r="BA280" s="347">
        <v>9</v>
      </c>
      <c r="BB280" s="347">
        <v>7</v>
      </c>
      <c r="BC280" s="347">
        <v>7</v>
      </c>
    </row>
    <row r="281" spans="1:55" s="381" customFormat="1" ht="17.649999999999999" customHeight="1">
      <c r="A281" s="343">
        <v>221</v>
      </c>
      <c r="B281" s="211" t="s">
        <v>2302</v>
      </c>
      <c r="C281" s="211" t="s">
        <v>2061</v>
      </c>
      <c r="D281" s="211" t="s">
        <v>2283</v>
      </c>
      <c r="E281" s="344">
        <v>47</v>
      </c>
      <c r="F281" s="344">
        <v>53.6666666666667</v>
      </c>
      <c r="G281" s="209">
        <v>52.266666666666701</v>
      </c>
      <c r="H281" s="344">
        <v>48.3</v>
      </c>
      <c r="I281" s="344">
        <v>51.3333333333333</v>
      </c>
      <c r="J281" s="344">
        <v>45.266666666666701</v>
      </c>
      <c r="K281" s="344">
        <v>38.5</v>
      </c>
      <c r="L281" s="344">
        <f t="shared" si="50"/>
        <v>8.9833333333333343</v>
      </c>
      <c r="M281" s="344">
        <v>27.766666666666701</v>
      </c>
      <c r="N281" s="344">
        <v>37.3333333333333</v>
      </c>
      <c r="O281" s="344">
        <v>48.066666666666698</v>
      </c>
      <c r="P281" s="344">
        <v>71.1666666666667</v>
      </c>
      <c r="Q281" s="344">
        <v>84.7</v>
      </c>
      <c r="R281" s="344">
        <v>78.633333333333297</v>
      </c>
      <c r="S281" s="344">
        <v>63.7</v>
      </c>
      <c r="T281" s="344">
        <v>45.266666666666701</v>
      </c>
      <c r="U281" s="344">
        <v>36.4</v>
      </c>
      <c r="V281" s="344">
        <v>30.8</v>
      </c>
      <c r="W281" s="344">
        <v>28.233333333333299</v>
      </c>
      <c r="X281" s="344">
        <v>30.566666666666698</v>
      </c>
      <c r="Y281" s="344">
        <v>32.200000000000003</v>
      </c>
      <c r="Z281" s="344">
        <v>35.466666666666697</v>
      </c>
      <c r="AA281" s="344">
        <v>36.1666666666667</v>
      </c>
      <c r="AB281" s="344">
        <v>46.2</v>
      </c>
      <c r="AC281" s="344">
        <v>39.9</v>
      </c>
      <c r="AD281" s="344">
        <f t="shared" si="51"/>
        <v>-6.3000000000000043</v>
      </c>
      <c r="AE281" s="344">
        <v>51</v>
      </c>
      <c r="AF281" s="344">
        <v>0</v>
      </c>
      <c r="AG281" s="345">
        <v>51</v>
      </c>
      <c r="AH281" s="346">
        <v>51</v>
      </c>
      <c r="AI281" s="197">
        <v>51</v>
      </c>
      <c r="AJ281" s="197">
        <v>51</v>
      </c>
      <c r="AK281" s="197">
        <v>51</v>
      </c>
      <c r="AL281" s="197">
        <v>51</v>
      </c>
      <c r="AM281" s="197">
        <v>51</v>
      </c>
      <c r="AN281" s="197">
        <v>51</v>
      </c>
      <c r="AO281" s="197">
        <v>51</v>
      </c>
      <c r="AP281" s="197">
        <v>51</v>
      </c>
      <c r="AQ281" s="197">
        <v>51</v>
      </c>
      <c r="AR281" s="197">
        <v>51</v>
      </c>
      <c r="AS281" s="197">
        <v>51</v>
      </c>
      <c r="AT281" s="197">
        <v>51</v>
      </c>
      <c r="AU281" s="197">
        <v>51</v>
      </c>
      <c r="AV281" s="197">
        <v>51</v>
      </c>
      <c r="AW281" s="197">
        <v>51</v>
      </c>
      <c r="AX281" s="197">
        <v>51</v>
      </c>
      <c r="AY281" s="197">
        <v>51</v>
      </c>
      <c r="AZ281" s="197">
        <v>51</v>
      </c>
      <c r="BA281" s="197">
        <v>51</v>
      </c>
      <c r="BB281" s="197">
        <v>51</v>
      </c>
      <c r="BC281" s="347" t="s">
        <v>2287</v>
      </c>
    </row>
    <row r="282" spans="1:55" s="381" customFormat="1" ht="17.649999999999999" customHeight="1">
      <c r="A282" s="343">
        <v>222</v>
      </c>
      <c r="B282" s="211" t="s">
        <v>2303</v>
      </c>
      <c r="C282" s="211" t="s">
        <v>2061</v>
      </c>
      <c r="D282" s="211" t="s">
        <v>2283</v>
      </c>
      <c r="E282" s="344">
        <v>20</v>
      </c>
      <c r="F282" s="344">
        <v>14.9333333333333</v>
      </c>
      <c r="G282" s="209">
        <v>20.766666666666701</v>
      </c>
      <c r="H282" s="344">
        <v>21</v>
      </c>
      <c r="I282" s="344">
        <v>21</v>
      </c>
      <c r="J282" s="344">
        <v>24.266666666666701</v>
      </c>
      <c r="K282" s="344">
        <v>21.933333333333302</v>
      </c>
      <c r="L282" s="344">
        <f t="shared" si="50"/>
        <v>5.1177777777777704</v>
      </c>
      <c r="M282" s="344">
        <v>26.6</v>
      </c>
      <c r="N282" s="344">
        <v>49</v>
      </c>
      <c r="O282" s="344">
        <v>75.599999999999994</v>
      </c>
      <c r="P282" s="344">
        <v>97.3</v>
      </c>
      <c r="Q282" s="344">
        <v>113.166666666667</v>
      </c>
      <c r="R282" s="344">
        <v>117.133333333333</v>
      </c>
      <c r="S282" s="344">
        <v>87.5</v>
      </c>
      <c r="T282" s="344">
        <v>67.2</v>
      </c>
      <c r="U282" s="344">
        <v>55.3</v>
      </c>
      <c r="V282" s="344">
        <v>46.2</v>
      </c>
      <c r="W282" s="344">
        <v>37.566666666666698</v>
      </c>
      <c r="X282" s="344">
        <v>35</v>
      </c>
      <c r="Y282" s="344">
        <v>28.7</v>
      </c>
      <c r="Z282" s="344">
        <v>28.933333333333302</v>
      </c>
      <c r="AA282" s="344">
        <v>30.3333333333333</v>
      </c>
      <c r="AB282" s="344">
        <v>28.933333333333302</v>
      </c>
      <c r="AC282" s="344">
        <v>25.433333333333302</v>
      </c>
      <c r="AD282" s="344">
        <f t="shared" si="51"/>
        <v>-3.5</v>
      </c>
      <c r="AE282" s="344">
        <v>51</v>
      </c>
      <c r="AF282" s="344">
        <v>0</v>
      </c>
      <c r="AG282" s="345">
        <v>51</v>
      </c>
      <c r="AH282" s="346">
        <v>51</v>
      </c>
      <c r="AI282" s="197">
        <v>51</v>
      </c>
      <c r="AJ282" s="197">
        <v>51</v>
      </c>
      <c r="AK282" s="197">
        <v>51</v>
      </c>
      <c r="AL282" s="197">
        <v>51</v>
      </c>
      <c r="AM282" s="197">
        <v>51</v>
      </c>
      <c r="AN282" s="197">
        <v>51</v>
      </c>
      <c r="AO282" s="197">
        <v>51</v>
      </c>
      <c r="AP282" s="197">
        <v>51</v>
      </c>
      <c r="AQ282" s="197">
        <v>51</v>
      </c>
      <c r="AR282" s="197">
        <v>51</v>
      </c>
      <c r="AS282" s="197">
        <v>51</v>
      </c>
      <c r="AT282" s="197">
        <v>51</v>
      </c>
      <c r="AU282" s="197">
        <v>51</v>
      </c>
      <c r="AV282" s="197">
        <v>51</v>
      </c>
      <c r="AW282" s="197">
        <v>51</v>
      </c>
      <c r="AX282" s="197">
        <v>51</v>
      </c>
      <c r="AY282" s="197">
        <v>51</v>
      </c>
      <c r="AZ282" s="197">
        <v>51</v>
      </c>
      <c r="BA282" s="197">
        <v>51</v>
      </c>
      <c r="BB282" s="347">
        <v>2</v>
      </c>
      <c r="BC282" s="347">
        <v>2</v>
      </c>
    </row>
    <row r="283" spans="1:55" s="381" customFormat="1" ht="17.649999999999999" customHeight="1">
      <c r="A283" s="343">
        <v>223</v>
      </c>
      <c r="B283" s="211" t="s">
        <v>2304</v>
      </c>
      <c r="C283" s="211" t="s">
        <v>2061</v>
      </c>
      <c r="D283" s="211" t="s">
        <v>2283</v>
      </c>
      <c r="E283" s="344">
        <v>74</v>
      </c>
      <c r="F283" s="344">
        <v>77.933333333333294</v>
      </c>
      <c r="G283" s="209">
        <v>83.066666666666706</v>
      </c>
      <c r="H283" s="344">
        <v>78.1666666666667</v>
      </c>
      <c r="I283" s="344">
        <v>77.7</v>
      </c>
      <c r="J283" s="344">
        <v>72.566666666666706</v>
      </c>
      <c r="K283" s="344">
        <v>63.933333333333302</v>
      </c>
      <c r="L283" s="344">
        <f t="shared" si="50"/>
        <v>14.917777777777768</v>
      </c>
      <c r="M283" s="344">
        <v>45.033333333333303</v>
      </c>
      <c r="N283" s="344">
        <v>65.8</v>
      </c>
      <c r="O283" s="344">
        <v>82.133333333333297</v>
      </c>
      <c r="P283" s="344">
        <v>113.4</v>
      </c>
      <c r="Q283" s="344">
        <v>132.066666666667</v>
      </c>
      <c r="R283" s="344">
        <v>133</v>
      </c>
      <c r="S283" s="344">
        <v>117.133333333333</v>
      </c>
      <c r="T283" s="344">
        <v>89.6</v>
      </c>
      <c r="U283" s="344">
        <v>83.766666666666694</v>
      </c>
      <c r="V283" s="344">
        <v>64.633333333333297</v>
      </c>
      <c r="W283" s="344">
        <v>49.233333333333299</v>
      </c>
      <c r="X283" s="344">
        <v>53.9</v>
      </c>
      <c r="Y283" s="344">
        <v>65.099999999999994</v>
      </c>
      <c r="Z283" s="344">
        <v>71.400000000000006</v>
      </c>
      <c r="AA283" s="344">
        <v>69.3</v>
      </c>
      <c r="AB283" s="344">
        <v>69.066666666666706</v>
      </c>
      <c r="AC283" s="344">
        <v>44.8</v>
      </c>
      <c r="AD283" s="344">
        <f t="shared" si="51"/>
        <v>-24.266666666666708</v>
      </c>
      <c r="AE283" s="344">
        <v>51</v>
      </c>
      <c r="AF283" s="344">
        <v>0</v>
      </c>
      <c r="AG283" s="345">
        <v>51</v>
      </c>
      <c r="AH283" s="346">
        <v>51</v>
      </c>
      <c r="AI283" s="197">
        <v>51</v>
      </c>
      <c r="AJ283" s="197">
        <v>51</v>
      </c>
      <c r="AK283" s="197">
        <v>51</v>
      </c>
      <c r="AL283" s="197">
        <v>51</v>
      </c>
      <c r="AM283" s="197">
        <v>51</v>
      </c>
      <c r="AN283" s="197">
        <v>51</v>
      </c>
      <c r="AO283" s="197">
        <v>51</v>
      </c>
      <c r="AP283" s="197">
        <v>51</v>
      </c>
      <c r="AQ283" s="197">
        <v>51</v>
      </c>
      <c r="AR283" s="197">
        <v>51</v>
      </c>
      <c r="AS283" s="197">
        <v>51</v>
      </c>
      <c r="AT283" s="347">
        <v>22</v>
      </c>
      <c r="AU283" s="197">
        <v>51</v>
      </c>
      <c r="AV283" s="197">
        <v>51</v>
      </c>
      <c r="AW283" s="197">
        <v>51</v>
      </c>
      <c r="AX283" s="197">
        <v>51</v>
      </c>
      <c r="AY283" s="197">
        <v>51</v>
      </c>
      <c r="AZ283" s="347">
        <v>12</v>
      </c>
      <c r="BA283" s="197">
        <v>51</v>
      </c>
      <c r="BB283" s="197">
        <v>51</v>
      </c>
      <c r="BC283" s="347" t="s">
        <v>2287</v>
      </c>
    </row>
    <row r="284" spans="1:55" s="381" customFormat="1" ht="17.649999999999999" customHeight="1">
      <c r="A284" s="343">
        <v>224</v>
      </c>
      <c r="B284" s="211" t="s">
        <v>2305</v>
      </c>
      <c r="C284" s="211" t="s">
        <v>2061</v>
      </c>
      <c r="D284" s="211" t="s">
        <v>2283</v>
      </c>
      <c r="E284" s="344">
        <v>34</v>
      </c>
      <c r="F284" s="344">
        <v>36.4</v>
      </c>
      <c r="G284" s="209">
        <v>34.766666666666701</v>
      </c>
      <c r="H284" s="344">
        <v>32.200000000000003</v>
      </c>
      <c r="I284" s="344">
        <v>26.366666666666699</v>
      </c>
      <c r="J284" s="344">
        <v>24.966666666666701</v>
      </c>
      <c r="K284" s="344">
        <v>22.866666666666699</v>
      </c>
      <c r="L284" s="344">
        <f t="shared" si="50"/>
        <v>5.3355555555555636</v>
      </c>
      <c r="M284" s="344">
        <v>12.366666666666699</v>
      </c>
      <c r="N284" s="344">
        <v>29.633333333333301</v>
      </c>
      <c r="O284" s="344">
        <v>32.200000000000003</v>
      </c>
      <c r="P284" s="344">
        <v>35.933333333333302</v>
      </c>
      <c r="Q284" s="344">
        <v>42.466666666666697</v>
      </c>
      <c r="R284" s="344">
        <v>27.3</v>
      </c>
      <c r="S284" s="344">
        <v>24.966666666666701</v>
      </c>
      <c r="T284" s="344">
        <v>25.6666666666667</v>
      </c>
      <c r="U284" s="344">
        <v>26.366666666666699</v>
      </c>
      <c r="V284" s="344">
        <v>27.3</v>
      </c>
      <c r="W284" s="344">
        <v>28.933333333333302</v>
      </c>
      <c r="X284" s="344">
        <v>34.766666666666701</v>
      </c>
      <c r="Y284" s="344">
        <v>39.9</v>
      </c>
      <c r="Z284" s="344">
        <v>38.733333333333299</v>
      </c>
      <c r="AA284" s="344">
        <v>34.299999999999997</v>
      </c>
      <c r="AB284" s="344">
        <v>29.633333333333301</v>
      </c>
      <c r="AC284" s="344">
        <v>22.633333333333301</v>
      </c>
      <c r="AD284" s="344">
        <f t="shared" si="51"/>
        <v>-7</v>
      </c>
      <c r="AE284" s="344">
        <v>16</v>
      </c>
      <c r="AF284" s="344">
        <v>0</v>
      </c>
      <c r="AG284" s="345">
        <v>1</v>
      </c>
      <c r="AH284" s="346">
        <v>1</v>
      </c>
      <c r="AI284" s="197">
        <v>1</v>
      </c>
      <c r="AJ284" s="197">
        <v>1</v>
      </c>
      <c r="AK284" s="197">
        <v>1</v>
      </c>
      <c r="AL284" s="197">
        <v>1</v>
      </c>
      <c r="AM284" s="197">
        <v>1</v>
      </c>
      <c r="AN284" s="197">
        <v>1</v>
      </c>
      <c r="AO284" s="197">
        <v>3</v>
      </c>
      <c r="AP284" s="197">
        <v>1</v>
      </c>
      <c r="AQ284" s="197">
        <v>1</v>
      </c>
      <c r="AR284" s="197">
        <v>1</v>
      </c>
      <c r="AS284" s="197">
        <v>1</v>
      </c>
      <c r="AT284" s="197">
        <v>1</v>
      </c>
      <c r="AU284" s="347">
        <v>1</v>
      </c>
      <c r="AV284" s="347">
        <v>10</v>
      </c>
      <c r="AW284" s="347">
        <v>1</v>
      </c>
      <c r="AX284" s="347">
        <v>1</v>
      </c>
      <c r="AY284" s="347">
        <v>7</v>
      </c>
      <c r="AZ284" s="347">
        <v>1</v>
      </c>
      <c r="BA284" s="197">
        <v>51</v>
      </c>
      <c r="BB284" s="347">
        <v>5</v>
      </c>
      <c r="BC284" s="347">
        <v>5</v>
      </c>
    </row>
    <row r="285" spans="1:55" s="381" customFormat="1" ht="17.649999999999999" customHeight="1">
      <c r="A285" s="343">
        <v>225</v>
      </c>
      <c r="B285" s="211" t="s">
        <v>2306</v>
      </c>
      <c r="C285" s="211" t="s">
        <v>2061</v>
      </c>
      <c r="D285" s="211" t="s">
        <v>2283</v>
      </c>
      <c r="E285" s="344">
        <v>0</v>
      </c>
      <c r="F285" s="344">
        <v>1.4</v>
      </c>
      <c r="G285" s="209">
        <v>0.233333333333333</v>
      </c>
      <c r="H285" s="344">
        <v>0.233333333333333</v>
      </c>
      <c r="I285" s="344">
        <v>1.4</v>
      </c>
      <c r="J285" s="344">
        <v>1.4</v>
      </c>
      <c r="K285" s="344">
        <v>0.233333333333333</v>
      </c>
      <c r="L285" s="344">
        <f t="shared" si="50"/>
        <v>5.4444444444444372E-2</v>
      </c>
      <c r="M285" s="344">
        <v>0.233333333333333</v>
      </c>
      <c r="N285" s="344">
        <v>1.4</v>
      </c>
      <c r="O285" s="344">
        <v>1.4</v>
      </c>
      <c r="P285" s="344">
        <v>2.1</v>
      </c>
      <c r="Q285" s="344">
        <v>3.0333333333333301</v>
      </c>
      <c r="R285" s="344">
        <v>4.2</v>
      </c>
      <c r="S285" s="344">
        <v>5.8333333333333304</v>
      </c>
      <c r="T285" s="344">
        <v>5.3666666666666698</v>
      </c>
      <c r="U285" s="344">
        <v>4.6666666666666696</v>
      </c>
      <c r="V285" s="344">
        <v>3.5</v>
      </c>
      <c r="W285" s="344">
        <v>2.1</v>
      </c>
      <c r="X285" s="344">
        <v>2.3333333333333299</v>
      </c>
      <c r="Y285" s="344">
        <v>3.5</v>
      </c>
      <c r="Z285" s="344">
        <v>3.9666666666666699</v>
      </c>
      <c r="AA285" s="344">
        <v>3.5</v>
      </c>
      <c r="AB285" s="344">
        <v>3.2666666666666702</v>
      </c>
      <c r="AC285" s="344">
        <v>2.3333333333333299</v>
      </c>
      <c r="AD285" s="344">
        <f t="shared" si="51"/>
        <v>-0.93333333333334023</v>
      </c>
      <c r="AE285" s="344">
        <v>1</v>
      </c>
      <c r="AF285" s="344">
        <v>1</v>
      </c>
      <c r="AG285" s="345">
        <v>1</v>
      </c>
      <c r="AH285" s="346">
        <v>1</v>
      </c>
      <c r="AI285" s="197">
        <v>10</v>
      </c>
      <c r="AJ285" s="197">
        <v>9</v>
      </c>
      <c r="AK285" s="197">
        <v>1</v>
      </c>
      <c r="AL285" s="197">
        <v>1</v>
      </c>
      <c r="AM285" s="197">
        <v>9</v>
      </c>
      <c r="AN285" s="197">
        <v>10</v>
      </c>
      <c r="AO285" s="347">
        <v>1</v>
      </c>
      <c r="AP285" s="197">
        <v>5</v>
      </c>
      <c r="AQ285" s="347">
        <v>1</v>
      </c>
      <c r="AR285" s="197">
        <v>2</v>
      </c>
      <c r="AS285" s="197">
        <v>3</v>
      </c>
      <c r="AT285" s="197">
        <v>9</v>
      </c>
      <c r="AU285" s="347">
        <v>2</v>
      </c>
      <c r="AV285" s="347">
        <v>3</v>
      </c>
      <c r="AW285" s="347">
        <v>7</v>
      </c>
      <c r="AX285" s="347">
        <v>3</v>
      </c>
      <c r="AY285" s="347">
        <v>3</v>
      </c>
      <c r="AZ285" s="347">
        <v>2</v>
      </c>
      <c r="BA285" s="347">
        <v>3</v>
      </c>
      <c r="BB285" s="347">
        <v>2</v>
      </c>
      <c r="BC285" s="347">
        <v>2</v>
      </c>
    </row>
    <row r="286" spans="1:55" s="381" customFormat="1" ht="17.649999999999999" customHeight="1">
      <c r="A286" s="343">
        <v>226</v>
      </c>
      <c r="B286" s="211" t="s">
        <v>2307</v>
      </c>
      <c r="C286" s="211" t="s">
        <v>2061</v>
      </c>
      <c r="D286" s="211" t="s">
        <v>2283</v>
      </c>
      <c r="E286" s="344">
        <v>17</v>
      </c>
      <c r="F286" s="344">
        <v>18.433333333333302</v>
      </c>
      <c r="G286" s="209">
        <v>19.8333333333333</v>
      </c>
      <c r="H286" s="344">
        <v>17.5</v>
      </c>
      <c r="I286" s="344">
        <v>17.966666666666701</v>
      </c>
      <c r="J286" s="344">
        <v>19.8333333333333</v>
      </c>
      <c r="K286" s="344">
        <v>17.5</v>
      </c>
      <c r="L286" s="344">
        <f t="shared" si="50"/>
        <v>4.0833333333333339</v>
      </c>
      <c r="M286" s="344">
        <v>10.733333333333301</v>
      </c>
      <c r="N286" s="344">
        <v>14</v>
      </c>
      <c r="O286" s="344">
        <v>17.5</v>
      </c>
      <c r="P286" s="344">
        <v>26.133333333333301</v>
      </c>
      <c r="Q286" s="344">
        <v>33.8333333333333</v>
      </c>
      <c r="R286" s="344">
        <v>33.133333333333297</v>
      </c>
      <c r="S286" s="344">
        <v>29.866666666666699</v>
      </c>
      <c r="T286" s="344">
        <v>28.466666666666701</v>
      </c>
      <c r="U286" s="344">
        <v>28.466666666666701</v>
      </c>
      <c r="V286" s="344">
        <v>24.966666666666701</v>
      </c>
      <c r="W286" s="344">
        <v>22.1666666666667</v>
      </c>
      <c r="X286" s="344">
        <v>20.766666666666701</v>
      </c>
      <c r="Y286" s="344">
        <v>18.433333333333302</v>
      </c>
      <c r="Z286" s="344">
        <v>17.266666666666701</v>
      </c>
      <c r="AA286" s="344">
        <v>14.9333333333333</v>
      </c>
      <c r="AB286" s="344">
        <v>16.100000000000001</v>
      </c>
      <c r="AC286" s="344">
        <v>15.1666666666667</v>
      </c>
      <c r="AD286" s="344">
        <f t="shared" si="51"/>
        <v>-0.9333333333333016</v>
      </c>
      <c r="AE286" s="344">
        <v>44</v>
      </c>
      <c r="AF286" s="344">
        <v>0</v>
      </c>
      <c r="AG286" s="345">
        <v>51</v>
      </c>
      <c r="AH286" s="346">
        <v>51</v>
      </c>
      <c r="AI286" s="197">
        <v>51</v>
      </c>
      <c r="AJ286" s="197">
        <v>51</v>
      </c>
      <c r="AK286" s="197">
        <v>51</v>
      </c>
      <c r="AL286" s="197">
        <v>51</v>
      </c>
      <c r="AM286" s="197">
        <v>51</v>
      </c>
      <c r="AN286" s="197">
        <v>51</v>
      </c>
      <c r="AO286" s="197">
        <v>51</v>
      </c>
      <c r="AP286" s="197">
        <v>51</v>
      </c>
      <c r="AQ286" s="197">
        <v>51</v>
      </c>
      <c r="AR286" s="197">
        <v>51</v>
      </c>
      <c r="AS286" s="197">
        <v>51</v>
      </c>
      <c r="AT286" s="347">
        <v>18</v>
      </c>
      <c r="AU286" s="197">
        <v>51</v>
      </c>
      <c r="AV286" s="197">
        <v>51</v>
      </c>
      <c r="AW286" s="197">
        <v>51</v>
      </c>
      <c r="AX286" s="197">
        <v>51</v>
      </c>
      <c r="AY286" s="197">
        <v>51</v>
      </c>
      <c r="AZ286" s="197">
        <v>51</v>
      </c>
      <c r="BA286" s="197">
        <v>51</v>
      </c>
      <c r="BB286" s="347">
        <v>3</v>
      </c>
      <c r="BC286" s="347">
        <v>3</v>
      </c>
    </row>
    <row r="287" spans="1:55" s="381" customFormat="1" ht="17.649999999999999" customHeight="1">
      <c r="A287" s="343">
        <v>227</v>
      </c>
      <c r="B287" s="211" t="s">
        <v>2308</v>
      </c>
      <c r="C287" s="211" t="s">
        <v>2061</v>
      </c>
      <c r="D287" s="211" t="s">
        <v>2283</v>
      </c>
      <c r="E287" s="344">
        <v>5</v>
      </c>
      <c r="F287" s="344">
        <v>4.6666666666666696</v>
      </c>
      <c r="G287" s="209">
        <v>6.5333333333333297</v>
      </c>
      <c r="H287" s="344">
        <v>7</v>
      </c>
      <c r="I287" s="344">
        <v>5.8333333333333304</v>
      </c>
      <c r="J287" s="344">
        <v>5.8333333333333304</v>
      </c>
      <c r="K287" s="344">
        <v>4.6666666666666696</v>
      </c>
      <c r="L287" s="344">
        <f t="shared" si="50"/>
        <v>1.0888888888888895</v>
      </c>
      <c r="M287" s="344">
        <v>2.1</v>
      </c>
      <c r="N287" s="344">
        <v>1.4</v>
      </c>
      <c r="O287" s="344">
        <v>2.56666666666667</v>
      </c>
      <c r="P287" s="344">
        <v>6.7666666666666702</v>
      </c>
      <c r="Q287" s="344">
        <v>11.9</v>
      </c>
      <c r="R287" s="344">
        <v>15.1666666666667</v>
      </c>
      <c r="S287" s="344">
        <v>16.8</v>
      </c>
      <c r="T287" s="344">
        <v>17.733333333333299</v>
      </c>
      <c r="U287" s="344">
        <v>13.3</v>
      </c>
      <c r="V287" s="344">
        <v>10.966666666666701</v>
      </c>
      <c r="W287" s="344">
        <v>10.033333333333299</v>
      </c>
      <c r="X287" s="344">
        <v>9.1</v>
      </c>
      <c r="Y287" s="344">
        <v>9.8000000000000007</v>
      </c>
      <c r="Z287" s="344">
        <v>10.266666666666699</v>
      </c>
      <c r="AA287" s="344">
        <v>10.966666666666701</v>
      </c>
      <c r="AB287" s="344">
        <v>10.733333333333301</v>
      </c>
      <c r="AC287" s="344">
        <v>10.033333333333299</v>
      </c>
      <c r="AD287" s="344">
        <f t="shared" si="51"/>
        <v>-0.70000000000000107</v>
      </c>
      <c r="AE287" s="344">
        <v>13</v>
      </c>
      <c r="AF287" s="344">
        <v>0</v>
      </c>
      <c r="AG287" s="345">
        <v>51</v>
      </c>
      <c r="AH287" s="346">
        <v>51</v>
      </c>
      <c r="AI287" s="197">
        <v>51</v>
      </c>
      <c r="AJ287" s="197">
        <v>51</v>
      </c>
      <c r="AK287" s="197">
        <v>51</v>
      </c>
      <c r="AL287" s="197">
        <v>51</v>
      </c>
      <c r="AM287" s="197">
        <v>51</v>
      </c>
      <c r="AN287" s="197">
        <v>51</v>
      </c>
      <c r="AO287" s="197">
        <v>51</v>
      </c>
      <c r="AP287" s="197">
        <v>51</v>
      </c>
      <c r="AQ287" s="197">
        <v>51</v>
      </c>
      <c r="AR287" s="347">
        <v>26</v>
      </c>
      <c r="AS287" s="347">
        <v>9</v>
      </c>
      <c r="AT287" s="347">
        <v>37</v>
      </c>
      <c r="AU287" s="197">
        <v>51</v>
      </c>
      <c r="AV287" s="197">
        <v>51</v>
      </c>
      <c r="AW287" s="197">
        <v>51</v>
      </c>
      <c r="AX287" s="197">
        <v>51</v>
      </c>
      <c r="AY287" s="197">
        <v>51</v>
      </c>
      <c r="AZ287" s="347">
        <v>41</v>
      </c>
      <c r="BA287" s="197">
        <v>51</v>
      </c>
      <c r="BB287" s="347">
        <v>12</v>
      </c>
      <c r="BC287" s="347">
        <v>13</v>
      </c>
    </row>
    <row r="288" spans="1:55" s="381" customFormat="1" ht="17.649999999999999" customHeight="1">
      <c r="A288" s="343">
        <v>228</v>
      </c>
      <c r="B288" s="211" t="s">
        <v>2309</v>
      </c>
      <c r="C288" s="211" t="s">
        <v>2061</v>
      </c>
      <c r="D288" s="211" t="s">
        <v>2283</v>
      </c>
      <c r="E288" s="344">
        <v>49</v>
      </c>
      <c r="F288" s="344">
        <v>45.966666666666697</v>
      </c>
      <c r="G288" s="209">
        <v>37.1</v>
      </c>
      <c r="H288" s="344">
        <v>37.1</v>
      </c>
      <c r="I288" s="344">
        <v>29.866666666666699</v>
      </c>
      <c r="J288" s="344">
        <v>18.433333333333302</v>
      </c>
      <c r="K288" s="344">
        <v>14.233333333333301</v>
      </c>
      <c r="L288" s="344">
        <f t="shared" si="50"/>
        <v>3.3211111111111036</v>
      </c>
      <c r="M288" s="344">
        <v>6.5333333333333297</v>
      </c>
      <c r="N288" s="344">
        <v>6.3</v>
      </c>
      <c r="O288" s="344">
        <v>8.8666666666666707</v>
      </c>
      <c r="P288" s="344">
        <v>11.6666666666667</v>
      </c>
      <c r="Q288" s="344">
        <v>14</v>
      </c>
      <c r="R288" s="344">
        <v>16.100000000000001</v>
      </c>
      <c r="S288" s="344">
        <v>15.633333333333301</v>
      </c>
      <c r="T288" s="344">
        <v>12.8333333333333</v>
      </c>
      <c r="U288" s="344">
        <v>13.533333333333299</v>
      </c>
      <c r="V288" s="344">
        <v>16.8</v>
      </c>
      <c r="W288" s="344">
        <v>16.566666666666698</v>
      </c>
      <c r="X288" s="344">
        <v>20.766666666666701</v>
      </c>
      <c r="Y288" s="344">
        <v>20.066666666666698</v>
      </c>
      <c r="Z288" s="344">
        <v>15.1666666666667</v>
      </c>
      <c r="AA288" s="344">
        <v>10.966666666666701</v>
      </c>
      <c r="AB288" s="344">
        <v>10.733333333333301</v>
      </c>
      <c r="AC288" s="344">
        <v>9.1</v>
      </c>
      <c r="AD288" s="344">
        <f t="shared" si="51"/>
        <v>-1.6333333333333009</v>
      </c>
      <c r="AE288" s="344">
        <v>51</v>
      </c>
      <c r="AF288" s="344">
        <v>18</v>
      </c>
      <c r="AG288" s="345">
        <v>51</v>
      </c>
      <c r="AH288" s="346">
        <v>26</v>
      </c>
      <c r="AI288" s="197">
        <v>51</v>
      </c>
      <c r="AJ288" s="197">
        <v>51</v>
      </c>
      <c r="AK288" s="197">
        <v>51</v>
      </c>
      <c r="AL288" s="197">
        <v>51</v>
      </c>
      <c r="AM288" s="197">
        <v>51</v>
      </c>
      <c r="AN288" s="197">
        <v>12</v>
      </c>
      <c r="AO288" s="197">
        <v>12</v>
      </c>
      <c r="AP288" s="197">
        <v>8</v>
      </c>
      <c r="AQ288" s="347">
        <v>12</v>
      </c>
      <c r="AR288" s="347">
        <v>11</v>
      </c>
      <c r="AS288" s="347">
        <v>11</v>
      </c>
      <c r="AT288" s="347">
        <v>11</v>
      </c>
      <c r="AU288" s="347">
        <v>31</v>
      </c>
      <c r="AV288" s="347">
        <v>15</v>
      </c>
      <c r="AW288" s="347">
        <v>5</v>
      </c>
      <c r="AX288" s="347">
        <v>7</v>
      </c>
      <c r="AY288" s="347">
        <v>6</v>
      </c>
      <c r="AZ288" s="347">
        <v>14</v>
      </c>
      <c r="BA288" s="347">
        <v>41</v>
      </c>
      <c r="BB288" s="347">
        <v>3</v>
      </c>
      <c r="BC288" s="347">
        <v>8</v>
      </c>
    </row>
    <row r="289" spans="1:55" s="381" customFormat="1" ht="17.649999999999999" customHeight="1">
      <c r="A289" s="343">
        <v>229</v>
      </c>
      <c r="B289" s="211" t="s">
        <v>2310</v>
      </c>
      <c r="C289" s="211" t="s">
        <v>2061</v>
      </c>
      <c r="D289" s="211" t="s">
        <v>2283</v>
      </c>
      <c r="E289" s="344">
        <v>7</v>
      </c>
      <c r="F289" s="344">
        <v>7.7</v>
      </c>
      <c r="G289" s="209">
        <v>7.4666666666666703</v>
      </c>
      <c r="H289" s="344">
        <v>6.7666666666666702</v>
      </c>
      <c r="I289" s="344">
        <v>5.6</v>
      </c>
      <c r="J289" s="344">
        <v>6.3</v>
      </c>
      <c r="K289" s="344">
        <v>4.2</v>
      </c>
      <c r="L289" s="344">
        <f t="shared" si="50"/>
        <v>0.98000000000000009</v>
      </c>
      <c r="M289" s="344">
        <v>3.2666666666666702</v>
      </c>
      <c r="N289" s="344">
        <v>5.8333333333333304</v>
      </c>
      <c r="O289" s="344">
        <v>7.7</v>
      </c>
      <c r="P289" s="344">
        <v>9.56666666666667</v>
      </c>
      <c r="Q289" s="344">
        <v>10.966666666666701</v>
      </c>
      <c r="R289" s="344">
        <v>12.8333333333333</v>
      </c>
      <c r="S289" s="344">
        <v>12.8333333333333</v>
      </c>
      <c r="T289" s="344">
        <v>13.3</v>
      </c>
      <c r="U289" s="344">
        <v>15.1666666666667</v>
      </c>
      <c r="V289" s="344">
        <v>13.3</v>
      </c>
      <c r="W289" s="344">
        <v>10.733333333333301</v>
      </c>
      <c r="X289" s="344">
        <v>10.033333333333299</v>
      </c>
      <c r="Y289" s="344">
        <v>7</v>
      </c>
      <c r="Z289" s="344">
        <v>6.7666666666666702</v>
      </c>
      <c r="AA289" s="344">
        <v>4.43333333333333</v>
      </c>
      <c r="AB289" s="344">
        <v>5.8333333333333304</v>
      </c>
      <c r="AC289" s="344">
        <v>5.6</v>
      </c>
      <c r="AD289" s="344">
        <f t="shared" si="51"/>
        <v>-0.23333333333333073</v>
      </c>
      <c r="AE289" s="344">
        <v>26</v>
      </c>
      <c r="AF289" s="344">
        <v>0</v>
      </c>
      <c r="AG289" s="345">
        <v>51</v>
      </c>
      <c r="AH289" s="346">
        <v>51</v>
      </c>
      <c r="AI289" s="197">
        <v>51</v>
      </c>
      <c r="AJ289" s="197">
        <v>51</v>
      </c>
      <c r="AK289" s="197">
        <v>51</v>
      </c>
      <c r="AL289" s="197">
        <v>51</v>
      </c>
      <c r="AM289" s="197">
        <v>51</v>
      </c>
      <c r="AN289" s="197">
        <v>51</v>
      </c>
      <c r="AO289" s="197">
        <v>51</v>
      </c>
      <c r="AP289" s="347">
        <v>36</v>
      </c>
      <c r="AQ289" s="347">
        <v>10</v>
      </c>
      <c r="AR289" s="347">
        <v>14</v>
      </c>
      <c r="AS289" s="347">
        <v>17</v>
      </c>
      <c r="AT289" s="347">
        <v>32</v>
      </c>
      <c r="AU289" s="347">
        <v>30</v>
      </c>
      <c r="AV289" s="347">
        <v>36</v>
      </c>
      <c r="AW289" s="347">
        <v>10</v>
      </c>
      <c r="AX289" s="347">
        <v>5</v>
      </c>
      <c r="AY289" s="347">
        <v>13</v>
      </c>
      <c r="AZ289" s="197">
        <v>51</v>
      </c>
      <c r="BA289" s="197">
        <v>51</v>
      </c>
      <c r="BB289" s="347">
        <v>11</v>
      </c>
      <c r="BC289" s="347" t="s">
        <v>2287</v>
      </c>
    </row>
    <row r="290" spans="1:55" s="381" customFormat="1" ht="17.649999999999999" customHeight="1">
      <c r="A290" s="343">
        <v>230</v>
      </c>
      <c r="B290" s="211" t="s">
        <v>2311</v>
      </c>
      <c r="C290" s="211" t="s">
        <v>2061</v>
      </c>
      <c r="D290" s="211" t="s">
        <v>2283</v>
      </c>
      <c r="E290" s="344">
        <v>0</v>
      </c>
      <c r="F290" s="344">
        <v>0.233333333333333</v>
      </c>
      <c r="G290" s="209">
        <v>0.233333333333333</v>
      </c>
      <c r="H290" s="344">
        <v>0.233333333333333</v>
      </c>
      <c r="I290" s="344">
        <v>0.233333333333333</v>
      </c>
      <c r="J290" s="344">
        <v>0.233333333333333</v>
      </c>
      <c r="K290" s="344">
        <v>1.1666666666666701</v>
      </c>
      <c r="L290" s="344">
        <f t="shared" si="50"/>
        <v>0.27222222222222303</v>
      </c>
      <c r="M290" s="344">
        <v>0.233333333333333</v>
      </c>
      <c r="N290" s="344">
        <v>1.1666666666666701</v>
      </c>
      <c r="O290" s="344">
        <v>3.2666666666666702</v>
      </c>
      <c r="P290" s="344">
        <v>4.43333333333333</v>
      </c>
      <c r="Q290" s="344">
        <v>4.6666666666666696</v>
      </c>
      <c r="R290" s="344">
        <v>5.3666666666666698</v>
      </c>
      <c r="S290" s="344">
        <v>5.8333333333333304</v>
      </c>
      <c r="T290" s="344">
        <v>5.8333333333333304</v>
      </c>
      <c r="U290" s="344">
        <v>5.6</v>
      </c>
      <c r="V290" s="344">
        <v>4.43333333333333</v>
      </c>
      <c r="W290" s="344">
        <v>2.56666666666667</v>
      </c>
      <c r="X290" s="344">
        <v>2.3333333333333299</v>
      </c>
      <c r="Y290" s="344">
        <v>3.5</v>
      </c>
      <c r="Z290" s="344">
        <v>4.43333333333333</v>
      </c>
      <c r="AA290" s="344">
        <v>3.2666666666666702</v>
      </c>
      <c r="AB290" s="344">
        <v>3.5</v>
      </c>
      <c r="AC290" s="344">
        <v>2.3333333333333299</v>
      </c>
      <c r="AD290" s="344">
        <f t="shared" si="51"/>
        <v>-1.1666666666666701</v>
      </c>
      <c r="AE290" s="344">
        <v>3</v>
      </c>
      <c r="AF290" s="344">
        <v>3</v>
      </c>
      <c r="AG290" s="345">
        <v>1</v>
      </c>
      <c r="AH290" s="346">
        <v>1</v>
      </c>
      <c r="AI290" s="197">
        <v>1</v>
      </c>
      <c r="AJ290" s="197">
        <v>1</v>
      </c>
      <c r="AK290" s="197">
        <v>3</v>
      </c>
      <c r="AL290" s="197">
        <v>3</v>
      </c>
      <c r="AM290" s="197">
        <v>9</v>
      </c>
      <c r="AN290" s="197">
        <v>1</v>
      </c>
      <c r="AO290" s="197">
        <v>3</v>
      </c>
      <c r="AP290" s="197">
        <v>1</v>
      </c>
      <c r="AQ290" s="347">
        <v>1</v>
      </c>
      <c r="AR290" s="197">
        <v>1</v>
      </c>
      <c r="AS290" s="197">
        <v>2</v>
      </c>
      <c r="AT290" s="197">
        <v>2</v>
      </c>
      <c r="AU290" s="347">
        <v>1</v>
      </c>
      <c r="AV290" s="347">
        <v>1</v>
      </c>
      <c r="AW290" s="347">
        <v>1</v>
      </c>
      <c r="AX290" s="347">
        <v>1</v>
      </c>
      <c r="AY290" s="347">
        <v>1</v>
      </c>
      <c r="AZ290" s="197">
        <v>9</v>
      </c>
      <c r="BA290" s="347">
        <v>1</v>
      </c>
      <c r="BB290" s="347">
        <v>1</v>
      </c>
      <c r="BC290" s="347">
        <v>1</v>
      </c>
    </row>
    <row r="291" spans="1:55" s="381" customFormat="1" ht="17.649999999999999" customHeight="1">
      <c r="A291" s="343">
        <v>231</v>
      </c>
      <c r="B291" s="211" t="s">
        <v>2312</v>
      </c>
      <c r="C291" s="211" t="s">
        <v>2061</v>
      </c>
      <c r="D291" s="211" t="s">
        <v>2283</v>
      </c>
      <c r="E291" s="344">
        <v>13</v>
      </c>
      <c r="F291" s="344">
        <v>13.533333333333299</v>
      </c>
      <c r="G291" s="209">
        <v>12.133333333333301</v>
      </c>
      <c r="H291" s="344">
        <v>11.6666666666667</v>
      </c>
      <c r="I291" s="344">
        <v>14.233333333333301</v>
      </c>
      <c r="J291" s="344">
        <v>15.1666666666667</v>
      </c>
      <c r="K291" s="344">
        <v>14</v>
      </c>
      <c r="L291" s="344">
        <f t="shared" si="50"/>
        <v>3.2666666666666666</v>
      </c>
      <c r="M291" s="344">
        <v>7.7</v>
      </c>
      <c r="N291" s="344">
        <v>12.366666666666699</v>
      </c>
      <c r="O291" s="344">
        <v>15.1666666666667</v>
      </c>
      <c r="P291" s="344">
        <v>24.5</v>
      </c>
      <c r="Q291" s="344">
        <v>31.033333333333299</v>
      </c>
      <c r="R291" s="344">
        <v>36.1666666666667</v>
      </c>
      <c r="S291" s="344">
        <v>35.233333333333299</v>
      </c>
      <c r="T291" s="344">
        <v>37.566666666666698</v>
      </c>
      <c r="U291" s="344">
        <v>42.7</v>
      </c>
      <c r="V291" s="344">
        <v>44.8</v>
      </c>
      <c r="W291" s="344">
        <v>42</v>
      </c>
      <c r="X291" s="344">
        <v>41.766666666666701</v>
      </c>
      <c r="Y291" s="344">
        <v>33.6</v>
      </c>
      <c r="Z291" s="344">
        <v>19.8333333333333</v>
      </c>
      <c r="AA291" s="344">
        <v>19.8333333333333</v>
      </c>
      <c r="AB291" s="344">
        <v>18.6666666666667</v>
      </c>
      <c r="AC291" s="344">
        <v>16.100000000000001</v>
      </c>
      <c r="AD291" s="344">
        <f t="shared" si="51"/>
        <v>-2.5666666666666984</v>
      </c>
      <c r="AE291" s="344">
        <v>51</v>
      </c>
      <c r="AF291" s="344">
        <v>0</v>
      </c>
      <c r="AG291" s="345">
        <v>51</v>
      </c>
      <c r="AH291" s="346">
        <v>51</v>
      </c>
      <c r="AI291" s="197">
        <v>51</v>
      </c>
      <c r="AJ291" s="197">
        <v>51</v>
      </c>
      <c r="AK291" s="197">
        <v>51</v>
      </c>
      <c r="AL291" s="197">
        <v>51</v>
      </c>
      <c r="AM291" s="197">
        <v>51</v>
      </c>
      <c r="AN291" s="197">
        <v>51</v>
      </c>
      <c r="AO291" s="197">
        <v>51</v>
      </c>
      <c r="AP291" s="197">
        <v>51</v>
      </c>
      <c r="AQ291" s="197">
        <v>51</v>
      </c>
      <c r="AR291" s="197">
        <v>51</v>
      </c>
      <c r="AS291" s="197">
        <v>51</v>
      </c>
      <c r="AT291" s="197">
        <v>51</v>
      </c>
      <c r="AU291" s="197">
        <v>51</v>
      </c>
      <c r="AV291" s="347">
        <v>6</v>
      </c>
      <c r="AW291" s="197">
        <v>51</v>
      </c>
      <c r="AX291" s="197">
        <v>51</v>
      </c>
      <c r="AY291" s="197">
        <v>51</v>
      </c>
      <c r="AZ291" s="197">
        <v>51</v>
      </c>
      <c r="BA291" s="197">
        <v>51</v>
      </c>
      <c r="BB291" s="197">
        <v>51</v>
      </c>
      <c r="BC291" s="347" t="s">
        <v>2287</v>
      </c>
    </row>
    <row r="292" spans="1:55" s="381" customFormat="1" ht="17.649999999999999" customHeight="1">
      <c r="A292" s="343">
        <v>232</v>
      </c>
      <c r="B292" s="211" t="s">
        <v>2313</v>
      </c>
      <c r="C292" s="211" t="s">
        <v>2061</v>
      </c>
      <c r="D292" s="211" t="s">
        <v>2283</v>
      </c>
      <c r="E292" s="344">
        <v>7</v>
      </c>
      <c r="F292" s="344">
        <v>6.5333333333333297</v>
      </c>
      <c r="G292" s="209">
        <v>6.7666666666666702</v>
      </c>
      <c r="H292" s="344">
        <v>5.6</v>
      </c>
      <c r="I292" s="344">
        <v>5.3666666666666698</v>
      </c>
      <c r="J292" s="344">
        <v>5.1333333333333302</v>
      </c>
      <c r="K292" s="344">
        <v>8.6333333333333293</v>
      </c>
      <c r="L292" s="344">
        <f t="shared" si="50"/>
        <v>2.0144444444444436</v>
      </c>
      <c r="M292" s="344">
        <v>7</v>
      </c>
      <c r="N292" s="344">
        <v>8.8666666666666707</v>
      </c>
      <c r="O292" s="344">
        <v>7.93333333333333</v>
      </c>
      <c r="P292" s="344">
        <v>7.93333333333333</v>
      </c>
      <c r="Q292" s="344">
        <v>8.8666666666666707</v>
      </c>
      <c r="R292" s="344">
        <v>9.8000000000000007</v>
      </c>
      <c r="S292" s="344">
        <v>10.033333333333299</v>
      </c>
      <c r="T292" s="344">
        <v>12.8333333333333</v>
      </c>
      <c r="U292" s="344">
        <v>14.233333333333301</v>
      </c>
      <c r="V292" s="344">
        <v>12.366666666666699</v>
      </c>
      <c r="W292" s="344">
        <v>10.033333333333299</v>
      </c>
      <c r="X292" s="344">
        <v>9.1</v>
      </c>
      <c r="Y292" s="344">
        <v>8.4</v>
      </c>
      <c r="Z292" s="344">
        <v>9.1</v>
      </c>
      <c r="AA292" s="344">
        <v>10.966666666666701</v>
      </c>
      <c r="AB292" s="344">
        <v>11.2</v>
      </c>
      <c r="AC292" s="344">
        <v>8.6333333333333293</v>
      </c>
      <c r="AD292" s="344">
        <f t="shared" si="51"/>
        <v>-2.56666666666667</v>
      </c>
      <c r="AE292" s="344">
        <v>20</v>
      </c>
      <c r="AF292" s="344">
        <v>49</v>
      </c>
      <c r="AG292" s="345">
        <v>51</v>
      </c>
      <c r="AH292" s="346">
        <v>46</v>
      </c>
      <c r="AI292" s="197">
        <v>51</v>
      </c>
      <c r="AJ292" s="197">
        <v>15</v>
      </c>
      <c r="AK292" s="197">
        <v>43</v>
      </c>
      <c r="AL292" s="197">
        <v>43</v>
      </c>
      <c r="AM292" s="197">
        <v>45</v>
      </c>
      <c r="AN292" s="197">
        <v>35</v>
      </c>
      <c r="AO292" s="197">
        <v>14</v>
      </c>
      <c r="AP292" s="347">
        <v>46</v>
      </c>
      <c r="AQ292" s="197">
        <v>5</v>
      </c>
      <c r="AR292" s="197">
        <v>2</v>
      </c>
      <c r="AS292" s="197">
        <v>8</v>
      </c>
      <c r="AT292" s="347">
        <v>13</v>
      </c>
      <c r="AU292" s="347">
        <v>7</v>
      </c>
      <c r="AV292" s="347">
        <v>2</v>
      </c>
      <c r="AW292" s="347">
        <v>16</v>
      </c>
      <c r="AX292" s="347">
        <v>13</v>
      </c>
      <c r="AY292" s="347">
        <v>15</v>
      </c>
      <c r="AZ292" s="347">
        <v>13</v>
      </c>
      <c r="BA292" s="347">
        <v>30</v>
      </c>
      <c r="BB292" s="347">
        <v>15</v>
      </c>
      <c r="BC292" s="347">
        <v>32</v>
      </c>
    </row>
    <row r="293" spans="1:55" s="381" customFormat="1" ht="17.649999999999999" customHeight="1">
      <c r="A293" s="343">
        <v>233</v>
      </c>
      <c r="B293" s="211" t="s">
        <v>2314</v>
      </c>
      <c r="C293" s="211" t="s">
        <v>2061</v>
      </c>
      <c r="D293" s="211" t="s">
        <v>2283</v>
      </c>
      <c r="E293" s="344">
        <v>113</v>
      </c>
      <c r="F293" s="344">
        <v>116.433333333333</v>
      </c>
      <c r="G293" s="209">
        <v>114.333333333333</v>
      </c>
      <c r="H293" s="344">
        <v>106.866666666667</v>
      </c>
      <c r="I293" s="344">
        <v>105.466666666667</v>
      </c>
      <c r="J293" s="344">
        <v>104.533333333333</v>
      </c>
      <c r="K293" s="344">
        <v>91.466666666666697</v>
      </c>
      <c r="L293" s="344">
        <f t="shared" si="50"/>
        <v>21.34222222222223</v>
      </c>
      <c r="M293" s="344">
        <v>53.9</v>
      </c>
      <c r="N293" s="344">
        <v>67.2</v>
      </c>
      <c r="O293" s="344">
        <v>80.5</v>
      </c>
      <c r="P293" s="344">
        <v>110.833333333333</v>
      </c>
      <c r="Q293" s="344">
        <v>144.9</v>
      </c>
      <c r="R293" s="344">
        <v>150.5</v>
      </c>
      <c r="S293" s="344">
        <v>146.30000000000001</v>
      </c>
      <c r="T293" s="344">
        <v>139.066666666667</v>
      </c>
      <c r="U293" s="344">
        <v>130.9</v>
      </c>
      <c r="V293" s="344">
        <v>119.23333333333299</v>
      </c>
      <c r="W293" s="344">
        <v>105.7</v>
      </c>
      <c r="X293" s="344">
        <v>102.433333333333</v>
      </c>
      <c r="Y293" s="344">
        <v>98</v>
      </c>
      <c r="Z293" s="344">
        <v>98.933333333333294</v>
      </c>
      <c r="AA293" s="344">
        <v>107.8</v>
      </c>
      <c r="AB293" s="344">
        <v>115.26666666666701</v>
      </c>
      <c r="AC293" s="344">
        <v>105</v>
      </c>
      <c r="AD293" s="344">
        <f t="shared" si="51"/>
        <v>-10.266666666667007</v>
      </c>
      <c r="AE293" s="344">
        <v>51</v>
      </c>
      <c r="AF293" s="344">
        <v>0</v>
      </c>
      <c r="AG293" s="345">
        <v>51</v>
      </c>
      <c r="AH293" s="346">
        <v>36</v>
      </c>
      <c r="AI293" s="197">
        <v>51</v>
      </c>
      <c r="AJ293" s="197">
        <v>51</v>
      </c>
      <c r="AK293" s="197">
        <v>51</v>
      </c>
      <c r="AL293" s="197">
        <v>51</v>
      </c>
      <c r="AM293" s="197">
        <v>51</v>
      </c>
      <c r="AN293" s="197">
        <v>51</v>
      </c>
      <c r="AO293" s="197">
        <v>51</v>
      </c>
      <c r="AP293" s="197">
        <v>51</v>
      </c>
      <c r="AQ293" s="197">
        <v>51</v>
      </c>
      <c r="AR293" s="197">
        <v>51</v>
      </c>
      <c r="AS293" s="197">
        <v>51</v>
      </c>
      <c r="AT293" s="197">
        <v>51</v>
      </c>
      <c r="AU293" s="197">
        <v>51</v>
      </c>
      <c r="AV293" s="197">
        <v>51</v>
      </c>
      <c r="AW293" s="197">
        <v>51</v>
      </c>
      <c r="AX293" s="197">
        <v>51</v>
      </c>
      <c r="AY293" s="197">
        <v>51</v>
      </c>
      <c r="AZ293" s="197">
        <v>51</v>
      </c>
      <c r="BA293" s="197">
        <v>51</v>
      </c>
      <c r="BB293" s="197">
        <v>51</v>
      </c>
      <c r="BC293" s="347">
        <v>45</v>
      </c>
    </row>
    <row r="294" spans="1:55" s="381" customFormat="1" ht="17.649999999999999" customHeight="1">
      <c r="A294" s="343">
        <v>234</v>
      </c>
      <c r="B294" s="211" t="s">
        <v>2315</v>
      </c>
      <c r="C294" s="211" t="s">
        <v>2061</v>
      </c>
      <c r="D294" s="211" t="s">
        <v>2283</v>
      </c>
      <c r="E294" s="344">
        <v>25</v>
      </c>
      <c r="F294" s="344">
        <v>25.433333333333302</v>
      </c>
      <c r="G294" s="209">
        <v>27.3</v>
      </c>
      <c r="H294" s="344">
        <v>24.5</v>
      </c>
      <c r="I294" s="344">
        <v>20.066666666666698</v>
      </c>
      <c r="J294" s="344">
        <v>18.6666666666667</v>
      </c>
      <c r="K294" s="344">
        <v>18.433333333333302</v>
      </c>
      <c r="L294" s="344">
        <f t="shared" si="50"/>
        <v>4.3011111111111031</v>
      </c>
      <c r="M294" s="344">
        <v>10.266666666666699</v>
      </c>
      <c r="N294" s="344">
        <v>12.366666666666699</v>
      </c>
      <c r="O294" s="344">
        <v>15.4</v>
      </c>
      <c r="P294" s="344">
        <v>23.8</v>
      </c>
      <c r="Q294" s="344">
        <v>32.6666666666667</v>
      </c>
      <c r="R294" s="344">
        <v>32.9</v>
      </c>
      <c r="S294" s="344">
        <v>32.6666666666667</v>
      </c>
      <c r="T294" s="344">
        <v>30.566666666666698</v>
      </c>
      <c r="U294" s="344">
        <v>24.266666666666701</v>
      </c>
      <c r="V294" s="344">
        <v>22.1666666666667</v>
      </c>
      <c r="W294" s="344">
        <v>19.600000000000001</v>
      </c>
      <c r="X294" s="344">
        <v>17.733333333333299</v>
      </c>
      <c r="Y294" s="344">
        <v>17.966666666666701</v>
      </c>
      <c r="Z294" s="344">
        <v>16.100000000000001</v>
      </c>
      <c r="AA294" s="344">
        <v>17.966666666666701</v>
      </c>
      <c r="AB294" s="344">
        <v>21.233333333333299</v>
      </c>
      <c r="AC294" s="344">
        <v>20.066666666666698</v>
      </c>
      <c r="AD294" s="344">
        <f t="shared" si="51"/>
        <v>-1.1666666666666003</v>
      </c>
      <c r="AE294" s="344">
        <v>51</v>
      </c>
      <c r="AF294" s="344">
        <v>0</v>
      </c>
      <c r="AG294" s="345">
        <v>51</v>
      </c>
      <c r="AH294" s="346">
        <v>51</v>
      </c>
      <c r="AI294" s="197">
        <v>51</v>
      </c>
      <c r="AJ294" s="197">
        <v>51</v>
      </c>
      <c r="AK294" s="197">
        <v>51</v>
      </c>
      <c r="AL294" s="197">
        <v>51</v>
      </c>
      <c r="AM294" s="197">
        <v>51</v>
      </c>
      <c r="AN294" s="197">
        <v>51</v>
      </c>
      <c r="AO294" s="197">
        <v>51</v>
      </c>
      <c r="AP294" s="197">
        <v>51</v>
      </c>
      <c r="AQ294" s="197">
        <v>51</v>
      </c>
      <c r="AR294" s="197">
        <v>51</v>
      </c>
      <c r="AS294" s="197">
        <v>51</v>
      </c>
      <c r="AT294" s="197">
        <v>51</v>
      </c>
      <c r="AU294" s="197">
        <v>51</v>
      </c>
      <c r="AV294" s="197">
        <v>51</v>
      </c>
      <c r="AW294" s="197">
        <v>51</v>
      </c>
      <c r="AX294" s="197">
        <v>51</v>
      </c>
      <c r="AY294" s="197">
        <v>51</v>
      </c>
      <c r="AZ294" s="347">
        <v>12</v>
      </c>
      <c r="BA294" s="197">
        <v>51</v>
      </c>
      <c r="BB294" s="197">
        <v>51</v>
      </c>
      <c r="BC294" s="347" t="s">
        <v>2287</v>
      </c>
    </row>
    <row r="295" spans="1:55" s="381" customFormat="1" ht="17.649999999999999" customHeight="1">
      <c r="A295" s="343">
        <v>235</v>
      </c>
      <c r="B295" s="211" t="s">
        <v>2316</v>
      </c>
      <c r="C295" s="211" t="s">
        <v>2061</v>
      </c>
      <c r="D295" s="211" t="s">
        <v>2283</v>
      </c>
      <c r="E295" s="344">
        <v>1</v>
      </c>
      <c r="F295" s="344">
        <v>2.1</v>
      </c>
      <c r="G295" s="209">
        <v>3.0333333333333301</v>
      </c>
      <c r="H295" s="344">
        <v>3.2666666666666702</v>
      </c>
      <c r="I295" s="344">
        <v>4.43333333333333</v>
      </c>
      <c r="J295" s="344">
        <v>6.7666666666666702</v>
      </c>
      <c r="K295" s="344">
        <v>6.5333333333333297</v>
      </c>
      <c r="L295" s="344">
        <f t="shared" si="50"/>
        <v>1.5244444444444436</v>
      </c>
      <c r="M295" s="344">
        <v>5.1333333333333302</v>
      </c>
      <c r="N295" s="344">
        <v>3.0333333333333301</v>
      </c>
      <c r="O295" s="344">
        <v>4.6666666666666696</v>
      </c>
      <c r="P295" s="344">
        <v>7.7</v>
      </c>
      <c r="Q295" s="344">
        <v>8.6333333333333293</v>
      </c>
      <c r="R295" s="344">
        <v>14</v>
      </c>
      <c r="S295" s="344">
        <v>13.0666666666667</v>
      </c>
      <c r="T295" s="344">
        <v>8.4</v>
      </c>
      <c r="U295" s="344">
        <v>10.033333333333299</v>
      </c>
      <c r="V295" s="344">
        <v>5.8333333333333304</v>
      </c>
      <c r="W295" s="344">
        <v>4.2</v>
      </c>
      <c r="X295" s="344">
        <v>5.1333333333333302</v>
      </c>
      <c r="Y295" s="344">
        <v>5.8333333333333304</v>
      </c>
      <c r="Z295" s="344">
        <v>4.43333333333333</v>
      </c>
      <c r="AA295" s="344">
        <v>6.3</v>
      </c>
      <c r="AB295" s="344">
        <v>6.3</v>
      </c>
      <c r="AC295" s="344">
        <v>5.1333333333333302</v>
      </c>
      <c r="AD295" s="344">
        <f t="shared" si="51"/>
        <v>-1.1666666666666696</v>
      </c>
      <c r="AE295" s="344">
        <v>51</v>
      </c>
      <c r="AF295" s="344">
        <v>80</v>
      </c>
      <c r="AG295" s="345">
        <v>51</v>
      </c>
      <c r="AH295" s="346">
        <v>29</v>
      </c>
      <c r="AI295" s="197">
        <v>22</v>
      </c>
      <c r="AJ295" s="197">
        <v>45</v>
      </c>
      <c r="AK295" s="197">
        <v>51</v>
      </c>
      <c r="AL295" s="197">
        <v>51</v>
      </c>
      <c r="AM295" s="197">
        <v>13</v>
      </c>
      <c r="AN295" s="197">
        <v>7</v>
      </c>
      <c r="AO295" s="197">
        <v>7</v>
      </c>
      <c r="AP295" s="347">
        <v>15</v>
      </c>
      <c r="AQ295" s="347">
        <v>5</v>
      </c>
      <c r="AR295" s="347">
        <v>26</v>
      </c>
      <c r="AS295" s="197">
        <v>51</v>
      </c>
      <c r="AT295" s="347">
        <v>17</v>
      </c>
      <c r="AU295" s="347">
        <v>9</v>
      </c>
      <c r="AV295" s="347">
        <v>14</v>
      </c>
      <c r="AW295" s="347">
        <v>5</v>
      </c>
      <c r="AX295" s="347">
        <v>6</v>
      </c>
      <c r="AY295" s="347">
        <v>13</v>
      </c>
      <c r="AZ295" s="347">
        <v>36</v>
      </c>
      <c r="BA295" s="347">
        <v>30</v>
      </c>
      <c r="BB295" s="347">
        <v>29</v>
      </c>
      <c r="BC295" s="347">
        <v>24</v>
      </c>
    </row>
    <row r="296" spans="1:55" s="381" customFormat="1" ht="17.649999999999999" customHeight="1">
      <c r="A296" s="343">
        <v>236</v>
      </c>
      <c r="B296" s="211" t="s">
        <v>2317</v>
      </c>
      <c r="C296" s="211" t="s">
        <v>2061</v>
      </c>
      <c r="D296" s="211" t="s">
        <v>2283</v>
      </c>
      <c r="E296" s="344">
        <v>3</v>
      </c>
      <c r="F296" s="344">
        <v>5.1333333333333302</v>
      </c>
      <c r="G296" s="209">
        <v>5.3666666666666698</v>
      </c>
      <c r="H296" s="344">
        <v>5.3666666666666698</v>
      </c>
      <c r="I296" s="344">
        <v>5.6</v>
      </c>
      <c r="J296" s="344">
        <v>6.7666666666666702</v>
      </c>
      <c r="K296" s="344">
        <v>3.5</v>
      </c>
      <c r="L296" s="344">
        <f t="shared" si="50"/>
        <v>0.81666666666666665</v>
      </c>
      <c r="M296" s="344">
        <v>2.3333333333333299</v>
      </c>
      <c r="N296" s="344">
        <v>4.6666666666666696</v>
      </c>
      <c r="O296" s="344">
        <v>5.8333333333333304</v>
      </c>
      <c r="P296" s="344">
        <v>8.8666666666666707</v>
      </c>
      <c r="Q296" s="344">
        <v>10.733333333333301</v>
      </c>
      <c r="R296" s="344">
        <v>9.56666666666667</v>
      </c>
      <c r="S296" s="344">
        <v>11.2</v>
      </c>
      <c r="T296" s="344">
        <v>9.8000000000000007</v>
      </c>
      <c r="U296" s="344">
        <v>10.033333333333299</v>
      </c>
      <c r="V296" s="344">
        <v>9.1</v>
      </c>
      <c r="W296" s="344">
        <v>9.1</v>
      </c>
      <c r="X296" s="344">
        <v>8.6333333333333293</v>
      </c>
      <c r="Y296" s="344">
        <v>8.8666666666666707</v>
      </c>
      <c r="Z296" s="344">
        <v>8.6333333333333293</v>
      </c>
      <c r="AA296" s="344">
        <v>9.1</v>
      </c>
      <c r="AB296" s="344">
        <v>9.8000000000000007</v>
      </c>
      <c r="AC296" s="344">
        <v>9.56666666666667</v>
      </c>
      <c r="AD296" s="344">
        <f t="shared" si="51"/>
        <v>-0.23333333333333073</v>
      </c>
      <c r="AE296" s="344">
        <v>51</v>
      </c>
      <c r="AF296" s="344">
        <v>86</v>
      </c>
      <c r="AG296" s="345">
        <v>9</v>
      </c>
      <c r="AH296" s="346">
        <v>6</v>
      </c>
      <c r="AI296" s="197">
        <v>1</v>
      </c>
      <c r="AJ296" s="197">
        <v>2</v>
      </c>
      <c r="AK296" s="197">
        <v>6</v>
      </c>
      <c r="AL296" s="197">
        <v>6</v>
      </c>
      <c r="AM296" s="197">
        <v>1</v>
      </c>
      <c r="AN296" s="197">
        <v>1</v>
      </c>
      <c r="AO296" s="197">
        <v>3</v>
      </c>
      <c r="AP296" s="197">
        <v>1</v>
      </c>
      <c r="AQ296" s="197">
        <v>1</v>
      </c>
      <c r="AR296" s="197">
        <v>1</v>
      </c>
      <c r="AS296" s="197">
        <v>1</v>
      </c>
      <c r="AT296" s="197">
        <v>1</v>
      </c>
      <c r="AU296" s="347">
        <v>1</v>
      </c>
      <c r="AV296" s="347">
        <v>1</v>
      </c>
      <c r="AW296" s="347">
        <v>1</v>
      </c>
      <c r="AX296" s="347">
        <v>1</v>
      </c>
      <c r="AY296" s="347">
        <v>1</v>
      </c>
      <c r="AZ296" s="347">
        <v>1</v>
      </c>
      <c r="BA296" s="347">
        <v>5</v>
      </c>
      <c r="BB296" s="347">
        <v>10</v>
      </c>
      <c r="BC296" s="347">
        <v>2</v>
      </c>
    </row>
    <row r="297" spans="1:55" s="381" customFormat="1" ht="17.649999999999999" customHeight="1">
      <c r="A297" s="343">
        <v>237</v>
      </c>
      <c r="B297" s="211" t="s">
        <v>2318</v>
      </c>
      <c r="C297" s="211" t="s">
        <v>2061</v>
      </c>
      <c r="D297" s="211" t="s">
        <v>2283</v>
      </c>
      <c r="E297" s="344">
        <v>21</v>
      </c>
      <c r="F297" s="344">
        <v>25.2</v>
      </c>
      <c r="G297" s="209">
        <v>25.2</v>
      </c>
      <c r="H297" s="344">
        <v>26.366666666666699</v>
      </c>
      <c r="I297" s="344">
        <v>26.6</v>
      </c>
      <c r="J297" s="344">
        <v>27.066666666666698</v>
      </c>
      <c r="K297" s="344">
        <v>19.8333333333333</v>
      </c>
      <c r="L297" s="344">
        <f t="shared" si="50"/>
        <v>4.6277777777777702</v>
      </c>
      <c r="M297" s="344">
        <v>12.366666666666699</v>
      </c>
      <c r="N297" s="344">
        <v>17.5</v>
      </c>
      <c r="O297" s="344">
        <v>21.233333333333299</v>
      </c>
      <c r="P297" s="344">
        <v>31.733333333333299</v>
      </c>
      <c r="Q297" s="344">
        <v>38.5</v>
      </c>
      <c r="R297" s="344">
        <v>38.733333333333299</v>
      </c>
      <c r="S297" s="344">
        <v>37.3333333333333</v>
      </c>
      <c r="T297" s="344">
        <v>32.200000000000003</v>
      </c>
      <c r="U297" s="344">
        <v>30.3333333333333</v>
      </c>
      <c r="V297" s="344">
        <v>27.3</v>
      </c>
      <c r="W297" s="344">
        <v>25.433333333333302</v>
      </c>
      <c r="X297" s="344">
        <v>28.466666666666701</v>
      </c>
      <c r="Y297" s="344">
        <v>26.6</v>
      </c>
      <c r="Z297" s="344">
        <v>24.033333333333299</v>
      </c>
      <c r="AA297" s="344">
        <v>21.933333333333302</v>
      </c>
      <c r="AB297" s="344">
        <v>18.6666666666667</v>
      </c>
      <c r="AC297" s="344">
        <v>14.9333333333333</v>
      </c>
      <c r="AD297" s="344">
        <f t="shared" si="51"/>
        <v>-3.7333333333334</v>
      </c>
      <c r="AE297" s="344">
        <v>51</v>
      </c>
      <c r="AF297" s="344">
        <v>0</v>
      </c>
      <c r="AG297" s="345">
        <v>51</v>
      </c>
      <c r="AH297" s="346">
        <v>51</v>
      </c>
      <c r="AI297" s="197">
        <v>51</v>
      </c>
      <c r="AJ297" s="197">
        <v>51</v>
      </c>
      <c r="AK297" s="197">
        <v>51</v>
      </c>
      <c r="AL297" s="197">
        <v>51</v>
      </c>
      <c r="AM297" s="197">
        <v>51</v>
      </c>
      <c r="AN297" s="197">
        <v>51</v>
      </c>
      <c r="AO297" s="197">
        <v>51</v>
      </c>
      <c r="AP297" s="197">
        <v>51</v>
      </c>
      <c r="AQ297" s="197">
        <v>51</v>
      </c>
      <c r="AR297" s="197">
        <v>51</v>
      </c>
      <c r="AS297" s="197">
        <v>51</v>
      </c>
      <c r="AT297" s="197">
        <v>51</v>
      </c>
      <c r="AU297" s="197">
        <v>51</v>
      </c>
      <c r="AV297" s="197">
        <v>51</v>
      </c>
      <c r="AW297" s="197">
        <v>51</v>
      </c>
      <c r="AX297" s="197">
        <v>51</v>
      </c>
      <c r="AY297" s="347">
        <v>12</v>
      </c>
      <c r="AZ297" s="347">
        <v>25</v>
      </c>
      <c r="BA297" s="347">
        <v>22</v>
      </c>
      <c r="BB297" s="347">
        <v>8</v>
      </c>
      <c r="BC297" s="347">
        <v>7</v>
      </c>
    </row>
    <row r="298" spans="1:55" s="381" customFormat="1" ht="17.649999999999999" customHeight="1">
      <c r="A298" s="343">
        <v>238</v>
      </c>
      <c r="B298" s="211" t="s">
        <v>2319</v>
      </c>
      <c r="C298" s="211" t="s">
        <v>2061</v>
      </c>
      <c r="D298" s="211" t="s">
        <v>2283</v>
      </c>
      <c r="E298" s="344">
        <v>47</v>
      </c>
      <c r="F298" s="344">
        <v>49.233333333333299</v>
      </c>
      <c r="G298" s="209">
        <v>42.466666666666697</v>
      </c>
      <c r="H298" s="344">
        <v>39.9</v>
      </c>
      <c r="I298" s="344">
        <v>36.633333333333297</v>
      </c>
      <c r="J298" s="344">
        <v>34.299999999999997</v>
      </c>
      <c r="K298" s="344">
        <v>32.9</v>
      </c>
      <c r="L298" s="344">
        <f t="shared" si="50"/>
        <v>7.6766666666666667</v>
      </c>
      <c r="M298" s="344">
        <v>27.766666666666701</v>
      </c>
      <c r="N298" s="344">
        <v>33.6</v>
      </c>
      <c r="O298" s="344">
        <v>33.8333333333333</v>
      </c>
      <c r="P298" s="344">
        <v>38.5</v>
      </c>
      <c r="Q298" s="344">
        <v>45.266666666666701</v>
      </c>
      <c r="R298" s="344">
        <v>43.866666666666703</v>
      </c>
      <c r="S298" s="344">
        <v>40.6</v>
      </c>
      <c r="T298" s="344">
        <v>40.6</v>
      </c>
      <c r="U298" s="344">
        <v>42</v>
      </c>
      <c r="V298" s="344">
        <v>38.733333333333299</v>
      </c>
      <c r="W298" s="344">
        <v>38.266666666666701</v>
      </c>
      <c r="X298" s="344">
        <v>37.3333333333333</v>
      </c>
      <c r="Y298" s="344">
        <v>37.3333333333333</v>
      </c>
      <c r="Z298" s="344">
        <v>33.133333333333297</v>
      </c>
      <c r="AA298" s="344">
        <v>33.8333333333333</v>
      </c>
      <c r="AB298" s="344">
        <v>37.1</v>
      </c>
      <c r="AC298" s="344">
        <v>35</v>
      </c>
      <c r="AD298" s="344">
        <f t="shared" si="51"/>
        <v>-2.1000000000000014</v>
      </c>
      <c r="AE298" s="344">
        <v>51</v>
      </c>
      <c r="AF298" s="344">
        <v>0</v>
      </c>
      <c r="AG298" s="345">
        <v>1</v>
      </c>
      <c r="AH298" s="346">
        <v>51</v>
      </c>
      <c r="AI298" s="197">
        <v>1</v>
      </c>
      <c r="AJ298" s="197">
        <v>6</v>
      </c>
      <c r="AK298" s="197">
        <v>51</v>
      </c>
      <c r="AL298" s="197">
        <v>51</v>
      </c>
      <c r="AM298" s="197">
        <v>29</v>
      </c>
      <c r="AN298" s="197">
        <v>51</v>
      </c>
      <c r="AO298" s="197">
        <v>51</v>
      </c>
      <c r="AP298" s="197">
        <v>51</v>
      </c>
      <c r="AQ298" s="347">
        <v>5</v>
      </c>
      <c r="AR298" s="197">
        <v>51</v>
      </c>
      <c r="AS298" s="197">
        <v>51</v>
      </c>
      <c r="AT298" s="197">
        <v>51</v>
      </c>
      <c r="AU298" s="197">
        <v>51</v>
      </c>
      <c r="AV298" s="197">
        <v>51</v>
      </c>
      <c r="AW298" s="197">
        <v>51</v>
      </c>
      <c r="AX298" s="197">
        <v>51</v>
      </c>
      <c r="AY298" s="197">
        <v>51</v>
      </c>
      <c r="AZ298" s="197">
        <v>51</v>
      </c>
      <c r="BA298" s="347">
        <v>9</v>
      </c>
      <c r="BB298" s="347">
        <v>4</v>
      </c>
      <c r="BC298" s="347">
        <v>4</v>
      </c>
    </row>
    <row r="299" spans="1:55" s="381" customFormat="1" ht="17.649999999999999" customHeight="1">
      <c r="A299" s="343">
        <v>239</v>
      </c>
      <c r="B299" s="211" t="s">
        <v>2320</v>
      </c>
      <c r="C299" s="211" t="s">
        <v>2061</v>
      </c>
      <c r="D299" s="211" t="s">
        <v>2283</v>
      </c>
      <c r="E299" s="344">
        <v>32</v>
      </c>
      <c r="F299" s="344">
        <v>32.9</v>
      </c>
      <c r="G299" s="209">
        <v>25.6666666666667</v>
      </c>
      <c r="H299" s="344">
        <v>25.433333333333302</v>
      </c>
      <c r="I299" s="344">
        <v>24.966666666666701</v>
      </c>
      <c r="J299" s="344">
        <v>24.966666666666701</v>
      </c>
      <c r="K299" s="344">
        <v>22.633333333333301</v>
      </c>
      <c r="L299" s="344">
        <f t="shared" si="50"/>
        <v>5.2811111111111035</v>
      </c>
      <c r="M299" s="344">
        <v>17.966666666666701</v>
      </c>
      <c r="N299" s="344">
        <v>23.8</v>
      </c>
      <c r="O299" s="344">
        <v>22.866666666666699</v>
      </c>
      <c r="P299" s="344">
        <v>31.5</v>
      </c>
      <c r="Q299" s="344">
        <v>40.6</v>
      </c>
      <c r="R299" s="344">
        <v>41.3</v>
      </c>
      <c r="S299" s="344">
        <v>43.633333333333297</v>
      </c>
      <c r="T299" s="344">
        <v>40.8333333333333</v>
      </c>
      <c r="U299" s="344">
        <v>37.566666666666698</v>
      </c>
      <c r="V299" s="344">
        <v>30.8</v>
      </c>
      <c r="W299" s="344">
        <v>24.966666666666701</v>
      </c>
      <c r="X299" s="344">
        <v>20.766666666666701</v>
      </c>
      <c r="Y299" s="344">
        <v>17.966666666666701</v>
      </c>
      <c r="Z299" s="344">
        <v>18.433333333333302</v>
      </c>
      <c r="AA299" s="344">
        <v>20.066666666666698</v>
      </c>
      <c r="AB299" s="344">
        <v>17.966666666666701</v>
      </c>
      <c r="AC299" s="344">
        <v>16.8</v>
      </c>
      <c r="AD299" s="344">
        <f t="shared" si="51"/>
        <v>-1.1666666666666998</v>
      </c>
      <c r="AE299" s="344">
        <v>51</v>
      </c>
      <c r="AF299" s="344">
        <v>0</v>
      </c>
      <c r="AG299" s="345">
        <v>51</v>
      </c>
      <c r="AH299" s="346">
        <v>51</v>
      </c>
      <c r="AI299" s="197">
        <v>51</v>
      </c>
      <c r="AJ299" s="197">
        <v>51</v>
      </c>
      <c r="AK299" s="197">
        <v>51</v>
      </c>
      <c r="AL299" s="197">
        <v>51</v>
      </c>
      <c r="AM299" s="197">
        <v>51</v>
      </c>
      <c r="AN299" s="197">
        <v>51</v>
      </c>
      <c r="AO299" s="197">
        <v>51</v>
      </c>
      <c r="AP299" s="197">
        <v>51</v>
      </c>
      <c r="AQ299" s="197">
        <v>51</v>
      </c>
      <c r="AR299" s="197">
        <v>51</v>
      </c>
      <c r="AS299" s="197">
        <v>51</v>
      </c>
      <c r="AT299" s="197">
        <v>51</v>
      </c>
      <c r="AU299" s="197">
        <v>51</v>
      </c>
      <c r="AV299" s="197">
        <v>51</v>
      </c>
      <c r="AW299" s="197">
        <v>51</v>
      </c>
      <c r="AX299" s="197">
        <v>51</v>
      </c>
      <c r="AY299" s="197">
        <v>51</v>
      </c>
      <c r="AZ299" s="197">
        <v>51</v>
      </c>
      <c r="BA299" s="197">
        <v>51</v>
      </c>
      <c r="BB299" s="197">
        <v>51</v>
      </c>
      <c r="BC299" s="347" t="s">
        <v>2287</v>
      </c>
    </row>
    <row r="300" spans="1:55" s="381" customFormat="1" ht="17.649999999999999" customHeight="1">
      <c r="A300" s="343">
        <v>240</v>
      </c>
      <c r="B300" s="211" t="s">
        <v>2321</v>
      </c>
      <c r="C300" s="211" t="s">
        <v>2061</v>
      </c>
      <c r="D300" s="211" t="s">
        <v>2283</v>
      </c>
      <c r="E300" s="344">
        <v>70</v>
      </c>
      <c r="F300" s="344">
        <v>68.8333333333333</v>
      </c>
      <c r="G300" s="209">
        <v>68.366666666666703</v>
      </c>
      <c r="H300" s="344">
        <v>62.533333333333303</v>
      </c>
      <c r="I300" s="344">
        <v>62.3</v>
      </c>
      <c r="J300" s="344">
        <v>75.599999999999994</v>
      </c>
      <c r="K300" s="344">
        <v>72.3333333333333</v>
      </c>
      <c r="L300" s="344">
        <f t="shared" si="50"/>
        <v>16.877777777777769</v>
      </c>
      <c r="M300" s="344">
        <v>60.6666666666667</v>
      </c>
      <c r="N300" s="344">
        <v>101.033333333333</v>
      </c>
      <c r="O300" s="344">
        <v>106.633333333333</v>
      </c>
      <c r="P300" s="344">
        <v>139.76666666666699</v>
      </c>
      <c r="Q300" s="344">
        <v>174.76666666666699</v>
      </c>
      <c r="R300" s="344">
        <v>141.86666666666699</v>
      </c>
      <c r="S300" s="344">
        <v>160.066666666667</v>
      </c>
      <c r="T300" s="344">
        <v>135.80000000000001</v>
      </c>
      <c r="U300" s="344">
        <v>109.433333333333</v>
      </c>
      <c r="V300" s="344">
        <v>96.8333333333333</v>
      </c>
      <c r="W300" s="344">
        <v>86.566666666666706</v>
      </c>
      <c r="X300" s="344">
        <v>105</v>
      </c>
      <c r="Y300" s="344">
        <v>122.5</v>
      </c>
      <c r="Z300" s="344">
        <v>183.166666666667</v>
      </c>
      <c r="AA300" s="344">
        <v>241.5</v>
      </c>
      <c r="AB300" s="344">
        <v>230.3</v>
      </c>
      <c r="AC300" s="344">
        <v>229.13333333333301</v>
      </c>
      <c r="AD300" s="344">
        <f t="shared" si="51"/>
        <v>-1.1666666666669983</v>
      </c>
      <c r="AE300" s="344">
        <v>16</v>
      </c>
      <c r="AF300" s="344">
        <v>0</v>
      </c>
      <c r="AG300" s="345">
        <v>1</v>
      </c>
      <c r="AH300" s="346">
        <v>5</v>
      </c>
      <c r="AI300" s="197">
        <v>1</v>
      </c>
      <c r="AJ300" s="197">
        <v>1</v>
      </c>
      <c r="AK300" s="197">
        <v>1</v>
      </c>
      <c r="AL300" s="197">
        <v>1</v>
      </c>
      <c r="AM300" s="197">
        <v>2</v>
      </c>
      <c r="AN300" s="197">
        <v>1</v>
      </c>
      <c r="AO300" s="197">
        <v>3</v>
      </c>
      <c r="AP300" s="347">
        <v>1</v>
      </c>
      <c r="AQ300" s="347">
        <v>16</v>
      </c>
      <c r="AR300" s="347">
        <v>1</v>
      </c>
      <c r="AS300" s="197">
        <v>3</v>
      </c>
      <c r="AT300" s="197">
        <v>1</v>
      </c>
      <c r="AU300" s="347">
        <v>1</v>
      </c>
      <c r="AV300" s="347">
        <v>1</v>
      </c>
      <c r="AW300" s="347">
        <v>4</v>
      </c>
      <c r="AX300" s="347">
        <v>1</v>
      </c>
      <c r="AY300" s="347">
        <v>6</v>
      </c>
      <c r="AZ300" s="347">
        <v>7</v>
      </c>
      <c r="BA300" s="347">
        <v>9</v>
      </c>
      <c r="BB300" s="347">
        <v>8</v>
      </c>
      <c r="BC300" s="347">
        <v>8</v>
      </c>
    </row>
    <row r="301" spans="1:55" s="381" customFormat="1" ht="17.649999999999999" customHeight="1">
      <c r="A301" s="343">
        <v>241</v>
      </c>
      <c r="B301" s="211" t="s">
        <v>2322</v>
      </c>
      <c r="C301" s="211" t="s">
        <v>2061</v>
      </c>
      <c r="D301" s="211" t="s">
        <v>2283</v>
      </c>
      <c r="E301" s="344">
        <v>39</v>
      </c>
      <c r="F301" s="344">
        <v>39.6666666666667</v>
      </c>
      <c r="G301" s="209">
        <v>32.200000000000003</v>
      </c>
      <c r="H301" s="344">
        <v>31.733333333333299</v>
      </c>
      <c r="I301" s="344">
        <v>27.3</v>
      </c>
      <c r="J301" s="344">
        <v>27.066666666666698</v>
      </c>
      <c r="K301" s="344">
        <v>24.966666666666701</v>
      </c>
      <c r="L301" s="344">
        <f t="shared" si="50"/>
        <v>5.8255555555555629</v>
      </c>
      <c r="M301" s="344">
        <v>15.633333333333301</v>
      </c>
      <c r="N301" s="344">
        <v>21.7</v>
      </c>
      <c r="O301" s="344">
        <v>28.7</v>
      </c>
      <c r="P301" s="344">
        <v>42.933333333333302</v>
      </c>
      <c r="Q301" s="344">
        <v>50.633333333333297</v>
      </c>
      <c r="R301" s="344">
        <v>54.8333333333333</v>
      </c>
      <c r="S301" s="344">
        <v>50.866666666666703</v>
      </c>
      <c r="T301" s="344">
        <v>49</v>
      </c>
      <c r="U301" s="344">
        <v>49.233333333333299</v>
      </c>
      <c r="V301" s="344">
        <v>42</v>
      </c>
      <c r="W301" s="344">
        <v>38.733333333333299</v>
      </c>
      <c r="X301" s="344">
        <v>32.200000000000003</v>
      </c>
      <c r="Y301" s="344">
        <v>32.9</v>
      </c>
      <c r="Z301" s="344">
        <v>36.633333333333297</v>
      </c>
      <c r="AA301" s="344">
        <v>36.633333333333297</v>
      </c>
      <c r="AB301" s="344">
        <v>36.1666666666667</v>
      </c>
      <c r="AC301" s="344">
        <v>30.8</v>
      </c>
      <c r="AD301" s="344">
        <f t="shared" si="51"/>
        <v>-5.3666666666666991</v>
      </c>
      <c r="AE301" s="344">
        <v>4</v>
      </c>
      <c r="AF301" s="344">
        <v>5</v>
      </c>
      <c r="AG301" s="345">
        <v>9</v>
      </c>
      <c r="AH301" s="346">
        <v>6</v>
      </c>
      <c r="AI301" s="197">
        <v>4</v>
      </c>
      <c r="AJ301" s="197">
        <v>1</v>
      </c>
      <c r="AK301" s="197">
        <v>37</v>
      </c>
      <c r="AL301" s="197">
        <v>4</v>
      </c>
      <c r="AM301" s="197">
        <v>4</v>
      </c>
      <c r="AN301" s="197">
        <v>4</v>
      </c>
      <c r="AO301" s="197">
        <v>3</v>
      </c>
      <c r="AP301" s="197">
        <v>51</v>
      </c>
      <c r="AQ301" s="347">
        <v>12</v>
      </c>
      <c r="AR301" s="347">
        <v>3</v>
      </c>
      <c r="AS301" s="347">
        <v>9</v>
      </c>
      <c r="AT301" s="347">
        <v>46</v>
      </c>
      <c r="AU301" s="347">
        <v>8</v>
      </c>
      <c r="AV301" s="347">
        <v>4</v>
      </c>
      <c r="AW301" s="347">
        <v>4</v>
      </c>
      <c r="AX301" s="347">
        <v>2</v>
      </c>
      <c r="AY301" s="347">
        <v>4</v>
      </c>
      <c r="AZ301" s="347">
        <v>1</v>
      </c>
      <c r="BA301" s="347">
        <v>1</v>
      </c>
      <c r="BB301" s="347">
        <v>1</v>
      </c>
      <c r="BC301" s="347">
        <v>4</v>
      </c>
    </row>
    <row r="302" spans="1:55" s="381" customFormat="1" ht="17.649999999999999" customHeight="1">
      <c r="A302" s="343">
        <v>242</v>
      </c>
      <c r="B302" s="211" t="s">
        <v>2323</v>
      </c>
      <c r="C302" s="211" t="s">
        <v>2061</v>
      </c>
      <c r="D302" s="211" t="s">
        <v>2283</v>
      </c>
      <c r="E302" s="344">
        <v>28</v>
      </c>
      <c r="F302" s="344">
        <v>26.6</v>
      </c>
      <c r="G302" s="209">
        <v>24.266666666666701</v>
      </c>
      <c r="H302" s="344">
        <v>21.233333333333299</v>
      </c>
      <c r="I302" s="344">
        <v>21.233333333333299</v>
      </c>
      <c r="J302" s="344">
        <v>24.033333333333299</v>
      </c>
      <c r="K302" s="344">
        <v>22.1666666666667</v>
      </c>
      <c r="L302" s="344">
        <f t="shared" si="50"/>
        <v>5.1722222222222305</v>
      </c>
      <c r="M302" s="344">
        <v>16.8</v>
      </c>
      <c r="N302" s="344">
        <v>19.600000000000001</v>
      </c>
      <c r="O302" s="344">
        <v>22.866666666666699</v>
      </c>
      <c r="P302" s="344">
        <v>37.566666666666698</v>
      </c>
      <c r="Q302" s="344">
        <v>44.1</v>
      </c>
      <c r="R302" s="344">
        <v>40.6</v>
      </c>
      <c r="S302" s="344">
        <v>36.1666666666667</v>
      </c>
      <c r="T302" s="344">
        <v>27.766666666666701</v>
      </c>
      <c r="U302" s="344">
        <v>23.8</v>
      </c>
      <c r="V302" s="344">
        <v>24.033333333333299</v>
      </c>
      <c r="W302" s="344">
        <v>25.2</v>
      </c>
      <c r="X302" s="344">
        <v>30.8</v>
      </c>
      <c r="Y302" s="344">
        <v>26.6</v>
      </c>
      <c r="Z302" s="344">
        <v>26.6</v>
      </c>
      <c r="AA302" s="344">
        <v>24.966666666666701</v>
      </c>
      <c r="AB302" s="344">
        <v>21.933333333333302</v>
      </c>
      <c r="AC302" s="344">
        <v>20.533333333333299</v>
      </c>
      <c r="AD302" s="344">
        <f t="shared" si="51"/>
        <v>-1.4000000000000021</v>
      </c>
      <c r="AE302" s="344">
        <v>51</v>
      </c>
      <c r="AF302" s="344">
        <v>0</v>
      </c>
      <c r="AG302" s="345">
        <v>51</v>
      </c>
      <c r="AH302" s="346">
        <v>51</v>
      </c>
      <c r="AI302" s="197">
        <v>51</v>
      </c>
      <c r="AJ302" s="197">
        <v>8</v>
      </c>
      <c r="AK302" s="197">
        <v>51</v>
      </c>
      <c r="AL302" s="197">
        <v>51</v>
      </c>
      <c r="AM302" s="197">
        <v>51</v>
      </c>
      <c r="AN302" s="197">
        <v>51</v>
      </c>
      <c r="AO302" s="197">
        <v>51</v>
      </c>
      <c r="AP302" s="197">
        <v>51</v>
      </c>
      <c r="AQ302" s="197">
        <v>51</v>
      </c>
      <c r="AR302" s="197">
        <v>51</v>
      </c>
      <c r="AS302" s="197">
        <v>51</v>
      </c>
      <c r="AT302" s="197">
        <v>51</v>
      </c>
      <c r="AU302" s="197">
        <v>51</v>
      </c>
      <c r="AV302" s="197">
        <v>51</v>
      </c>
      <c r="AW302" s="197">
        <v>51</v>
      </c>
      <c r="AX302" s="197">
        <v>51</v>
      </c>
      <c r="AY302" s="197">
        <v>51</v>
      </c>
      <c r="AZ302" s="197">
        <v>51</v>
      </c>
      <c r="BA302" s="197">
        <v>51</v>
      </c>
      <c r="BB302" s="197">
        <v>51</v>
      </c>
      <c r="BC302" s="347" t="s">
        <v>2287</v>
      </c>
    </row>
    <row r="303" spans="1:55" s="381" customFormat="1" ht="17.649999999999999" customHeight="1">
      <c r="A303" s="343">
        <v>243</v>
      </c>
      <c r="B303" s="211" t="s">
        <v>2324</v>
      </c>
      <c r="C303" s="211" t="s">
        <v>2061</v>
      </c>
      <c r="D303" s="211" t="s">
        <v>2283</v>
      </c>
      <c r="E303" s="344">
        <v>12</v>
      </c>
      <c r="F303" s="344">
        <v>12.133333333333301</v>
      </c>
      <c r="G303" s="209">
        <v>13.3</v>
      </c>
      <c r="H303" s="344">
        <v>12.366666666666699</v>
      </c>
      <c r="I303" s="344">
        <v>13.3</v>
      </c>
      <c r="J303" s="344">
        <v>12.8333333333333</v>
      </c>
      <c r="K303" s="344">
        <v>11.2</v>
      </c>
      <c r="L303" s="344">
        <f t="shared" si="50"/>
        <v>2.6133333333333333</v>
      </c>
      <c r="M303" s="344">
        <v>4.43333333333333</v>
      </c>
      <c r="N303" s="344">
        <v>3.5</v>
      </c>
      <c r="O303" s="344">
        <v>3.5</v>
      </c>
      <c r="P303" s="344">
        <v>3.2666666666666702</v>
      </c>
      <c r="Q303" s="344">
        <v>4.2</v>
      </c>
      <c r="R303" s="344">
        <v>6.3</v>
      </c>
      <c r="S303" s="344">
        <v>8.8666666666666707</v>
      </c>
      <c r="T303" s="344">
        <v>10.266666666666699</v>
      </c>
      <c r="U303" s="344">
        <v>13.0666666666667</v>
      </c>
      <c r="V303" s="344">
        <v>12.8333333333333</v>
      </c>
      <c r="W303" s="344">
        <v>13.3</v>
      </c>
      <c r="X303" s="344">
        <v>10.966666666666701</v>
      </c>
      <c r="Y303" s="344">
        <v>9.8000000000000007</v>
      </c>
      <c r="Z303" s="344">
        <v>7.4666666666666703</v>
      </c>
      <c r="AA303" s="344">
        <v>5.1333333333333302</v>
      </c>
      <c r="AB303" s="344">
        <v>6.7666666666666702</v>
      </c>
      <c r="AC303" s="344">
        <v>7.4666666666666703</v>
      </c>
      <c r="AD303" s="344">
        <f t="shared" si="51"/>
        <v>0.70000000000000018</v>
      </c>
      <c r="AE303" s="344">
        <v>19</v>
      </c>
      <c r="AF303" s="344">
        <v>0</v>
      </c>
      <c r="AG303" s="345">
        <v>51</v>
      </c>
      <c r="AH303" s="346">
        <v>1</v>
      </c>
      <c r="AI303" s="197">
        <v>4</v>
      </c>
      <c r="AJ303" s="197">
        <v>1</v>
      </c>
      <c r="AK303" s="197">
        <v>4</v>
      </c>
      <c r="AL303" s="197">
        <v>4</v>
      </c>
      <c r="AM303" s="197">
        <v>1</v>
      </c>
      <c r="AN303" s="197">
        <v>1</v>
      </c>
      <c r="AO303" s="197">
        <v>3</v>
      </c>
      <c r="AP303" s="197">
        <v>2</v>
      </c>
      <c r="AQ303" s="347">
        <v>1</v>
      </c>
      <c r="AR303" s="197">
        <v>1</v>
      </c>
      <c r="AS303" s="197">
        <v>10</v>
      </c>
      <c r="AT303" s="197">
        <v>2</v>
      </c>
      <c r="AU303" s="347">
        <v>1</v>
      </c>
      <c r="AV303" s="347">
        <v>2</v>
      </c>
      <c r="AW303" s="347">
        <v>3</v>
      </c>
      <c r="AX303" s="347">
        <v>4</v>
      </c>
      <c r="AY303" s="347">
        <v>9</v>
      </c>
      <c r="AZ303" s="347">
        <v>1</v>
      </c>
      <c r="BA303" s="347">
        <v>6</v>
      </c>
      <c r="BB303" s="347">
        <v>4</v>
      </c>
      <c r="BC303" s="347">
        <v>2</v>
      </c>
    </row>
    <row r="304" spans="1:55" s="381" customFormat="1" ht="17.649999999999999" customHeight="1">
      <c r="A304" s="343">
        <v>244</v>
      </c>
      <c r="B304" s="211" t="s">
        <v>2325</v>
      </c>
      <c r="C304" s="211" t="s">
        <v>2061</v>
      </c>
      <c r="D304" s="211" t="s">
        <v>2283</v>
      </c>
      <c r="E304" s="344">
        <v>9</v>
      </c>
      <c r="F304" s="344">
        <v>9.56666666666667</v>
      </c>
      <c r="G304" s="209">
        <v>8.8666666666666707</v>
      </c>
      <c r="H304" s="344">
        <v>8.8666666666666707</v>
      </c>
      <c r="I304" s="344">
        <v>6.7666666666666702</v>
      </c>
      <c r="J304" s="344">
        <v>7</v>
      </c>
      <c r="K304" s="344">
        <v>6.3</v>
      </c>
      <c r="L304" s="344">
        <f t="shared" si="50"/>
        <v>1.47</v>
      </c>
      <c r="M304" s="344">
        <v>3.2666666666666702</v>
      </c>
      <c r="N304" s="344">
        <v>3.5</v>
      </c>
      <c r="O304" s="344">
        <v>4.2</v>
      </c>
      <c r="P304" s="344">
        <v>12.8333333333333</v>
      </c>
      <c r="Q304" s="344">
        <v>18.899999999999999</v>
      </c>
      <c r="R304" s="344">
        <v>20.766666666666701</v>
      </c>
      <c r="S304" s="344">
        <v>23.1</v>
      </c>
      <c r="T304" s="344">
        <v>22.1666666666667</v>
      </c>
      <c r="U304" s="344">
        <v>20.533333333333299</v>
      </c>
      <c r="V304" s="344">
        <v>18.433333333333302</v>
      </c>
      <c r="W304" s="344">
        <v>16.566666666666698</v>
      </c>
      <c r="X304" s="344">
        <v>20.766666666666701</v>
      </c>
      <c r="Y304" s="344">
        <v>15.633333333333301</v>
      </c>
      <c r="Z304" s="344">
        <v>13.533333333333299</v>
      </c>
      <c r="AA304" s="344">
        <v>12.366666666666699</v>
      </c>
      <c r="AB304" s="344">
        <v>10.733333333333301</v>
      </c>
      <c r="AC304" s="344">
        <v>8.6333333333333293</v>
      </c>
      <c r="AD304" s="344">
        <f t="shared" si="51"/>
        <v>-2.0999999999999712</v>
      </c>
      <c r="AE304" s="344">
        <v>4</v>
      </c>
      <c r="AF304" s="344">
        <v>1</v>
      </c>
      <c r="AG304" s="345">
        <v>1</v>
      </c>
      <c r="AH304" s="346">
        <v>1</v>
      </c>
      <c r="AI304" s="197">
        <v>1</v>
      </c>
      <c r="AJ304" s="197">
        <v>9</v>
      </c>
      <c r="AK304" s="197">
        <v>1</v>
      </c>
      <c r="AL304" s="197">
        <v>1</v>
      </c>
      <c r="AM304" s="197">
        <v>1</v>
      </c>
      <c r="AN304" s="197">
        <v>1</v>
      </c>
      <c r="AO304" s="197">
        <v>1</v>
      </c>
      <c r="AP304" s="197">
        <v>2</v>
      </c>
      <c r="AQ304" s="197">
        <v>4</v>
      </c>
      <c r="AR304" s="197">
        <v>3</v>
      </c>
      <c r="AS304" s="197">
        <v>2</v>
      </c>
      <c r="AT304" s="197">
        <v>1</v>
      </c>
      <c r="AU304" s="347">
        <v>2</v>
      </c>
      <c r="AV304" s="347">
        <v>2</v>
      </c>
      <c r="AW304" s="347">
        <v>10</v>
      </c>
      <c r="AX304" s="347">
        <v>18</v>
      </c>
      <c r="AY304" s="347">
        <v>7</v>
      </c>
      <c r="AZ304" s="347">
        <v>1</v>
      </c>
      <c r="BA304" s="347">
        <v>1</v>
      </c>
      <c r="BB304" s="347">
        <v>1</v>
      </c>
      <c r="BC304" s="347">
        <v>1</v>
      </c>
    </row>
    <row r="305" spans="1:55" s="381" customFormat="1" ht="17.649999999999999" customHeight="1">
      <c r="A305" s="343">
        <v>245</v>
      </c>
      <c r="B305" s="211" t="s">
        <v>2326</v>
      </c>
      <c r="C305" s="211" t="s">
        <v>2061</v>
      </c>
      <c r="D305" s="211" t="s">
        <v>2283</v>
      </c>
      <c r="E305" s="344">
        <v>55</v>
      </c>
      <c r="F305" s="344">
        <v>55.066666666666698</v>
      </c>
      <c r="G305" s="209">
        <v>46.433333333333302</v>
      </c>
      <c r="H305" s="344">
        <v>47.366666666666703</v>
      </c>
      <c r="I305" s="344">
        <v>47.366666666666703</v>
      </c>
      <c r="J305" s="344">
        <v>47.133333333333297</v>
      </c>
      <c r="K305" s="344">
        <v>43.1666666666667</v>
      </c>
      <c r="L305" s="344">
        <f t="shared" si="50"/>
        <v>10.07222222222223</v>
      </c>
      <c r="M305" s="344">
        <v>28.233333333333299</v>
      </c>
      <c r="N305" s="344">
        <v>38.266666666666701</v>
      </c>
      <c r="O305" s="344">
        <v>37.566666666666698</v>
      </c>
      <c r="P305" s="344">
        <v>39.9</v>
      </c>
      <c r="Q305" s="344">
        <v>46.2</v>
      </c>
      <c r="R305" s="344">
        <v>33.6</v>
      </c>
      <c r="S305" s="344">
        <v>31.966666666666701</v>
      </c>
      <c r="T305" s="344">
        <v>29.4</v>
      </c>
      <c r="U305" s="344">
        <v>29.866666666666699</v>
      </c>
      <c r="V305" s="344">
        <v>27.533333333333299</v>
      </c>
      <c r="W305" s="344">
        <v>28.7</v>
      </c>
      <c r="X305" s="344">
        <v>32.6666666666667</v>
      </c>
      <c r="Y305" s="344">
        <v>35.933333333333302</v>
      </c>
      <c r="Z305" s="344">
        <v>39.200000000000003</v>
      </c>
      <c r="AA305" s="344">
        <v>40.6</v>
      </c>
      <c r="AB305" s="344">
        <v>44.566666666666698</v>
      </c>
      <c r="AC305" s="344">
        <v>55.766666666666701</v>
      </c>
      <c r="AD305" s="344">
        <f t="shared" si="51"/>
        <v>11.200000000000003</v>
      </c>
      <c r="AE305" s="344">
        <v>51</v>
      </c>
      <c r="AF305" s="344">
        <v>0</v>
      </c>
      <c r="AG305" s="345">
        <v>51</v>
      </c>
      <c r="AH305" s="346">
        <v>51</v>
      </c>
      <c r="AI305" s="197">
        <v>51</v>
      </c>
      <c r="AJ305" s="197">
        <v>51</v>
      </c>
      <c r="AK305" s="197">
        <v>51</v>
      </c>
      <c r="AL305" s="197">
        <v>51</v>
      </c>
      <c r="AM305" s="197">
        <v>44</v>
      </c>
      <c r="AN305" s="197">
        <v>51</v>
      </c>
      <c r="AO305" s="197">
        <v>66</v>
      </c>
      <c r="AP305" s="197">
        <v>51</v>
      </c>
      <c r="AQ305" s="197">
        <v>51</v>
      </c>
      <c r="AR305" s="197">
        <v>51</v>
      </c>
      <c r="AS305" s="197">
        <v>51</v>
      </c>
      <c r="AT305" s="347">
        <v>14</v>
      </c>
      <c r="AU305" s="197">
        <v>51</v>
      </c>
      <c r="AV305" s="347">
        <v>47</v>
      </c>
      <c r="AW305" s="197">
        <v>51</v>
      </c>
      <c r="AX305" s="347">
        <v>46</v>
      </c>
      <c r="AY305" s="197">
        <v>51</v>
      </c>
      <c r="AZ305" s="197">
        <v>51</v>
      </c>
      <c r="BA305" s="347">
        <v>4</v>
      </c>
      <c r="BB305" s="347">
        <v>8</v>
      </c>
      <c r="BC305" s="347">
        <v>9</v>
      </c>
    </row>
    <row r="306" spans="1:55" s="381" customFormat="1" ht="17.649999999999999" customHeight="1">
      <c r="A306" s="343">
        <v>246</v>
      </c>
      <c r="B306" s="211" t="s">
        <v>2327</v>
      </c>
      <c r="C306" s="211" t="s">
        <v>2061</v>
      </c>
      <c r="D306" s="211" t="s">
        <v>2283</v>
      </c>
      <c r="E306" s="344">
        <v>69</v>
      </c>
      <c r="F306" s="344">
        <v>80.966666666666697</v>
      </c>
      <c r="G306" s="209">
        <v>83.766666666666694</v>
      </c>
      <c r="H306" s="344">
        <v>87.033333333333303</v>
      </c>
      <c r="I306" s="344">
        <v>86.566666666666706</v>
      </c>
      <c r="J306" s="344">
        <v>87.033333333333303</v>
      </c>
      <c r="K306" s="344">
        <v>72.3333333333333</v>
      </c>
      <c r="L306" s="344">
        <f t="shared" si="50"/>
        <v>16.877777777777769</v>
      </c>
      <c r="M306" s="344">
        <v>55.766666666666701</v>
      </c>
      <c r="N306" s="344">
        <v>96.6</v>
      </c>
      <c r="O306" s="344">
        <v>127.633333333333</v>
      </c>
      <c r="P306" s="344">
        <v>163.333333333333</v>
      </c>
      <c r="Q306" s="344">
        <v>194.6</v>
      </c>
      <c r="R306" s="344">
        <v>163.333333333333</v>
      </c>
      <c r="S306" s="344">
        <v>138.6</v>
      </c>
      <c r="T306" s="344">
        <v>121.1</v>
      </c>
      <c r="U306" s="344">
        <v>101.26666666666701</v>
      </c>
      <c r="V306" s="344">
        <v>92.1666666666667</v>
      </c>
      <c r="W306" s="344">
        <v>81.433333333333294</v>
      </c>
      <c r="X306" s="344">
        <v>74.2</v>
      </c>
      <c r="Y306" s="344">
        <v>66.266666666666694</v>
      </c>
      <c r="Z306" s="344">
        <v>64.633333333333297</v>
      </c>
      <c r="AA306" s="344">
        <v>61.6</v>
      </c>
      <c r="AB306" s="344">
        <v>64.633333333333297</v>
      </c>
      <c r="AC306" s="344">
        <v>57.1666666666667</v>
      </c>
      <c r="AD306" s="344">
        <f t="shared" si="51"/>
        <v>-7.4666666666665975</v>
      </c>
      <c r="AE306" s="344">
        <v>14</v>
      </c>
      <c r="AF306" s="344">
        <v>12</v>
      </c>
      <c r="AG306" s="345">
        <v>12</v>
      </c>
      <c r="AH306" s="346">
        <v>51</v>
      </c>
      <c r="AI306" s="197">
        <v>51</v>
      </c>
      <c r="AJ306" s="197">
        <v>51</v>
      </c>
      <c r="AK306" s="197">
        <v>10</v>
      </c>
      <c r="AL306" s="197">
        <v>10</v>
      </c>
      <c r="AM306" s="197">
        <v>51</v>
      </c>
      <c r="AN306" s="197">
        <v>42</v>
      </c>
      <c r="AO306" s="197">
        <v>51</v>
      </c>
      <c r="AP306" s="197">
        <v>3</v>
      </c>
      <c r="AQ306" s="347">
        <v>19</v>
      </c>
      <c r="AR306" s="197">
        <v>51</v>
      </c>
      <c r="AS306" s="197">
        <v>51</v>
      </c>
      <c r="AT306" s="197">
        <v>51</v>
      </c>
      <c r="AU306" s="347">
        <v>8</v>
      </c>
      <c r="AV306" s="197">
        <v>51</v>
      </c>
      <c r="AW306" s="197">
        <v>51</v>
      </c>
      <c r="AX306" s="347">
        <v>20</v>
      </c>
      <c r="AY306" s="197">
        <v>51</v>
      </c>
      <c r="AZ306" s="347">
        <v>5</v>
      </c>
      <c r="BA306" s="197">
        <v>51</v>
      </c>
      <c r="BB306" s="347">
        <v>7</v>
      </c>
      <c r="BC306" s="347">
        <v>7</v>
      </c>
    </row>
    <row r="307" spans="1:55" s="381" customFormat="1" ht="17.649999999999999" customHeight="1">
      <c r="A307" s="343">
        <v>247</v>
      </c>
      <c r="B307" s="211" t="s">
        <v>2328</v>
      </c>
      <c r="C307" s="211" t="s">
        <v>2061</v>
      </c>
      <c r="D307" s="211" t="s">
        <v>2283</v>
      </c>
      <c r="E307" s="344">
        <v>2</v>
      </c>
      <c r="F307" s="344">
        <v>2.1</v>
      </c>
      <c r="G307" s="209">
        <v>2.56666666666667</v>
      </c>
      <c r="H307" s="344">
        <v>2.1</v>
      </c>
      <c r="I307" s="344">
        <v>2.56666666666667</v>
      </c>
      <c r="J307" s="344">
        <v>3.0333333333333301</v>
      </c>
      <c r="K307" s="344">
        <v>3.0333333333333301</v>
      </c>
      <c r="L307" s="344">
        <f t="shared" si="50"/>
        <v>0.70777777777777695</v>
      </c>
      <c r="M307" s="344">
        <v>1.86666666666667</v>
      </c>
      <c r="N307" s="344">
        <v>2.56666666666667</v>
      </c>
      <c r="O307" s="344">
        <v>1.86666666666667</v>
      </c>
      <c r="P307" s="344">
        <v>2.56666666666667</v>
      </c>
      <c r="Q307" s="344">
        <v>3.9666666666666699</v>
      </c>
      <c r="R307" s="344">
        <v>4.2</v>
      </c>
      <c r="S307" s="344">
        <v>5.1333333333333302</v>
      </c>
      <c r="T307" s="344">
        <v>4.2</v>
      </c>
      <c r="U307" s="344">
        <v>5.1333333333333302</v>
      </c>
      <c r="V307" s="344">
        <v>5.1333333333333302</v>
      </c>
      <c r="W307" s="344">
        <v>3.9666666666666699</v>
      </c>
      <c r="X307" s="344">
        <v>4.2</v>
      </c>
      <c r="Y307" s="344">
        <v>4.43333333333333</v>
      </c>
      <c r="Z307" s="344">
        <v>4.2</v>
      </c>
      <c r="AA307" s="344">
        <v>4.2</v>
      </c>
      <c r="AB307" s="344">
        <v>3.2666666666666702</v>
      </c>
      <c r="AC307" s="344">
        <v>3.0333333333333301</v>
      </c>
      <c r="AD307" s="344">
        <f t="shared" si="51"/>
        <v>-0.23333333333334005</v>
      </c>
      <c r="AE307" s="344">
        <v>51</v>
      </c>
      <c r="AF307" s="344">
        <v>0</v>
      </c>
      <c r="AG307" s="345">
        <v>51</v>
      </c>
      <c r="AH307" s="346">
        <v>18</v>
      </c>
      <c r="AI307" s="197">
        <v>15</v>
      </c>
      <c r="AJ307" s="197">
        <v>3</v>
      </c>
      <c r="AK307" s="197">
        <v>51</v>
      </c>
      <c r="AL307" s="197">
        <v>51</v>
      </c>
      <c r="AM307" s="197">
        <v>51</v>
      </c>
      <c r="AN307" s="197">
        <v>51</v>
      </c>
      <c r="AO307" s="347">
        <v>13</v>
      </c>
      <c r="AP307" s="347">
        <v>31</v>
      </c>
      <c r="AQ307" s="347">
        <v>2</v>
      </c>
      <c r="AR307" s="197">
        <v>4</v>
      </c>
      <c r="AS307" s="347">
        <v>27</v>
      </c>
      <c r="AT307" s="347">
        <v>39</v>
      </c>
      <c r="AU307" s="347">
        <v>13</v>
      </c>
      <c r="AV307" s="347">
        <v>36</v>
      </c>
      <c r="AW307" s="347">
        <v>46</v>
      </c>
      <c r="AX307" s="347">
        <v>50</v>
      </c>
      <c r="AY307" s="347">
        <v>47</v>
      </c>
      <c r="AZ307" s="347">
        <v>9</v>
      </c>
      <c r="BA307" s="347">
        <v>6</v>
      </c>
      <c r="BB307" s="347">
        <v>16</v>
      </c>
      <c r="BC307" s="347" t="s">
        <v>2287</v>
      </c>
    </row>
    <row r="308" spans="1:55" s="381" customFormat="1" ht="17.649999999999999" customHeight="1">
      <c r="A308" s="343">
        <v>248</v>
      </c>
      <c r="B308" s="211" t="s">
        <v>2329</v>
      </c>
      <c r="C308" s="211" t="s">
        <v>2061</v>
      </c>
      <c r="D308" s="211" t="s">
        <v>2283</v>
      </c>
      <c r="E308" s="344">
        <v>18</v>
      </c>
      <c r="F308" s="344">
        <v>17.733333333333299</v>
      </c>
      <c r="G308" s="209">
        <v>18.6666666666667</v>
      </c>
      <c r="H308" s="344">
        <v>17.966666666666701</v>
      </c>
      <c r="I308" s="344">
        <v>20.533333333333299</v>
      </c>
      <c r="J308" s="344">
        <v>18.899999999999999</v>
      </c>
      <c r="K308" s="344">
        <v>17.966666666666701</v>
      </c>
      <c r="L308" s="344">
        <f t="shared" si="50"/>
        <v>4.1922222222222301</v>
      </c>
      <c r="M308" s="344">
        <v>7.4666666666666703</v>
      </c>
      <c r="N308" s="344">
        <v>7.7</v>
      </c>
      <c r="O308" s="344">
        <v>5.8333333333333304</v>
      </c>
      <c r="P308" s="344">
        <v>8.4</v>
      </c>
      <c r="Q308" s="344">
        <v>13.0666666666667</v>
      </c>
      <c r="R308" s="344">
        <v>16.100000000000001</v>
      </c>
      <c r="S308" s="344">
        <v>18.899999999999999</v>
      </c>
      <c r="T308" s="344">
        <v>19.600000000000001</v>
      </c>
      <c r="U308" s="344">
        <v>21</v>
      </c>
      <c r="V308" s="344">
        <v>18.899999999999999</v>
      </c>
      <c r="W308" s="344">
        <v>15.1666666666667</v>
      </c>
      <c r="X308" s="344">
        <v>17.733333333333299</v>
      </c>
      <c r="Y308" s="344">
        <v>18.433333333333302</v>
      </c>
      <c r="Z308" s="344">
        <v>17.733333333333299</v>
      </c>
      <c r="AA308" s="344">
        <v>19.8333333333333</v>
      </c>
      <c r="AB308" s="344">
        <v>16.8</v>
      </c>
      <c r="AC308" s="344">
        <v>14</v>
      </c>
      <c r="AD308" s="344">
        <f t="shared" si="51"/>
        <v>-2.8000000000000007</v>
      </c>
      <c r="AE308" s="344">
        <v>7</v>
      </c>
      <c r="AF308" s="344">
        <v>13</v>
      </c>
      <c r="AG308" s="345">
        <v>3</v>
      </c>
      <c r="AH308" s="346">
        <v>4</v>
      </c>
      <c r="AI308" s="197">
        <v>6</v>
      </c>
      <c r="AJ308" s="197">
        <v>2</v>
      </c>
      <c r="AK308" s="197">
        <v>1</v>
      </c>
      <c r="AL308" s="197">
        <v>1</v>
      </c>
      <c r="AM308" s="197">
        <v>1</v>
      </c>
      <c r="AN308" s="197">
        <v>2</v>
      </c>
      <c r="AO308" s="197">
        <v>3</v>
      </c>
      <c r="AP308" s="347">
        <v>1</v>
      </c>
      <c r="AQ308" s="347">
        <v>31</v>
      </c>
      <c r="AR308" s="347">
        <v>19</v>
      </c>
      <c r="AS308" s="197">
        <v>1</v>
      </c>
      <c r="AT308" s="197">
        <v>3</v>
      </c>
      <c r="AU308" s="347">
        <v>2</v>
      </c>
      <c r="AV308" s="347">
        <v>3</v>
      </c>
      <c r="AW308" s="347">
        <v>7</v>
      </c>
      <c r="AX308" s="347">
        <v>1</v>
      </c>
      <c r="AY308" s="347">
        <v>3</v>
      </c>
      <c r="AZ308" s="347">
        <v>3</v>
      </c>
      <c r="BA308" s="347">
        <v>3</v>
      </c>
      <c r="BB308" s="347">
        <v>8</v>
      </c>
      <c r="BC308" s="347">
        <v>10</v>
      </c>
    </row>
    <row r="309" spans="1:55" s="381" customFormat="1" ht="17.649999999999999" customHeight="1">
      <c r="A309" s="343">
        <v>249</v>
      </c>
      <c r="B309" s="211" t="s">
        <v>2330</v>
      </c>
      <c r="C309" s="211" t="s">
        <v>2061</v>
      </c>
      <c r="D309" s="211" t="s">
        <v>2283</v>
      </c>
      <c r="E309" s="344">
        <v>9</v>
      </c>
      <c r="F309" s="344">
        <v>8.4</v>
      </c>
      <c r="G309" s="209">
        <v>7.7</v>
      </c>
      <c r="H309" s="344">
        <v>9.1</v>
      </c>
      <c r="I309" s="344">
        <v>10.266666666666699</v>
      </c>
      <c r="J309" s="344">
        <v>11.2</v>
      </c>
      <c r="K309" s="344">
        <v>12.366666666666699</v>
      </c>
      <c r="L309" s="344">
        <f t="shared" si="50"/>
        <v>2.8855555555555634</v>
      </c>
      <c r="M309" s="344">
        <v>6.7666666666666702</v>
      </c>
      <c r="N309" s="344">
        <v>7.7</v>
      </c>
      <c r="O309" s="344">
        <v>8.6333333333333293</v>
      </c>
      <c r="P309" s="344">
        <v>9.8000000000000007</v>
      </c>
      <c r="Q309" s="344">
        <v>12.133333333333301</v>
      </c>
      <c r="R309" s="344">
        <v>13.533333333333299</v>
      </c>
      <c r="S309" s="344">
        <v>14.233333333333301</v>
      </c>
      <c r="T309" s="344">
        <v>16.566666666666698</v>
      </c>
      <c r="U309" s="344">
        <v>17.733333333333299</v>
      </c>
      <c r="V309" s="344">
        <v>17.733333333333299</v>
      </c>
      <c r="W309" s="344">
        <v>14.9333333333333</v>
      </c>
      <c r="X309" s="344">
        <v>16.100000000000001</v>
      </c>
      <c r="Y309" s="344">
        <v>14</v>
      </c>
      <c r="Z309" s="344">
        <v>14.233333333333301</v>
      </c>
      <c r="AA309" s="344">
        <v>16.3333333333333</v>
      </c>
      <c r="AB309" s="344">
        <v>14.233333333333301</v>
      </c>
      <c r="AC309" s="344">
        <v>12.133333333333301</v>
      </c>
      <c r="AD309" s="344">
        <f t="shared" si="51"/>
        <v>-2.0999999999999996</v>
      </c>
      <c r="AE309" s="344">
        <v>21</v>
      </c>
      <c r="AF309" s="344">
        <v>16</v>
      </c>
      <c r="AG309" s="345">
        <v>14</v>
      </c>
      <c r="AH309" s="346">
        <v>2</v>
      </c>
      <c r="AI309" s="197">
        <v>51</v>
      </c>
      <c r="AJ309" s="197">
        <v>51</v>
      </c>
      <c r="AK309" s="197">
        <v>51</v>
      </c>
      <c r="AL309" s="197">
        <v>14</v>
      </c>
      <c r="AM309" s="197">
        <v>17</v>
      </c>
      <c r="AN309" s="197">
        <v>15</v>
      </c>
      <c r="AO309" s="197">
        <v>12</v>
      </c>
      <c r="AP309" s="197">
        <v>5</v>
      </c>
      <c r="AQ309" s="347">
        <v>9</v>
      </c>
      <c r="AR309" s="347">
        <v>10</v>
      </c>
      <c r="AS309" s="197">
        <v>7</v>
      </c>
      <c r="AT309" s="347">
        <v>4</v>
      </c>
      <c r="AU309" s="347">
        <v>3</v>
      </c>
      <c r="AV309" s="347">
        <v>13</v>
      </c>
      <c r="AW309" s="347">
        <v>2</v>
      </c>
      <c r="AX309" s="347">
        <v>5</v>
      </c>
      <c r="AY309" s="347">
        <v>4</v>
      </c>
      <c r="AZ309" s="347">
        <v>6</v>
      </c>
      <c r="BA309" s="347">
        <v>3</v>
      </c>
      <c r="BB309" s="347">
        <v>6</v>
      </c>
      <c r="BC309" s="347">
        <v>1</v>
      </c>
    </row>
    <row r="310" spans="1:55" s="381" customFormat="1" ht="17.649999999999999" customHeight="1">
      <c r="A310" s="343">
        <v>250</v>
      </c>
      <c r="B310" s="211" t="s">
        <v>2331</v>
      </c>
      <c r="C310" s="211" t="s">
        <v>2061</v>
      </c>
      <c r="D310" s="211" t="s">
        <v>2283</v>
      </c>
      <c r="E310" s="344">
        <v>13</v>
      </c>
      <c r="F310" s="344">
        <v>14</v>
      </c>
      <c r="G310" s="209">
        <v>14.466666666666701</v>
      </c>
      <c r="H310" s="344">
        <v>21</v>
      </c>
      <c r="I310" s="344">
        <v>20.066666666666698</v>
      </c>
      <c r="J310" s="344">
        <v>19.600000000000001</v>
      </c>
      <c r="K310" s="344">
        <v>17.266666666666701</v>
      </c>
      <c r="L310" s="344">
        <f t="shared" si="50"/>
        <v>4.028888888888897</v>
      </c>
      <c r="M310" s="344">
        <v>5.8333333333333304</v>
      </c>
      <c r="N310" s="344">
        <v>7.93333333333333</v>
      </c>
      <c r="O310" s="344">
        <v>11.6666666666667</v>
      </c>
      <c r="P310" s="344">
        <v>16.8</v>
      </c>
      <c r="Q310" s="344">
        <v>22.633333333333301</v>
      </c>
      <c r="R310" s="344">
        <v>25.2</v>
      </c>
      <c r="S310" s="344">
        <v>22.1666666666667</v>
      </c>
      <c r="T310" s="344">
        <v>19.600000000000001</v>
      </c>
      <c r="U310" s="344">
        <v>15.633333333333301</v>
      </c>
      <c r="V310" s="344">
        <v>12.133333333333301</v>
      </c>
      <c r="W310" s="344">
        <v>12.133333333333301</v>
      </c>
      <c r="X310" s="344">
        <v>11.9</v>
      </c>
      <c r="Y310" s="344">
        <v>13.533333333333299</v>
      </c>
      <c r="Z310" s="344">
        <v>14</v>
      </c>
      <c r="AA310" s="344">
        <v>13.3</v>
      </c>
      <c r="AB310" s="344">
        <v>15.4</v>
      </c>
      <c r="AC310" s="344">
        <v>10.966666666666701</v>
      </c>
      <c r="AD310" s="344">
        <f t="shared" si="51"/>
        <v>-4.4333333333332998</v>
      </c>
      <c r="AE310" s="344">
        <v>51</v>
      </c>
      <c r="AF310" s="344">
        <v>0</v>
      </c>
      <c r="AG310" s="345">
        <v>51</v>
      </c>
      <c r="AH310" s="346">
        <v>51</v>
      </c>
      <c r="AI310" s="197">
        <v>51</v>
      </c>
      <c r="AJ310" s="197">
        <v>51</v>
      </c>
      <c r="AK310" s="197">
        <v>51</v>
      </c>
      <c r="AL310" s="197">
        <v>51</v>
      </c>
      <c r="AM310" s="197">
        <v>51</v>
      </c>
      <c r="AN310" s="197">
        <v>51</v>
      </c>
      <c r="AO310" s="197">
        <v>37</v>
      </c>
      <c r="AP310" s="197">
        <v>51</v>
      </c>
      <c r="AQ310" s="197">
        <v>8</v>
      </c>
      <c r="AR310" s="347">
        <v>13</v>
      </c>
      <c r="AS310" s="197">
        <v>51</v>
      </c>
      <c r="AT310" s="197">
        <v>51</v>
      </c>
      <c r="AU310" s="197">
        <v>51</v>
      </c>
      <c r="AV310" s="197">
        <v>51</v>
      </c>
      <c r="AW310" s="347">
        <v>19</v>
      </c>
      <c r="AX310" s="197">
        <v>51</v>
      </c>
      <c r="AY310" s="197">
        <v>51</v>
      </c>
      <c r="AZ310" s="197">
        <v>51</v>
      </c>
      <c r="BA310" s="197">
        <v>51</v>
      </c>
      <c r="BB310" s="347">
        <v>9</v>
      </c>
      <c r="BC310" s="347">
        <v>9</v>
      </c>
    </row>
    <row r="311" spans="1:55" s="381" customFormat="1" ht="17.649999999999999" customHeight="1">
      <c r="A311" s="343">
        <v>251</v>
      </c>
      <c r="B311" s="211" t="s">
        <v>2332</v>
      </c>
      <c r="C311" s="211" t="s">
        <v>2061</v>
      </c>
      <c r="D311" s="211" t="s">
        <v>2283</v>
      </c>
      <c r="E311" s="344">
        <v>0</v>
      </c>
      <c r="F311" s="344">
        <v>0.233333333333333</v>
      </c>
      <c r="G311" s="209">
        <v>0.233333333333333</v>
      </c>
      <c r="H311" s="344">
        <v>0.233333333333333</v>
      </c>
      <c r="I311" s="344">
        <v>1.1666666666666701</v>
      </c>
      <c r="J311" s="344">
        <v>1.1666666666666701</v>
      </c>
      <c r="K311" s="344">
        <v>1.86666666666667</v>
      </c>
      <c r="L311" s="344">
        <f t="shared" si="50"/>
        <v>0.43555555555555631</v>
      </c>
      <c r="M311" s="344">
        <v>0.233333333333333</v>
      </c>
      <c r="N311" s="344">
        <v>1.86666666666667</v>
      </c>
      <c r="O311" s="344">
        <v>2.1</v>
      </c>
      <c r="P311" s="344">
        <v>3.9666666666666699</v>
      </c>
      <c r="Q311" s="344">
        <v>4.2</v>
      </c>
      <c r="R311" s="344">
        <v>4.6666666666666696</v>
      </c>
      <c r="S311" s="344">
        <v>4.2</v>
      </c>
      <c r="T311" s="344">
        <v>3.2666666666666702</v>
      </c>
      <c r="U311" s="344">
        <v>5.3666666666666698</v>
      </c>
      <c r="V311" s="344">
        <v>4.6666666666666696</v>
      </c>
      <c r="W311" s="344">
        <v>4.43333333333333</v>
      </c>
      <c r="X311" s="344">
        <v>3.9666666666666699</v>
      </c>
      <c r="Y311" s="344">
        <v>3.9666666666666699</v>
      </c>
      <c r="Z311" s="344">
        <v>2.3333333333333299</v>
      </c>
      <c r="AA311" s="344">
        <v>2.1</v>
      </c>
      <c r="AB311" s="344">
        <v>2.3333333333333299</v>
      </c>
      <c r="AC311" s="344">
        <v>1.4</v>
      </c>
      <c r="AD311" s="344">
        <f t="shared" si="51"/>
        <v>-0.93333333333333002</v>
      </c>
      <c r="AE311" s="344">
        <v>4</v>
      </c>
      <c r="AF311" s="344">
        <v>10</v>
      </c>
      <c r="AG311" s="345">
        <v>3</v>
      </c>
      <c r="AH311" s="346">
        <v>8</v>
      </c>
      <c r="AI311" s="197">
        <v>9</v>
      </c>
      <c r="AJ311" s="197">
        <v>8</v>
      </c>
      <c r="AK311" s="197">
        <v>6</v>
      </c>
      <c r="AL311" s="197">
        <v>6</v>
      </c>
      <c r="AM311" s="197">
        <v>7</v>
      </c>
      <c r="AN311" s="197">
        <v>5</v>
      </c>
      <c r="AO311" s="197">
        <v>9</v>
      </c>
      <c r="AP311" s="347">
        <v>3</v>
      </c>
      <c r="AQ311" s="197">
        <v>5</v>
      </c>
      <c r="AR311" s="347">
        <v>6</v>
      </c>
      <c r="AS311" s="197">
        <v>4</v>
      </c>
      <c r="AT311" s="197">
        <v>4</v>
      </c>
      <c r="AU311" s="347">
        <v>4</v>
      </c>
      <c r="AV311" s="347">
        <v>4</v>
      </c>
      <c r="AW311" s="347">
        <v>4</v>
      </c>
      <c r="AX311" s="347">
        <v>3</v>
      </c>
      <c r="AY311" s="347">
        <v>4</v>
      </c>
      <c r="AZ311" s="347">
        <v>4</v>
      </c>
      <c r="BA311" s="347">
        <v>1</v>
      </c>
      <c r="BB311" s="347">
        <v>1</v>
      </c>
      <c r="BC311" s="347">
        <v>6</v>
      </c>
    </row>
    <row r="312" spans="1:55" s="381" customFormat="1" ht="17.649999999999999" customHeight="1">
      <c r="A312" s="343">
        <v>252</v>
      </c>
      <c r="B312" s="211" t="s">
        <v>2333</v>
      </c>
      <c r="C312" s="211" t="s">
        <v>2061</v>
      </c>
      <c r="D312" s="211" t="s">
        <v>2283</v>
      </c>
      <c r="E312" s="344">
        <v>2</v>
      </c>
      <c r="F312" s="344">
        <v>1.4</v>
      </c>
      <c r="G312" s="209">
        <v>3.5</v>
      </c>
      <c r="H312" s="344">
        <v>3.0333333333333301</v>
      </c>
      <c r="I312" s="344">
        <v>3.5</v>
      </c>
      <c r="J312" s="344">
        <v>4.43333333333333</v>
      </c>
      <c r="K312" s="344">
        <v>3.9666666666666699</v>
      </c>
      <c r="L312" s="344">
        <f t="shared" si="50"/>
        <v>0.92555555555555624</v>
      </c>
      <c r="M312" s="344">
        <v>1.4</v>
      </c>
      <c r="N312" s="344">
        <v>2.1</v>
      </c>
      <c r="O312" s="344">
        <v>2.3333333333333299</v>
      </c>
      <c r="P312" s="344">
        <v>4.2</v>
      </c>
      <c r="Q312" s="344">
        <v>4.6666666666666696</v>
      </c>
      <c r="R312" s="344">
        <v>6.3</v>
      </c>
      <c r="S312" s="344">
        <v>6.3</v>
      </c>
      <c r="T312" s="344">
        <v>6.3</v>
      </c>
      <c r="U312" s="344">
        <v>6.3</v>
      </c>
      <c r="V312" s="344">
        <v>5.1333333333333302</v>
      </c>
      <c r="W312" s="344">
        <v>5.8333333333333304</v>
      </c>
      <c r="X312" s="344">
        <v>6.3</v>
      </c>
      <c r="Y312" s="344">
        <v>6.3</v>
      </c>
      <c r="Z312" s="344">
        <v>6.5333333333333297</v>
      </c>
      <c r="AA312" s="344">
        <v>4.2</v>
      </c>
      <c r="AB312" s="344">
        <v>2.56666666666667</v>
      </c>
      <c r="AC312" s="344">
        <v>2.1</v>
      </c>
      <c r="AD312" s="344">
        <f t="shared" si="51"/>
        <v>-0.46666666666666989</v>
      </c>
      <c r="AE312" s="344">
        <v>6</v>
      </c>
      <c r="AF312" s="344">
        <v>7</v>
      </c>
      <c r="AG312" s="345">
        <v>4</v>
      </c>
      <c r="AH312" s="346">
        <v>4</v>
      </c>
      <c r="AI312" s="197">
        <v>5</v>
      </c>
      <c r="AJ312" s="197">
        <v>4</v>
      </c>
      <c r="AK312" s="197">
        <v>4</v>
      </c>
      <c r="AL312" s="197">
        <v>4</v>
      </c>
      <c r="AM312" s="197">
        <v>7</v>
      </c>
      <c r="AN312" s="197">
        <v>5</v>
      </c>
      <c r="AO312" s="197">
        <v>8</v>
      </c>
      <c r="AP312" s="197">
        <v>10</v>
      </c>
      <c r="AQ312" s="197">
        <v>4</v>
      </c>
      <c r="AR312" s="197">
        <v>4</v>
      </c>
      <c r="AS312" s="197">
        <v>10</v>
      </c>
      <c r="AT312" s="197">
        <v>5</v>
      </c>
      <c r="AU312" s="347">
        <v>10</v>
      </c>
      <c r="AV312" s="347">
        <v>4</v>
      </c>
      <c r="AW312" s="347">
        <v>8</v>
      </c>
      <c r="AX312" s="347">
        <v>4</v>
      </c>
      <c r="AY312" s="347">
        <v>3</v>
      </c>
      <c r="AZ312" s="347">
        <v>1</v>
      </c>
      <c r="BA312" s="347">
        <v>3</v>
      </c>
      <c r="BB312" s="347">
        <v>7</v>
      </c>
      <c r="BC312" s="347">
        <v>10</v>
      </c>
    </row>
    <row r="313" spans="1:55" s="381" customFormat="1" ht="17.649999999999999" customHeight="1">
      <c r="A313" s="343">
        <v>253</v>
      </c>
      <c r="B313" s="211" t="s">
        <v>2334</v>
      </c>
      <c r="C313" s="211" t="s">
        <v>2061</v>
      </c>
      <c r="D313" s="211" t="s">
        <v>2283</v>
      </c>
      <c r="E313" s="344">
        <v>5</v>
      </c>
      <c r="F313" s="344">
        <v>5.3666666666666698</v>
      </c>
      <c r="G313" s="209">
        <v>5.1333333333333302</v>
      </c>
      <c r="H313" s="344">
        <v>6.3</v>
      </c>
      <c r="I313" s="344">
        <v>6.7666666666666702</v>
      </c>
      <c r="J313" s="344">
        <v>7.4666666666666703</v>
      </c>
      <c r="K313" s="344">
        <v>7.7</v>
      </c>
      <c r="L313" s="344">
        <f t="shared" si="50"/>
        <v>1.7966666666666666</v>
      </c>
      <c r="M313" s="344">
        <v>3.9666666666666699</v>
      </c>
      <c r="N313" s="344">
        <v>4.43333333333333</v>
      </c>
      <c r="O313" s="344">
        <v>5.1333333333333302</v>
      </c>
      <c r="P313" s="344">
        <v>5.8333333333333304</v>
      </c>
      <c r="Q313" s="344">
        <v>6.7666666666666702</v>
      </c>
      <c r="R313" s="344">
        <v>10.266666666666699</v>
      </c>
      <c r="S313" s="344">
        <v>12.366666666666699</v>
      </c>
      <c r="T313" s="344">
        <v>10.966666666666701</v>
      </c>
      <c r="U313" s="344">
        <v>11.9</v>
      </c>
      <c r="V313" s="344">
        <v>8.8666666666666707</v>
      </c>
      <c r="W313" s="344">
        <v>6.7666666666666702</v>
      </c>
      <c r="X313" s="344">
        <v>8.6333333333333293</v>
      </c>
      <c r="Y313" s="344">
        <v>8.6333333333333293</v>
      </c>
      <c r="Z313" s="344">
        <v>9.8000000000000007</v>
      </c>
      <c r="AA313" s="344">
        <v>9.1</v>
      </c>
      <c r="AB313" s="344">
        <v>9.8000000000000007</v>
      </c>
      <c r="AC313" s="344">
        <v>6.7666666666666702</v>
      </c>
      <c r="AD313" s="344">
        <f t="shared" si="51"/>
        <v>-3.0333333333333306</v>
      </c>
      <c r="AE313" s="344">
        <v>51</v>
      </c>
      <c r="AF313" s="344">
        <v>0</v>
      </c>
      <c r="AG313" s="345">
        <v>51</v>
      </c>
      <c r="AH313" s="346">
        <v>51</v>
      </c>
      <c r="AI313" s="197">
        <v>51</v>
      </c>
      <c r="AJ313" s="197">
        <v>51</v>
      </c>
      <c r="AK313" s="197">
        <v>51</v>
      </c>
      <c r="AL313" s="197">
        <v>51</v>
      </c>
      <c r="AM313" s="197">
        <v>51</v>
      </c>
      <c r="AN313" s="197">
        <v>51</v>
      </c>
      <c r="AO313" s="197">
        <v>51</v>
      </c>
      <c r="AP313" s="197">
        <v>51</v>
      </c>
      <c r="AQ313" s="197">
        <v>51</v>
      </c>
      <c r="AR313" s="197">
        <v>51</v>
      </c>
      <c r="AS313" s="197">
        <v>51</v>
      </c>
      <c r="AT313" s="197">
        <v>51</v>
      </c>
      <c r="AU313" s="197">
        <v>51</v>
      </c>
      <c r="AV313" s="197">
        <v>51</v>
      </c>
      <c r="AW313" s="197">
        <v>51</v>
      </c>
      <c r="AX313" s="197">
        <v>51</v>
      </c>
      <c r="AY313" s="197">
        <v>51</v>
      </c>
      <c r="AZ313" s="197">
        <v>51</v>
      </c>
      <c r="BA313" s="197">
        <v>51</v>
      </c>
      <c r="BB313" s="197">
        <v>51</v>
      </c>
      <c r="BC313" s="347" t="s">
        <v>2287</v>
      </c>
    </row>
    <row r="314" spans="1:55" s="381" customFormat="1" ht="17.649999999999999" customHeight="1">
      <c r="A314" s="343">
        <v>254</v>
      </c>
      <c r="B314" s="211" t="s">
        <v>2335</v>
      </c>
      <c r="C314" s="211" t="s">
        <v>2061</v>
      </c>
      <c r="D314" s="211" t="s">
        <v>2283</v>
      </c>
      <c r="E314" s="344">
        <v>2</v>
      </c>
      <c r="F314" s="344">
        <v>4.2</v>
      </c>
      <c r="G314" s="209">
        <v>4.2</v>
      </c>
      <c r="H314" s="344">
        <v>4.2</v>
      </c>
      <c r="I314" s="344">
        <v>4.2</v>
      </c>
      <c r="J314" s="344">
        <v>4.2</v>
      </c>
      <c r="K314" s="344">
        <v>2.1</v>
      </c>
      <c r="L314" s="344">
        <f t="shared" si="50"/>
        <v>0.49000000000000005</v>
      </c>
      <c r="M314" s="344">
        <v>2.3333333333333299</v>
      </c>
      <c r="N314" s="344">
        <v>1.86666666666667</v>
      </c>
      <c r="O314" s="344">
        <v>2.1</v>
      </c>
      <c r="P314" s="344">
        <v>1.4</v>
      </c>
      <c r="Q314" s="344">
        <v>2.3333333333333299</v>
      </c>
      <c r="R314" s="344">
        <v>4.6666666666666696</v>
      </c>
      <c r="S314" s="344">
        <v>5.3666666666666698</v>
      </c>
      <c r="T314" s="344">
        <v>5.6</v>
      </c>
      <c r="U314" s="344">
        <v>5.3666666666666698</v>
      </c>
      <c r="V314" s="344">
        <v>3.5</v>
      </c>
      <c r="W314" s="344">
        <v>2.56666666666667</v>
      </c>
      <c r="X314" s="344">
        <v>2.3333333333333299</v>
      </c>
      <c r="Y314" s="344">
        <v>1.86666666666667</v>
      </c>
      <c r="Z314" s="344">
        <v>1.1666666666666701</v>
      </c>
      <c r="AA314" s="344">
        <v>1.4</v>
      </c>
      <c r="AB314" s="344">
        <v>2.1</v>
      </c>
      <c r="AC314" s="344">
        <v>1.86666666666667</v>
      </c>
      <c r="AD314" s="344">
        <f t="shared" si="51"/>
        <v>-0.23333333333333006</v>
      </c>
      <c r="AE314" s="344">
        <v>3</v>
      </c>
      <c r="AF314" s="344">
        <v>2</v>
      </c>
      <c r="AG314" s="345">
        <v>9</v>
      </c>
      <c r="AH314" s="346">
        <v>1</v>
      </c>
      <c r="AI314" s="197">
        <v>2</v>
      </c>
      <c r="AJ314" s="197">
        <v>2</v>
      </c>
      <c r="AK314" s="197">
        <v>2</v>
      </c>
      <c r="AL314" s="197">
        <v>2</v>
      </c>
      <c r="AM314" s="197">
        <v>1</v>
      </c>
      <c r="AN314" s="197">
        <v>1</v>
      </c>
      <c r="AO314" s="197">
        <v>3</v>
      </c>
      <c r="AP314" s="197">
        <v>1</v>
      </c>
      <c r="AQ314" s="197">
        <v>2</v>
      </c>
      <c r="AR314" s="197">
        <v>3</v>
      </c>
      <c r="AS314" s="197">
        <v>1</v>
      </c>
      <c r="AT314" s="197">
        <v>3</v>
      </c>
      <c r="AU314" s="347">
        <v>1</v>
      </c>
      <c r="AV314" s="347">
        <v>1</v>
      </c>
      <c r="AW314" s="347">
        <v>7</v>
      </c>
      <c r="AX314" s="347">
        <v>1</v>
      </c>
      <c r="AY314" s="347">
        <v>1</v>
      </c>
      <c r="AZ314" s="347">
        <v>6</v>
      </c>
      <c r="BA314" s="347">
        <v>9</v>
      </c>
      <c r="BB314" s="347">
        <v>10</v>
      </c>
      <c r="BC314" s="347">
        <v>10</v>
      </c>
    </row>
    <row r="315" spans="1:55" s="381" customFormat="1" ht="17.649999999999999" customHeight="1">
      <c r="A315" s="343">
        <v>255</v>
      </c>
      <c r="B315" s="211" t="s">
        <v>2336</v>
      </c>
      <c r="C315" s="211" t="s">
        <v>2061</v>
      </c>
      <c r="D315" s="211" t="s">
        <v>2283</v>
      </c>
      <c r="E315" s="344">
        <v>14</v>
      </c>
      <c r="F315" s="344">
        <v>14.9333333333333</v>
      </c>
      <c r="G315" s="209">
        <v>14</v>
      </c>
      <c r="H315" s="344">
        <v>12.366666666666699</v>
      </c>
      <c r="I315" s="344">
        <v>12.366666666666699</v>
      </c>
      <c r="J315" s="344">
        <v>10.966666666666701</v>
      </c>
      <c r="K315" s="344">
        <v>9.8000000000000007</v>
      </c>
      <c r="L315" s="344">
        <f t="shared" si="50"/>
        <v>2.2866666666666671</v>
      </c>
      <c r="M315" s="344">
        <v>5.1333333333333302</v>
      </c>
      <c r="N315" s="344">
        <v>8.4</v>
      </c>
      <c r="O315" s="344">
        <v>10.966666666666701</v>
      </c>
      <c r="P315" s="344">
        <v>14.9333333333333</v>
      </c>
      <c r="Q315" s="344">
        <v>18.433333333333302</v>
      </c>
      <c r="R315" s="344">
        <v>17.966666666666701</v>
      </c>
      <c r="S315" s="344">
        <v>15.1666666666667</v>
      </c>
      <c r="T315" s="344">
        <v>13.0666666666667</v>
      </c>
      <c r="U315" s="344">
        <v>13.3</v>
      </c>
      <c r="V315" s="344">
        <v>12.8333333333333</v>
      </c>
      <c r="W315" s="344">
        <v>12.133333333333301</v>
      </c>
      <c r="X315" s="344">
        <v>11.2</v>
      </c>
      <c r="Y315" s="344">
        <v>11.2</v>
      </c>
      <c r="Z315" s="344">
        <v>10.033333333333299</v>
      </c>
      <c r="AA315" s="344">
        <v>10.266666666666699</v>
      </c>
      <c r="AB315" s="344">
        <v>10.266666666666699</v>
      </c>
      <c r="AC315" s="344">
        <v>7.93333333333333</v>
      </c>
      <c r="AD315" s="344">
        <f t="shared" si="51"/>
        <v>-2.3333333333333695</v>
      </c>
      <c r="AE315" s="344">
        <v>51</v>
      </c>
      <c r="AF315" s="344">
        <v>0</v>
      </c>
      <c r="AG315" s="345">
        <v>51</v>
      </c>
      <c r="AH315" s="346">
        <v>51</v>
      </c>
      <c r="AI315" s="197">
        <v>51</v>
      </c>
      <c r="AJ315" s="197">
        <v>51</v>
      </c>
      <c r="AK315" s="197">
        <v>51</v>
      </c>
      <c r="AL315" s="197">
        <v>51</v>
      </c>
      <c r="AM315" s="197">
        <v>51</v>
      </c>
      <c r="AN315" s="197">
        <v>51</v>
      </c>
      <c r="AO315" s="197">
        <v>51</v>
      </c>
      <c r="AP315" s="197">
        <v>51</v>
      </c>
      <c r="AQ315" s="197">
        <v>51</v>
      </c>
      <c r="AR315" s="197">
        <v>51</v>
      </c>
      <c r="AS315" s="197">
        <v>51</v>
      </c>
      <c r="AT315" s="197">
        <v>51</v>
      </c>
      <c r="AU315" s="197">
        <v>51</v>
      </c>
      <c r="AV315" s="197">
        <v>51</v>
      </c>
      <c r="AW315" s="197">
        <v>51</v>
      </c>
      <c r="AX315" s="197">
        <v>51</v>
      </c>
      <c r="AY315" s="197">
        <v>51</v>
      </c>
      <c r="AZ315" s="197">
        <v>51</v>
      </c>
      <c r="BA315" s="197">
        <v>51</v>
      </c>
      <c r="BB315" s="347">
        <v>7</v>
      </c>
      <c r="BC315" s="347">
        <v>7</v>
      </c>
    </row>
    <row r="316" spans="1:55" s="381" customFormat="1" ht="17.649999999999999" customHeight="1">
      <c r="A316" s="343">
        <v>256</v>
      </c>
      <c r="B316" s="211" t="s">
        <v>2337</v>
      </c>
      <c r="C316" s="211" t="s">
        <v>2061</v>
      </c>
      <c r="D316" s="211" t="s">
        <v>2283</v>
      </c>
      <c r="E316" s="344">
        <v>5</v>
      </c>
      <c r="F316" s="344">
        <v>5.1333333333333302</v>
      </c>
      <c r="G316" s="209">
        <v>4.2</v>
      </c>
      <c r="H316" s="344">
        <v>3.9666666666666699</v>
      </c>
      <c r="I316" s="344">
        <v>5.6</v>
      </c>
      <c r="J316" s="344">
        <v>6.3</v>
      </c>
      <c r="K316" s="344">
        <v>6.3</v>
      </c>
      <c r="L316" s="344">
        <f t="shared" si="50"/>
        <v>1.47</v>
      </c>
      <c r="M316" s="344">
        <v>3.0333333333333301</v>
      </c>
      <c r="N316" s="344">
        <v>3.9666666666666699</v>
      </c>
      <c r="O316" s="344">
        <v>2.56666666666667</v>
      </c>
      <c r="P316" s="344">
        <v>5.1333333333333302</v>
      </c>
      <c r="Q316" s="344">
        <v>7.93333333333333</v>
      </c>
      <c r="R316" s="344">
        <v>13.533333333333299</v>
      </c>
      <c r="S316" s="344">
        <v>16.3333333333333</v>
      </c>
      <c r="T316" s="344">
        <v>18.433333333333302</v>
      </c>
      <c r="U316" s="344">
        <v>17.266666666666701</v>
      </c>
      <c r="V316" s="344">
        <v>12.366666666666699</v>
      </c>
      <c r="W316" s="344">
        <v>10.966666666666701</v>
      </c>
      <c r="X316" s="344">
        <v>7.4666666666666703</v>
      </c>
      <c r="Y316" s="344">
        <v>7</v>
      </c>
      <c r="Z316" s="344">
        <v>8.4</v>
      </c>
      <c r="AA316" s="344">
        <v>7.93333333333333</v>
      </c>
      <c r="AB316" s="344">
        <v>10.966666666666701</v>
      </c>
      <c r="AC316" s="344">
        <v>8.8666666666666707</v>
      </c>
      <c r="AD316" s="344">
        <f t="shared" si="51"/>
        <v>-2.1000000000000298</v>
      </c>
      <c r="AE316" s="344">
        <v>51</v>
      </c>
      <c r="AF316" s="344">
        <v>0</v>
      </c>
      <c r="AG316" s="345">
        <v>51</v>
      </c>
      <c r="AH316" s="346">
        <v>51</v>
      </c>
      <c r="AI316" s="197">
        <v>51</v>
      </c>
      <c r="AJ316" s="197">
        <v>51</v>
      </c>
      <c r="AK316" s="197">
        <v>51</v>
      </c>
      <c r="AL316" s="197">
        <v>51</v>
      </c>
      <c r="AM316" s="197">
        <v>51</v>
      </c>
      <c r="AN316" s="197">
        <v>51</v>
      </c>
      <c r="AO316" s="197">
        <v>51</v>
      </c>
      <c r="AP316" s="197">
        <v>51</v>
      </c>
      <c r="AQ316" s="197">
        <v>51</v>
      </c>
      <c r="AR316" s="197">
        <v>51</v>
      </c>
      <c r="AS316" s="197">
        <v>51</v>
      </c>
      <c r="AT316" s="197">
        <v>51</v>
      </c>
      <c r="AU316" s="197">
        <v>51</v>
      </c>
      <c r="AV316" s="347">
        <v>8</v>
      </c>
      <c r="AW316" s="197">
        <v>51</v>
      </c>
      <c r="AX316" s="197">
        <v>51</v>
      </c>
      <c r="AY316" s="197">
        <v>51</v>
      </c>
      <c r="AZ316" s="197">
        <v>51</v>
      </c>
      <c r="BA316" s="197">
        <v>51</v>
      </c>
      <c r="BB316" s="347">
        <v>2</v>
      </c>
      <c r="BC316" s="347">
        <v>2</v>
      </c>
    </row>
    <row r="317" spans="1:55" s="381" customFormat="1" ht="17.649999999999999" customHeight="1">
      <c r="A317" s="343">
        <v>257</v>
      </c>
      <c r="B317" s="211" t="s">
        <v>2338</v>
      </c>
      <c r="C317" s="211" t="s">
        <v>2061</v>
      </c>
      <c r="D317" s="211" t="s">
        <v>2283</v>
      </c>
      <c r="E317" s="344">
        <v>2</v>
      </c>
      <c r="F317" s="344">
        <v>3.9666666666666699</v>
      </c>
      <c r="G317" s="209">
        <v>3.9666666666666699</v>
      </c>
      <c r="H317" s="344">
        <v>4.43333333333333</v>
      </c>
      <c r="I317" s="344">
        <v>10.266666666666699</v>
      </c>
      <c r="J317" s="344">
        <v>10.033333333333299</v>
      </c>
      <c r="K317" s="344">
        <v>9.1</v>
      </c>
      <c r="L317" s="344">
        <f t="shared" ref="L317:L380" si="52">K317/30*7</f>
        <v>2.1233333333333335</v>
      </c>
      <c r="M317" s="344">
        <v>2.3333333333333299</v>
      </c>
      <c r="N317" s="344">
        <v>4.2</v>
      </c>
      <c r="O317" s="344">
        <v>3.2666666666666702</v>
      </c>
      <c r="P317" s="344">
        <v>6.5333333333333297</v>
      </c>
      <c r="Q317" s="344">
        <v>8.4</v>
      </c>
      <c r="R317" s="344">
        <v>8.6333333333333293</v>
      </c>
      <c r="S317" s="344">
        <v>10.733333333333301</v>
      </c>
      <c r="T317" s="344">
        <v>8.8666666666666707</v>
      </c>
      <c r="U317" s="344">
        <v>8.4</v>
      </c>
      <c r="V317" s="344">
        <v>6.7666666666666702</v>
      </c>
      <c r="W317" s="344">
        <v>5.3666666666666698</v>
      </c>
      <c r="X317" s="344">
        <v>5.1333333333333302</v>
      </c>
      <c r="Y317" s="344">
        <v>4.43333333333333</v>
      </c>
      <c r="Z317" s="344">
        <v>5.6</v>
      </c>
      <c r="AA317" s="344">
        <v>6.3</v>
      </c>
      <c r="AB317" s="344">
        <v>7.7</v>
      </c>
      <c r="AC317" s="344">
        <v>6.7666666666666702</v>
      </c>
      <c r="AD317" s="344">
        <f t="shared" ref="AD317:AD380" si="53">AC317-AB317</f>
        <v>-0.93333333333333002</v>
      </c>
      <c r="AE317" s="344">
        <v>51</v>
      </c>
      <c r="AF317" s="344">
        <v>0</v>
      </c>
      <c r="AG317" s="345">
        <v>51</v>
      </c>
      <c r="AH317" s="346">
        <v>51</v>
      </c>
      <c r="AI317" s="197">
        <v>51</v>
      </c>
      <c r="AJ317" s="197">
        <v>11</v>
      </c>
      <c r="AK317" s="197">
        <v>12</v>
      </c>
      <c r="AL317" s="197">
        <v>12</v>
      </c>
      <c r="AM317" s="197">
        <v>51</v>
      </c>
      <c r="AN317" s="197">
        <v>51</v>
      </c>
      <c r="AO317" s="197">
        <v>51</v>
      </c>
      <c r="AP317" s="197">
        <v>51</v>
      </c>
      <c r="AQ317" s="197">
        <v>51</v>
      </c>
      <c r="AR317" s="197">
        <v>51</v>
      </c>
      <c r="AS317" s="197">
        <v>51</v>
      </c>
      <c r="AT317" s="197">
        <v>51</v>
      </c>
      <c r="AU317" s="347">
        <v>10</v>
      </c>
      <c r="AV317" s="197">
        <v>51</v>
      </c>
      <c r="AW317" s="197">
        <v>51</v>
      </c>
      <c r="AX317" s="197">
        <v>51</v>
      </c>
      <c r="AY317" s="197">
        <v>51</v>
      </c>
      <c r="AZ317" s="197">
        <v>51</v>
      </c>
      <c r="BA317" s="197">
        <v>51</v>
      </c>
      <c r="BB317" s="197">
        <v>51</v>
      </c>
      <c r="BC317" s="347" t="s">
        <v>2287</v>
      </c>
    </row>
    <row r="318" spans="1:55" s="381" customFormat="1" ht="17.649999999999999" customHeight="1">
      <c r="A318" s="343">
        <v>258</v>
      </c>
      <c r="B318" s="211" t="s">
        <v>2339</v>
      </c>
      <c r="C318" s="211" t="s">
        <v>2061</v>
      </c>
      <c r="D318" s="211" t="s">
        <v>2283</v>
      </c>
      <c r="E318" s="344">
        <v>7</v>
      </c>
      <c r="F318" s="344">
        <v>7.4666666666666703</v>
      </c>
      <c r="G318" s="209">
        <v>7.4666666666666703</v>
      </c>
      <c r="H318" s="344">
        <v>6.7666666666666702</v>
      </c>
      <c r="I318" s="344">
        <v>6.3</v>
      </c>
      <c r="J318" s="344">
        <v>5.6</v>
      </c>
      <c r="K318" s="344">
        <v>5.6</v>
      </c>
      <c r="L318" s="344">
        <f t="shared" si="52"/>
        <v>1.3066666666666666</v>
      </c>
      <c r="M318" s="344">
        <v>4.2</v>
      </c>
      <c r="N318" s="344">
        <v>5.3666666666666698</v>
      </c>
      <c r="O318" s="344">
        <v>4.6666666666666696</v>
      </c>
      <c r="P318" s="344">
        <v>6.7666666666666702</v>
      </c>
      <c r="Q318" s="344">
        <v>8.4</v>
      </c>
      <c r="R318" s="344">
        <v>9.1</v>
      </c>
      <c r="S318" s="344">
        <v>8.6333333333333293</v>
      </c>
      <c r="T318" s="344">
        <v>7.93333333333333</v>
      </c>
      <c r="U318" s="344">
        <v>8.8666666666666707</v>
      </c>
      <c r="V318" s="344">
        <v>8.4</v>
      </c>
      <c r="W318" s="344">
        <v>7.93333333333333</v>
      </c>
      <c r="X318" s="344">
        <v>8.4</v>
      </c>
      <c r="Y318" s="344">
        <v>8.6333333333333293</v>
      </c>
      <c r="Z318" s="344">
        <v>7.7</v>
      </c>
      <c r="AA318" s="344">
        <v>8.6333333333333293</v>
      </c>
      <c r="AB318" s="344">
        <v>7</v>
      </c>
      <c r="AC318" s="344">
        <v>6.3</v>
      </c>
      <c r="AD318" s="344">
        <f t="shared" si="53"/>
        <v>-0.70000000000000018</v>
      </c>
      <c r="AE318" s="344">
        <v>51</v>
      </c>
      <c r="AF318" s="344">
        <v>4</v>
      </c>
      <c r="AG318" s="345">
        <v>4</v>
      </c>
      <c r="AH318" s="346">
        <v>8</v>
      </c>
      <c r="AI318" s="197">
        <v>10</v>
      </c>
      <c r="AJ318" s="197">
        <v>10</v>
      </c>
      <c r="AK318" s="197">
        <v>15</v>
      </c>
      <c r="AL318" s="197">
        <v>15</v>
      </c>
      <c r="AM318" s="197">
        <v>7</v>
      </c>
      <c r="AN318" s="197">
        <v>9</v>
      </c>
      <c r="AO318" s="197">
        <v>3</v>
      </c>
      <c r="AP318" s="197">
        <v>9</v>
      </c>
      <c r="AQ318" s="197">
        <v>7</v>
      </c>
      <c r="AR318" s="347">
        <v>1</v>
      </c>
      <c r="AS318" s="347">
        <v>12</v>
      </c>
      <c r="AT318" s="197">
        <v>8</v>
      </c>
      <c r="AU318" s="347">
        <v>7</v>
      </c>
      <c r="AV318" s="347">
        <v>5</v>
      </c>
      <c r="AW318" s="347">
        <v>37</v>
      </c>
      <c r="AX318" s="347">
        <v>28</v>
      </c>
      <c r="AY318" s="347">
        <v>15</v>
      </c>
      <c r="AZ318" s="347">
        <v>11</v>
      </c>
      <c r="BA318" s="347">
        <v>6</v>
      </c>
      <c r="BB318" s="347">
        <v>4</v>
      </c>
      <c r="BC318" s="347">
        <v>3</v>
      </c>
    </row>
    <row r="319" spans="1:55" s="381" customFormat="1" ht="17.649999999999999" customHeight="1">
      <c r="A319" s="343">
        <v>259</v>
      </c>
      <c r="B319" s="211" t="s">
        <v>2340</v>
      </c>
      <c r="C319" s="211" t="s">
        <v>2061</v>
      </c>
      <c r="D319" s="211" t="s">
        <v>2283</v>
      </c>
      <c r="E319" s="344">
        <v>1</v>
      </c>
      <c r="F319" s="344">
        <v>1.86666666666667</v>
      </c>
      <c r="G319" s="209">
        <v>1.86666666666667</v>
      </c>
      <c r="H319" s="344">
        <v>1.4</v>
      </c>
      <c r="I319" s="344">
        <v>1.1666666666666701</v>
      </c>
      <c r="J319" s="344">
        <v>2.1</v>
      </c>
      <c r="K319" s="344">
        <v>2.1</v>
      </c>
      <c r="L319" s="344">
        <f t="shared" si="52"/>
        <v>0.49000000000000005</v>
      </c>
      <c r="M319" s="344">
        <v>1.4</v>
      </c>
      <c r="N319" s="344">
        <v>1.1666666666666701</v>
      </c>
      <c r="O319" s="344">
        <v>0.233333333333333</v>
      </c>
      <c r="P319" s="344">
        <v>1.1666666666666701</v>
      </c>
      <c r="Q319" s="344">
        <v>1.86666666666667</v>
      </c>
      <c r="R319" s="344">
        <v>3.5</v>
      </c>
      <c r="S319" s="344">
        <v>4.43333333333333</v>
      </c>
      <c r="T319" s="344">
        <v>4.6666666666666696</v>
      </c>
      <c r="U319" s="344">
        <v>5.1333333333333302</v>
      </c>
      <c r="V319" s="344">
        <v>3.9666666666666699</v>
      </c>
      <c r="W319" s="344">
        <v>3.9666666666666699</v>
      </c>
      <c r="X319" s="344">
        <v>3.2666666666666702</v>
      </c>
      <c r="Y319" s="344">
        <v>3.2666666666666702</v>
      </c>
      <c r="Z319" s="344">
        <v>3.5</v>
      </c>
      <c r="AA319" s="344">
        <v>1.86666666666667</v>
      </c>
      <c r="AB319" s="344">
        <v>3.5</v>
      </c>
      <c r="AC319" s="344">
        <v>3.5</v>
      </c>
      <c r="AD319" s="344">
        <f t="shared" si="53"/>
        <v>0</v>
      </c>
      <c r="AE319" s="344">
        <v>3</v>
      </c>
      <c r="AF319" s="344">
        <v>3</v>
      </c>
      <c r="AG319" s="345">
        <v>3</v>
      </c>
      <c r="AH319" s="346">
        <v>8</v>
      </c>
      <c r="AI319" s="197">
        <v>9</v>
      </c>
      <c r="AJ319" s="197">
        <v>2</v>
      </c>
      <c r="AK319" s="197">
        <v>4</v>
      </c>
      <c r="AL319" s="197">
        <v>4</v>
      </c>
      <c r="AM319" s="197">
        <v>9</v>
      </c>
      <c r="AN319" s="197">
        <v>3</v>
      </c>
      <c r="AO319" s="197">
        <v>6</v>
      </c>
      <c r="AP319" s="197">
        <v>5</v>
      </c>
      <c r="AQ319" s="197">
        <v>3</v>
      </c>
      <c r="AR319" s="347">
        <v>4</v>
      </c>
      <c r="AS319" s="347">
        <v>12</v>
      </c>
      <c r="AT319" s="197">
        <v>4</v>
      </c>
      <c r="AU319" s="347">
        <v>3</v>
      </c>
      <c r="AV319" s="347">
        <v>2</v>
      </c>
      <c r="AW319" s="347">
        <v>8</v>
      </c>
      <c r="AX319" s="347">
        <v>2</v>
      </c>
      <c r="AY319" s="347">
        <v>2</v>
      </c>
      <c r="AZ319" s="347">
        <v>28</v>
      </c>
      <c r="BA319" s="347">
        <v>4</v>
      </c>
      <c r="BB319" s="347">
        <v>1</v>
      </c>
      <c r="BC319" s="347">
        <v>9</v>
      </c>
    </row>
    <row r="320" spans="1:55" s="381" customFormat="1" ht="17.649999999999999" customHeight="1">
      <c r="A320" s="343">
        <v>260</v>
      </c>
      <c r="B320" s="211" t="s">
        <v>2341</v>
      </c>
      <c r="C320" s="211" t="s">
        <v>2061</v>
      </c>
      <c r="D320" s="211" t="s">
        <v>2283</v>
      </c>
      <c r="E320" s="344">
        <v>10</v>
      </c>
      <c r="F320" s="344">
        <v>10.733333333333301</v>
      </c>
      <c r="G320" s="209">
        <v>10.266666666666699</v>
      </c>
      <c r="H320" s="344">
        <v>9.56666666666667</v>
      </c>
      <c r="I320" s="344">
        <v>10.966666666666701</v>
      </c>
      <c r="J320" s="344">
        <v>11.9</v>
      </c>
      <c r="K320" s="344">
        <v>10.033333333333299</v>
      </c>
      <c r="L320" s="344">
        <f t="shared" si="52"/>
        <v>2.3411111111111031</v>
      </c>
      <c r="M320" s="344">
        <v>5.1333333333333302</v>
      </c>
      <c r="N320" s="344">
        <v>7</v>
      </c>
      <c r="O320" s="344">
        <v>8.4</v>
      </c>
      <c r="P320" s="344">
        <v>10.733333333333301</v>
      </c>
      <c r="Q320" s="344">
        <v>14</v>
      </c>
      <c r="R320" s="344">
        <v>16.3333333333333</v>
      </c>
      <c r="S320" s="344">
        <v>16.3333333333333</v>
      </c>
      <c r="T320" s="344">
        <v>15.1666666666667</v>
      </c>
      <c r="U320" s="344">
        <v>14.9333333333333</v>
      </c>
      <c r="V320" s="344">
        <v>11.9</v>
      </c>
      <c r="W320" s="344">
        <v>10.033333333333299</v>
      </c>
      <c r="X320" s="344">
        <v>11.2</v>
      </c>
      <c r="Y320" s="344">
        <v>11.9</v>
      </c>
      <c r="Z320" s="344">
        <v>10.266666666666699</v>
      </c>
      <c r="AA320" s="344">
        <v>8.4</v>
      </c>
      <c r="AB320" s="344">
        <v>7.93333333333333</v>
      </c>
      <c r="AC320" s="344">
        <v>6.7666666666666702</v>
      </c>
      <c r="AD320" s="344">
        <f t="shared" si="53"/>
        <v>-1.1666666666666599</v>
      </c>
      <c r="AE320" s="344">
        <v>19</v>
      </c>
      <c r="AF320" s="344">
        <v>10</v>
      </c>
      <c r="AG320" s="345">
        <v>10</v>
      </c>
      <c r="AH320" s="346">
        <v>43</v>
      </c>
      <c r="AI320" s="197">
        <v>18</v>
      </c>
      <c r="AJ320" s="197">
        <v>25</v>
      </c>
      <c r="AK320" s="197">
        <v>24</v>
      </c>
      <c r="AL320" s="197">
        <v>24</v>
      </c>
      <c r="AM320" s="197">
        <v>18</v>
      </c>
      <c r="AN320" s="197">
        <v>27</v>
      </c>
      <c r="AO320" s="197">
        <v>51</v>
      </c>
      <c r="AP320" s="197">
        <v>51</v>
      </c>
      <c r="AQ320" s="347">
        <v>14</v>
      </c>
      <c r="AR320" s="347">
        <v>4</v>
      </c>
      <c r="AS320" s="197">
        <v>51</v>
      </c>
      <c r="AT320" s="197">
        <v>51</v>
      </c>
      <c r="AU320" s="197">
        <v>51</v>
      </c>
      <c r="AV320" s="347">
        <v>32</v>
      </c>
      <c r="AW320" s="197">
        <v>51</v>
      </c>
      <c r="AX320" s="197">
        <v>51</v>
      </c>
      <c r="AY320" s="197">
        <v>51</v>
      </c>
      <c r="AZ320" s="347">
        <v>5</v>
      </c>
      <c r="BA320" s="197">
        <v>51</v>
      </c>
      <c r="BB320" s="347">
        <v>4</v>
      </c>
      <c r="BC320" s="347">
        <v>4</v>
      </c>
    </row>
    <row r="321" spans="1:55" s="381" customFormat="1" ht="17.649999999999999" customHeight="1">
      <c r="A321" s="343">
        <v>261</v>
      </c>
      <c r="B321" s="211" t="s">
        <v>2342</v>
      </c>
      <c r="C321" s="211" t="s">
        <v>2061</v>
      </c>
      <c r="D321" s="211" t="s">
        <v>2283</v>
      </c>
      <c r="E321" s="344">
        <v>5</v>
      </c>
      <c r="F321" s="344">
        <v>5.3666666666666698</v>
      </c>
      <c r="G321" s="209">
        <v>5.8333333333333304</v>
      </c>
      <c r="H321" s="344">
        <v>5.6</v>
      </c>
      <c r="I321" s="344">
        <v>5.3666666666666698</v>
      </c>
      <c r="J321" s="344">
        <v>5.6</v>
      </c>
      <c r="K321" s="344">
        <v>3.9666666666666699</v>
      </c>
      <c r="L321" s="344">
        <f t="shared" si="52"/>
        <v>0.92555555555555624</v>
      </c>
      <c r="M321" s="344">
        <v>3.0333333333333301</v>
      </c>
      <c r="N321" s="344">
        <v>3.0333333333333301</v>
      </c>
      <c r="O321" s="344">
        <v>4.6666666666666696</v>
      </c>
      <c r="P321" s="344">
        <v>3.9666666666666699</v>
      </c>
      <c r="Q321" s="344">
        <v>5.6</v>
      </c>
      <c r="R321" s="344">
        <v>8.8666666666666707</v>
      </c>
      <c r="S321" s="344">
        <v>9.8000000000000007</v>
      </c>
      <c r="T321" s="344">
        <v>10.966666666666701</v>
      </c>
      <c r="U321" s="344">
        <v>13.0666666666667</v>
      </c>
      <c r="V321" s="344">
        <v>10.266666666666699</v>
      </c>
      <c r="W321" s="344">
        <v>9.1</v>
      </c>
      <c r="X321" s="344">
        <v>8.8666666666666707</v>
      </c>
      <c r="Y321" s="344">
        <v>7.4666666666666703</v>
      </c>
      <c r="Z321" s="344">
        <v>5.3666666666666698</v>
      </c>
      <c r="AA321" s="344">
        <v>3.9666666666666699</v>
      </c>
      <c r="AB321" s="344">
        <v>3.9666666666666699</v>
      </c>
      <c r="AC321" s="344">
        <v>2.3333333333333299</v>
      </c>
      <c r="AD321" s="344">
        <f t="shared" si="53"/>
        <v>-1.63333333333334</v>
      </c>
      <c r="AE321" s="344">
        <v>1</v>
      </c>
      <c r="AF321" s="344">
        <v>1</v>
      </c>
      <c r="AG321" s="345">
        <v>1</v>
      </c>
      <c r="AH321" s="346">
        <v>1</v>
      </c>
      <c r="AI321" s="197">
        <v>1</v>
      </c>
      <c r="AJ321" s="197">
        <v>1</v>
      </c>
      <c r="AK321" s="197">
        <v>1</v>
      </c>
      <c r="AL321" s="197">
        <v>1</v>
      </c>
      <c r="AM321" s="197">
        <v>1</v>
      </c>
      <c r="AN321" s="197">
        <v>1</v>
      </c>
      <c r="AO321" s="197">
        <v>1</v>
      </c>
      <c r="AP321" s="197">
        <v>1</v>
      </c>
      <c r="AQ321" s="197">
        <v>1</v>
      </c>
      <c r="AR321" s="347">
        <v>1</v>
      </c>
      <c r="AS321" s="197">
        <v>1</v>
      </c>
      <c r="AT321" s="197">
        <v>1</v>
      </c>
      <c r="AU321" s="347">
        <v>1</v>
      </c>
      <c r="AV321" s="347">
        <v>1</v>
      </c>
      <c r="AW321" s="347">
        <v>1</v>
      </c>
      <c r="AX321" s="347">
        <v>1</v>
      </c>
      <c r="AY321" s="347">
        <v>1</v>
      </c>
      <c r="AZ321" s="347">
        <v>1</v>
      </c>
      <c r="BA321" s="347">
        <v>1</v>
      </c>
      <c r="BB321" s="347">
        <v>1</v>
      </c>
      <c r="BC321" s="347">
        <v>1</v>
      </c>
    </row>
    <row r="322" spans="1:55" s="381" customFormat="1" ht="17.649999999999999" customHeight="1">
      <c r="A322" s="343">
        <v>262</v>
      </c>
      <c r="B322" s="211" t="s">
        <v>2343</v>
      </c>
      <c r="C322" s="211" t="s">
        <v>2061</v>
      </c>
      <c r="D322" s="211" t="s">
        <v>2283</v>
      </c>
      <c r="E322" s="344">
        <v>0</v>
      </c>
      <c r="F322" s="344">
        <v>0.233333333333333</v>
      </c>
      <c r="G322" s="209">
        <v>1.1666666666666701</v>
      </c>
      <c r="H322" s="344">
        <v>6.3</v>
      </c>
      <c r="I322" s="344">
        <v>7</v>
      </c>
      <c r="J322" s="344">
        <v>7.7</v>
      </c>
      <c r="K322" s="344">
        <v>7.93333333333333</v>
      </c>
      <c r="L322" s="344">
        <f t="shared" si="52"/>
        <v>1.8511111111111103</v>
      </c>
      <c r="M322" s="344">
        <v>1.4</v>
      </c>
      <c r="N322" s="344">
        <v>2.3333333333333299</v>
      </c>
      <c r="O322" s="344">
        <v>1.86666666666667</v>
      </c>
      <c r="P322" s="344">
        <v>4.2</v>
      </c>
      <c r="Q322" s="344">
        <v>4.43333333333333</v>
      </c>
      <c r="R322" s="344">
        <v>6.7666666666666702</v>
      </c>
      <c r="S322" s="344">
        <v>7.7</v>
      </c>
      <c r="T322" s="344">
        <v>6.5333333333333297</v>
      </c>
      <c r="U322" s="344">
        <v>7.93333333333333</v>
      </c>
      <c r="V322" s="344">
        <v>5.8333333333333304</v>
      </c>
      <c r="W322" s="344">
        <v>4.6666666666666696</v>
      </c>
      <c r="X322" s="344">
        <v>4.6666666666666696</v>
      </c>
      <c r="Y322" s="344">
        <v>4.2</v>
      </c>
      <c r="Z322" s="344">
        <v>2.56666666666667</v>
      </c>
      <c r="AA322" s="344">
        <v>2.3333333333333299</v>
      </c>
      <c r="AB322" s="344">
        <v>2.1</v>
      </c>
      <c r="AC322" s="344">
        <v>1.4</v>
      </c>
      <c r="AD322" s="344">
        <f t="shared" si="53"/>
        <v>-0.70000000000000018</v>
      </c>
      <c r="AE322" s="344">
        <v>51</v>
      </c>
      <c r="AF322" s="344">
        <v>63</v>
      </c>
      <c r="AG322" s="345">
        <v>51</v>
      </c>
      <c r="AH322" s="346">
        <v>51</v>
      </c>
      <c r="AI322" s="197">
        <v>15</v>
      </c>
      <c r="AJ322" s="197">
        <v>42</v>
      </c>
      <c r="AK322" s="197">
        <v>23</v>
      </c>
      <c r="AL322" s="197">
        <v>23</v>
      </c>
      <c r="AM322" s="197">
        <v>42</v>
      </c>
      <c r="AN322" s="197">
        <v>23</v>
      </c>
      <c r="AO322" s="197">
        <v>11</v>
      </c>
      <c r="AP322" s="347">
        <v>13</v>
      </c>
      <c r="AQ322" s="347">
        <v>8</v>
      </c>
      <c r="AR322" s="197">
        <v>51</v>
      </c>
      <c r="AS322" s="347">
        <v>10</v>
      </c>
      <c r="AT322" s="347">
        <v>14</v>
      </c>
      <c r="AU322" s="347">
        <v>5</v>
      </c>
      <c r="AV322" s="347">
        <v>33</v>
      </c>
      <c r="AW322" s="347">
        <v>13</v>
      </c>
      <c r="AX322" s="347">
        <v>5</v>
      </c>
      <c r="AY322" s="347">
        <v>5</v>
      </c>
      <c r="AZ322" s="347">
        <v>24</v>
      </c>
      <c r="BA322" s="347">
        <v>6</v>
      </c>
      <c r="BB322" s="347">
        <v>7</v>
      </c>
      <c r="BC322" s="347">
        <v>7</v>
      </c>
    </row>
    <row r="323" spans="1:55" s="381" customFormat="1" ht="17.649999999999999" customHeight="1">
      <c r="A323" s="343">
        <v>263</v>
      </c>
      <c r="B323" s="211" t="s">
        <v>2344</v>
      </c>
      <c r="C323" s="211" t="s">
        <v>2061</v>
      </c>
      <c r="D323" s="211" t="s">
        <v>2283</v>
      </c>
      <c r="E323" s="344">
        <v>12</v>
      </c>
      <c r="F323" s="344">
        <v>12.133333333333301</v>
      </c>
      <c r="G323" s="209">
        <v>12.366666666666699</v>
      </c>
      <c r="H323" s="344">
        <v>11.6666666666667</v>
      </c>
      <c r="I323" s="344">
        <v>11.6666666666667</v>
      </c>
      <c r="J323" s="344">
        <v>13.3</v>
      </c>
      <c r="K323" s="344">
        <v>12.133333333333301</v>
      </c>
      <c r="L323" s="344">
        <f t="shared" si="52"/>
        <v>2.8311111111111038</v>
      </c>
      <c r="M323" s="344">
        <v>7.4666666666666703</v>
      </c>
      <c r="N323" s="344">
        <v>7.93333333333333</v>
      </c>
      <c r="O323" s="344">
        <v>9.8000000000000007</v>
      </c>
      <c r="P323" s="344">
        <v>13.533333333333299</v>
      </c>
      <c r="Q323" s="344">
        <v>15.4</v>
      </c>
      <c r="R323" s="344">
        <v>15.633333333333301</v>
      </c>
      <c r="S323" s="344">
        <v>15.633333333333301</v>
      </c>
      <c r="T323" s="344">
        <v>15.633333333333301</v>
      </c>
      <c r="U323" s="344">
        <v>16.566666666666698</v>
      </c>
      <c r="V323" s="344">
        <v>15.633333333333301</v>
      </c>
      <c r="W323" s="344">
        <v>14.9333333333333</v>
      </c>
      <c r="X323" s="344">
        <v>15.4</v>
      </c>
      <c r="Y323" s="344">
        <v>17.266666666666701</v>
      </c>
      <c r="Z323" s="344">
        <v>19.600000000000001</v>
      </c>
      <c r="AA323" s="344">
        <v>21.233333333333299</v>
      </c>
      <c r="AB323" s="344">
        <v>18.433333333333302</v>
      </c>
      <c r="AC323" s="344">
        <v>16.3333333333333</v>
      </c>
      <c r="AD323" s="344">
        <f t="shared" si="53"/>
        <v>-2.1000000000000014</v>
      </c>
      <c r="AE323" s="344">
        <v>5</v>
      </c>
      <c r="AF323" s="344">
        <v>6</v>
      </c>
      <c r="AG323" s="345">
        <v>5</v>
      </c>
      <c r="AH323" s="346">
        <v>2</v>
      </c>
      <c r="AI323" s="197">
        <v>2</v>
      </c>
      <c r="AJ323" s="197">
        <v>5</v>
      </c>
      <c r="AK323" s="197">
        <v>5</v>
      </c>
      <c r="AL323" s="197">
        <v>5</v>
      </c>
      <c r="AM323" s="197">
        <v>9</v>
      </c>
      <c r="AN323" s="197">
        <v>3</v>
      </c>
      <c r="AO323" s="197">
        <v>8</v>
      </c>
      <c r="AP323" s="197">
        <v>5</v>
      </c>
      <c r="AQ323" s="197">
        <v>10</v>
      </c>
      <c r="AR323" s="347">
        <v>1</v>
      </c>
      <c r="AS323" s="197">
        <v>2</v>
      </c>
      <c r="AT323" s="197">
        <v>10</v>
      </c>
      <c r="AU323" s="347">
        <v>3</v>
      </c>
      <c r="AV323" s="347">
        <v>7</v>
      </c>
      <c r="AW323" s="347">
        <v>2</v>
      </c>
      <c r="AX323" s="347">
        <v>3</v>
      </c>
      <c r="AY323" s="347">
        <v>1</v>
      </c>
      <c r="AZ323" s="347">
        <v>2</v>
      </c>
      <c r="BA323" s="347">
        <v>4</v>
      </c>
      <c r="BB323" s="347">
        <v>4</v>
      </c>
      <c r="BC323" s="347">
        <v>3</v>
      </c>
    </row>
    <row r="324" spans="1:55" s="381" customFormat="1" ht="17.649999999999999" customHeight="1">
      <c r="A324" s="343">
        <v>264</v>
      </c>
      <c r="B324" s="211" t="s">
        <v>2345</v>
      </c>
      <c r="C324" s="211" t="s">
        <v>2061</v>
      </c>
      <c r="D324" s="211" t="s">
        <v>2283</v>
      </c>
      <c r="E324" s="344">
        <v>32</v>
      </c>
      <c r="F324" s="344">
        <v>35.466666666666697</v>
      </c>
      <c r="G324" s="209">
        <v>38.033333333333303</v>
      </c>
      <c r="H324" s="344">
        <v>33.6</v>
      </c>
      <c r="I324" s="344">
        <v>31.966666666666701</v>
      </c>
      <c r="J324" s="344">
        <v>38.033333333333303</v>
      </c>
      <c r="K324" s="344">
        <v>33.8333333333333</v>
      </c>
      <c r="L324" s="344">
        <f t="shared" si="52"/>
        <v>7.8944444444444368</v>
      </c>
      <c r="M324" s="344">
        <v>23.3333333333333</v>
      </c>
      <c r="N324" s="344">
        <v>21.233333333333299</v>
      </c>
      <c r="O324" s="344">
        <v>17.733333333333299</v>
      </c>
      <c r="P324" s="344">
        <v>20.766666666666701</v>
      </c>
      <c r="Q324" s="344">
        <v>28.933333333333302</v>
      </c>
      <c r="R324" s="344">
        <v>29.866666666666699</v>
      </c>
      <c r="S324" s="344">
        <v>28.466666666666701</v>
      </c>
      <c r="T324" s="344">
        <v>32.6666666666667</v>
      </c>
      <c r="U324" s="344">
        <v>33.6</v>
      </c>
      <c r="V324" s="344">
        <v>32.200000000000003</v>
      </c>
      <c r="W324" s="344">
        <v>28.7</v>
      </c>
      <c r="X324" s="344">
        <v>28.233333333333299</v>
      </c>
      <c r="Y324" s="344">
        <v>22.1666666666667</v>
      </c>
      <c r="Z324" s="344">
        <v>22.1666666666667</v>
      </c>
      <c r="AA324" s="344">
        <v>21.933333333333302</v>
      </c>
      <c r="AB324" s="344">
        <v>24.5</v>
      </c>
      <c r="AC324" s="344">
        <v>24.5</v>
      </c>
      <c r="AD324" s="344">
        <f t="shared" si="53"/>
        <v>0</v>
      </c>
      <c r="AE324" s="344">
        <v>51</v>
      </c>
      <c r="AF324" s="344">
        <v>0</v>
      </c>
      <c r="AG324" s="345">
        <v>51</v>
      </c>
      <c r="AH324" s="346">
        <v>51</v>
      </c>
      <c r="AI324" s="197">
        <v>51</v>
      </c>
      <c r="AJ324" s="197">
        <v>51</v>
      </c>
      <c r="AK324" s="197">
        <v>51</v>
      </c>
      <c r="AL324" s="197">
        <v>51</v>
      </c>
      <c r="AM324" s="197">
        <v>51</v>
      </c>
      <c r="AN324" s="197">
        <v>51</v>
      </c>
      <c r="AO324" s="197">
        <v>47</v>
      </c>
      <c r="AP324" s="347">
        <v>28</v>
      </c>
      <c r="AQ324" s="347">
        <v>43</v>
      </c>
      <c r="AR324" s="347">
        <v>30</v>
      </c>
      <c r="AS324" s="347">
        <v>12</v>
      </c>
      <c r="AT324" s="197">
        <v>51</v>
      </c>
      <c r="AU324" s="347">
        <v>1</v>
      </c>
      <c r="AV324" s="347">
        <v>49</v>
      </c>
      <c r="AW324" s="197">
        <v>51</v>
      </c>
      <c r="AX324" s="347">
        <v>35</v>
      </c>
      <c r="AY324" s="197">
        <v>51</v>
      </c>
      <c r="AZ324" s="197">
        <v>51</v>
      </c>
      <c r="BA324" s="197">
        <v>51</v>
      </c>
      <c r="BB324" s="197">
        <v>51</v>
      </c>
      <c r="BC324" s="347">
        <v>41</v>
      </c>
    </row>
    <row r="325" spans="1:55" s="381" customFormat="1" ht="17.649999999999999" customHeight="1">
      <c r="A325" s="343">
        <v>265</v>
      </c>
      <c r="B325" s="211" t="s">
        <v>2346</v>
      </c>
      <c r="C325" s="211" t="s">
        <v>2061</v>
      </c>
      <c r="D325" s="211" t="s">
        <v>2283</v>
      </c>
      <c r="E325" s="344">
        <v>0</v>
      </c>
      <c r="F325" s="344">
        <v>1.4</v>
      </c>
      <c r="G325" s="209">
        <v>1.86666666666667</v>
      </c>
      <c r="H325" s="344">
        <v>2.3333333333333299</v>
      </c>
      <c r="I325" s="344">
        <v>2.56666666666667</v>
      </c>
      <c r="J325" s="344">
        <v>4.43333333333333</v>
      </c>
      <c r="K325" s="344">
        <v>4.2</v>
      </c>
      <c r="L325" s="344">
        <f t="shared" si="52"/>
        <v>0.98000000000000009</v>
      </c>
      <c r="M325" s="344">
        <v>3.2666666666666702</v>
      </c>
      <c r="N325" s="344">
        <v>1.86666666666667</v>
      </c>
      <c r="O325" s="344">
        <v>2.3333333333333299</v>
      </c>
      <c r="P325" s="344">
        <v>4.43333333333333</v>
      </c>
      <c r="Q325" s="344">
        <v>7</v>
      </c>
      <c r="R325" s="344">
        <v>10.266666666666699</v>
      </c>
      <c r="S325" s="344">
        <v>10.733333333333301</v>
      </c>
      <c r="T325" s="344">
        <v>7.93333333333333</v>
      </c>
      <c r="U325" s="344">
        <v>7.4666666666666703</v>
      </c>
      <c r="V325" s="344">
        <v>4.6666666666666696</v>
      </c>
      <c r="W325" s="344">
        <v>4.6666666666666696</v>
      </c>
      <c r="X325" s="344">
        <v>5.3666666666666698</v>
      </c>
      <c r="Y325" s="344">
        <v>5.6</v>
      </c>
      <c r="Z325" s="344">
        <v>5.1333333333333302</v>
      </c>
      <c r="AA325" s="344">
        <v>3.9666666666666699</v>
      </c>
      <c r="AB325" s="344">
        <v>3.2666666666666702</v>
      </c>
      <c r="AC325" s="344">
        <v>1.4</v>
      </c>
      <c r="AD325" s="344">
        <f t="shared" si="53"/>
        <v>-1.8666666666666702</v>
      </c>
      <c r="AE325" s="344">
        <v>51</v>
      </c>
      <c r="AF325" s="344">
        <v>0</v>
      </c>
      <c r="AG325" s="345">
        <v>51</v>
      </c>
      <c r="AH325" s="346">
        <v>51</v>
      </c>
      <c r="AI325" s="197">
        <v>51</v>
      </c>
      <c r="AJ325" s="197">
        <v>51</v>
      </c>
      <c r="AK325" s="197">
        <v>51</v>
      </c>
      <c r="AL325" s="197">
        <v>51</v>
      </c>
      <c r="AM325" s="197">
        <v>51</v>
      </c>
      <c r="AN325" s="197">
        <v>51</v>
      </c>
      <c r="AO325" s="347">
        <v>15</v>
      </c>
      <c r="AP325" s="347">
        <v>13</v>
      </c>
      <c r="AQ325" s="197">
        <v>51</v>
      </c>
      <c r="AR325" s="197">
        <v>51</v>
      </c>
      <c r="AS325" s="197">
        <v>51</v>
      </c>
      <c r="AT325" s="197">
        <v>51</v>
      </c>
      <c r="AU325" s="197">
        <v>51</v>
      </c>
      <c r="AV325" s="197">
        <v>51</v>
      </c>
      <c r="AW325" s="197">
        <v>51</v>
      </c>
      <c r="AX325" s="347">
        <v>5</v>
      </c>
      <c r="AY325" s="347">
        <v>28</v>
      </c>
      <c r="AZ325" s="347">
        <v>3</v>
      </c>
      <c r="BA325" s="197">
        <v>51</v>
      </c>
      <c r="BB325" s="347">
        <v>15</v>
      </c>
      <c r="BC325" s="347" t="s">
        <v>2287</v>
      </c>
    </row>
    <row r="326" spans="1:55" s="381" customFormat="1" ht="17.649999999999999" customHeight="1">
      <c r="A326" s="343">
        <v>266</v>
      </c>
      <c r="B326" s="211" t="s">
        <v>2347</v>
      </c>
      <c r="C326" s="211" t="s">
        <v>2061</v>
      </c>
      <c r="D326" s="211" t="s">
        <v>2283</v>
      </c>
      <c r="E326" s="344">
        <v>21</v>
      </c>
      <c r="F326" s="344">
        <v>20.766666666666701</v>
      </c>
      <c r="G326" s="209">
        <v>21.233333333333299</v>
      </c>
      <c r="H326" s="344">
        <v>21.7</v>
      </c>
      <c r="I326" s="344">
        <v>19.366666666666699</v>
      </c>
      <c r="J326" s="344">
        <v>21.7</v>
      </c>
      <c r="K326" s="344">
        <v>16.3333333333333</v>
      </c>
      <c r="L326" s="344">
        <f t="shared" si="52"/>
        <v>3.8111111111111029</v>
      </c>
      <c r="M326" s="344">
        <v>11.6666666666667</v>
      </c>
      <c r="N326" s="344">
        <v>12.8333333333333</v>
      </c>
      <c r="O326" s="344">
        <v>17.733333333333299</v>
      </c>
      <c r="P326" s="344">
        <v>27.533333333333299</v>
      </c>
      <c r="Q326" s="344">
        <v>32.9</v>
      </c>
      <c r="R326" s="344">
        <v>35.233333333333299</v>
      </c>
      <c r="S326" s="344">
        <v>32.9</v>
      </c>
      <c r="T326" s="344">
        <v>27.533333333333299</v>
      </c>
      <c r="U326" s="344">
        <v>25.433333333333302</v>
      </c>
      <c r="V326" s="344">
        <v>21.233333333333299</v>
      </c>
      <c r="W326" s="344">
        <v>21.233333333333299</v>
      </c>
      <c r="X326" s="344">
        <v>21.933333333333302</v>
      </c>
      <c r="Y326" s="344">
        <v>21</v>
      </c>
      <c r="Z326" s="344">
        <v>22.866666666666699</v>
      </c>
      <c r="AA326" s="344">
        <v>19.600000000000001</v>
      </c>
      <c r="AB326" s="344">
        <v>20.066666666666698</v>
      </c>
      <c r="AC326" s="344">
        <v>18.6666666666667</v>
      </c>
      <c r="AD326" s="344">
        <f t="shared" si="53"/>
        <v>-1.3999999999999986</v>
      </c>
      <c r="AE326" s="344">
        <v>13</v>
      </c>
      <c r="AF326" s="344">
        <v>10</v>
      </c>
      <c r="AG326" s="345">
        <v>9</v>
      </c>
      <c r="AH326" s="346">
        <v>8</v>
      </c>
      <c r="AI326" s="197">
        <v>9</v>
      </c>
      <c r="AJ326" s="197">
        <v>10</v>
      </c>
      <c r="AK326" s="197">
        <v>12</v>
      </c>
      <c r="AL326" s="197">
        <v>12</v>
      </c>
      <c r="AM326" s="197">
        <v>8</v>
      </c>
      <c r="AN326" s="197">
        <v>22</v>
      </c>
      <c r="AO326" s="347">
        <v>19</v>
      </c>
      <c r="AP326" s="347">
        <v>13</v>
      </c>
      <c r="AQ326" s="197">
        <v>9</v>
      </c>
      <c r="AR326" s="197">
        <v>6</v>
      </c>
      <c r="AS326" s="347">
        <v>6</v>
      </c>
      <c r="AT326" s="197">
        <v>10</v>
      </c>
      <c r="AU326" s="347">
        <v>10</v>
      </c>
      <c r="AV326" s="347">
        <v>10</v>
      </c>
      <c r="AW326" s="347">
        <v>9</v>
      </c>
      <c r="AX326" s="197">
        <v>51</v>
      </c>
      <c r="AY326" s="347">
        <v>8</v>
      </c>
      <c r="AZ326" s="347">
        <v>9</v>
      </c>
      <c r="BA326" s="347">
        <v>7</v>
      </c>
      <c r="BB326" s="347">
        <v>5</v>
      </c>
      <c r="BC326" s="347">
        <v>3</v>
      </c>
    </row>
    <row r="327" spans="1:55" s="381" customFormat="1" ht="17.649999999999999" customHeight="1">
      <c r="A327" s="343">
        <v>267</v>
      </c>
      <c r="B327" s="211" t="s">
        <v>2348</v>
      </c>
      <c r="C327" s="211" t="s">
        <v>2061</v>
      </c>
      <c r="D327" s="211" t="s">
        <v>2283</v>
      </c>
      <c r="E327" s="344">
        <v>16</v>
      </c>
      <c r="F327" s="344">
        <v>15.1666666666667</v>
      </c>
      <c r="G327" s="209">
        <v>14.233333333333301</v>
      </c>
      <c r="H327" s="344">
        <v>13.3</v>
      </c>
      <c r="I327" s="344">
        <v>13.3</v>
      </c>
      <c r="J327" s="344">
        <v>13.0666666666667</v>
      </c>
      <c r="K327" s="344">
        <v>15.1666666666667</v>
      </c>
      <c r="L327" s="344">
        <f t="shared" si="52"/>
        <v>3.5388888888888967</v>
      </c>
      <c r="M327" s="344">
        <v>9.8000000000000007</v>
      </c>
      <c r="N327" s="344">
        <v>8.8666666666666707</v>
      </c>
      <c r="O327" s="344">
        <v>10.033333333333299</v>
      </c>
      <c r="P327" s="344">
        <v>17.966666666666701</v>
      </c>
      <c r="Q327" s="344">
        <v>22.633333333333301</v>
      </c>
      <c r="R327" s="344">
        <v>25.433333333333302</v>
      </c>
      <c r="S327" s="344">
        <v>20.766666666666701</v>
      </c>
      <c r="T327" s="344">
        <v>12.133333333333301</v>
      </c>
      <c r="U327" s="344">
        <v>10.966666666666701</v>
      </c>
      <c r="V327" s="344">
        <v>10.733333333333301</v>
      </c>
      <c r="W327" s="344">
        <v>12.8333333333333</v>
      </c>
      <c r="X327" s="344">
        <v>14.233333333333301</v>
      </c>
      <c r="Y327" s="344">
        <v>15.1666666666667</v>
      </c>
      <c r="Z327" s="344">
        <v>11.6666666666667</v>
      </c>
      <c r="AA327" s="344">
        <v>10.966666666666701</v>
      </c>
      <c r="AB327" s="344">
        <v>11.2</v>
      </c>
      <c r="AC327" s="344">
        <v>10.033333333333299</v>
      </c>
      <c r="AD327" s="344">
        <f t="shared" si="53"/>
        <v>-1.1666666666666998</v>
      </c>
      <c r="AE327" s="344">
        <v>17</v>
      </c>
      <c r="AF327" s="344">
        <v>33</v>
      </c>
      <c r="AG327" s="345">
        <v>35</v>
      </c>
      <c r="AH327" s="346">
        <v>38</v>
      </c>
      <c r="AI327" s="197">
        <v>10</v>
      </c>
      <c r="AJ327" s="197">
        <v>42</v>
      </c>
      <c r="AK327" s="197">
        <v>38</v>
      </c>
      <c r="AL327" s="197">
        <v>38</v>
      </c>
      <c r="AM327" s="197">
        <v>51</v>
      </c>
      <c r="AN327" s="197">
        <v>15</v>
      </c>
      <c r="AO327" s="347">
        <v>18</v>
      </c>
      <c r="AP327" s="347">
        <v>20</v>
      </c>
      <c r="AQ327" s="347">
        <v>17</v>
      </c>
      <c r="AR327" s="347">
        <v>14</v>
      </c>
      <c r="AS327" s="197">
        <v>10</v>
      </c>
      <c r="AT327" s="197">
        <v>7</v>
      </c>
      <c r="AU327" s="347">
        <v>7</v>
      </c>
      <c r="AV327" s="347">
        <v>7</v>
      </c>
      <c r="AW327" s="347">
        <v>15</v>
      </c>
      <c r="AX327" s="347">
        <v>2</v>
      </c>
      <c r="AY327" s="347">
        <v>5</v>
      </c>
      <c r="AZ327" s="197">
        <v>51</v>
      </c>
      <c r="BA327" s="347">
        <v>2</v>
      </c>
      <c r="BB327" s="347">
        <v>23</v>
      </c>
      <c r="BC327" s="347">
        <v>13</v>
      </c>
    </row>
    <row r="328" spans="1:55" s="381" customFormat="1" ht="17.649999999999999" customHeight="1">
      <c r="A328" s="343">
        <v>268</v>
      </c>
      <c r="B328" s="211" t="s">
        <v>2349</v>
      </c>
      <c r="C328" s="211" t="s">
        <v>2061</v>
      </c>
      <c r="D328" s="211" t="s">
        <v>2283</v>
      </c>
      <c r="E328" s="344">
        <v>1</v>
      </c>
      <c r="F328" s="344">
        <v>1.1666666666666701</v>
      </c>
      <c r="G328" s="209">
        <v>1.4</v>
      </c>
      <c r="H328" s="344">
        <v>3.5</v>
      </c>
      <c r="I328" s="344">
        <v>3.0333333333333301</v>
      </c>
      <c r="J328" s="344">
        <v>3.9666666666666699</v>
      </c>
      <c r="K328" s="344">
        <v>4.6666666666666696</v>
      </c>
      <c r="L328" s="344">
        <f t="shared" si="52"/>
        <v>1.0888888888888895</v>
      </c>
      <c r="M328" s="344">
        <v>2.1</v>
      </c>
      <c r="N328" s="344">
        <v>2.1</v>
      </c>
      <c r="O328" s="344">
        <v>1.4</v>
      </c>
      <c r="P328" s="344">
        <v>3.2666666666666702</v>
      </c>
      <c r="Q328" s="344">
        <v>4.2</v>
      </c>
      <c r="R328" s="344">
        <v>5.6</v>
      </c>
      <c r="S328" s="344">
        <v>6.5333333333333297</v>
      </c>
      <c r="T328" s="344">
        <v>5.6</v>
      </c>
      <c r="U328" s="344">
        <v>6.7666666666666702</v>
      </c>
      <c r="V328" s="344">
        <v>5.1333333333333302</v>
      </c>
      <c r="W328" s="344">
        <v>4.6666666666666696</v>
      </c>
      <c r="X328" s="344">
        <v>3.5</v>
      </c>
      <c r="Y328" s="344">
        <v>3.5</v>
      </c>
      <c r="Z328" s="344">
        <v>4.43333333333333</v>
      </c>
      <c r="AA328" s="344">
        <v>3.5</v>
      </c>
      <c r="AB328" s="344">
        <v>5.1333333333333302</v>
      </c>
      <c r="AC328" s="344">
        <v>3.5</v>
      </c>
      <c r="AD328" s="344">
        <f t="shared" si="53"/>
        <v>-1.6333333333333302</v>
      </c>
      <c r="AE328" s="344">
        <v>51</v>
      </c>
      <c r="AF328" s="344">
        <v>0</v>
      </c>
      <c r="AG328" s="345">
        <v>51</v>
      </c>
      <c r="AH328" s="346">
        <v>51</v>
      </c>
      <c r="AI328" s="197">
        <v>51</v>
      </c>
      <c r="AJ328" s="197">
        <v>51</v>
      </c>
      <c r="AK328" s="197">
        <v>51</v>
      </c>
      <c r="AL328" s="197">
        <v>51</v>
      </c>
      <c r="AM328" s="197">
        <v>51</v>
      </c>
      <c r="AN328" s="197">
        <v>51</v>
      </c>
      <c r="AO328" s="197">
        <v>51</v>
      </c>
      <c r="AP328" s="197">
        <v>51</v>
      </c>
      <c r="AQ328" s="197">
        <v>51</v>
      </c>
      <c r="AR328" s="197">
        <v>51</v>
      </c>
      <c r="AS328" s="197">
        <v>51</v>
      </c>
      <c r="AT328" s="197">
        <v>51</v>
      </c>
      <c r="AU328" s="197">
        <v>51</v>
      </c>
      <c r="AV328" s="197">
        <v>51</v>
      </c>
      <c r="AW328" s="197">
        <v>51</v>
      </c>
      <c r="AX328" s="197">
        <v>51</v>
      </c>
      <c r="AY328" s="197">
        <v>51</v>
      </c>
      <c r="AZ328" s="197">
        <v>51</v>
      </c>
      <c r="BA328" s="197">
        <v>51</v>
      </c>
      <c r="BB328" s="197">
        <v>51</v>
      </c>
      <c r="BC328" s="347" t="s">
        <v>2287</v>
      </c>
    </row>
    <row r="329" spans="1:55" s="381" customFormat="1" ht="17.649999999999999" customHeight="1">
      <c r="A329" s="343">
        <v>269</v>
      </c>
      <c r="B329" s="211" t="s">
        <v>2350</v>
      </c>
      <c r="C329" s="211" t="s">
        <v>2061</v>
      </c>
      <c r="D329" s="211" t="s">
        <v>2283</v>
      </c>
      <c r="E329" s="344">
        <v>4</v>
      </c>
      <c r="F329" s="344">
        <v>4.6666666666666696</v>
      </c>
      <c r="G329" s="209">
        <v>5.8333333333333304</v>
      </c>
      <c r="H329" s="344">
        <v>5.8333333333333304</v>
      </c>
      <c r="I329" s="344">
        <v>6.5333333333333297</v>
      </c>
      <c r="J329" s="344">
        <v>7</v>
      </c>
      <c r="K329" s="344">
        <v>5.6</v>
      </c>
      <c r="L329" s="344">
        <f t="shared" si="52"/>
        <v>1.3066666666666666</v>
      </c>
      <c r="M329" s="344">
        <v>2.3333333333333299</v>
      </c>
      <c r="N329" s="344">
        <v>1.86666666666667</v>
      </c>
      <c r="O329" s="344">
        <v>2.1</v>
      </c>
      <c r="P329" s="344">
        <v>3.0333333333333301</v>
      </c>
      <c r="Q329" s="344">
        <v>5.1333333333333302</v>
      </c>
      <c r="R329" s="344">
        <v>8.8666666666666707</v>
      </c>
      <c r="S329" s="344">
        <v>8.8666666666666707</v>
      </c>
      <c r="T329" s="344">
        <v>9.1</v>
      </c>
      <c r="U329" s="344">
        <v>7.4666666666666703</v>
      </c>
      <c r="V329" s="344">
        <v>3.9666666666666699</v>
      </c>
      <c r="W329" s="344">
        <v>3.0333333333333301</v>
      </c>
      <c r="X329" s="344">
        <v>3.2666666666666702</v>
      </c>
      <c r="Y329" s="344">
        <v>5.8333333333333304</v>
      </c>
      <c r="Z329" s="344">
        <v>5.8333333333333304</v>
      </c>
      <c r="AA329" s="344">
        <v>6.5333333333333297</v>
      </c>
      <c r="AB329" s="344">
        <v>7.93333333333333</v>
      </c>
      <c r="AC329" s="344">
        <v>5.3666666666666698</v>
      </c>
      <c r="AD329" s="344">
        <f t="shared" si="53"/>
        <v>-2.5666666666666602</v>
      </c>
      <c r="AE329" s="344">
        <v>51</v>
      </c>
      <c r="AF329" s="344">
        <v>0</v>
      </c>
      <c r="AG329" s="345">
        <v>51</v>
      </c>
      <c r="AH329" s="346">
        <v>51</v>
      </c>
      <c r="AI329" s="197">
        <v>51</v>
      </c>
      <c r="AJ329" s="197">
        <v>51</v>
      </c>
      <c r="AK329" s="197">
        <v>51</v>
      </c>
      <c r="AL329" s="197">
        <v>51</v>
      </c>
      <c r="AM329" s="197">
        <v>51</v>
      </c>
      <c r="AN329" s="197">
        <v>51</v>
      </c>
      <c r="AO329" s="197">
        <v>51</v>
      </c>
      <c r="AP329" s="197">
        <v>51</v>
      </c>
      <c r="AQ329" s="197">
        <v>51</v>
      </c>
      <c r="AR329" s="197">
        <v>51</v>
      </c>
      <c r="AS329" s="197">
        <v>51</v>
      </c>
      <c r="AT329" s="197">
        <v>51</v>
      </c>
      <c r="AU329" s="197">
        <v>51</v>
      </c>
      <c r="AV329" s="197">
        <v>51</v>
      </c>
      <c r="AW329" s="197">
        <v>51</v>
      </c>
      <c r="AX329" s="197">
        <v>51</v>
      </c>
      <c r="AY329" s="197">
        <v>51</v>
      </c>
      <c r="AZ329" s="197">
        <v>51</v>
      </c>
      <c r="BA329" s="197">
        <v>51</v>
      </c>
      <c r="BB329" s="197">
        <v>51</v>
      </c>
      <c r="BC329" s="347" t="s">
        <v>2287</v>
      </c>
    </row>
    <row r="330" spans="1:55" s="381" customFormat="1" ht="17.649999999999999" customHeight="1">
      <c r="A330" s="343">
        <v>270</v>
      </c>
      <c r="B330" s="211" t="s">
        <v>2351</v>
      </c>
      <c r="C330" s="211" t="s">
        <v>2061</v>
      </c>
      <c r="D330" s="211" t="s">
        <v>2283</v>
      </c>
      <c r="E330" s="344">
        <v>7</v>
      </c>
      <c r="F330" s="344">
        <v>6.5333333333333297</v>
      </c>
      <c r="G330" s="209">
        <v>6.3</v>
      </c>
      <c r="H330" s="344">
        <v>6.3</v>
      </c>
      <c r="I330" s="344">
        <v>7.7</v>
      </c>
      <c r="J330" s="344">
        <v>9.56666666666667</v>
      </c>
      <c r="K330" s="344">
        <v>8.6333333333333293</v>
      </c>
      <c r="L330" s="344">
        <f t="shared" si="52"/>
        <v>2.0144444444444436</v>
      </c>
      <c r="M330" s="344">
        <v>4.43333333333333</v>
      </c>
      <c r="N330" s="344">
        <v>5.6</v>
      </c>
      <c r="O330" s="344">
        <v>4.6666666666666696</v>
      </c>
      <c r="P330" s="344">
        <v>4.43333333333333</v>
      </c>
      <c r="Q330" s="344">
        <v>7.4666666666666703</v>
      </c>
      <c r="R330" s="344">
        <v>9.1</v>
      </c>
      <c r="S330" s="344">
        <v>13.0666666666667</v>
      </c>
      <c r="T330" s="344">
        <v>15.1666666666667</v>
      </c>
      <c r="U330" s="344">
        <v>15.633333333333301</v>
      </c>
      <c r="V330" s="344">
        <v>13.0666666666667</v>
      </c>
      <c r="W330" s="344">
        <v>9.56666666666667</v>
      </c>
      <c r="X330" s="344">
        <v>8.4</v>
      </c>
      <c r="Y330" s="344">
        <v>7.93333333333333</v>
      </c>
      <c r="Z330" s="344">
        <v>10.966666666666701</v>
      </c>
      <c r="AA330" s="344">
        <v>10.966666666666701</v>
      </c>
      <c r="AB330" s="344">
        <v>11.2</v>
      </c>
      <c r="AC330" s="344">
        <v>11.9</v>
      </c>
      <c r="AD330" s="344">
        <f t="shared" si="53"/>
        <v>0.70000000000000107</v>
      </c>
      <c r="AE330" s="344">
        <v>43</v>
      </c>
      <c r="AF330" s="344">
        <v>0</v>
      </c>
      <c r="AG330" s="345">
        <v>51</v>
      </c>
      <c r="AH330" s="346">
        <v>51</v>
      </c>
      <c r="AI330" s="197">
        <v>51</v>
      </c>
      <c r="AJ330" s="197">
        <v>51</v>
      </c>
      <c r="AK330" s="197">
        <v>51</v>
      </c>
      <c r="AL330" s="197">
        <v>51</v>
      </c>
      <c r="AM330" s="197">
        <v>51</v>
      </c>
      <c r="AN330" s="197">
        <v>16</v>
      </c>
      <c r="AO330" s="197">
        <v>11</v>
      </c>
      <c r="AP330" s="347">
        <v>50</v>
      </c>
      <c r="AQ330" s="197">
        <v>51</v>
      </c>
      <c r="AR330" s="347">
        <v>23</v>
      </c>
      <c r="AS330" s="347">
        <v>39</v>
      </c>
      <c r="AT330" s="347">
        <v>45</v>
      </c>
      <c r="AU330" s="347">
        <v>37</v>
      </c>
      <c r="AV330" s="347">
        <v>36</v>
      </c>
      <c r="AW330" s="197">
        <v>51</v>
      </c>
      <c r="AX330" s="197">
        <v>51</v>
      </c>
      <c r="AY330" s="197">
        <v>51</v>
      </c>
      <c r="AZ330" s="347">
        <v>21</v>
      </c>
      <c r="BA330" s="197">
        <v>51</v>
      </c>
      <c r="BB330" s="197">
        <v>51</v>
      </c>
      <c r="BC330" s="347" t="s">
        <v>2287</v>
      </c>
    </row>
    <row r="331" spans="1:55" s="381" customFormat="1" ht="17.649999999999999" customHeight="1">
      <c r="A331" s="343">
        <v>271</v>
      </c>
      <c r="B331" s="211" t="s">
        <v>2352</v>
      </c>
      <c r="C331" s="211" t="s">
        <v>2061</v>
      </c>
      <c r="D331" s="211" t="s">
        <v>2283</v>
      </c>
      <c r="E331" s="344">
        <v>3</v>
      </c>
      <c r="F331" s="344">
        <v>1.86666666666667</v>
      </c>
      <c r="G331" s="209">
        <v>2.56666666666667</v>
      </c>
      <c r="H331" s="344">
        <v>3.0333333333333301</v>
      </c>
      <c r="I331" s="344">
        <v>3.0333333333333301</v>
      </c>
      <c r="J331" s="344">
        <v>4.2</v>
      </c>
      <c r="K331" s="344">
        <v>3.9666666666666699</v>
      </c>
      <c r="L331" s="344">
        <f t="shared" si="52"/>
        <v>0.92555555555555624</v>
      </c>
      <c r="M331" s="344">
        <v>2.1</v>
      </c>
      <c r="N331" s="344">
        <v>1.86666666666667</v>
      </c>
      <c r="O331" s="344">
        <v>1.86666666666667</v>
      </c>
      <c r="P331" s="344">
        <v>3.9666666666666699</v>
      </c>
      <c r="Q331" s="344">
        <v>5.8333333333333304</v>
      </c>
      <c r="R331" s="344">
        <v>8.4</v>
      </c>
      <c r="S331" s="344">
        <v>9.1</v>
      </c>
      <c r="T331" s="344">
        <v>7.4666666666666703</v>
      </c>
      <c r="U331" s="344">
        <v>6.7666666666666702</v>
      </c>
      <c r="V331" s="344">
        <v>4.6666666666666696</v>
      </c>
      <c r="W331" s="344">
        <v>3.5</v>
      </c>
      <c r="X331" s="344">
        <v>3.9666666666666699</v>
      </c>
      <c r="Y331" s="344">
        <v>4.2</v>
      </c>
      <c r="Z331" s="344">
        <v>4.43333333333333</v>
      </c>
      <c r="AA331" s="344">
        <v>3.9666666666666699</v>
      </c>
      <c r="AB331" s="344">
        <v>5.6</v>
      </c>
      <c r="AC331" s="344">
        <v>4.2</v>
      </c>
      <c r="AD331" s="344">
        <f t="shared" si="53"/>
        <v>-1.3999999999999995</v>
      </c>
      <c r="AE331" s="344">
        <v>51</v>
      </c>
      <c r="AF331" s="344">
        <v>0</v>
      </c>
      <c r="AG331" s="345">
        <v>51</v>
      </c>
      <c r="AH331" s="346">
        <v>51</v>
      </c>
      <c r="AI331" s="197">
        <v>51</v>
      </c>
      <c r="AJ331" s="197">
        <v>51</v>
      </c>
      <c r="AK331" s="197">
        <v>51</v>
      </c>
      <c r="AL331" s="197">
        <v>51</v>
      </c>
      <c r="AM331" s="197">
        <v>51</v>
      </c>
      <c r="AN331" s="197">
        <v>51</v>
      </c>
      <c r="AO331" s="197">
        <v>51</v>
      </c>
      <c r="AP331" s="197">
        <v>51</v>
      </c>
      <c r="AQ331" s="197">
        <v>51</v>
      </c>
      <c r="AR331" s="197">
        <v>51</v>
      </c>
      <c r="AS331" s="197">
        <v>51</v>
      </c>
      <c r="AT331" s="197">
        <v>51</v>
      </c>
      <c r="AU331" s="197">
        <v>51</v>
      </c>
      <c r="AV331" s="197">
        <v>51</v>
      </c>
      <c r="AW331" s="197">
        <v>51</v>
      </c>
      <c r="AX331" s="197">
        <v>51</v>
      </c>
      <c r="AY331" s="197">
        <v>51</v>
      </c>
      <c r="AZ331" s="197">
        <v>51</v>
      </c>
      <c r="BA331" s="197">
        <v>51</v>
      </c>
      <c r="BB331" s="347">
        <v>9</v>
      </c>
      <c r="BC331" s="347">
        <v>9</v>
      </c>
    </row>
    <row r="332" spans="1:55" s="381" customFormat="1" ht="17.649999999999999" customHeight="1">
      <c r="A332" s="343">
        <v>272</v>
      </c>
      <c r="B332" s="211" t="s">
        <v>2353</v>
      </c>
      <c r="C332" s="211" t="s">
        <v>2061</v>
      </c>
      <c r="D332" s="211" t="s">
        <v>2283</v>
      </c>
      <c r="E332" s="344">
        <v>7</v>
      </c>
      <c r="F332" s="344">
        <v>7.7</v>
      </c>
      <c r="G332" s="209">
        <v>6.7666666666666702</v>
      </c>
      <c r="H332" s="344">
        <v>6.5333333333333297</v>
      </c>
      <c r="I332" s="344">
        <v>8.8666666666666707</v>
      </c>
      <c r="J332" s="344">
        <v>9.1</v>
      </c>
      <c r="K332" s="344">
        <v>9.8000000000000007</v>
      </c>
      <c r="L332" s="344">
        <f t="shared" si="52"/>
        <v>2.2866666666666671</v>
      </c>
      <c r="M332" s="344">
        <v>5.6</v>
      </c>
      <c r="N332" s="344">
        <v>4.6666666666666696</v>
      </c>
      <c r="O332" s="344">
        <v>4.43333333333333</v>
      </c>
      <c r="P332" s="344">
        <v>6.3</v>
      </c>
      <c r="Q332" s="344">
        <v>9.8000000000000007</v>
      </c>
      <c r="R332" s="344">
        <v>11.9</v>
      </c>
      <c r="S332" s="344">
        <v>13.0666666666667</v>
      </c>
      <c r="T332" s="344">
        <v>10.733333333333301</v>
      </c>
      <c r="U332" s="344">
        <v>9.8000000000000007</v>
      </c>
      <c r="V332" s="344">
        <v>7.7</v>
      </c>
      <c r="W332" s="344">
        <v>7</v>
      </c>
      <c r="X332" s="344">
        <v>7</v>
      </c>
      <c r="Y332" s="344">
        <v>7.93333333333333</v>
      </c>
      <c r="Z332" s="344">
        <v>13.0666666666667</v>
      </c>
      <c r="AA332" s="344">
        <v>16.100000000000001</v>
      </c>
      <c r="AB332" s="344">
        <v>16.566666666666698</v>
      </c>
      <c r="AC332" s="344">
        <v>15.633333333333301</v>
      </c>
      <c r="AD332" s="344">
        <f t="shared" si="53"/>
        <v>-0.93333333333339752</v>
      </c>
      <c r="AE332" s="344">
        <v>51</v>
      </c>
      <c r="AF332" s="344">
        <v>0</v>
      </c>
      <c r="AG332" s="345">
        <v>51</v>
      </c>
      <c r="AH332" s="346">
        <v>10</v>
      </c>
      <c r="AI332" s="197">
        <v>8</v>
      </c>
      <c r="AJ332" s="197">
        <v>51</v>
      </c>
      <c r="AK332" s="197">
        <v>51</v>
      </c>
      <c r="AL332" s="197">
        <v>51</v>
      </c>
      <c r="AM332" s="197">
        <v>51</v>
      </c>
      <c r="AN332" s="197">
        <v>51</v>
      </c>
      <c r="AO332" s="347">
        <v>37</v>
      </c>
      <c r="AP332" s="197">
        <v>51</v>
      </c>
      <c r="AQ332" s="347">
        <v>37</v>
      </c>
      <c r="AR332" s="197">
        <v>51</v>
      </c>
      <c r="AS332" s="197">
        <v>51</v>
      </c>
      <c r="AT332" s="197">
        <v>51</v>
      </c>
      <c r="AU332" s="197">
        <v>51</v>
      </c>
      <c r="AV332" s="197">
        <v>51</v>
      </c>
      <c r="AW332" s="197">
        <v>51</v>
      </c>
      <c r="AX332" s="197">
        <v>51</v>
      </c>
      <c r="AY332" s="197">
        <v>51</v>
      </c>
      <c r="AZ332" s="197">
        <v>51</v>
      </c>
      <c r="BA332" s="197">
        <v>51</v>
      </c>
      <c r="BB332" s="347">
        <v>34</v>
      </c>
      <c r="BC332" s="347" t="s">
        <v>2287</v>
      </c>
    </row>
    <row r="333" spans="1:55" s="381" customFormat="1" ht="17.649999999999999" customHeight="1">
      <c r="A333" s="343">
        <v>273</v>
      </c>
      <c r="B333" s="211" t="s">
        <v>2354</v>
      </c>
      <c r="C333" s="211" t="s">
        <v>2061</v>
      </c>
      <c r="D333" s="211" t="s">
        <v>2283</v>
      </c>
      <c r="E333" s="344">
        <v>1</v>
      </c>
      <c r="F333" s="344">
        <v>1.86666666666667</v>
      </c>
      <c r="G333" s="209">
        <v>2.3333333333333299</v>
      </c>
      <c r="H333" s="344">
        <v>3.2666666666666702</v>
      </c>
      <c r="I333" s="344">
        <v>5.3666666666666698</v>
      </c>
      <c r="J333" s="344">
        <v>4.43333333333333</v>
      </c>
      <c r="K333" s="344">
        <v>4.43333333333333</v>
      </c>
      <c r="L333" s="344">
        <f t="shared" si="52"/>
        <v>1.0344444444444436</v>
      </c>
      <c r="M333" s="344">
        <v>3.0333333333333301</v>
      </c>
      <c r="N333" s="344">
        <v>2.3333333333333299</v>
      </c>
      <c r="O333" s="344">
        <v>3.9666666666666699</v>
      </c>
      <c r="P333" s="344">
        <v>3.2666666666666702</v>
      </c>
      <c r="Q333" s="344">
        <v>3.9666666666666699</v>
      </c>
      <c r="R333" s="344">
        <v>5.3666666666666698</v>
      </c>
      <c r="S333" s="344">
        <v>4.43333333333333</v>
      </c>
      <c r="T333" s="344">
        <v>3.9666666666666699</v>
      </c>
      <c r="U333" s="344">
        <v>5.3666666666666698</v>
      </c>
      <c r="V333" s="344">
        <v>4.2</v>
      </c>
      <c r="W333" s="344">
        <v>3.9666666666666699</v>
      </c>
      <c r="X333" s="344">
        <v>4.6666666666666696</v>
      </c>
      <c r="Y333" s="344">
        <v>5.6</v>
      </c>
      <c r="Z333" s="344">
        <v>4.2</v>
      </c>
      <c r="AA333" s="344">
        <v>4.43333333333333</v>
      </c>
      <c r="AB333" s="344">
        <v>3.5</v>
      </c>
      <c r="AC333" s="344">
        <v>2.1</v>
      </c>
      <c r="AD333" s="344">
        <f t="shared" si="53"/>
        <v>-1.4</v>
      </c>
      <c r="AE333" s="344">
        <v>51</v>
      </c>
      <c r="AF333" s="344">
        <v>0</v>
      </c>
      <c r="AG333" s="345">
        <v>51</v>
      </c>
      <c r="AH333" s="346">
        <v>51</v>
      </c>
      <c r="AI333" s="197">
        <v>51</v>
      </c>
      <c r="AJ333" s="197">
        <v>51</v>
      </c>
      <c r="AK333" s="197">
        <v>51</v>
      </c>
      <c r="AL333" s="197">
        <v>51</v>
      </c>
      <c r="AM333" s="197">
        <v>11</v>
      </c>
      <c r="AN333" s="197">
        <v>3</v>
      </c>
      <c r="AO333" s="197">
        <v>3</v>
      </c>
      <c r="AP333" s="197">
        <v>3</v>
      </c>
      <c r="AQ333" s="197">
        <v>4</v>
      </c>
      <c r="AR333" s="347">
        <v>6</v>
      </c>
      <c r="AS333" s="197">
        <v>6</v>
      </c>
      <c r="AT333" s="347">
        <v>13</v>
      </c>
      <c r="AU333" s="347">
        <v>5</v>
      </c>
      <c r="AV333" s="347">
        <v>10</v>
      </c>
      <c r="AW333" s="347">
        <v>15</v>
      </c>
      <c r="AX333" s="347">
        <v>18</v>
      </c>
      <c r="AY333" s="347">
        <v>6</v>
      </c>
      <c r="AZ333" s="347">
        <v>7</v>
      </c>
      <c r="BA333" s="347">
        <v>9</v>
      </c>
      <c r="BB333" s="347">
        <v>1</v>
      </c>
      <c r="BC333" s="347">
        <v>1</v>
      </c>
    </row>
    <row r="334" spans="1:55" s="381" customFormat="1" ht="17.649999999999999" customHeight="1">
      <c r="A334" s="343">
        <v>274</v>
      </c>
      <c r="B334" s="211" t="s">
        <v>2355</v>
      </c>
      <c r="C334" s="211" t="s">
        <v>2061</v>
      </c>
      <c r="D334" s="211" t="s">
        <v>2283</v>
      </c>
      <c r="E334" s="344">
        <v>12</v>
      </c>
      <c r="F334" s="344">
        <v>16.566666666666698</v>
      </c>
      <c r="G334" s="209">
        <v>17.5</v>
      </c>
      <c r="H334" s="344">
        <v>17.733333333333299</v>
      </c>
      <c r="I334" s="344">
        <v>15.4</v>
      </c>
      <c r="J334" s="344">
        <v>16.8</v>
      </c>
      <c r="K334" s="344">
        <v>12.133333333333301</v>
      </c>
      <c r="L334" s="344">
        <f t="shared" si="52"/>
        <v>2.8311111111111038</v>
      </c>
      <c r="M334" s="344">
        <v>8.8666666666666707</v>
      </c>
      <c r="N334" s="344">
        <v>9.1</v>
      </c>
      <c r="O334" s="344">
        <v>8.4</v>
      </c>
      <c r="P334" s="344">
        <v>10.033333333333299</v>
      </c>
      <c r="Q334" s="344">
        <v>14.466666666666701</v>
      </c>
      <c r="R334" s="344">
        <v>17.966666666666701</v>
      </c>
      <c r="S334" s="344">
        <v>20.066666666666698</v>
      </c>
      <c r="T334" s="344">
        <v>20.066666666666698</v>
      </c>
      <c r="U334" s="344">
        <v>17.266666666666701</v>
      </c>
      <c r="V334" s="344">
        <v>14.9333333333333</v>
      </c>
      <c r="W334" s="344">
        <v>10.733333333333301</v>
      </c>
      <c r="X334" s="344">
        <v>12.8333333333333</v>
      </c>
      <c r="Y334" s="344">
        <v>13.0666666666667</v>
      </c>
      <c r="Z334" s="344">
        <v>10.966666666666701</v>
      </c>
      <c r="AA334" s="344">
        <v>10.966666666666701</v>
      </c>
      <c r="AB334" s="344">
        <v>10.266666666666699</v>
      </c>
      <c r="AC334" s="344">
        <v>7.7</v>
      </c>
      <c r="AD334" s="344">
        <f t="shared" si="53"/>
        <v>-2.5666666666666993</v>
      </c>
      <c r="AE334" s="344">
        <v>9</v>
      </c>
      <c r="AF334" s="344">
        <v>3</v>
      </c>
      <c r="AG334" s="345">
        <v>2</v>
      </c>
      <c r="AH334" s="346">
        <v>4</v>
      </c>
      <c r="AI334" s="197">
        <v>1</v>
      </c>
      <c r="AJ334" s="197">
        <v>4</v>
      </c>
      <c r="AK334" s="197">
        <v>17</v>
      </c>
      <c r="AL334" s="197">
        <v>2</v>
      </c>
      <c r="AM334" s="197">
        <v>5</v>
      </c>
      <c r="AN334" s="197">
        <v>2</v>
      </c>
      <c r="AO334" s="347">
        <v>5</v>
      </c>
      <c r="AP334" s="197">
        <v>1</v>
      </c>
      <c r="AQ334" s="347">
        <v>1</v>
      </c>
      <c r="AR334" s="197">
        <v>1</v>
      </c>
      <c r="AS334" s="197">
        <v>1</v>
      </c>
      <c r="AT334" s="197">
        <v>1</v>
      </c>
      <c r="AU334" s="197">
        <v>1</v>
      </c>
      <c r="AV334" s="347">
        <v>1</v>
      </c>
      <c r="AW334" s="347">
        <v>1</v>
      </c>
      <c r="AX334" s="347">
        <v>30</v>
      </c>
      <c r="AY334" s="347">
        <v>1</v>
      </c>
      <c r="AZ334" s="347">
        <v>1</v>
      </c>
      <c r="BA334" s="347">
        <v>1</v>
      </c>
      <c r="BB334" s="347">
        <v>2</v>
      </c>
      <c r="BC334" s="347">
        <v>1</v>
      </c>
    </row>
    <row r="335" spans="1:55" s="381" customFormat="1" ht="17" customHeight="1">
      <c r="A335" s="343">
        <v>275</v>
      </c>
      <c r="B335" s="211" t="s">
        <v>2356</v>
      </c>
      <c r="C335" s="211" t="s">
        <v>2061</v>
      </c>
      <c r="D335" s="211" t="s">
        <v>2283</v>
      </c>
      <c r="E335" s="344">
        <v>1</v>
      </c>
      <c r="F335" s="344">
        <v>1.1666666666666701</v>
      </c>
      <c r="G335" s="209">
        <v>1.4</v>
      </c>
      <c r="H335" s="344">
        <v>1.4</v>
      </c>
      <c r="I335" s="344">
        <v>1.1666666666666701</v>
      </c>
      <c r="J335" s="344">
        <v>2.1</v>
      </c>
      <c r="K335" s="344">
        <v>2.3333333333333299</v>
      </c>
      <c r="L335" s="344">
        <f t="shared" si="52"/>
        <v>0.54444444444444362</v>
      </c>
      <c r="M335" s="344">
        <v>1.86666666666667</v>
      </c>
      <c r="N335" s="344">
        <v>1.86666666666667</v>
      </c>
      <c r="O335" s="344">
        <v>1.4</v>
      </c>
      <c r="P335" s="344">
        <v>1.1666666666666701</v>
      </c>
      <c r="Q335" s="344">
        <v>2.3333333333333299</v>
      </c>
      <c r="R335" s="344">
        <v>4.43333333333333</v>
      </c>
      <c r="S335" s="344">
        <v>5.3666666666666698</v>
      </c>
      <c r="T335" s="344">
        <v>5.8333333333333304</v>
      </c>
      <c r="U335" s="344">
        <v>5.6</v>
      </c>
      <c r="V335" s="344">
        <v>3.0333333333333301</v>
      </c>
      <c r="W335" s="344">
        <v>2.1</v>
      </c>
      <c r="X335" s="344">
        <v>1.86666666666667</v>
      </c>
      <c r="Y335" s="344">
        <v>2.56666666666667</v>
      </c>
      <c r="Z335" s="344">
        <v>3.2666666666666702</v>
      </c>
      <c r="AA335" s="344">
        <v>3.9666666666666699</v>
      </c>
      <c r="AB335" s="344">
        <v>4.2</v>
      </c>
      <c r="AC335" s="344">
        <v>3.0333333333333301</v>
      </c>
      <c r="AD335" s="344">
        <f t="shared" si="53"/>
        <v>-1.1666666666666701</v>
      </c>
      <c r="AE335" s="344">
        <v>51</v>
      </c>
      <c r="AF335" s="344">
        <v>0</v>
      </c>
      <c r="AG335" s="345">
        <v>3</v>
      </c>
      <c r="AH335" s="346">
        <v>1</v>
      </c>
      <c r="AI335" s="197">
        <v>8</v>
      </c>
      <c r="AJ335" s="197">
        <v>4</v>
      </c>
      <c r="AK335" s="197">
        <v>2</v>
      </c>
      <c r="AL335" s="197">
        <v>2</v>
      </c>
      <c r="AM335" s="197">
        <v>2</v>
      </c>
      <c r="AN335" s="197">
        <v>3</v>
      </c>
      <c r="AO335" s="197">
        <v>2</v>
      </c>
      <c r="AP335" s="197">
        <v>2</v>
      </c>
      <c r="AQ335" s="197">
        <v>4</v>
      </c>
      <c r="AR335" s="197">
        <v>2</v>
      </c>
      <c r="AS335" s="197">
        <v>8</v>
      </c>
      <c r="AT335" s="197">
        <v>2</v>
      </c>
      <c r="AU335" s="347">
        <v>2</v>
      </c>
      <c r="AV335" s="347">
        <v>1</v>
      </c>
      <c r="AW335" s="347">
        <v>4</v>
      </c>
      <c r="AX335" s="347">
        <v>4</v>
      </c>
      <c r="AY335" s="347">
        <v>3</v>
      </c>
      <c r="AZ335" s="347">
        <v>1</v>
      </c>
      <c r="BA335" s="347">
        <v>22</v>
      </c>
      <c r="BB335" s="347">
        <v>3</v>
      </c>
      <c r="BC335" s="347">
        <v>3</v>
      </c>
    </row>
    <row r="336" spans="1:55" s="381" customFormat="1" ht="17.649999999999999" customHeight="1">
      <c r="A336" s="343">
        <v>276</v>
      </c>
      <c r="B336" s="211" t="s">
        <v>2357</v>
      </c>
      <c r="C336" s="211" t="s">
        <v>2061</v>
      </c>
      <c r="D336" s="211" t="s">
        <v>2283</v>
      </c>
      <c r="E336" s="344">
        <v>1</v>
      </c>
      <c r="F336" s="344">
        <v>2.1</v>
      </c>
      <c r="G336" s="209">
        <v>2.56666666666667</v>
      </c>
      <c r="H336" s="344">
        <v>4.2</v>
      </c>
      <c r="I336" s="344">
        <v>4.43333333333333</v>
      </c>
      <c r="J336" s="344">
        <v>5.3666666666666698</v>
      </c>
      <c r="K336" s="344">
        <v>4.6666666666666696</v>
      </c>
      <c r="L336" s="344">
        <f t="shared" si="52"/>
        <v>1.0888888888888895</v>
      </c>
      <c r="M336" s="344">
        <v>2.1</v>
      </c>
      <c r="N336" s="344">
        <v>3.5</v>
      </c>
      <c r="O336" s="344">
        <v>3.2666666666666702</v>
      </c>
      <c r="P336" s="344">
        <v>4.6666666666666696</v>
      </c>
      <c r="Q336" s="344">
        <v>7.7</v>
      </c>
      <c r="R336" s="344">
        <v>9.1</v>
      </c>
      <c r="S336" s="344">
        <v>9.8000000000000007</v>
      </c>
      <c r="T336" s="344">
        <v>10.033333333333299</v>
      </c>
      <c r="U336" s="344">
        <v>9.1</v>
      </c>
      <c r="V336" s="344">
        <v>6.5333333333333297</v>
      </c>
      <c r="W336" s="344">
        <v>6.5333333333333297</v>
      </c>
      <c r="X336" s="344">
        <v>4.6666666666666696</v>
      </c>
      <c r="Y336" s="344">
        <v>4.43333333333333</v>
      </c>
      <c r="Z336" s="344">
        <v>3.5</v>
      </c>
      <c r="AA336" s="344">
        <v>2.56666666666667</v>
      </c>
      <c r="AB336" s="344">
        <v>3.5</v>
      </c>
      <c r="AC336" s="344">
        <v>2.3333333333333299</v>
      </c>
      <c r="AD336" s="344">
        <f t="shared" si="53"/>
        <v>-1.1666666666666701</v>
      </c>
      <c r="AE336" s="344">
        <v>51</v>
      </c>
      <c r="AF336" s="344">
        <v>0</v>
      </c>
      <c r="AG336" s="345">
        <v>51</v>
      </c>
      <c r="AH336" s="346">
        <v>51</v>
      </c>
      <c r="AI336" s="197">
        <v>51</v>
      </c>
      <c r="AJ336" s="197">
        <v>36</v>
      </c>
      <c r="AK336" s="197">
        <v>51</v>
      </c>
      <c r="AL336" s="197">
        <v>8</v>
      </c>
      <c r="AM336" s="197">
        <v>6</v>
      </c>
      <c r="AN336" s="197">
        <v>9</v>
      </c>
      <c r="AO336" s="197">
        <v>9</v>
      </c>
      <c r="AP336" s="197">
        <v>51</v>
      </c>
      <c r="AQ336" s="347">
        <v>12</v>
      </c>
      <c r="AR336" s="347">
        <v>13</v>
      </c>
      <c r="AS336" s="347">
        <v>14</v>
      </c>
      <c r="AT336" s="347">
        <v>16</v>
      </c>
      <c r="AU336" s="347">
        <v>10</v>
      </c>
      <c r="AV336" s="347">
        <v>3</v>
      </c>
      <c r="AW336" s="347">
        <v>9</v>
      </c>
      <c r="AX336" s="347">
        <v>10</v>
      </c>
      <c r="AY336" s="347">
        <v>13</v>
      </c>
      <c r="AZ336" s="347">
        <v>16</v>
      </c>
      <c r="BA336" s="347">
        <v>3</v>
      </c>
      <c r="BB336" s="347">
        <v>3</v>
      </c>
      <c r="BC336" s="347">
        <v>3</v>
      </c>
    </row>
    <row r="337" spans="1:55" s="381" customFormat="1" ht="17.649999999999999" customHeight="1">
      <c r="A337" s="343">
        <v>277</v>
      </c>
      <c r="B337" s="211" t="s">
        <v>2358</v>
      </c>
      <c r="C337" s="211" t="s">
        <v>2061</v>
      </c>
      <c r="D337" s="211" t="s">
        <v>2283</v>
      </c>
      <c r="E337" s="344">
        <v>2</v>
      </c>
      <c r="F337" s="344">
        <v>2.1</v>
      </c>
      <c r="G337" s="209">
        <v>3.0333333333333301</v>
      </c>
      <c r="H337" s="344">
        <v>3.2666666666666702</v>
      </c>
      <c r="I337" s="344">
        <v>3.9666666666666699</v>
      </c>
      <c r="J337" s="344">
        <v>4.43333333333333</v>
      </c>
      <c r="K337" s="344">
        <v>5.1333333333333302</v>
      </c>
      <c r="L337" s="344">
        <f t="shared" si="52"/>
        <v>1.1977777777777772</v>
      </c>
      <c r="M337" s="344">
        <v>4.43333333333333</v>
      </c>
      <c r="N337" s="344">
        <v>5.3666666666666698</v>
      </c>
      <c r="O337" s="344">
        <v>3.9666666666666699</v>
      </c>
      <c r="P337" s="344">
        <v>3.9666666666666699</v>
      </c>
      <c r="Q337" s="344">
        <v>4.6666666666666696</v>
      </c>
      <c r="R337" s="344">
        <v>6.3</v>
      </c>
      <c r="S337" s="344">
        <v>7.4666666666666703</v>
      </c>
      <c r="T337" s="344">
        <v>5.6</v>
      </c>
      <c r="U337" s="344">
        <v>6.7666666666666702</v>
      </c>
      <c r="V337" s="344">
        <v>5.1333333333333302</v>
      </c>
      <c r="W337" s="344">
        <v>4.43333333333333</v>
      </c>
      <c r="X337" s="344">
        <v>5.1333333333333302</v>
      </c>
      <c r="Y337" s="344">
        <v>4.43333333333333</v>
      </c>
      <c r="Z337" s="344">
        <v>3.2666666666666702</v>
      </c>
      <c r="AA337" s="344">
        <v>1.86666666666667</v>
      </c>
      <c r="AB337" s="344">
        <v>3.5</v>
      </c>
      <c r="AC337" s="344">
        <v>3.2666666666666702</v>
      </c>
      <c r="AD337" s="344">
        <f t="shared" si="53"/>
        <v>-0.23333333333332984</v>
      </c>
      <c r="AE337" s="344">
        <v>51</v>
      </c>
      <c r="AF337" s="344">
        <v>0</v>
      </c>
      <c r="AG337" s="345">
        <v>51</v>
      </c>
      <c r="AH337" s="346">
        <v>2</v>
      </c>
      <c r="AI337" s="197">
        <v>3</v>
      </c>
      <c r="AJ337" s="197">
        <v>3</v>
      </c>
      <c r="AK337" s="197">
        <v>4</v>
      </c>
      <c r="AL337" s="197">
        <v>4</v>
      </c>
      <c r="AM337" s="197">
        <v>6</v>
      </c>
      <c r="AN337" s="197">
        <v>2</v>
      </c>
      <c r="AO337" s="197">
        <v>2</v>
      </c>
      <c r="AP337" s="347">
        <v>12</v>
      </c>
      <c r="AQ337" s="347">
        <v>2</v>
      </c>
      <c r="AR337" s="347">
        <v>12</v>
      </c>
      <c r="AS337" s="347">
        <v>2</v>
      </c>
      <c r="AT337" s="197">
        <v>1</v>
      </c>
      <c r="AU337" s="197">
        <v>1</v>
      </c>
      <c r="AV337" s="347">
        <v>2</v>
      </c>
      <c r="AW337" s="347">
        <v>2</v>
      </c>
      <c r="AX337" s="347">
        <v>2</v>
      </c>
      <c r="AY337" s="347">
        <v>8</v>
      </c>
      <c r="AZ337" s="197">
        <v>8</v>
      </c>
      <c r="BA337" s="347">
        <v>3</v>
      </c>
      <c r="BB337" s="347">
        <v>4</v>
      </c>
      <c r="BC337" s="347">
        <v>4</v>
      </c>
    </row>
    <row r="338" spans="1:55" s="381" customFormat="1" ht="17.649999999999999" customHeight="1">
      <c r="A338" s="343">
        <v>278</v>
      </c>
      <c r="B338" s="211" t="s">
        <v>2359</v>
      </c>
      <c r="C338" s="211" t="s">
        <v>2061</v>
      </c>
      <c r="D338" s="211" t="s">
        <v>2283</v>
      </c>
      <c r="E338" s="344">
        <v>2</v>
      </c>
      <c r="F338" s="344">
        <v>2.3333333333333299</v>
      </c>
      <c r="G338" s="209">
        <v>2.3333333333333299</v>
      </c>
      <c r="H338" s="344">
        <v>2.56666666666667</v>
      </c>
      <c r="I338" s="344">
        <v>3.2666666666666702</v>
      </c>
      <c r="J338" s="344">
        <v>4.43333333333333</v>
      </c>
      <c r="K338" s="344">
        <v>5.1333333333333302</v>
      </c>
      <c r="L338" s="344">
        <f t="shared" si="52"/>
        <v>1.1977777777777772</v>
      </c>
      <c r="M338" s="344">
        <v>3.0333333333333301</v>
      </c>
      <c r="N338" s="344">
        <v>4.2</v>
      </c>
      <c r="O338" s="344">
        <v>5.3666666666666698</v>
      </c>
      <c r="P338" s="344">
        <v>9.56666666666667</v>
      </c>
      <c r="Q338" s="344">
        <v>11.2</v>
      </c>
      <c r="R338" s="344">
        <v>16.100000000000001</v>
      </c>
      <c r="S338" s="344">
        <v>15.4</v>
      </c>
      <c r="T338" s="344">
        <v>11.2</v>
      </c>
      <c r="U338" s="344">
        <v>11.9</v>
      </c>
      <c r="V338" s="344">
        <v>9.1</v>
      </c>
      <c r="W338" s="344">
        <v>6.5333333333333297</v>
      </c>
      <c r="X338" s="344">
        <v>6.3</v>
      </c>
      <c r="Y338" s="344">
        <v>6.7666666666666702</v>
      </c>
      <c r="Z338" s="344">
        <v>6.3</v>
      </c>
      <c r="AA338" s="344">
        <v>3.5</v>
      </c>
      <c r="AB338" s="344">
        <v>5.3666666666666698</v>
      </c>
      <c r="AC338" s="344">
        <v>4.43333333333333</v>
      </c>
      <c r="AD338" s="344">
        <f t="shared" si="53"/>
        <v>-0.93333333333333979</v>
      </c>
      <c r="AE338" s="344">
        <v>51</v>
      </c>
      <c r="AF338" s="344">
        <v>0</v>
      </c>
      <c r="AG338" s="345">
        <v>51</v>
      </c>
      <c r="AH338" s="346">
        <v>51</v>
      </c>
      <c r="AI338" s="197">
        <v>51</v>
      </c>
      <c r="AJ338" s="197">
        <v>51</v>
      </c>
      <c r="AK338" s="197">
        <v>51</v>
      </c>
      <c r="AL338" s="197">
        <v>51</v>
      </c>
      <c r="AM338" s="197">
        <v>51</v>
      </c>
      <c r="AN338" s="197">
        <v>51</v>
      </c>
      <c r="AO338" s="197">
        <v>51</v>
      </c>
      <c r="AP338" s="197">
        <v>51</v>
      </c>
      <c r="AQ338" s="197">
        <v>51</v>
      </c>
      <c r="AR338" s="197">
        <v>51</v>
      </c>
      <c r="AS338" s="197">
        <v>51</v>
      </c>
      <c r="AT338" s="347">
        <v>29</v>
      </c>
      <c r="AU338" s="197">
        <v>51</v>
      </c>
      <c r="AV338" s="197">
        <v>51</v>
      </c>
      <c r="AW338" s="197">
        <v>51</v>
      </c>
      <c r="AX338" s="197">
        <v>51</v>
      </c>
      <c r="AY338" s="347">
        <v>17</v>
      </c>
      <c r="AZ338" s="347">
        <v>43</v>
      </c>
      <c r="BA338" s="197">
        <v>51</v>
      </c>
      <c r="BB338" s="197">
        <v>51</v>
      </c>
      <c r="BC338" s="347" t="s">
        <v>2287</v>
      </c>
    </row>
    <row r="339" spans="1:55" s="381" customFormat="1" ht="17.649999999999999" customHeight="1">
      <c r="A339" s="343">
        <v>279</v>
      </c>
      <c r="B339" s="211" t="s">
        <v>2360</v>
      </c>
      <c r="C339" s="211" t="s">
        <v>2061</v>
      </c>
      <c r="D339" s="211" t="s">
        <v>2283</v>
      </c>
      <c r="E339" s="344">
        <v>0</v>
      </c>
      <c r="F339" s="344">
        <v>1.1666666666666701</v>
      </c>
      <c r="G339" s="209">
        <v>1.1666666666666701</v>
      </c>
      <c r="H339" s="344">
        <v>1.4</v>
      </c>
      <c r="I339" s="344">
        <v>1.4</v>
      </c>
      <c r="J339" s="344">
        <v>1.4</v>
      </c>
      <c r="K339" s="344">
        <v>2.1</v>
      </c>
      <c r="L339" s="344">
        <f t="shared" si="52"/>
        <v>0.49000000000000005</v>
      </c>
      <c r="M339" s="344">
        <v>1.1666666666666701</v>
      </c>
      <c r="N339" s="344">
        <v>1.4</v>
      </c>
      <c r="O339" s="344">
        <v>1.4</v>
      </c>
      <c r="P339" s="344">
        <v>2.3333333333333299</v>
      </c>
      <c r="Q339" s="344">
        <v>4.2</v>
      </c>
      <c r="R339" s="344">
        <v>7.7</v>
      </c>
      <c r="S339" s="344">
        <v>8.6333333333333293</v>
      </c>
      <c r="T339" s="344">
        <v>7.7</v>
      </c>
      <c r="U339" s="344">
        <v>7</v>
      </c>
      <c r="V339" s="344">
        <v>4.2</v>
      </c>
      <c r="W339" s="344">
        <v>3.2666666666666702</v>
      </c>
      <c r="X339" s="344">
        <v>3.5</v>
      </c>
      <c r="Y339" s="344">
        <v>3.9666666666666699</v>
      </c>
      <c r="Z339" s="344">
        <v>3.0333333333333301</v>
      </c>
      <c r="AA339" s="344">
        <v>1.4</v>
      </c>
      <c r="AB339" s="344">
        <v>2.1</v>
      </c>
      <c r="AC339" s="344">
        <v>1.4</v>
      </c>
      <c r="AD339" s="344">
        <f t="shared" si="53"/>
        <v>-0.70000000000000018</v>
      </c>
      <c r="AE339" s="344">
        <v>51</v>
      </c>
      <c r="AF339" s="344">
        <v>0</v>
      </c>
      <c r="AG339" s="345">
        <v>51</v>
      </c>
      <c r="AH339" s="346">
        <v>51</v>
      </c>
      <c r="AI339" s="197">
        <v>51</v>
      </c>
      <c r="AJ339" s="197">
        <v>51</v>
      </c>
      <c r="AK339" s="197">
        <v>51</v>
      </c>
      <c r="AL339" s="197">
        <v>51</v>
      </c>
      <c r="AM339" s="197">
        <v>51</v>
      </c>
      <c r="AN339" s="197">
        <v>51</v>
      </c>
      <c r="AO339" s="197">
        <v>51</v>
      </c>
      <c r="AP339" s="347">
        <v>19</v>
      </c>
      <c r="AQ339" s="197">
        <v>51</v>
      </c>
      <c r="AR339" s="197">
        <v>51</v>
      </c>
      <c r="AS339" s="197">
        <v>51</v>
      </c>
      <c r="AT339" s="197">
        <v>51</v>
      </c>
      <c r="AU339" s="197">
        <v>51</v>
      </c>
      <c r="AV339" s="197">
        <v>51</v>
      </c>
      <c r="AW339" s="197">
        <v>51</v>
      </c>
      <c r="AX339" s="197">
        <v>51</v>
      </c>
      <c r="AY339" s="347">
        <v>11</v>
      </c>
      <c r="AZ339" s="197">
        <v>51</v>
      </c>
      <c r="BA339" s="197">
        <v>51</v>
      </c>
      <c r="BB339" s="197">
        <v>51</v>
      </c>
      <c r="BC339" s="347" t="s">
        <v>2287</v>
      </c>
    </row>
    <row r="340" spans="1:55" s="381" customFormat="1" ht="17.649999999999999" customHeight="1">
      <c r="A340" s="343">
        <v>280</v>
      </c>
      <c r="B340" s="211" t="s">
        <v>2361</v>
      </c>
      <c r="C340" s="211" t="s">
        <v>2061</v>
      </c>
      <c r="D340" s="211" t="s">
        <v>2283</v>
      </c>
      <c r="E340" s="344">
        <v>9</v>
      </c>
      <c r="F340" s="344">
        <v>7.93333333333333</v>
      </c>
      <c r="G340" s="209">
        <v>6.5333333333333297</v>
      </c>
      <c r="H340" s="344">
        <v>5.6</v>
      </c>
      <c r="I340" s="344">
        <v>5.1333333333333302</v>
      </c>
      <c r="J340" s="344">
        <v>4.6666666666666696</v>
      </c>
      <c r="K340" s="344">
        <v>4.43333333333333</v>
      </c>
      <c r="L340" s="344">
        <f t="shared" si="52"/>
        <v>1.0344444444444436</v>
      </c>
      <c r="M340" s="344">
        <v>2.1</v>
      </c>
      <c r="N340" s="344">
        <v>3.2666666666666702</v>
      </c>
      <c r="O340" s="344">
        <v>3.2666666666666702</v>
      </c>
      <c r="P340" s="344">
        <v>5.8333333333333304</v>
      </c>
      <c r="Q340" s="344">
        <v>9.1</v>
      </c>
      <c r="R340" s="344">
        <v>12.366666666666699</v>
      </c>
      <c r="S340" s="344">
        <v>16.100000000000001</v>
      </c>
      <c r="T340" s="344">
        <v>15.4</v>
      </c>
      <c r="U340" s="344">
        <v>15.1666666666667</v>
      </c>
      <c r="V340" s="344">
        <v>12.8333333333333</v>
      </c>
      <c r="W340" s="344">
        <v>10.266666666666699</v>
      </c>
      <c r="X340" s="344">
        <v>12.8333333333333</v>
      </c>
      <c r="Y340" s="344">
        <v>10.966666666666701</v>
      </c>
      <c r="Z340" s="344">
        <v>11.2</v>
      </c>
      <c r="AA340" s="344">
        <v>12.133333333333301</v>
      </c>
      <c r="AB340" s="344">
        <v>10.033333333333299</v>
      </c>
      <c r="AC340" s="344">
        <v>7.7</v>
      </c>
      <c r="AD340" s="344">
        <f t="shared" si="53"/>
        <v>-2.3333333333332993</v>
      </c>
      <c r="AE340" s="344">
        <v>1</v>
      </c>
      <c r="AF340" s="344">
        <v>1</v>
      </c>
      <c r="AG340" s="345">
        <v>1</v>
      </c>
      <c r="AH340" s="346">
        <v>1</v>
      </c>
      <c r="AI340" s="197">
        <v>5</v>
      </c>
      <c r="AJ340" s="197">
        <v>1</v>
      </c>
      <c r="AK340" s="197">
        <v>1</v>
      </c>
      <c r="AL340" s="197">
        <v>1</v>
      </c>
      <c r="AM340" s="197">
        <v>1</v>
      </c>
      <c r="AN340" s="197">
        <v>1</v>
      </c>
      <c r="AO340" s="197">
        <v>1</v>
      </c>
      <c r="AP340" s="197">
        <v>8</v>
      </c>
      <c r="AQ340" s="197">
        <v>1</v>
      </c>
      <c r="AR340" s="197">
        <v>1</v>
      </c>
      <c r="AS340" s="197">
        <v>1</v>
      </c>
      <c r="AT340" s="197">
        <v>1</v>
      </c>
      <c r="AU340" s="347">
        <v>1</v>
      </c>
      <c r="AV340" s="347">
        <v>1</v>
      </c>
      <c r="AW340" s="347">
        <v>1</v>
      </c>
      <c r="AX340" s="347">
        <v>1</v>
      </c>
      <c r="AY340" s="347">
        <v>8</v>
      </c>
      <c r="AZ340" s="347">
        <v>1</v>
      </c>
      <c r="BA340" s="347">
        <v>9</v>
      </c>
      <c r="BB340" s="347">
        <v>10</v>
      </c>
      <c r="BC340" s="347">
        <v>10</v>
      </c>
    </row>
    <row r="341" spans="1:55" s="381" customFormat="1" ht="17.649999999999999" customHeight="1">
      <c r="A341" s="343"/>
      <c r="B341" s="197" t="s">
        <v>2362</v>
      </c>
      <c r="C341" s="211" t="s">
        <v>2055</v>
      </c>
      <c r="D341" s="211" t="s">
        <v>2056</v>
      </c>
      <c r="E341" s="344">
        <v>40.6</v>
      </c>
      <c r="F341" s="344">
        <v>40.6</v>
      </c>
      <c r="G341" s="344">
        <v>40.6</v>
      </c>
      <c r="H341" s="344">
        <v>40.6</v>
      </c>
      <c r="I341" s="344">
        <v>40.6</v>
      </c>
      <c r="J341" s="344">
        <v>40.6</v>
      </c>
      <c r="K341" s="344">
        <v>40.6</v>
      </c>
      <c r="L341" s="344">
        <v>40.6</v>
      </c>
      <c r="M341" s="344">
        <v>40.6</v>
      </c>
      <c r="N341" s="344">
        <v>40.6</v>
      </c>
      <c r="O341" s="344">
        <v>40.6</v>
      </c>
      <c r="P341" s="344">
        <v>45.266666666666701</v>
      </c>
      <c r="Q341" s="344">
        <v>62.533333333333303</v>
      </c>
      <c r="R341" s="344">
        <v>64.866666666666703</v>
      </c>
      <c r="S341" s="344">
        <v>67.900000000000006</v>
      </c>
      <c r="T341" s="344">
        <v>65.8</v>
      </c>
      <c r="U341" s="344">
        <v>59.5</v>
      </c>
      <c r="V341" s="344">
        <v>55.3</v>
      </c>
      <c r="W341" s="344">
        <v>52.5</v>
      </c>
      <c r="X341" s="344">
        <v>48.066666666666698</v>
      </c>
      <c r="Y341" s="344">
        <v>51.8</v>
      </c>
      <c r="Z341" s="344">
        <v>49.7</v>
      </c>
      <c r="AA341" s="344">
        <v>49.466666666666697</v>
      </c>
      <c r="AB341" s="344">
        <v>49.233333333333299</v>
      </c>
      <c r="AC341" s="344">
        <v>43.866666666666703</v>
      </c>
      <c r="AD341" s="344">
        <f t="shared" si="53"/>
        <v>-5.3666666666665961</v>
      </c>
      <c r="AE341" s="197">
        <v>8</v>
      </c>
      <c r="AF341" s="197">
        <v>8</v>
      </c>
      <c r="AG341" s="197">
        <v>8</v>
      </c>
      <c r="AH341" s="197">
        <v>8</v>
      </c>
      <c r="AI341" s="197">
        <v>8</v>
      </c>
      <c r="AJ341" s="197">
        <v>8</v>
      </c>
      <c r="AK341" s="197">
        <v>8</v>
      </c>
      <c r="AL341" s="197">
        <v>8</v>
      </c>
      <c r="AM341" s="197">
        <v>8</v>
      </c>
      <c r="AN341" s="197">
        <v>8</v>
      </c>
      <c r="AO341" s="197">
        <v>8</v>
      </c>
      <c r="AP341" s="197">
        <v>8</v>
      </c>
      <c r="AQ341" s="197">
        <v>8</v>
      </c>
      <c r="AR341" s="197">
        <v>5</v>
      </c>
      <c r="AS341" s="197">
        <v>4</v>
      </c>
      <c r="AT341" s="197">
        <v>9</v>
      </c>
      <c r="AU341" s="347">
        <v>8</v>
      </c>
      <c r="AV341" s="347">
        <v>7</v>
      </c>
      <c r="AW341" s="347">
        <v>8</v>
      </c>
      <c r="AX341" s="347">
        <v>5</v>
      </c>
      <c r="AY341" s="347">
        <v>7</v>
      </c>
      <c r="AZ341" s="347">
        <v>6</v>
      </c>
      <c r="BA341" s="347">
        <v>7</v>
      </c>
      <c r="BB341" s="347">
        <v>4</v>
      </c>
      <c r="BC341" s="347">
        <v>4</v>
      </c>
    </row>
    <row r="342" spans="1:55" s="381" customFormat="1" ht="17.649999999999999" customHeight="1">
      <c r="A342" s="343"/>
      <c r="B342" s="197" t="s">
        <v>2363</v>
      </c>
      <c r="C342" s="211" t="s">
        <v>2055</v>
      </c>
      <c r="D342" s="211" t="s">
        <v>2056</v>
      </c>
      <c r="E342" s="344">
        <v>478.566666666667</v>
      </c>
      <c r="F342" s="344">
        <v>478.566666666667</v>
      </c>
      <c r="G342" s="344">
        <v>478.566666666667</v>
      </c>
      <c r="H342" s="344">
        <v>478.566666666667</v>
      </c>
      <c r="I342" s="344">
        <v>478.566666666667</v>
      </c>
      <c r="J342" s="344">
        <v>478.566666666667</v>
      </c>
      <c r="K342" s="344">
        <v>478.566666666667</v>
      </c>
      <c r="L342" s="344">
        <v>478.566666666667</v>
      </c>
      <c r="M342" s="344">
        <v>478.566666666667</v>
      </c>
      <c r="N342" s="344">
        <v>478.566666666667</v>
      </c>
      <c r="O342" s="344">
        <v>478.566666666667</v>
      </c>
      <c r="P342" s="344">
        <v>519.86666666666702</v>
      </c>
      <c r="Q342" s="344">
        <v>640.73333333333301</v>
      </c>
      <c r="R342" s="344">
        <v>644.23333333333301</v>
      </c>
      <c r="S342" s="344">
        <v>652.16666666666697</v>
      </c>
      <c r="T342" s="344">
        <v>619.26666666666699</v>
      </c>
      <c r="U342" s="344">
        <v>578.20000000000005</v>
      </c>
      <c r="V342" s="344">
        <v>546.93333333333305</v>
      </c>
      <c r="W342" s="344">
        <v>510.3</v>
      </c>
      <c r="X342" s="344">
        <v>491.63333333333298</v>
      </c>
      <c r="Y342" s="344">
        <v>465.73333333333301</v>
      </c>
      <c r="Z342" s="344">
        <v>461.76666666666699</v>
      </c>
      <c r="AA342" s="344">
        <v>456.63333333333298</v>
      </c>
      <c r="AB342" s="344">
        <v>465.03333333333302</v>
      </c>
      <c r="AC342" s="344">
        <v>439.36666666666702</v>
      </c>
      <c r="AD342" s="344">
        <f t="shared" si="53"/>
        <v>-25.666666666666003</v>
      </c>
      <c r="AE342" s="197">
        <v>6</v>
      </c>
      <c r="AF342" s="197">
        <v>6</v>
      </c>
      <c r="AG342" s="197">
        <v>6</v>
      </c>
      <c r="AH342" s="197">
        <v>6</v>
      </c>
      <c r="AI342" s="197">
        <v>6</v>
      </c>
      <c r="AJ342" s="197">
        <v>6</v>
      </c>
      <c r="AK342" s="197">
        <v>6</v>
      </c>
      <c r="AL342" s="197">
        <v>6</v>
      </c>
      <c r="AM342" s="197">
        <v>6</v>
      </c>
      <c r="AN342" s="197">
        <v>6</v>
      </c>
      <c r="AO342" s="197">
        <v>6</v>
      </c>
      <c r="AP342" s="197">
        <v>2</v>
      </c>
      <c r="AQ342" s="197">
        <v>2</v>
      </c>
      <c r="AR342" s="197">
        <v>1</v>
      </c>
      <c r="AS342" s="197">
        <v>3</v>
      </c>
      <c r="AT342" s="197">
        <v>3</v>
      </c>
      <c r="AU342" s="347">
        <v>3</v>
      </c>
      <c r="AV342" s="347">
        <v>2</v>
      </c>
      <c r="AW342" s="347">
        <v>2</v>
      </c>
      <c r="AX342" s="347">
        <v>1</v>
      </c>
      <c r="AY342" s="347">
        <v>2</v>
      </c>
      <c r="AZ342" s="347">
        <v>3</v>
      </c>
      <c r="BA342" s="347">
        <v>3</v>
      </c>
      <c r="BB342" s="347">
        <v>4</v>
      </c>
      <c r="BC342" s="347">
        <v>4</v>
      </c>
    </row>
    <row r="343" spans="1:55" s="381" customFormat="1" ht="17.649999999999999" customHeight="1">
      <c r="A343" s="343"/>
      <c r="B343" s="197" t="s">
        <v>2364</v>
      </c>
      <c r="C343" s="211" t="s">
        <v>2055</v>
      </c>
      <c r="D343" s="211" t="s">
        <v>2056</v>
      </c>
      <c r="E343" s="344">
        <v>73.266666666666694</v>
      </c>
      <c r="F343" s="344">
        <v>73.266666666666694</v>
      </c>
      <c r="G343" s="344">
        <v>73.266666666666694</v>
      </c>
      <c r="H343" s="344">
        <v>73.266666666666694</v>
      </c>
      <c r="I343" s="344">
        <v>73.266666666666694</v>
      </c>
      <c r="J343" s="344">
        <v>73.266666666666694</v>
      </c>
      <c r="K343" s="344">
        <v>73.266666666666694</v>
      </c>
      <c r="L343" s="344">
        <v>73.266666666666694</v>
      </c>
      <c r="M343" s="344">
        <v>73.266666666666694</v>
      </c>
      <c r="N343" s="344">
        <v>73.266666666666694</v>
      </c>
      <c r="O343" s="344">
        <v>73.266666666666694</v>
      </c>
      <c r="P343" s="344">
        <v>80.966666666666697</v>
      </c>
      <c r="Q343" s="344">
        <v>105</v>
      </c>
      <c r="R343" s="344">
        <v>109.433333333333</v>
      </c>
      <c r="S343" s="344">
        <v>115.033333333333</v>
      </c>
      <c r="T343" s="344">
        <v>115.26666666666701</v>
      </c>
      <c r="U343" s="344">
        <v>111.066666666667</v>
      </c>
      <c r="V343" s="344">
        <v>102.9</v>
      </c>
      <c r="W343" s="344">
        <v>103.833333333333</v>
      </c>
      <c r="X343" s="344">
        <v>100.1</v>
      </c>
      <c r="Y343" s="344">
        <v>100.1</v>
      </c>
      <c r="Z343" s="344">
        <v>107.566666666667</v>
      </c>
      <c r="AA343" s="344">
        <v>109.9</v>
      </c>
      <c r="AB343" s="344">
        <v>106.4</v>
      </c>
      <c r="AC343" s="344">
        <v>94.266666666666694</v>
      </c>
      <c r="AD343" s="344">
        <f t="shared" si="53"/>
        <v>-12.133333333333312</v>
      </c>
      <c r="AE343" s="197">
        <v>17</v>
      </c>
      <c r="AF343" s="197">
        <v>17</v>
      </c>
      <c r="AG343" s="197">
        <v>17</v>
      </c>
      <c r="AH343" s="197">
        <v>17</v>
      </c>
      <c r="AI343" s="197">
        <v>17</v>
      </c>
      <c r="AJ343" s="197">
        <v>17</v>
      </c>
      <c r="AK343" s="197">
        <v>17</v>
      </c>
      <c r="AL343" s="197">
        <v>17</v>
      </c>
      <c r="AM343" s="197">
        <v>17</v>
      </c>
      <c r="AN343" s="197">
        <v>17</v>
      </c>
      <c r="AO343" s="197">
        <v>17</v>
      </c>
      <c r="AP343" s="347">
        <v>10</v>
      </c>
      <c r="AQ343" s="197">
        <v>8</v>
      </c>
      <c r="AR343" s="347">
        <v>7</v>
      </c>
      <c r="AS343" s="197">
        <v>9</v>
      </c>
      <c r="AT343" s="347">
        <v>12</v>
      </c>
      <c r="AU343" s="347">
        <v>10</v>
      </c>
      <c r="AV343" s="347">
        <v>10</v>
      </c>
      <c r="AW343" s="347">
        <v>17</v>
      </c>
      <c r="AX343" s="347">
        <v>13</v>
      </c>
      <c r="AY343" s="347">
        <v>11</v>
      </c>
      <c r="AZ343" s="347">
        <v>7</v>
      </c>
      <c r="BA343" s="347">
        <v>1</v>
      </c>
      <c r="BB343" s="347">
        <v>4</v>
      </c>
      <c r="BC343" s="347">
        <v>9</v>
      </c>
    </row>
    <row r="344" spans="1:55" s="381" customFormat="1" ht="17.649999999999999" customHeight="1">
      <c r="A344" s="343"/>
      <c r="B344" s="197" t="s">
        <v>2365</v>
      </c>
      <c r="C344" s="211" t="s">
        <v>2055</v>
      </c>
      <c r="D344" s="211" t="s">
        <v>2056</v>
      </c>
      <c r="E344" s="344">
        <v>69.533333333333303</v>
      </c>
      <c r="F344" s="344">
        <v>69.533333333333303</v>
      </c>
      <c r="G344" s="344">
        <v>69.533333333333303</v>
      </c>
      <c r="H344" s="344">
        <v>69.533333333333303</v>
      </c>
      <c r="I344" s="344">
        <v>69.533333333333303</v>
      </c>
      <c r="J344" s="344">
        <v>69.533333333333303</v>
      </c>
      <c r="K344" s="344">
        <v>69.533333333333303</v>
      </c>
      <c r="L344" s="344">
        <v>69.533333333333303</v>
      </c>
      <c r="M344" s="344">
        <v>69.533333333333303</v>
      </c>
      <c r="N344" s="344">
        <v>69.533333333333303</v>
      </c>
      <c r="O344" s="344">
        <v>69.533333333333303</v>
      </c>
      <c r="P344" s="344">
        <v>77.933333333333294</v>
      </c>
      <c r="Q344" s="344">
        <v>93.566666666666706</v>
      </c>
      <c r="R344" s="344">
        <v>95.6666666666667</v>
      </c>
      <c r="S344" s="344">
        <v>102.2</v>
      </c>
      <c r="T344" s="344">
        <v>105.466666666667</v>
      </c>
      <c r="U344" s="344">
        <v>105.466666666667</v>
      </c>
      <c r="V344" s="344">
        <v>102.433333333333</v>
      </c>
      <c r="W344" s="344">
        <v>95.2</v>
      </c>
      <c r="X344" s="344">
        <v>97.533333333333303</v>
      </c>
      <c r="Y344" s="344">
        <v>100.1</v>
      </c>
      <c r="Z344" s="344">
        <v>102.2</v>
      </c>
      <c r="AA344" s="344">
        <v>99.633333333333297</v>
      </c>
      <c r="AB344" s="344">
        <v>96.366666666666703</v>
      </c>
      <c r="AC344" s="344">
        <v>91.233333333333306</v>
      </c>
      <c r="AD344" s="344">
        <f t="shared" si="53"/>
        <v>-5.1333333333333968</v>
      </c>
      <c r="AE344" s="197">
        <v>8</v>
      </c>
      <c r="AF344" s="197">
        <v>8</v>
      </c>
      <c r="AG344" s="197">
        <v>8</v>
      </c>
      <c r="AH344" s="197">
        <v>8</v>
      </c>
      <c r="AI344" s="197">
        <v>8</v>
      </c>
      <c r="AJ344" s="197">
        <v>8</v>
      </c>
      <c r="AK344" s="197">
        <v>8</v>
      </c>
      <c r="AL344" s="197">
        <v>8</v>
      </c>
      <c r="AM344" s="197">
        <v>8</v>
      </c>
      <c r="AN344" s="197">
        <v>8</v>
      </c>
      <c r="AO344" s="197">
        <v>8</v>
      </c>
      <c r="AP344" s="197">
        <v>3</v>
      </c>
      <c r="AQ344" s="197">
        <v>10</v>
      </c>
      <c r="AR344" s="197">
        <v>3</v>
      </c>
      <c r="AS344" s="197">
        <v>8</v>
      </c>
      <c r="AT344" s="197">
        <v>4</v>
      </c>
      <c r="AU344" s="197">
        <v>2</v>
      </c>
      <c r="AV344" s="347">
        <v>9</v>
      </c>
      <c r="AW344" s="347">
        <v>4</v>
      </c>
      <c r="AX344" s="347">
        <v>4</v>
      </c>
      <c r="AY344" s="347">
        <v>6</v>
      </c>
      <c r="AZ344" s="347">
        <v>7</v>
      </c>
      <c r="BA344" s="347">
        <v>5</v>
      </c>
      <c r="BB344" s="347">
        <v>3</v>
      </c>
      <c r="BC344" s="347">
        <v>10</v>
      </c>
    </row>
    <row r="345" spans="1:55" s="381" customFormat="1" ht="17.649999999999999" customHeight="1">
      <c r="A345" s="343"/>
      <c r="B345" s="197" t="s">
        <v>2366</v>
      </c>
      <c r="C345" s="211" t="s">
        <v>2055</v>
      </c>
      <c r="D345" s="211" t="s">
        <v>2056</v>
      </c>
      <c r="E345" s="344">
        <v>38.5</v>
      </c>
      <c r="F345" s="344">
        <v>38.5</v>
      </c>
      <c r="G345" s="344">
        <v>38.5</v>
      </c>
      <c r="H345" s="344">
        <v>38.5</v>
      </c>
      <c r="I345" s="344">
        <v>38.5</v>
      </c>
      <c r="J345" s="344">
        <v>38.5</v>
      </c>
      <c r="K345" s="344">
        <v>38.5</v>
      </c>
      <c r="L345" s="344">
        <v>38.5</v>
      </c>
      <c r="M345" s="344">
        <v>38.5</v>
      </c>
      <c r="N345" s="344">
        <v>38.5</v>
      </c>
      <c r="O345" s="344">
        <v>38.5</v>
      </c>
      <c r="P345" s="344">
        <v>43.1666666666667</v>
      </c>
      <c r="Q345" s="344">
        <v>57.4</v>
      </c>
      <c r="R345" s="344">
        <v>62.3</v>
      </c>
      <c r="S345" s="344">
        <v>65.8</v>
      </c>
      <c r="T345" s="344">
        <v>67.6666666666667</v>
      </c>
      <c r="U345" s="344">
        <v>63.933333333333302</v>
      </c>
      <c r="V345" s="344">
        <v>66.033333333333303</v>
      </c>
      <c r="W345" s="344">
        <v>60.2</v>
      </c>
      <c r="X345" s="344">
        <v>54.133333333333297</v>
      </c>
      <c r="Y345" s="344">
        <v>47.366666666666703</v>
      </c>
      <c r="Z345" s="344">
        <v>43.866666666666703</v>
      </c>
      <c r="AA345" s="344">
        <v>42.466666666666697</v>
      </c>
      <c r="AB345" s="344">
        <v>43.633333333333297</v>
      </c>
      <c r="AC345" s="344">
        <v>39.9</v>
      </c>
      <c r="AD345" s="344">
        <f t="shared" si="53"/>
        <v>-3.7333333333332988</v>
      </c>
      <c r="AE345" s="197">
        <v>1</v>
      </c>
      <c r="AF345" s="197">
        <v>1</v>
      </c>
      <c r="AG345" s="197">
        <v>1</v>
      </c>
      <c r="AH345" s="197">
        <v>1</v>
      </c>
      <c r="AI345" s="197">
        <v>1</v>
      </c>
      <c r="AJ345" s="197">
        <v>1</v>
      </c>
      <c r="AK345" s="197">
        <v>1</v>
      </c>
      <c r="AL345" s="197">
        <v>1</v>
      </c>
      <c r="AM345" s="197">
        <v>1</v>
      </c>
      <c r="AN345" s="197">
        <v>1</v>
      </c>
      <c r="AO345" s="197">
        <v>1</v>
      </c>
      <c r="AP345" s="197">
        <v>1</v>
      </c>
      <c r="AQ345" s="197">
        <v>10</v>
      </c>
      <c r="AR345" s="347">
        <v>1</v>
      </c>
      <c r="AS345" s="197">
        <v>1</v>
      </c>
      <c r="AT345" s="197">
        <v>1</v>
      </c>
      <c r="AU345" s="347">
        <v>1</v>
      </c>
      <c r="AV345" s="347">
        <v>1</v>
      </c>
      <c r="AW345" s="347">
        <v>1</v>
      </c>
      <c r="AX345" s="347">
        <v>1</v>
      </c>
      <c r="AY345" s="347">
        <v>1</v>
      </c>
      <c r="AZ345" s="347">
        <v>1</v>
      </c>
      <c r="BA345" s="347">
        <v>1</v>
      </c>
      <c r="BB345" s="347">
        <v>1</v>
      </c>
      <c r="BC345" s="347">
        <v>1</v>
      </c>
    </row>
    <row r="346" spans="1:55" s="381" customFormat="1" ht="17.649999999999999" customHeight="1">
      <c r="A346" s="343"/>
      <c r="B346" s="197" t="s">
        <v>2367</v>
      </c>
      <c r="C346" s="211" t="s">
        <v>2055</v>
      </c>
      <c r="D346" s="211" t="s">
        <v>2056</v>
      </c>
      <c r="E346" s="344">
        <v>12.8333333333333</v>
      </c>
      <c r="F346" s="344">
        <v>12.8333333333333</v>
      </c>
      <c r="G346" s="344">
        <v>12.8333333333333</v>
      </c>
      <c r="H346" s="344">
        <v>12.8333333333333</v>
      </c>
      <c r="I346" s="344">
        <v>12.8333333333333</v>
      </c>
      <c r="J346" s="344">
        <v>12.8333333333333</v>
      </c>
      <c r="K346" s="344">
        <v>12.8333333333333</v>
      </c>
      <c r="L346" s="344">
        <v>12.8333333333333</v>
      </c>
      <c r="M346" s="344">
        <v>12.8333333333333</v>
      </c>
      <c r="N346" s="344">
        <v>12.8333333333333</v>
      </c>
      <c r="O346" s="344">
        <v>12.8333333333333</v>
      </c>
      <c r="P346" s="344">
        <v>16.100000000000001</v>
      </c>
      <c r="Q346" s="344">
        <v>21</v>
      </c>
      <c r="R346" s="344">
        <v>23.8</v>
      </c>
      <c r="S346" s="344">
        <v>24.033333333333299</v>
      </c>
      <c r="T346" s="344">
        <v>22.1666666666667</v>
      </c>
      <c r="U346" s="344">
        <v>19.8333333333333</v>
      </c>
      <c r="V346" s="344">
        <v>15.4</v>
      </c>
      <c r="W346" s="344">
        <v>16.3333333333333</v>
      </c>
      <c r="X346" s="344">
        <v>18.899999999999999</v>
      </c>
      <c r="Y346" s="344">
        <v>21.933333333333302</v>
      </c>
      <c r="Z346" s="344">
        <v>23.3333333333333</v>
      </c>
      <c r="AA346" s="344">
        <v>24.033333333333299</v>
      </c>
      <c r="AB346" s="344">
        <v>24.5</v>
      </c>
      <c r="AC346" s="344">
        <v>23.8</v>
      </c>
      <c r="AD346" s="344">
        <f t="shared" si="53"/>
        <v>-0.69999999999999929</v>
      </c>
      <c r="AE346" s="197">
        <v>1</v>
      </c>
      <c r="AF346" s="197">
        <v>1</v>
      </c>
      <c r="AG346" s="197">
        <v>1</v>
      </c>
      <c r="AH346" s="197">
        <v>1</v>
      </c>
      <c r="AI346" s="197">
        <v>1</v>
      </c>
      <c r="AJ346" s="197">
        <v>1</v>
      </c>
      <c r="AK346" s="197">
        <v>1</v>
      </c>
      <c r="AL346" s="197">
        <v>1</v>
      </c>
      <c r="AM346" s="197">
        <v>1</v>
      </c>
      <c r="AN346" s="197">
        <v>1</v>
      </c>
      <c r="AO346" s="197">
        <v>1</v>
      </c>
      <c r="AP346" s="347">
        <v>1</v>
      </c>
      <c r="AQ346" s="197">
        <v>7</v>
      </c>
      <c r="AR346" s="197">
        <v>2</v>
      </c>
      <c r="AS346" s="197">
        <v>2</v>
      </c>
      <c r="AT346" s="197">
        <v>51</v>
      </c>
      <c r="AU346" s="347">
        <v>2</v>
      </c>
      <c r="AV346" s="347">
        <v>2</v>
      </c>
      <c r="AW346" s="347">
        <v>1</v>
      </c>
      <c r="AX346" s="347">
        <v>3</v>
      </c>
      <c r="AY346" s="347">
        <v>3</v>
      </c>
      <c r="AZ346" s="347">
        <v>7</v>
      </c>
      <c r="BA346" s="347">
        <v>3</v>
      </c>
      <c r="BB346" s="347">
        <v>3</v>
      </c>
      <c r="BC346" s="347">
        <v>1</v>
      </c>
    </row>
    <row r="347" spans="1:55" s="381" customFormat="1" ht="17.649999999999999" customHeight="1">
      <c r="A347" s="343"/>
      <c r="B347" s="197" t="s">
        <v>2368</v>
      </c>
      <c r="C347" s="211" t="s">
        <v>2055</v>
      </c>
      <c r="D347" s="211" t="s">
        <v>2056</v>
      </c>
      <c r="E347" s="344">
        <v>3.0333333333333301</v>
      </c>
      <c r="F347" s="344">
        <v>3.0333333333333301</v>
      </c>
      <c r="G347" s="344">
        <v>3.0333333333333301</v>
      </c>
      <c r="H347" s="344">
        <v>3.0333333333333301</v>
      </c>
      <c r="I347" s="344">
        <v>3.0333333333333301</v>
      </c>
      <c r="J347" s="344">
        <v>3.0333333333333301</v>
      </c>
      <c r="K347" s="344">
        <v>3.0333333333333301</v>
      </c>
      <c r="L347" s="344">
        <v>3.0333333333333301</v>
      </c>
      <c r="M347" s="344">
        <v>3.0333333333333301</v>
      </c>
      <c r="N347" s="344">
        <v>3.0333333333333301</v>
      </c>
      <c r="O347" s="344">
        <v>3.0333333333333301</v>
      </c>
      <c r="P347" s="344">
        <v>3.5</v>
      </c>
      <c r="Q347" s="344">
        <v>5.1333333333333302</v>
      </c>
      <c r="R347" s="344">
        <v>7.4666666666666703</v>
      </c>
      <c r="S347" s="344">
        <v>9.8000000000000007</v>
      </c>
      <c r="T347" s="344">
        <v>9.8000000000000007</v>
      </c>
      <c r="U347" s="344">
        <v>10.266666666666699</v>
      </c>
      <c r="V347" s="344">
        <v>9.8000000000000007</v>
      </c>
      <c r="W347" s="344">
        <v>8.6333333333333293</v>
      </c>
      <c r="X347" s="344">
        <v>9.8000000000000007</v>
      </c>
      <c r="Y347" s="344">
        <v>11.6666666666667</v>
      </c>
      <c r="Z347" s="344">
        <v>12.366666666666699</v>
      </c>
      <c r="AA347" s="344">
        <v>12.133333333333301</v>
      </c>
      <c r="AB347" s="344">
        <v>14.233333333333301</v>
      </c>
      <c r="AC347" s="344">
        <v>12.133333333333301</v>
      </c>
      <c r="AD347" s="344">
        <f t="shared" si="53"/>
        <v>-2.0999999999999996</v>
      </c>
      <c r="AE347" s="197">
        <v>3</v>
      </c>
      <c r="AF347" s="197">
        <v>3</v>
      </c>
      <c r="AG347" s="197">
        <v>3</v>
      </c>
      <c r="AH347" s="197">
        <v>3</v>
      </c>
      <c r="AI347" s="197">
        <v>3</v>
      </c>
      <c r="AJ347" s="197">
        <v>3</v>
      </c>
      <c r="AK347" s="197">
        <v>3</v>
      </c>
      <c r="AL347" s="197">
        <v>3</v>
      </c>
      <c r="AM347" s="197">
        <v>3</v>
      </c>
      <c r="AN347" s="197">
        <v>3</v>
      </c>
      <c r="AO347" s="197">
        <v>3</v>
      </c>
      <c r="AP347" s="197">
        <v>1</v>
      </c>
      <c r="AQ347" s="197">
        <v>1</v>
      </c>
      <c r="AR347" s="197">
        <v>1</v>
      </c>
      <c r="AS347" s="197">
        <v>1</v>
      </c>
      <c r="AT347" s="197">
        <v>1</v>
      </c>
      <c r="AU347" s="347">
        <v>1</v>
      </c>
      <c r="AV347" s="347">
        <v>1</v>
      </c>
      <c r="AW347" s="347">
        <v>3</v>
      </c>
      <c r="AX347" s="347">
        <v>1</v>
      </c>
      <c r="AY347" s="347">
        <v>13</v>
      </c>
      <c r="AZ347" s="347">
        <v>1</v>
      </c>
      <c r="BA347" s="347">
        <v>1</v>
      </c>
      <c r="BB347" s="347">
        <v>1</v>
      </c>
      <c r="BC347" s="347">
        <v>1</v>
      </c>
    </row>
    <row r="348" spans="1:55" s="381" customFormat="1" ht="17.649999999999999" customHeight="1">
      <c r="A348" s="343"/>
      <c r="B348" s="197" t="s">
        <v>2369</v>
      </c>
      <c r="C348" s="211" t="s">
        <v>2055</v>
      </c>
      <c r="D348" s="211" t="s">
        <v>2056</v>
      </c>
      <c r="E348" s="344">
        <v>9.1</v>
      </c>
      <c r="F348" s="344">
        <v>9.1</v>
      </c>
      <c r="G348" s="344">
        <v>9.1</v>
      </c>
      <c r="H348" s="344">
        <v>9.1</v>
      </c>
      <c r="I348" s="344">
        <v>9.1</v>
      </c>
      <c r="J348" s="344">
        <v>9.1</v>
      </c>
      <c r="K348" s="344">
        <v>9.1</v>
      </c>
      <c r="L348" s="344">
        <v>9.1</v>
      </c>
      <c r="M348" s="344">
        <v>9.1</v>
      </c>
      <c r="N348" s="344">
        <v>9.1</v>
      </c>
      <c r="O348" s="344">
        <v>9.1</v>
      </c>
      <c r="P348" s="344">
        <v>11.2</v>
      </c>
      <c r="Q348" s="344">
        <v>16.566666666666698</v>
      </c>
      <c r="R348" s="344">
        <v>19.366666666666699</v>
      </c>
      <c r="S348" s="344">
        <v>23.1</v>
      </c>
      <c r="T348" s="344">
        <v>25.2</v>
      </c>
      <c r="U348" s="344">
        <v>24.033333333333299</v>
      </c>
      <c r="V348" s="344">
        <v>20.066666666666698</v>
      </c>
      <c r="W348" s="344">
        <v>16.566666666666698</v>
      </c>
      <c r="X348" s="344">
        <v>20.766666666666701</v>
      </c>
      <c r="Y348" s="344">
        <v>17.966666666666701</v>
      </c>
      <c r="Z348" s="344">
        <v>19.600000000000001</v>
      </c>
      <c r="AA348" s="344">
        <v>22.1666666666667</v>
      </c>
      <c r="AB348" s="344">
        <v>21.233333333333299</v>
      </c>
      <c r="AC348" s="344">
        <v>19.8333333333333</v>
      </c>
      <c r="AD348" s="344">
        <f t="shared" si="53"/>
        <v>-1.3999999999999986</v>
      </c>
      <c r="AE348" s="197">
        <v>11</v>
      </c>
      <c r="AF348" s="197">
        <v>11</v>
      </c>
      <c r="AG348" s="197">
        <v>11</v>
      </c>
      <c r="AH348" s="197">
        <v>11</v>
      </c>
      <c r="AI348" s="197">
        <v>11</v>
      </c>
      <c r="AJ348" s="197">
        <v>11</v>
      </c>
      <c r="AK348" s="197">
        <v>11</v>
      </c>
      <c r="AL348" s="197">
        <v>11</v>
      </c>
      <c r="AM348" s="197">
        <v>11</v>
      </c>
      <c r="AN348" s="197">
        <v>11</v>
      </c>
      <c r="AO348" s="197">
        <v>11</v>
      </c>
      <c r="AP348" s="197">
        <v>9</v>
      </c>
      <c r="AQ348" s="347">
        <v>9</v>
      </c>
      <c r="AR348" s="197">
        <v>3</v>
      </c>
      <c r="AS348" s="197">
        <v>7</v>
      </c>
      <c r="AT348" s="197">
        <v>3</v>
      </c>
      <c r="AU348" s="347">
        <v>3</v>
      </c>
      <c r="AV348" s="347">
        <v>5</v>
      </c>
      <c r="AW348" s="347">
        <v>2</v>
      </c>
      <c r="AX348" s="347">
        <v>3</v>
      </c>
      <c r="AY348" s="347">
        <v>3</v>
      </c>
      <c r="AZ348" s="347">
        <v>3</v>
      </c>
      <c r="BA348" s="347">
        <v>4</v>
      </c>
      <c r="BB348" s="347">
        <v>3</v>
      </c>
      <c r="BC348" s="347">
        <v>2</v>
      </c>
    </row>
    <row r="349" spans="1:55" s="381" customFormat="1" ht="17.649999999999999" customHeight="1">
      <c r="A349" s="343"/>
      <c r="B349" s="197" t="s">
        <v>2370</v>
      </c>
      <c r="C349" s="211" t="s">
        <v>2055</v>
      </c>
      <c r="D349" s="211" t="s">
        <v>2056</v>
      </c>
      <c r="E349" s="344">
        <v>10.033333333333299</v>
      </c>
      <c r="F349" s="344">
        <v>10.033333333333299</v>
      </c>
      <c r="G349" s="344">
        <v>10.033333333333299</v>
      </c>
      <c r="H349" s="344">
        <v>10.033333333333299</v>
      </c>
      <c r="I349" s="344">
        <v>10.033333333333299</v>
      </c>
      <c r="J349" s="344">
        <v>10.033333333333299</v>
      </c>
      <c r="K349" s="344">
        <v>10.033333333333299</v>
      </c>
      <c r="L349" s="344">
        <v>10.033333333333299</v>
      </c>
      <c r="M349" s="344">
        <v>10.033333333333299</v>
      </c>
      <c r="N349" s="344">
        <v>10.033333333333299</v>
      </c>
      <c r="O349" s="344">
        <v>10.033333333333299</v>
      </c>
      <c r="P349" s="344">
        <v>11.6666666666667</v>
      </c>
      <c r="Q349" s="344">
        <v>13.0666666666667</v>
      </c>
      <c r="R349" s="344">
        <v>11.6666666666667</v>
      </c>
      <c r="S349" s="344">
        <v>9.8000000000000007</v>
      </c>
      <c r="T349" s="344">
        <v>10.266666666666699</v>
      </c>
      <c r="U349" s="344">
        <v>12.8333333333333</v>
      </c>
      <c r="V349" s="344">
        <v>14.9333333333333</v>
      </c>
      <c r="W349" s="344">
        <v>15.633333333333301</v>
      </c>
      <c r="X349" s="344">
        <v>17.266666666666701</v>
      </c>
      <c r="Y349" s="344">
        <v>16.100000000000001</v>
      </c>
      <c r="Z349" s="344">
        <v>12.8333333333333</v>
      </c>
      <c r="AA349" s="344">
        <v>9.1</v>
      </c>
      <c r="AB349" s="344">
        <v>8.8666666666666707</v>
      </c>
      <c r="AC349" s="344">
        <v>8.4</v>
      </c>
      <c r="AD349" s="344">
        <f t="shared" si="53"/>
        <v>-0.46666666666667034</v>
      </c>
      <c r="AE349" s="197">
        <v>5</v>
      </c>
      <c r="AF349" s="197">
        <v>5</v>
      </c>
      <c r="AG349" s="197">
        <v>5</v>
      </c>
      <c r="AH349" s="197">
        <v>5</v>
      </c>
      <c r="AI349" s="197">
        <v>5</v>
      </c>
      <c r="AJ349" s="197">
        <v>5</v>
      </c>
      <c r="AK349" s="197">
        <v>5</v>
      </c>
      <c r="AL349" s="197">
        <v>5</v>
      </c>
      <c r="AM349" s="197">
        <v>5</v>
      </c>
      <c r="AN349" s="197">
        <v>5</v>
      </c>
      <c r="AO349" s="197">
        <v>5</v>
      </c>
      <c r="AP349" s="197">
        <v>9</v>
      </c>
      <c r="AQ349" s="197">
        <v>3</v>
      </c>
      <c r="AR349" s="347">
        <v>14</v>
      </c>
      <c r="AS349" s="347">
        <v>12</v>
      </c>
      <c r="AT349" s="347">
        <v>12</v>
      </c>
      <c r="AU349" s="347">
        <v>11</v>
      </c>
      <c r="AV349" s="347">
        <v>8</v>
      </c>
      <c r="AW349" s="347">
        <v>13</v>
      </c>
      <c r="AX349" s="347">
        <v>7</v>
      </c>
      <c r="AY349" s="347">
        <v>10</v>
      </c>
      <c r="AZ349" s="347">
        <v>3</v>
      </c>
      <c r="BA349" s="347">
        <v>8</v>
      </c>
      <c r="BB349" s="347">
        <v>6</v>
      </c>
      <c r="BC349" s="347">
        <v>6</v>
      </c>
    </row>
    <row r="350" spans="1:55" s="381" customFormat="1" ht="17.649999999999999" customHeight="1">
      <c r="A350" s="343"/>
      <c r="B350" s="197" t="s">
        <v>2371</v>
      </c>
      <c r="C350" s="211" t="s">
        <v>2055</v>
      </c>
      <c r="D350" s="211" t="s">
        <v>2056</v>
      </c>
      <c r="E350" s="344">
        <v>4.6666666666666696</v>
      </c>
      <c r="F350" s="344">
        <v>4.6666666666666696</v>
      </c>
      <c r="G350" s="344">
        <v>4.6666666666666696</v>
      </c>
      <c r="H350" s="344">
        <v>4.6666666666666696</v>
      </c>
      <c r="I350" s="344">
        <v>4.6666666666666696</v>
      </c>
      <c r="J350" s="344">
        <v>4.6666666666666696</v>
      </c>
      <c r="K350" s="344">
        <v>4.6666666666666696</v>
      </c>
      <c r="L350" s="344">
        <v>4.6666666666666696</v>
      </c>
      <c r="M350" s="344">
        <v>4.6666666666666696</v>
      </c>
      <c r="N350" s="344">
        <v>4.6666666666666696</v>
      </c>
      <c r="O350" s="344">
        <v>4.6666666666666696</v>
      </c>
      <c r="P350" s="344">
        <v>5.1333333333333302</v>
      </c>
      <c r="Q350" s="344">
        <v>5.8333333333333304</v>
      </c>
      <c r="R350" s="344">
        <v>5.1333333333333302</v>
      </c>
      <c r="S350" s="344">
        <v>5.1333333333333302</v>
      </c>
      <c r="T350" s="344">
        <v>3.5</v>
      </c>
      <c r="U350" s="344">
        <v>4.6666666666666696</v>
      </c>
      <c r="V350" s="344">
        <v>5.6</v>
      </c>
      <c r="W350" s="344">
        <v>5.3666666666666698</v>
      </c>
      <c r="X350" s="344">
        <v>5.3666666666666698</v>
      </c>
      <c r="Y350" s="344">
        <v>5.1333333333333302</v>
      </c>
      <c r="Z350" s="344">
        <v>5.1333333333333302</v>
      </c>
      <c r="AA350" s="344">
        <v>4.43333333333333</v>
      </c>
      <c r="AB350" s="344">
        <v>5.3666666666666698</v>
      </c>
      <c r="AC350" s="344">
        <v>4.43333333333333</v>
      </c>
      <c r="AD350" s="344">
        <f t="shared" si="53"/>
        <v>-0.93333333333333979</v>
      </c>
      <c r="AE350" s="197">
        <v>2</v>
      </c>
      <c r="AF350" s="197">
        <v>2</v>
      </c>
      <c r="AG350" s="197">
        <v>2</v>
      </c>
      <c r="AH350" s="197">
        <v>2</v>
      </c>
      <c r="AI350" s="197">
        <v>2</v>
      </c>
      <c r="AJ350" s="197">
        <v>2</v>
      </c>
      <c r="AK350" s="197">
        <v>2</v>
      </c>
      <c r="AL350" s="197">
        <v>2</v>
      </c>
      <c r="AM350" s="197">
        <v>2</v>
      </c>
      <c r="AN350" s="197">
        <v>2</v>
      </c>
      <c r="AO350" s="197">
        <v>2</v>
      </c>
      <c r="AP350" s="197">
        <v>1</v>
      </c>
      <c r="AQ350" s="197">
        <v>2</v>
      </c>
      <c r="AR350" s="197">
        <v>1</v>
      </c>
      <c r="AS350" s="197">
        <v>2</v>
      </c>
      <c r="AT350" s="197">
        <v>2</v>
      </c>
      <c r="AU350" s="347">
        <v>2</v>
      </c>
      <c r="AV350" s="347">
        <v>1</v>
      </c>
      <c r="AW350" s="347">
        <v>1</v>
      </c>
      <c r="AX350" s="347">
        <v>2</v>
      </c>
      <c r="AY350" s="347">
        <v>1</v>
      </c>
      <c r="AZ350" s="347">
        <v>2</v>
      </c>
      <c r="BA350" s="347">
        <v>1</v>
      </c>
      <c r="BB350" s="347">
        <v>2</v>
      </c>
      <c r="BC350" s="347">
        <v>2</v>
      </c>
    </row>
    <row r="351" spans="1:55" s="381" customFormat="1" ht="17.649999999999999" customHeight="1">
      <c r="A351" s="343"/>
      <c r="B351" s="197" t="s">
        <v>2372</v>
      </c>
      <c r="C351" s="211" t="s">
        <v>2055</v>
      </c>
      <c r="D351" s="211" t="s">
        <v>2056</v>
      </c>
      <c r="E351" s="344">
        <v>4.43333333333333</v>
      </c>
      <c r="F351" s="344">
        <v>4.43333333333333</v>
      </c>
      <c r="G351" s="344">
        <v>4.43333333333333</v>
      </c>
      <c r="H351" s="344">
        <v>4.43333333333333</v>
      </c>
      <c r="I351" s="344">
        <v>4.43333333333333</v>
      </c>
      <c r="J351" s="344">
        <v>4.43333333333333</v>
      </c>
      <c r="K351" s="344">
        <v>4.43333333333333</v>
      </c>
      <c r="L351" s="344">
        <v>4.43333333333333</v>
      </c>
      <c r="M351" s="344">
        <v>4.43333333333333</v>
      </c>
      <c r="N351" s="344">
        <v>4.43333333333333</v>
      </c>
      <c r="O351" s="344">
        <v>4.43333333333333</v>
      </c>
      <c r="P351" s="344">
        <v>5.6</v>
      </c>
      <c r="Q351" s="344">
        <v>6.7666666666666702</v>
      </c>
      <c r="R351" s="344">
        <v>7.93333333333333</v>
      </c>
      <c r="S351" s="344">
        <v>7.7</v>
      </c>
      <c r="T351" s="344">
        <v>6.3</v>
      </c>
      <c r="U351" s="344">
        <v>6.3</v>
      </c>
      <c r="V351" s="344">
        <v>5.3666666666666698</v>
      </c>
      <c r="W351" s="344">
        <v>5.1333333333333302</v>
      </c>
      <c r="X351" s="344">
        <v>4.43333333333333</v>
      </c>
      <c r="Y351" s="344">
        <v>3.9666666666666699</v>
      </c>
      <c r="Z351" s="344">
        <v>3.0333333333333301</v>
      </c>
      <c r="AA351" s="344">
        <v>3.0333333333333301</v>
      </c>
      <c r="AB351" s="344">
        <v>2.56666666666667</v>
      </c>
      <c r="AC351" s="344">
        <v>1.4</v>
      </c>
      <c r="AD351" s="344">
        <f t="shared" si="53"/>
        <v>-1.1666666666666701</v>
      </c>
      <c r="AE351" s="197">
        <v>1</v>
      </c>
      <c r="AF351" s="197">
        <v>1</v>
      </c>
      <c r="AG351" s="197">
        <v>1</v>
      </c>
      <c r="AH351" s="197">
        <v>1</v>
      </c>
      <c r="AI351" s="197">
        <v>1</v>
      </c>
      <c r="AJ351" s="197">
        <v>1</v>
      </c>
      <c r="AK351" s="197">
        <v>1</v>
      </c>
      <c r="AL351" s="197">
        <v>1</v>
      </c>
      <c r="AM351" s="197">
        <v>1</v>
      </c>
      <c r="AN351" s="197">
        <v>1</v>
      </c>
      <c r="AO351" s="197">
        <v>1</v>
      </c>
      <c r="AP351" s="197">
        <v>1</v>
      </c>
      <c r="AQ351" s="197">
        <v>2</v>
      </c>
      <c r="AR351" s="197">
        <v>2</v>
      </c>
      <c r="AS351" s="197">
        <v>1</v>
      </c>
      <c r="AT351" s="197">
        <v>2</v>
      </c>
      <c r="AU351" s="347">
        <v>9</v>
      </c>
      <c r="AV351" s="347">
        <v>2</v>
      </c>
      <c r="AW351" s="347">
        <v>5</v>
      </c>
      <c r="AX351" s="347">
        <v>1</v>
      </c>
      <c r="AY351" s="347">
        <v>4</v>
      </c>
      <c r="AZ351" s="347">
        <v>2</v>
      </c>
      <c r="BA351" s="347">
        <v>1</v>
      </c>
      <c r="BB351" s="347">
        <v>2</v>
      </c>
      <c r="BC351" s="347">
        <v>2</v>
      </c>
    </row>
    <row r="352" spans="1:55" s="381" customFormat="1" ht="17.649999999999999" customHeight="1">
      <c r="A352" s="343"/>
      <c r="B352" s="197" t="s">
        <v>2373</v>
      </c>
      <c r="C352" s="211" t="s">
        <v>2055</v>
      </c>
      <c r="D352" s="211" t="s">
        <v>2056</v>
      </c>
      <c r="E352" s="344">
        <v>8.4</v>
      </c>
      <c r="F352" s="344">
        <v>8.4</v>
      </c>
      <c r="G352" s="344">
        <v>8.4</v>
      </c>
      <c r="H352" s="344">
        <v>8.4</v>
      </c>
      <c r="I352" s="344">
        <v>8.4</v>
      </c>
      <c r="J352" s="344">
        <v>8.4</v>
      </c>
      <c r="K352" s="344">
        <v>8.4</v>
      </c>
      <c r="L352" s="344">
        <v>8.4</v>
      </c>
      <c r="M352" s="344">
        <v>8.4</v>
      </c>
      <c r="N352" s="344">
        <v>8.4</v>
      </c>
      <c r="O352" s="344">
        <v>8.4</v>
      </c>
      <c r="P352" s="344">
        <v>9.8000000000000007</v>
      </c>
      <c r="Q352" s="344">
        <v>12.8333333333333</v>
      </c>
      <c r="R352" s="344">
        <v>12.133333333333301</v>
      </c>
      <c r="S352" s="344">
        <v>12.133333333333301</v>
      </c>
      <c r="T352" s="344">
        <v>10.966666666666701</v>
      </c>
      <c r="U352" s="344">
        <v>10.733333333333301</v>
      </c>
      <c r="V352" s="344">
        <v>10.966666666666701</v>
      </c>
      <c r="W352" s="344">
        <v>10.966666666666701</v>
      </c>
      <c r="X352" s="344">
        <v>10.033333333333299</v>
      </c>
      <c r="Y352" s="344">
        <v>10.733333333333301</v>
      </c>
      <c r="Z352" s="344">
        <v>10.266666666666699</v>
      </c>
      <c r="AA352" s="344">
        <v>9.8000000000000007</v>
      </c>
      <c r="AB352" s="344">
        <v>8.8666666666666707</v>
      </c>
      <c r="AC352" s="344">
        <v>6.7666666666666702</v>
      </c>
      <c r="AD352" s="344">
        <f t="shared" si="53"/>
        <v>-2.1000000000000005</v>
      </c>
      <c r="AE352" s="197">
        <v>1</v>
      </c>
      <c r="AF352" s="197">
        <v>1</v>
      </c>
      <c r="AG352" s="197">
        <v>1</v>
      </c>
      <c r="AH352" s="197">
        <v>1</v>
      </c>
      <c r="AI352" s="197">
        <v>1</v>
      </c>
      <c r="AJ352" s="197">
        <v>1</v>
      </c>
      <c r="AK352" s="197">
        <v>1</v>
      </c>
      <c r="AL352" s="197">
        <v>1</v>
      </c>
      <c r="AM352" s="197">
        <v>1</v>
      </c>
      <c r="AN352" s="197">
        <v>1</v>
      </c>
      <c r="AO352" s="197">
        <v>1</v>
      </c>
      <c r="AP352" s="197">
        <v>4</v>
      </c>
      <c r="AQ352" s="197">
        <v>1</v>
      </c>
      <c r="AR352" s="197">
        <v>4</v>
      </c>
      <c r="AS352" s="197">
        <v>1</v>
      </c>
      <c r="AT352" s="197">
        <v>1</v>
      </c>
      <c r="AU352" s="347">
        <v>1</v>
      </c>
      <c r="AV352" s="347">
        <v>1</v>
      </c>
      <c r="AW352" s="347">
        <v>1</v>
      </c>
      <c r="AX352" s="347">
        <v>1</v>
      </c>
      <c r="AY352" s="347">
        <v>1</v>
      </c>
      <c r="AZ352" s="347">
        <v>1</v>
      </c>
      <c r="BA352" s="347">
        <v>1</v>
      </c>
      <c r="BB352" s="347">
        <v>1</v>
      </c>
      <c r="BC352" s="347">
        <v>4</v>
      </c>
    </row>
    <row r="353" spans="1:55" s="381" customFormat="1" ht="17.649999999999999" customHeight="1">
      <c r="A353" s="343"/>
      <c r="B353" s="197" t="s">
        <v>2374</v>
      </c>
      <c r="C353" s="211" t="s">
        <v>2055</v>
      </c>
      <c r="D353" s="211" t="s">
        <v>2056</v>
      </c>
      <c r="E353" s="344">
        <v>5.1333333333333302</v>
      </c>
      <c r="F353" s="344">
        <v>5.1333333333333302</v>
      </c>
      <c r="G353" s="344">
        <v>5.1333333333333302</v>
      </c>
      <c r="H353" s="344">
        <v>5.1333333333333302</v>
      </c>
      <c r="I353" s="344">
        <v>5.1333333333333302</v>
      </c>
      <c r="J353" s="344">
        <v>5.1333333333333302</v>
      </c>
      <c r="K353" s="344">
        <v>5.1333333333333302</v>
      </c>
      <c r="L353" s="344">
        <v>5.1333333333333302</v>
      </c>
      <c r="M353" s="344">
        <v>5.1333333333333302</v>
      </c>
      <c r="N353" s="344">
        <v>5.1333333333333302</v>
      </c>
      <c r="O353" s="344">
        <v>5.1333333333333302</v>
      </c>
      <c r="P353" s="344">
        <v>6.7666666666666702</v>
      </c>
      <c r="Q353" s="344">
        <v>8.6333333333333293</v>
      </c>
      <c r="R353" s="344">
        <v>9.56666666666667</v>
      </c>
      <c r="S353" s="344">
        <v>10.266666666666699</v>
      </c>
      <c r="T353" s="344">
        <v>8.8666666666666707</v>
      </c>
      <c r="U353" s="344">
        <v>8.4</v>
      </c>
      <c r="V353" s="344">
        <v>6.3</v>
      </c>
      <c r="W353" s="344">
        <v>8.6333333333333293</v>
      </c>
      <c r="X353" s="344">
        <v>9.1</v>
      </c>
      <c r="Y353" s="344">
        <v>8.6333333333333293</v>
      </c>
      <c r="Z353" s="344">
        <v>9.1</v>
      </c>
      <c r="AA353" s="344">
        <v>8.6333333333333293</v>
      </c>
      <c r="AB353" s="344">
        <v>10.966666666666701</v>
      </c>
      <c r="AC353" s="344">
        <v>8.6333333333333293</v>
      </c>
      <c r="AD353" s="344">
        <f t="shared" si="53"/>
        <v>-2.3333333333333712</v>
      </c>
      <c r="AE353" s="197">
        <v>9</v>
      </c>
      <c r="AF353" s="197">
        <v>9</v>
      </c>
      <c r="AG353" s="197">
        <v>9</v>
      </c>
      <c r="AH353" s="197">
        <v>9</v>
      </c>
      <c r="AI353" s="197">
        <v>9</v>
      </c>
      <c r="AJ353" s="197">
        <v>9</v>
      </c>
      <c r="AK353" s="197">
        <v>9</v>
      </c>
      <c r="AL353" s="197">
        <v>9</v>
      </c>
      <c r="AM353" s="197">
        <v>9</v>
      </c>
      <c r="AN353" s="197">
        <v>9</v>
      </c>
      <c r="AO353" s="197">
        <v>9</v>
      </c>
      <c r="AP353" s="197">
        <v>10</v>
      </c>
      <c r="AQ353" s="197">
        <v>6</v>
      </c>
      <c r="AR353" s="197">
        <v>10</v>
      </c>
      <c r="AS353" s="197">
        <v>8</v>
      </c>
      <c r="AT353" s="197">
        <v>8</v>
      </c>
      <c r="AU353" s="347">
        <v>8</v>
      </c>
      <c r="AV353" s="347">
        <v>8</v>
      </c>
      <c r="AW353" s="347">
        <v>3</v>
      </c>
      <c r="AX353" s="347">
        <v>5</v>
      </c>
      <c r="AY353" s="347">
        <v>5</v>
      </c>
      <c r="AZ353" s="347">
        <v>8</v>
      </c>
      <c r="BA353" s="347">
        <v>9</v>
      </c>
      <c r="BB353" s="347">
        <v>7</v>
      </c>
      <c r="BC353" s="347">
        <v>8</v>
      </c>
    </row>
    <row r="354" spans="1:55" s="381" customFormat="1" ht="17.649999999999999" customHeight="1">
      <c r="A354" s="343"/>
      <c r="B354" s="197" t="s">
        <v>2375</v>
      </c>
      <c r="C354" s="211" t="s">
        <v>2055</v>
      </c>
      <c r="D354" s="211" t="s">
        <v>2056</v>
      </c>
      <c r="E354" s="344">
        <v>27.066666666666698</v>
      </c>
      <c r="F354" s="344">
        <v>27.066666666666698</v>
      </c>
      <c r="G354" s="344">
        <v>27.066666666666698</v>
      </c>
      <c r="H354" s="344">
        <v>27.066666666666698</v>
      </c>
      <c r="I354" s="344">
        <v>27.066666666666698</v>
      </c>
      <c r="J354" s="344">
        <v>27.066666666666698</v>
      </c>
      <c r="K354" s="344">
        <v>27.066666666666698</v>
      </c>
      <c r="L354" s="344">
        <v>27.066666666666698</v>
      </c>
      <c r="M354" s="344">
        <v>27.066666666666698</v>
      </c>
      <c r="N354" s="344">
        <v>27.066666666666698</v>
      </c>
      <c r="O354" s="344">
        <v>27.066666666666698</v>
      </c>
      <c r="P354" s="344">
        <v>29.866666666666699</v>
      </c>
      <c r="Q354" s="344">
        <v>40.6</v>
      </c>
      <c r="R354" s="344">
        <v>51.566666666666698</v>
      </c>
      <c r="S354" s="344">
        <v>58.566666666666698</v>
      </c>
      <c r="T354" s="344">
        <v>59.5</v>
      </c>
      <c r="U354" s="344">
        <v>59.033333333333303</v>
      </c>
      <c r="V354" s="344">
        <v>85.866666666666703</v>
      </c>
      <c r="W354" s="344">
        <v>123.9</v>
      </c>
      <c r="X354" s="344">
        <v>162.4</v>
      </c>
      <c r="Y354" s="344">
        <v>208.36666666666699</v>
      </c>
      <c r="Z354" s="344">
        <v>228.433333333333</v>
      </c>
      <c r="AA354" s="344">
        <v>184.8</v>
      </c>
      <c r="AB354" s="344">
        <v>168.23333333333301</v>
      </c>
      <c r="AC354" s="344">
        <v>148.4</v>
      </c>
      <c r="AD354" s="344">
        <f t="shared" si="53"/>
        <v>-19.833333333333002</v>
      </c>
      <c r="AE354" s="197">
        <v>16</v>
      </c>
      <c r="AF354" s="197">
        <v>16</v>
      </c>
      <c r="AG354" s="197">
        <v>16</v>
      </c>
      <c r="AH354" s="197">
        <v>16</v>
      </c>
      <c r="AI354" s="197">
        <v>16</v>
      </c>
      <c r="AJ354" s="197">
        <v>16</v>
      </c>
      <c r="AK354" s="197">
        <v>16</v>
      </c>
      <c r="AL354" s="197">
        <v>16</v>
      </c>
      <c r="AM354" s="197">
        <v>16</v>
      </c>
      <c r="AN354" s="197">
        <v>16</v>
      </c>
      <c r="AO354" s="197">
        <v>16</v>
      </c>
      <c r="AP354" s="347">
        <v>27</v>
      </c>
      <c r="AQ354" s="197">
        <v>1</v>
      </c>
      <c r="AR354" s="197">
        <v>3</v>
      </c>
      <c r="AS354" s="197">
        <v>8</v>
      </c>
      <c r="AT354" s="197">
        <v>3</v>
      </c>
      <c r="AU354" s="347">
        <v>12</v>
      </c>
      <c r="AV354" s="347">
        <v>3</v>
      </c>
      <c r="AW354" s="347">
        <v>3</v>
      </c>
      <c r="AX354" s="347">
        <v>9</v>
      </c>
      <c r="AY354" s="347">
        <v>8</v>
      </c>
      <c r="AZ354" s="347">
        <v>2</v>
      </c>
      <c r="BA354" s="347">
        <v>10</v>
      </c>
      <c r="BB354" s="347">
        <v>9</v>
      </c>
      <c r="BC354" s="347">
        <v>9</v>
      </c>
    </row>
    <row r="355" spans="1:55" s="381" customFormat="1" ht="17.649999999999999" customHeight="1">
      <c r="A355" s="343"/>
      <c r="B355" s="197" t="s">
        <v>2376</v>
      </c>
      <c r="C355" s="211" t="s">
        <v>2055</v>
      </c>
      <c r="D355" s="211" t="s">
        <v>2056</v>
      </c>
      <c r="E355" s="344">
        <v>2.1</v>
      </c>
      <c r="F355" s="344">
        <v>2.1</v>
      </c>
      <c r="G355" s="344">
        <v>2.1</v>
      </c>
      <c r="H355" s="344">
        <v>2.1</v>
      </c>
      <c r="I355" s="344">
        <v>2.1</v>
      </c>
      <c r="J355" s="344">
        <v>2.1</v>
      </c>
      <c r="K355" s="344">
        <v>2.1</v>
      </c>
      <c r="L355" s="344">
        <v>2.1</v>
      </c>
      <c r="M355" s="344">
        <v>2.1</v>
      </c>
      <c r="N355" s="344">
        <v>2.1</v>
      </c>
      <c r="O355" s="344">
        <v>2.1</v>
      </c>
      <c r="P355" s="344">
        <v>2.1</v>
      </c>
      <c r="Q355" s="344">
        <v>3.2666666666666702</v>
      </c>
      <c r="R355" s="344">
        <v>3.5</v>
      </c>
      <c r="S355" s="344">
        <v>3.5</v>
      </c>
      <c r="T355" s="344">
        <v>4.6666666666666696</v>
      </c>
      <c r="U355" s="344">
        <v>4.43333333333333</v>
      </c>
      <c r="V355" s="344">
        <v>4.2</v>
      </c>
      <c r="W355" s="344">
        <v>3.5</v>
      </c>
      <c r="X355" s="344">
        <v>4.2</v>
      </c>
      <c r="Y355" s="344">
        <v>5.6</v>
      </c>
      <c r="Z355" s="344">
        <v>5.3666666666666698</v>
      </c>
      <c r="AA355" s="344">
        <v>5.6</v>
      </c>
      <c r="AB355" s="344">
        <v>3.9666666666666699</v>
      </c>
      <c r="AC355" s="344">
        <v>1.86666666666667</v>
      </c>
      <c r="AD355" s="344">
        <f t="shared" si="53"/>
        <v>-2.0999999999999996</v>
      </c>
      <c r="AE355" s="197">
        <v>1</v>
      </c>
      <c r="AF355" s="197">
        <v>1</v>
      </c>
      <c r="AG355" s="197">
        <v>1</v>
      </c>
      <c r="AH355" s="197">
        <v>1</v>
      </c>
      <c r="AI355" s="197">
        <v>1</v>
      </c>
      <c r="AJ355" s="197">
        <v>1</v>
      </c>
      <c r="AK355" s="197">
        <v>1</v>
      </c>
      <c r="AL355" s="197">
        <v>1</v>
      </c>
      <c r="AM355" s="197">
        <v>1</v>
      </c>
      <c r="AN355" s="197">
        <v>1</v>
      </c>
      <c r="AO355" s="197">
        <v>1</v>
      </c>
      <c r="AP355" s="197">
        <v>1</v>
      </c>
      <c r="AQ355" s="197">
        <v>1</v>
      </c>
      <c r="AR355" s="197">
        <v>3</v>
      </c>
      <c r="AS355" s="197">
        <v>9</v>
      </c>
      <c r="AT355" s="197">
        <v>1</v>
      </c>
      <c r="AU355" s="347">
        <v>1</v>
      </c>
      <c r="AV355" s="347">
        <v>1</v>
      </c>
      <c r="AW355" s="347">
        <v>1</v>
      </c>
      <c r="AX355" s="347">
        <v>1</v>
      </c>
      <c r="AY355" s="347">
        <v>1</v>
      </c>
      <c r="AZ355" s="347">
        <v>2</v>
      </c>
      <c r="BA355" s="347">
        <v>2</v>
      </c>
      <c r="BB355" s="347">
        <v>2</v>
      </c>
      <c r="BC355" s="347">
        <v>2</v>
      </c>
    </row>
    <row r="356" spans="1:55" s="381" customFormat="1" ht="17.649999999999999" customHeight="1">
      <c r="A356" s="343"/>
      <c r="B356" s="197" t="s">
        <v>2377</v>
      </c>
      <c r="C356" s="211" t="s">
        <v>2055</v>
      </c>
      <c r="D356" s="211" t="s">
        <v>2056</v>
      </c>
      <c r="E356" s="344">
        <v>2.56666666666667</v>
      </c>
      <c r="F356" s="344">
        <v>2.56666666666667</v>
      </c>
      <c r="G356" s="344">
        <v>2.56666666666667</v>
      </c>
      <c r="H356" s="344">
        <v>2.56666666666667</v>
      </c>
      <c r="I356" s="344">
        <v>2.56666666666667</v>
      </c>
      <c r="J356" s="344">
        <v>2.56666666666667</v>
      </c>
      <c r="K356" s="344">
        <v>2.56666666666667</v>
      </c>
      <c r="L356" s="344">
        <v>2.56666666666667</v>
      </c>
      <c r="M356" s="344">
        <v>2.56666666666667</v>
      </c>
      <c r="N356" s="344">
        <v>2.56666666666667</v>
      </c>
      <c r="O356" s="344">
        <v>2.56666666666667</v>
      </c>
      <c r="P356" s="344">
        <v>3.0333333333333301</v>
      </c>
      <c r="Q356" s="344">
        <v>3.5</v>
      </c>
      <c r="R356" s="344">
        <v>5.1333333333333302</v>
      </c>
      <c r="S356" s="344">
        <v>5.1333333333333302</v>
      </c>
      <c r="T356" s="344">
        <v>3.9666666666666699</v>
      </c>
      <c r="U356" s="344">
        <v>5.1333333333333302</v>
      </c>
      <c r="V356" s="344">
        <v>3.5</v>
      </c>
      <c r="W356" s="344">
        <v>3.5</v>
      </c>
      <c r="X356" s="344">
        <v>3.5</v>
      </c>
      <c r="Y356" s="344">
        <v>2.56666666666667</v>
      </c>
      <c r="Z356" s="344">
        <v>2.56666666666667</v>
      </c>
      <c r="AA356" s="344">
        <v>2.56666666666667</v>
      </c>
      <c r="AB356" s="344">
        <v>3.9666666666666699</v>
      </c>
      <c r="AC356" s="344">
        <v>3.5</v>
      </c>
      <c r="AD356" s="344">
        <f t="shared" si="53"/>
        <v>-0.46666666666666989</v>
      </c>
      <c r="AE356" s="197">
        <v>1</v>
      </c>
      <c r="AF356" s="197">
        <v>1</v>
      </c>
      <c r="AG356" s="197">
        <v>1</v>
      </c>
      <c r="AH356" s="197">
        <v>1</v>
      </c>
      <c r="AI356" s="197">
        <v>1</v>
      </c>
      <c r="AJ356" s="197">
        <v>1</v>
      </c>
      <c r="AK356" s="197">
        <v>1</v>
      </c>
      <c r="AL356" s="197">
        <v>1</v>
      </c>
      <c r="AM356" s="197">
        <v>1</v>
      </c>
      <c r="AN356" s="197">
        <v>1</v>
      </c>
      <c r="AO356" s="197">
        <v>1</v>
      </c>
      <c r="AP356" s="197">
        <v>1</v>
      </c>
      <c r="AQ356" s="347">
        <v>12</v>
      </c>
      <c r="AR356" s="197">
        <v>9</v>
      </c>
      <c r="AS356" s="197">
        <v>1</v>
      </c>
      <c r="AT356" s="197">
        <v>1</v>
      </c>
      <c r="AU356" s="347">
        <v>1</v>
      </c>
      <c r="AV356" s="347">
        <v>1</v>
      </c>
      <c r="AW356" s="347">
        <v>10</v>
      </c>
      <c r="AX356" s="347">
        <v>9</v>
      </c>
      <c r="AY356" s="347">
        <v>1</v>
      </c>
      <c r="AZ356" s="347">
        <v>1</v>
      </c>
      <c r="BA356" s="347">
        <v>1</v>
      </c>
      <c r="BB356" s="347">
        <v>7</v>
      </c>
      <c r="BC356" s="347">
        <v>3</v>
      </c>
    </row>
    <row r="357" spans="1:55" s="381" customFormat="1" ht="17.649999999999999" customHeight="1">
      <c r="A357" s="343"/>
      <c r="B357" s="197" t="s">
        <v>2378</v>
      </c>
      <c r="C357" s="211" t="s">
        <v>2055</v>
      </c>
      <c r="D357" s="211" t="s">
        <v>2056</v>
      </c>
      <c r="E357" s="344">
        <v>0.233333333333333</v>
      </c>
      <c r="F357" s="344">
        <v>0.233333333333333</v>
      </c>
      <c r="G357" s="344">
        <v>0.233333333333333</v>
      </c>
      <c r="H357" s="344">
        <v>0.233333333333333</v>
      </c>
      <c r="I357" s="344">
        <v>0.233333333333333</v>
      </c>
      <c r="J357" s="344">
        <v>0.233333333333333</v>
      </c>
      <c r="K357" s="344">
        <v>0.233333333333333</v>
      </c>
      <c r="L357" s="344">
        <v>0.233333333333333</v>
      </c>
      <c r="M357" s="344">
        <v>0.233333333333333</v>
      </c>
      <c r="N357" s="344">
        <v>0.233333333333333</v>
      </c>
      <c r="O357" s="344">
        <v>0.233333333333333</v>
      </c>
      <c r="P357" s="344">
        <v>1.4</v>
      </c>
      <c r="Q357" s="344">
        <v>2.1</v>
      </c>
      <c r="R357" s="344">
        <v>4.43333333333333</v>
      </c>
      <c r="S357" s="344">
        <v>6.5333333333333297</v>
      </c>
      <c r="T357" s="344">
        <v>5.8333333333333304</v>
      </c>
      <c r="U357" s="344">
        <v>5.8333333333333304</v>
      </c>
      <c r="V357" s="344">
        <v>4.43333333333333</v>
      </c>
      <c r="W357" s="344">
        <v>2.1</v>
      </c>
      <c r="X357" s="344">
        <v>2.56666666666667</v>
      </c>
      <c r="Y357" s="344">
        <v>3.2666666666666702</v>
      </c>
      <c r="Z357" s="344">
        <v>4.43333333333333</v>
      </c>
      <c r="AA357" s="344">
        <v>4.2</v>
      </c>
      <c r="AB357" s="344">
        <v>4.2</v>
      </c>
      <c r="AC357" s="344">
        <v>4.2</v>
      </c>
      <c r="AD357" s="344">
        <f t="shared" si="53"/>
        <v>0</v>
      </c>
      <c r="AE357" s="197">
        <v>9</v>
      </c>
      <c r="AF357" s="197">
        <v>9</v>
      </c>
      <c r="AG357" s="197">
        <v>9</v>
      </c>
      <c r="AH357" s="197">
        <v>9</v>
      </c>
      <c r="AI357" s="197">
        <v>9</v>
      </c>
      <c r="AJ357" s="197">
        <v>9</v>
      </c>
      <c r="AK357" s="197">
        <v>9</v>
      </c>
      <c r="AL357" s="197">
        <v>9</v>
      </c>
      <c r="AM357" s="197">
        <v>9</v>
      </c>
      <c r="AN357" s="197">
        <v>9</v>
      </c>
      <c r="AO357" s="197">
        <v>9</v>
      </c>
      <c r="AP357" s="197">
        <v>1</v>
      </c>
      <c r="AQ357" s="347">
        <v>1</v>
      </c>
      <c r="AR357" s="197">
        <v>1</v>
      </c>
      <c r="AS357" s="197">
        <v>1</v>
      </c>
      <c r="AT357" s="197">
        <v>1</v>
      </c>
      <c r="AU357" s="347">
        <v>1</v>
      </c>
      <c r="AV357" s="347">
        <v>1</v>
      </c>
      <c r="AW357" s="347">
        <v>1</v>
      </c>
      <c r="AX357" s="347">
        <v>1</v>
      </c>
      <c r="AY357" s="347">
        <v>1</v>
      </c>
      <c r="AZ357" s="347">
        <v>8</v>
      </c>
      <c r="BA357" s="347">
        <v>1</v>
      </c>
      <c r="BB357" s="347">
        <v>3</v>
      </c>
      <c r="BC357" s="347">
        <v>1</v>
      </c>
    </row>
    <row r="358" spans="1:55" s="381" customFormat="1" ht="17.649999999999999" customHeight="1">
      <c r="A358" s="343"/>
      <c r="B358" s="197" t="s">
        <v>2379</v>
      </c>
      <c r="C358" s="211" t="s">
        <v>2055</v>
      </c>
      <c r="D358" s="211" t="s">
        <v>2056</v>
      </c>
      <c r="E358" s="344">
        <v>1.4</v>
      </c>
      <c r="F358" s="344">
        <v>1.4</v>
      </c>
      <c r="G358" s="344">
        <v>1.4</v>
      </c>
      <c r="H358" s="344">
        <v>1.4</v>
      </c>
      <c r="I358" s="344">
        <v>1.4</v>
      </c>
      <c r="J358" s="344">
        <v>1.4</v>
      </c>
      <c r="K358" s="344">
        <v>1.4</v>
      </c>
      <c r="L358" s="344">
        <v>1.4</v>
      </c>
      <c r="M358" s="344">
        <v>1.4</v>
      </c>
      <c r="N358" s="344">
        <v>1.4</v>
      </c>
      <c r="O358" s="344">
        <v>1.4</v>
      </c>
      <c r="P358" s="344">
        <v>2.1</v>
      </c>
      <c r="Q358" s="344">
        <v>1.86666666666667</v>
      </c>
      <c r="R358" s="344">
        <v>2.56666666666667</v>
      </c>
      <c r="S358" s="344">
        <v>3.9666666666666699</v>
      </c>
      <c r="T358" s="344">
        <v>3.2666666666666702</v>
      </c>
      <c r="U358" s="344">
        <v>3.2666666666666702</v>
      </c>
      <c r="V358" s="344">
        <v>3.2666666666666702</v>
      </c>
      <c r="W358" s="344">
        <v>2.56666666666667</v>
      </c>
      <c r="X358" s="344">
        <v>2.56666666666667</v>
      </c>
      <c r="Y358" s="344">
        <v>3.0333333333333301</v>
      </c>
      <c r="Z358" s="344">
        <v>3.0333333333333301</v>
      </c>
      <c r="AA358" s="344">
        <v>3.2666666666666702</v>
      </c>
      <c r="AB358" s="344">
        <v>2.56666666666667</v>
      </c>
      <c r="AC358" s="344">
        <v>1.4</v>
      </c>
      <c r="AD358" s="344">
        <f t="shared" si="53"/>
        <v>-1.1666666666666701</v>
      </c>
      <c r="AE358" s="197">
        <v>1</v>
      </c>
      <c r="AF358" s="197">
        <v>1</v>
      </c>
      <c r="AG358" s="197">
        <v>1</v>
      </c>
      <c r="AH358" s="197">
        <v>1</v>
      </c>
      <c r="AI358" s="197">
        <v>1</v>
      </c>
      <c r="AJ358" s="197">
        <v>1</v>
      </c>
      <c r="AK358" s="197">
        <v>1</v>
      </c>
      <c r="AL358" s="197">
        <v>1</v>
      </c>
      <c r="AM358" s="197">
        <v>1</v>
      </c>
      <c r="AN358" s="197">
        <v>1</v>
      </c>
      <c r="AO358" s="197">
        <v>1</v>
      </c>
      <c r="AP358" s="197">
        <v>8</v>
      </c>
      <c r="AQ358" s="197">
        <v>8</v>
      </c>
      <c r="AR358" s="197">
        <v>1</v>
      </c>
      <c r="AS358" s="197">
        <v>1</v>
      </c>
      <c r="AT358" s="197">
        <v>1</v>
      </c>
      <c r="AU358" s="347">
        <v>1</v>
      </c>
      <c r="AV358" s="347">
        <v>1</v>
      </c>
      <c r="AW358" s="347">
        <v>1</v>
      </c>
      <c r="AX358" s="347">
        <v>1</v>
      </c>
      <c r="AY358" s="347">
        <v>1</v>
      </c>
      <c r="AZ358" s="347">
        <v>1</v>
      </c>
      <c r="BA358" s="347">
        <v>1</v>
      </c>
      <c r="BB358" s="347">
        <v>1</v>
      </c>
      <c r="BC358" s="347">
        <v>8</v>
      </c>
    </row>
    <row r="359" spans="1:55" s="381" customFormat="1" ht="17.649999999999999" customHeight="1">
      <c r="A359" s="343"/>
      <c r="B359" s="197" t="s">
        <v>2380</v>
      </c>
      <c r="C359" s="211" t="s">
        <v>2055</v>
      </c>
      <c r="D359" s="211" t="s">
        <v>2056</v>
      </c>
      <c r="E359" s="344">
        <v>2.1</v>
      </c>
      <c r="F359" s="344">
        <v>2.1</v>
      </c>
      <c r="G359" s="344">
        <v>2.1</v>
      </c>
      <c r="H359" s="344">
        <v>2.1</v>
      </c>
      <c r="I359" s="344">
        <v>2.1</v>
      </c>
      <c r="J359" s="344">
        <v>2.1</v>
      </c>
      <c r="K359" s="344">
        <v>2.1</v>
      </c>
      <c r="L359" s="344">
        <v>2.1</v>
      </c>
      <c r="M359" s="344">
        <v>2.1</v>
      </c>
      <c r="N359" s="344">
        <v>2.1</v>
      </c>
      <c r="O359" s="344">
        <v>2.1</v>
      </c>
      <c r="P359" s="344">
        <v>2.56666666666667</v>
      </c>
      <c r="Q359" s="344">
        <v>4.2</v>
      </c>
      <c r="R359" s="344">
        <v>4.6666666666666696</v>
      </c>
      <c r="S359" s="344">
        <v>7</v>
      </c>
      <c r="T359" s="344">
        <v>6.5333333333333297</v>
      </c>
      <c r="U359" s="344">
        <v>6.7666666666666702</v>
      </c>
      <c r="V359" s="344">
        <v>5.8333333333333304</v>
      </c>
      <c r="W359" s="344">
        <v>3.5</v>
      </c>
      <c r="X359" s="344">
        <v>4.2</v>
      </c>
      <c r="Y359" s="344">
        <v>4.43333333333333</v>
      </c>
      <c r="Z359" s="344">
        <v>4.43333333333333</v>
      </c>
      <c r="AA359" s="344">
        <v>5.3666666666666698</v>
      </c>
      <c r="AB359" s="344">
        <v>5.1333333333333302</v>
      </c>
      <c r="AC359" s="344">
        <v>2.56666666666667</v>
      </c>
      <c r="AD359" s="344">
        <f t="shared" si="53"/>
        <v>-2.5666666666666602</v>
      </c>
      <c r="AE359" s="197">
        <v>9</v>
      </c>
      <c r="AF359" s="197">
        <v>9</v>
      </c>
      <c r="AG359" s="197">
        <v>9</v>
      </c>
      <c r="AH359" s="197">
        <v>9</v>
      </c>
      <c r="AI359" s="197">
        <v>9</v>
      </c>
      <c r="AJ359" s="197">
        <v>9</v>
      </c>
      <c r="AK359" s="197">
        <v>9</v>
      </c>
      <c r="AL359" s="197">
        <v>9</v>
      </c>
      <c r="AM359" s="197">
        <v>9</v>
      </c>
      <c r="AN359" s="197">
        <v>9</v>
      </c>
      <c r="AO359" s="197">
        <v>9</v>
      </c>
      <c r="AP359" s="197">
        <v>3</v>
      </c>
      <c r="AQ359" s="197">
        <v>9</v>
      </c>
      <c r="AR359" s="197">
        <v>3</v>
      </c>
      <c r="AS359" s="197">
        <v>4</v>
      </c>
      <c r="AT359" s="197">
        <v>4</v>
      </c>
      <c r="AU359" s="347">
        <v>3</v>
      </c>
      <c r="AV359" s="347">
        <v>9</v>
      </c>
      <c r="AW359" s="347">
        <v>3</v>
      </c>
      <c r="AX359" s="347">
        <v>3</v>
      </c>
      <c r="AY359" s="347">
        <v>8</v>
      </c>
      <c r="AZ359" s="347">
        <v>3</v>
      </c>
      <c r="BA359" s="347">
        <v>10</v>
      </c>
      <c r="BB359" s="347">
        <v>9</v>
      </c>
      <c r="BC359" s="347">
        <v>9</v>
      </c>
    </row>
    <row r="360" spans="1:55" s="381" customFormat="1" ht="17.649999999999999" customHeight="1">
      <c r="A360" s="343"/>
      <c r="B360" s="197" t="s">
        <v>2381</v>
      </c>
      <c r="C360" s="211" t="s">
        <v>2055</v>
      </c>
      <c r="D360" s="211" t="s">
        <v>2056</v>
      </c>
      <c r="E360" s="344">
        <v>5.1333333333333302</v>
      </c>
      <c r="F360" s="344">
        <v>5.1333333333333302</v>
      </c>
      <c r="G360" s="344">
        <v>5.1333333333333302</v>
      </c>
      <c r="H360" s="344">
        <v>5.1333333333333302</v>
      </c>
      <c r="I360" s="344">
        <v>5.1333333333333302</v>
      </c>
      <c r="J360" s="344">
        <v>5.1333333333333302</v>
      </c>
      <c r="K360" s="344">
        <v>5.1333333333333302</v>
      </c>
      <c r="L360" s="344">
        <v>5.1333333333333302</v>
      </c>
      <c r="M360" s="344">
        <v>5.1333333333333302</v>
      </c>
      <c r="N360" s="344">
        <v>5.1333333333333302</v>
      </c>
      <c r="O360" s="344">
        <v>5.1333333333333302</v>
      </c>
      <c r="P360" s="344">
        <v>5.8333333333333304</v>
      </c>
      <c r="Q360" s="344">
        <v>5.8333333333333304</v>
      </c>
      <c r="R360" s="344">
        <v>7</v>
      </c>
      <c r="S360" s="344">
        <v>4.43333333333333</v>
      </c>
      <c r="T360" s="344">
        <v>4.2</v>
      </c>
      <c r="U360" s="344">
        <v>4.6666666666666696</v>
      </c>
      <c r="V360" s="344">
        <v>2.56666666666667</v>
      </c>
      <c r="W360" s="344">
        <v>1.1666666666666701</v>
      </c>
      <c r="X360" s="344">
        <v>1.4</v>
      </c>
      <c r="Y360" s="344">
        <v>1.1666666666666701</v>
      </c>
      <c r="Z360" s="344">
        <v>1.4</v>
      </c>
      <c r="AA360" s="344">
        <v>2.3333333333333299</v>
      </c>
      <c r="AB360" s="344">
        <v>4.43333333333333</v>
      </c>
      <c r="AC360" s="344">
        <v>3.5</v>
      </c>
      <c r="AD360" s="344">
        <f t="shared" si="53"/>
        <v>-0.93333333333333002</v>
      </c>
      <c r="AE360" s="197">
        <v>11</v>
      </c>
      <c r="AF360" s="197">
        <v>11</v>
      </c>
      <c r="AG360" s="197">
        <v>11</v>
      </c>
      <c r="AH360" s="197">
        <v>11</v>
      </c>
      <c r="AI360" s="197">
        <v>11</v>
      </c>
      <c r="AJ360" s="197">
        <v>11</v>
      </c>
      <c r="AK360" s="197">
        <v>11</v>
      </c>
      <c r="AL360" s="197">
        <v>11</v>
      </c>
      <c r="AM360" s="197">
        <v>11</v>
      </c>
      <c r="AN360" s="197">
        <v>11</v>
      </c>
      <c r="AO360" s="197">
        <v>11</v>
      </c>
      <c r="AP360" s="197">
        <v>2</v>
      </c>
      <c r="AQ360" s="347">
        <v>11</v>
      </c>
      <c r="AR360" s="197">
        <v>1</v>
      </c>
      <c r="AS360" s="197">
        <v>1</v>
      </c>
      <c r="AT360" s="347">
        <v>1</v>
      </c>
      <c r="AU360" s="347">
        <v>1</v>
      </c>
      <c r="AV360" s="347">
        <v>9</v>
      </c>
      <c r="AW360" s="347">
        <v>10</v>
      </c>
      <c r="AX360" s="347">
        <v>1</v>
      </c>
      <c r="AY360" s="347">
        <v>2</v>
      </c>
      <c r="AZ360" s="347">
        <v>10</v>
      </c>
      <c r="BA360" s="347">
        <v>10</v>
      </c>
      <c r="BB360" s="347">
        <v>10</v>
      </c>
      <c r="BC360" s="347">
        <v>3</v>
      </c>
    </row>
    <row r="361" spans="1:55" s="381" customFormat="1" ht="17.649999999999999" customHeight="1">
      <c r="A361" s="343"/>
      <c r="B361" s="197" t="s">
        <v>2382</v>
      </c>
      <c r="C361" s="211" t="s">
        <v>2055</v>
      </c>
      <c r="D361" s="211" t="s">
        <v>2056</v>
      </c>
      <c r="E361" s="344">
        <v>1.4</v>
      </c>
      <c r="F361" s="344">
        <v>1.4</v>
      </c>
      <c r="G361" s="344">
        <v>1.4</v>
      </c>
      <c r="H361" s="344">
        <v>1.4</v>
      </c>
      <c r="I361" s="344">
        <v>1.4</v>
      </c>
      <c r="J361" s="344">
        <v>1.4</v>
      </c>
      <c r="K361" s="344">
        <v>1.4</v>
      </c>
      <c r="L361" s="344">
        <v>1.4</v>
      </c>
      <c r="M361" s="344">
        <v>1.4</v>
      </c>
      <c r="N361" s="344">
        <v>1.4</v>
      </c>
      <c r="O361" s="344">
        <v>1.4</v>
      </c>
      <c r="P361" s="344">
        <v>1.86666666666667</v>
      </c>
      <c r="Q361" s="344">
        <v>2.1</v>
      </c>
      <c r="R361" s="344">
        <v>2.56666666666667</v>
      </c>
      <c r="S361" s="344">
        <v>2.3333333333333299</v>
      </c>
      <c r="T361" s="344">
        <v>2.56666666666667</v>
      </c>
      <c r="U361" s="344">
        <v>3.5</v>
      </c>
      <c r="V361" s="344">
        <v>3.2666666666666702</v>
      </c>
      <c r="W361" s="344">
        <v>3.0333333333333301</v>
      </c>
      <c r="X361" s="344">
        <v>2.56666666666667</v>
      </c>
      <c r="Y361" s="344">
        <v>2.1</v>
      </c>
      <c r="Z361" s="344">
        <v>2.56666666666667</v>
      </c>
      <c r="AA361" s="344">
        <v>3.2666666666666702</v>
      </c>
      <c r="AB361" s="344">
        <v>4.43333333333333</v>
      </c>
      <c r="AC361" s="344">
        <v>3.5</v>
      </c>
      <c r="AD361" s="344">
        <f t="shared" si="53"/>
        <v>-0.93333333333333002</v>
      </c>
      <c r="AE361" s="197">
        <v>1</v>
      </c>
      <c r="AF361" s="197">
        <v>1</v>
      </c>
      <c r="AG361" s="197">
        <v>1</v>
      </c>
      <c r="AH361" s="197">
        <v>1</v>
      </c>
      <c r="AI361" s="197">
        <v>1</v>
      </c>
      <c r="AJ361" s="197">
        <v>1</v>
      </c>
      <c r="AK361" s="197">
        <v>1</v>
      </c>
      <c r="AL361" s="197">
        <v>1</v>
      </c>
      <c r="AM361" s="197">
        <v>1</v>
      </c>
      <c r="AN361" s="197">
        <v>1</v>
      </c>
      <c r="AO361" s="197">
        <v>1</v>
      </c>
      <c r="AP361" s="197">
        <v>1</v>
      </c>
      <c r="AQ361" s="197">
        <v>8</v>
      </c>
      <c r="AR361" s="197">
        <v>1</v>
      </c>
      <c r="AS361" s="197">
        <v>2</v>
      </c>
      <c r="AT361" s="197">
        <v>10</v>
      </c>
      <c r="AU361" s="347">
        <v>2</v>
      </c>
      <c r="AV361" s="347">
        <v>2</v>
      </c>
      <c r="AW361" s="347">
        <v>2</v>
      </c>
      <c r="AX361" s="347">
        <v>2</v>
      </c>
      <c r="AY361" s="347">
        <v>2</v>
      </c>
      <c r="AZ361" s="347">
        <v>2</v>
      </c>
      <c r="BA361" s="347">
        <v>2</v>
      </c>
      <c r="BB361" s="347">
        <v>2</v>
      </c>
      <c r="BC361" s="347">
        <v>2</v>
      </c>
    </row>
    <row r="362" spans="1:55" s="381" customFormat="1" ht="17.649999999999999" customHeight="1">
      <c r="A362" s="343"/>
      <c r="B362" s="197" t="s">
        <v>2383</v>
      </c>
      <c r="C362" s="211" t="s">
        <v>2055</v>
      </c>
      <c r="D362" s="211" t="s">
        <v>2056</v>
      </c>
      <c r="E362" s="344">
        <v>0.233333333333333</v>
      </c>
      <c r="F362" s="344">
        <v>0.233333333333333</v>
      </c>
      <c r="G362" s="344">
        <v>0.233333333333333</v>
      </c>
      <c r="H362" s="344">
        <v>0.233333333333333</v>
      </c>
      <c r="I362" s="344">
        <v>0.233333333333333</v>
      </c>
      <c r="J362" s="344">
        <v>0.233333333333333</v>
      </c>
      <c r="K362" s="344">
        <v>0.233333333333333</v>
      </c>
      <c r="L362" s="344">
        <v>0.233333333333333</v>
      </c>
      <c r="M362" s="344">
        <v>0.233333333333333</v>
      </c>
      <c r="N362" s="344">
        <v>0.233333333333333</v>
      </c>
      <c r="O362" s="344">
        <v>0.233333333333333</v>
      </c>
      <c r="P362" s="344">
        <v>0.233333333333333</v>
      </c>
      <c r="Q362" s="344">
        <v>2.56666666666667</v>
      </c>
      <c r="R362" s="344">
        <v>3.2666666666666702</v>
      </c>
      <c r="S362" s="344">
        <v>3.9666666666666699</v>
      </c>
      <c r="T362" s="344">
        <v>4.2</v>
      </c>
      <c r="U362" s="344">
        <v>2.56666666666667</v>
      </c>
      <c r="V362" s="344">
        <v>3.2666666666666702</v>
      </c>
      <c r="W362" s="344">
        <v>2.56666666666667</v>
      </c>
      <c r="X362" s="344">
        <v>3.0333333333333301</v>
      </c>
      <c r="Y362" s="344">
        <v>3.5</v>
      </c>
      <c r="Z362" s="344">
        <v>3.0333333333333301</v>
      </c>
      <c r="AA362" s="344">
        <v>2.3333333333333299</v>
      </c>
      <c r="AB362" s="344">
        <v>2.3333333333333299</v>
      </c>
      <c r="AC362" s="344">
        <v>1.4</v>
      </c>
      <c r="AD362" s="344">
        <f t="shared" si="53"/>
        <v>-0.93333333333333002</v>
      </c>
      <c r="AE362" s="197">
        <v>2</v>
      </c>
      <c r="AF362" s="197">
        <v>2</v>
      </c>
      <c r="AG362" s="197">
        <v>2</v>
      </c>
      <c r="AH362" s="197">
        <v>2</v>
      </c>
      <c r="AI362" s="197">
        <v>2</v>
      </c>
      <c r="AJ362" s="197">
        <v>2</v>
      </c>
      <c r="AK362" s="197">
        <v>2</v>
      </c>
      <c r="AL362" s="197">
        <v>2</v>
      </c>
      <c r="AM362" s="197">
        <v>2</v>
      </c>
      <c r="AN362" s="197">
        <v>2</v>
      </c>
      <c r="AO362" s="197">
        <v>2</v>
      </c>
      <c r="AP362" s="347">
        <v>2</v>
      </c>
      <c r="AQ362" s="197">
        <v>2</v>
      </c>
      <c r="AR362" s="197">
        <v>2</v>
      </c>
      <c r="AS362" s="197">
        <v>2</v>
      </c>
      <c r="AT362" s="197">
        <v>1</v>
      </c>
      <c r="AU362" s="347">
        <v>2</v>
      </c>
      <c r="AV362" s="347">
        <v>2</v>
      </c>
      <c r="AW362" s="347">
        <v>2</v>
      </c>
      <c r="AX362" s="347">
        <v>2</v>
      </c>
      <c r="AY362" s="347">
        <v>2</v>
      </c>
      <c r="AZ362" s="347">
        <v>3</v>
      </c>
      <c r="BA362" s="347">
        <v>9</v>
      </c>
      <c r="BB362" s="347">
        <v>5</v>
      </c>
      <c r="BC362" s="347">
        <v>3</v>
      </c>
    </row>
    <row r="363" spans="1:55" s="381" customFormat="1" ht="17.649999999999999" customHeight="1">
      <c r="A363" s="343"/>
      <c r="B363" s="197" t="s">
        <v>2384</v>
      </c>
      <c r="C363" s="211" t="s">
        <v>2055</v>
      </c>
      <c r="D363" s="211" t="s">
        <v>2056</v>
      </c>
      <c r="E363" s="344">
        <v>2.3333333333333299</v>
      </c>
      <c r="F363" s="344">
        <v>2.3333333333333299</v>
      </c>
      <c r="G363" s="344">
        <v>2.3333333333333299</v>
      </c>
      <c r="H363" s="344">
        <v>2.3333333333333299</v>
      </c>
      <c r="I363" s="344">
        <v>2.3333333333333299</v>
      </c>
      <c r="J363" s="344">
        <v>2.3333333333333299</v>
      </c>
      <c r="K363" s="344">
        <v>2.3333333333333299</v>
      </c>
      <c r="L363" s="344">
        <v>2.3333333333333299</v>
      </c>
      <c r="M363" s="344">
        <v>2.3333333333333299</v>
      </c>
      <c r="N363" s="344">
        <v>2.3333333333333299</v>
      </c>
      <c r="O363" s="344">
        <v>2.3333333333333299</v>
      </c>
      <c r="P363" s="344">
        <v>2.3333333333333299</v>
      </c>
      <c r="Q363" s="344">
        <v>3.0333333333333301</v>
      </c>
      <c r="R363" s="344">
        <v>5.1333333333333302</v>
      </c>
      <c r="S363" s="344">
        <v>5.8333333333333304</v>
      </c>
      <c r="T363" s="344">
        <v>6.7666666666666702</v>
      </c>
      <c r="U363" s="344">
        <v>7</v>
      </c>
      <c r="V363" s="344">
        <v>6.5333333333333297</v>
      </c>
      <c r="W363" s="344">
        <v>5.6</v>
      </c>
      <c r="X363" s="344">
        <v>4.6666666666666696</v>
      </c>
      <c r="Y363" s="344">
        <v>4.43333333333333</v>
      </c>
      <c r="Z363" s="344">
        <v>5.3666666666666698</v>
      </c>
      <c r="AA363" s="344">
        <v>5.3666666666666698</v>
      </c>
      <c r="AB363" s="344">
        <v>3.5</v>
      </c>
      <c r="AC363" s="344">
        <v>3.2666666666666702</v>
      </c>
      <c r="AD363" s="344">
        <f t="shared" si="53"/>
        <v>-0.23333333333332984</v>
      </c>
      <c r="AE363" s="197">
        <v>8</v>
      </c>
      <c r="AF363" s="197">
        <v>8</v>
      </c>
      <c r="AG363" s="197">
        <v>8</v>
      </c>
      <c r="AH363" s="197">
        <v>8</v>
      </c>
      <c r="AI363" s="197">
        <v>8</v>
      </c>
      <c r="AJ363" s="197">
        <v>8</v>
      </c>
      <c r="AK363" s="197">
        <v>8</v>
      </c>
      <c r="AL363" s="197">
        <v>8</v>
      </c>
      <c r="AM363" s="197">
        <v>8</v>
      </c>
      <c r="AN363" s="197">
        <v>8</v>
      </c>
      <c r="AO363" s="197">
        <v>8</v>
      </c>
      <c r="AP363" s="197">
        <v>10</v>
      </c>
      <c r="AQ363" s="197">
        <v>7</v>
      </c>
      <c r="AR363" s="197">
        <v>10</v>
      </c>
      <c r="AS363" s="197">
        <v>2</v>
      </c>
      <c r="AT363" s="197">
        <v>3</v>
      </c>
      <c r="AU363" s="347">
        <v>4</v>
      </c>
      <c r="AV363" s="347">
        <v>8</v>
      </c>
      <c r="AW363" s="347">
        <v>3</v>
      </c>
      <c r="AX363" s="347">
        <v>3</v>
      </c>
      <c r="AY363" s="347">
        <v>4</v>
      </c>
      <c r="AZ363" s="347">
        <v>2</v>
      </c>
      <c r="BA363" s="347">
        <v>7</v>
      </c>
      <c r="BB363" s="347">
        <v>2</v>
      </c>
      <c r="BC363" s="347">
        <v>3</v>
      </c>
    </row>
    <row r="364" spans="1:55" s="381" customFormat="1" ht="17.649999999999999" customHeight="1">
      <c r="A364" s="343"/>
      <c r="B364" s="197" t="s">
        <v>2385</v>
      </c>
      <c r="C364" s="211" t="s">
        <v>2055</v>
      </c>
      <c r="D364" s="211" t="s">
        <v>2056</v>
      </c>
      <c r="E364" s="344">
        <v>3.0333333333333301</v>
      </c>
      <c r="F364" s="344">
        <v>3.0333333333333301</v>
      </c>
      <c r="G364" s="344">
        <v>3.0333333333333301</v>
      </c>
      <c r="H364" s="344">
        <v>3.0333333333333301</v>
      </c>
      <c r="I364" s="344">
        <v>3.0333333333333301</v>
      </c>
      <c r="J364" s="344">
        <v>3.0333333333333301</v>
      </c>
      <c r="K364" s="344">
        <v>3.0333333333333301</v>
      </c>
      <c r="L364" s="344">
        <v>3.0333333333333301</v>
      </c>
      <c r="M364" s="344">
        <v>3.0333333333333301</v>
      </c>
      <c r="N364" s="344">
        <v>3.0333333333333301</v>
      </c>
      <c r="O364" s="344">
        <v>3.0333333333333301</v>
      </c>
      <c r="P364" s="344">
        <v>3.2666666666666702</v>
      </c>
      <c r="Q364" s="344">
        <v>4.43333333333333</v>
      </c>
      <c r="R364" s="344">
        <v>5.8333333333333304</v>
      </c>
      <c r="S364" s="344">
        <v>5.3666666666666698</v>
      </c>
      <c r="T364" s="344">
        <v>5.1333333333333302</v>
      </c>
      <c r="U364" s="344">
        <v>6.7666666666666702</v>
      </c>
      <c r="V364" s="344">
        <v>4.6666666666666696</v>
      </c>
      <c r="W364" s="344">
        <v>4.2</v>
      </c>
      <c r="X364" s="344">
        <v>4.2</v>
      </c>
      <c r="Y364" s="344">
        <v>3.5</v>
      </c>
      <c r="Z364" s="344">
        <v>3.0333333333333301</v>
      </c>
      <c r="AA364" s="344">
        <v>2.1</v>
      </c>
      <c r="AB364" s="344">
        <v>1.4</v>
      </c>
      <c r="AC364" s="344">
        <v>0.233333333333333</v>
      </c>
      <c r="AD364" s="344">
        <f t="shared" si="53"/>
        <v>-1.166666666666667</v>
      </c>
      <c r="AE364" s="197">
        <v>1</v>
      </c>
      <c r="AF364" s="197">
        <v>1</v>
      </c>
      <c r="AG364" s="197">
        <v>1</v>
      </c>
      <c r="AH364" s="197">
        <v>1</v>
      </c>
      <c r="AI364" s="197">
        <v>1</v>
      </c>
      <c r="AJ364" s="197">
        <v>1</v>
      </c>
      <c r="AK364" s="197">
        <v>1</v>
      </c>
      <c r="AL364" s="197">
        <v>1</v>
      </c>
      <c r="AM364" s="197">
        <v>1</v>
      </c>
      <c r="AN364" s="197">
        <v>1</v>
      </c>
      <c r="AO364" s="197">
        <v>1</v>
      </c>
      <c r="AP364" s="197">
        <v>1</v>
      </c>
      <c r="AQ364" s="197">
        <v>1</v>
      </c>
      <c r="AR364" s="347">
        <v>1</v>
      </c>
      <c r="AS364" s="197">
        <v>1</v>
      </c>
      <c r="AT364" s="197">
        <v>1</v>
      </c>
      <c r="AU364" s="347">
        <v>1</v>
      </c>
      <c r="AV364" s="347">
        <v>1</v>
      </c>
      <c r="AW364" s="347">
        <v>1</v>
      </c>
      <c r="AX364" s="347">
        <v>1</v>
      </c>
      <c r="AY364" s="347">
        <v>1</v>
      </c>
      <c r="AZ364" s="347">
        <v>1</v>
      </c>
      <c r="BA364" s="347">
        <v>1</v>
      </c>
      <c r="BB364" s="347">
        <v>1</v>
      </c>
      <c r="BC364" s="347">
        <v>1</v>
      </c>
    </row>
    <row r="365" spans="1:55" s="381" customFormat="1" ht="17.649999999999999" customHeight="1">
      <c r="A365" s="343"/>
      <c r="B365" s="197" t="s">
        <v>2386</v>
      </c>
      <c r="C365" s="211" t="s">
        <v>2055</v>
      </c>
      <c r="D365" s="211" t="s">
        <v>2056</v>
      </c>
      <c r="E365" s="344">
        <v>2.3333333333333299</v>
      </c>
      <c r="F365" s="344">
        <v>2.3333333333333299</v>
      </c>
      <c r="G365" s="344">
        <v>2.3333333333333299</v>
      </c>
      <c r="H365" s="344">
        <v>2.3333333333333299</v>
      </c>
      <c r="I365" s="344">
        <v>2.3333333333333299</v>
      </c>
      <c r="J365" s="344">
        <v>2.3333333333333299</v>
      </c>
      <c r="K365" s="344">
        <v>2.3333333333333299</v>
      </c>
      <c r="L365" s="344">
        <v>2.3333333333333299</v>
      </c>
      <c r="M365" s="344">
        <v>2.3333333333333299</v>
      </c>
      <c r="N365" s="344">
        <v>2.3333333333333299</v>
      </c>
      <c r="O365" s="344">
        <v>2.3333333333333299</v>
      </c>
      <c r="P365" s="344">
        <v>2.3333333333333299</v>
      </c>
      <c r="Q365" s="344">
        <v>2.3333333333333299</v>
      </c>
      <c r="R365" s="344">
        <v>4.43333333333333</v>
      </c>
      <c r="S365" s="344">
        <v>4.43333333333333</v>
      </c>
      <c r="T365" s="344">
        <v>4.43333333333333</v>
      </c>
      <c r="U365" s="344">
        <v>4.6666666666666696</v>
      </c>
      <c r="V365" s="344">
        <v>2.1</v>
      </c>
      <c r="W365" s="344">
        <v>1.1666666666666701</v>
      </c>
      <c r="X365" s="344">
        <v>1.4</v>
      </c>
      <c r="Y365" s="344">
        <v>1.4</v>
      </c>
      <c r="Z365" s="344">
        <v>1.86666666666667</v>
      </c>
      <c r="AA365" s="344">
        <v>1.86666666666667</v>
      </c>
      <c r="AB365" s="344">
        <v>2.1</v>
      </c>
      <c r="AC365" s="344">
        <v>0.233333333333333</v>
      </c>
      <c r="AD365" s="344">
        <f t="shared" si="53"/>
        <v>-1.8666666666666671</v>
      </c>
      <c r="AE365" s="197">
        <v>11</v>
      </c>
      <c r="AF365" s="197">
        <v>11</v>
      </c>
      <c r="AG365" s="197">
        <v>11</v>
      </c>
      <c r="AH365" s="197">
        <v>11</v>
      </c>
      <c r="AI365" s="197">
        <v>11</v>
      </c>
      <c r="AJ365" s="197">
        <v>11</v>
      </c>
      <c r="AK365" s="197">
        <v>11</v>
      </c>
      <c r="AL365" s="197">
        <v>11</v>
      </c>
      <c r="AM365" s="197">
        <v>11</v>
      </c>
      <c r="AN365" s="197">
        <v>11</v>
      </c>
      <c r="AO365" s="197">
        <v>11</v>
      </c>
      <c r="AP365" s="197">
        <v>1</v>
      </c>
      <c r="AQ365" s="197">
        <v>1</v>
      </c>
      <c r="AR365" s="197">
        <v>6</v>
      </c>
      <c r="AS365" s="197">
        <v>1</v>
      </c>
      <c r="AT365" s="347">
        <v>13</v>
      </c>
      <c r="AU365" s="347">
        <v>1</v>
      </c>
      <c r="AV365" s="347">
        <v>1</v>
      </c>
      <c r="AW365" s="347">
        <v>1</v>
      </c>
      <c r="AX365" s="347">
        <v>1</v>
      </c>
      <c r="AY365" s="347">
        <v>1</v>
      </c>
      <c r="AZ365" s="347">
        <v>1</v>
      </c>
      <c r="BA365" s="347">
        <v>1</v>
      </c>
      <c r="BB365" s="347">
        <v>8</v>
      </c>
      <c r="BC365" s="347">
        <v>1</v>
      </c>
    </row>
    <row r="366" spans="1:55" s="381" customFormat="1" ht="17.649999999999999" customHeight="1">
      <c r="A366" s="343"/>
      <c r="B366" s="197" t="s">
        <v>2387</v>
      </c>
      <c r="C366" s="211" t="s">
        <v>2055</v>
      </c>
      <c r="D366" s="211" t="s">
        <v>2056</v>
      </c>
      <c r="E366" s="344">
        <v>0.233333333333333</v>
      </c>
      <c r="F366" s="344">
        <v>0.233333333333333</v>
      </c>
      <c r="G366" s="344">
        <v>0.233333333333333</v>
      </c>
      <c r="H366" s="344">
        <v>0.233333333333333</v>
      </c>
      <c r="I366" s="344">
        <v>0.233333333333333</v>
      </c>
      <c r="J366" s="344">
        <v>0.233333333333333</v>
      </c>
      <c r="K366" s="344">
        <v>0.233333333333333</v>
      </c>
      <c r="L366" s="344">
        <v>0.233333333333333</v>
      </c>
      <c r="M366" s="344">
        <v>0.233333333333333</v>
      </c>
      <c r="N366" s="344">
        <v>0.233333333333333</v>
      </c>
      <c r="O366" s="344">
        <v>0.233333333333333</v>
      </c>
      <c r="P366" s="344">
        <v>1.1666666666666701</v>
      </c>
      <c r="Q366" s="344">
        <v>1.1666666666666701</v>
      </c>
      <c r="R366" s="344">
        <v>3.5</v>
      </c>
      <c r="S366" s="344">
        <v>4.43333333333333</v>
      </c>
      <c r="T366" s="344">
        <v>4.43333333333333</v>
      </c>
      <c r="U366" s="344">
        <v>5.1333333333333302</v>
      </c>
      <c r="V366" s="344">
        <v>3.0333333333333301</v>
      </c>
      <c r="W366" s="344">
        <v>1.4</v>
      </c>
      <c r="X366" s="344">
        <v>1.86666666666667</v>
      </c>
      <c r="Y366" s="344">
        <v>1.86666666666667</v>
      </c>
      <c r="Z366" s="344">
        <v>1.86666666666667</v>
      </c>
      <c r="AA366" s="344">
        <v>1.4</v>
      </c>
      <c r="AB366" s="344">
        <v>1.86666666666667</v>
      </c>
      <c r="AC366" s="344">
        <v>1.4</v>
      </c>
      <c r="AD366" s="344">
        <f t="shared" si="53"/>
        <v>-0.46666666666667012</v>
      </c>
      <c r="AE366" s="197">
        <v>8</v>
      </c>
      <c r="AF366" s="197">
        <v>8</v>
      </c>
      <c r="AG366" s="197">
        <v>8</v>
      </c>
      <c r="AH366" s="197">
        <v>8</v>
      </c>
      <c r="AI366" s="197">
        <v>8</v>
      </c>
      <c r="AJ366" s="197">
        <v>8</v>
      </c>
      <c r="AK366" s="197">
        <v>8</v>
      </c>
      <c r="AL366" s="197">
        <v>8</v>
      </c>
      <c r="AM366" s="197">
        <v>8</v>
      </c>
      <c r="AN366" s="197">
        <v>8</v>
      </c>
      <c r="AO366" s="197">
        <v>8</v>
      </c>
      <c r="AP366" s="197">
        <v>8</v>
      </c>
      <c r="AQ366" s="197">
        <v>4</v>
      </c>
      <c r="AR366" s="197">
        <v>4</v>
      </c>
      <c r="AS366" s="197">
        <v>4</v>
      </c>
      <c r="AT366" s="347">
        <v>6</v>
      </c>
      <c r="AU366" s="347">
        <v>4</v>
      </c>
      <c r="AV366" s="347">
        <v>6</v>
      </c>
      <c r="AW366" s="347">
        <v>4</v>
      </c>
      <c r="AX366" s="347">
        <v>4</v>
      </c>
      <c r="AY366" s="347">
        <v>3</v>
      </c>
      <c r="AZ366" s="347">
        <v>4</v>
      </c>
      <c r="BA366" s="347">
        <v>8</v>
      </c>
      <c r="BB366" s="347">
        <v>5</v>
      </c>
      <c r="BC366" s="347">
        <v>5</v>
      </c>
    </row>
    <row r="367" spans="1:55" s="381" customFormat="1" ht="17.649999999999999" customHeight="1">
      <c r="A367" s="343"/>
      <c r="B367" s="197" t="s">
        <v>2388</v>
      </c>
      <c r="C367" s="211" t="s">
        <v>2055</v>
      </c>
      <c r="D367" s="211" t="s">
        <v>2056</v>
      </c>
      <c r="E367" s="344">
        <v>0.233333333333333</v>
      </c>
      <c r="F367" s="344">
        <v>0.233333333333333</v>
      </c>
      <c r="G367" s="344">
        <v>0.233333333333333</v>
      </c>
      <c r="H367" s="344">
        <v>0.233333333333333</v>
      </c>
      <c r="I367" s="344">
        <v>0.233333333333333</v>
      </c>
      <c r="J367" s="344">
        <v>0.233333333333333</v>
      </c>
      <c r="K367" s="344">
        <v>0.233333333333333</v>
      </c>
      <c r="L367" s="344">
        <v>0.233333333333333</v>
      </c>
      <c r="M367" s="344">
        <v>0.233333333333333</v>
      </c>
      <c r="N367" s="344">
        <v>0.233333333333333</v>
      </c>
      <c r="O367" s="344">
        <v>0.233333333333333</v>
      </c>
      <c r="P367" s="344">
        <v>1.86666666666667</v>
      </c>
      <c r="Q367" s="344">
        <v>3.0333333333333301</v>
      </c>
      <c r="R367" s="344">
        <v>3.5</v>
      </c>
      <c r="S367" s="344">
        <v>5.3666666666666698</v>
      </c>
      <c r="T367" s="344">
        <v>5.6</v>
      </c>
      <c r="U367" s="344">
        <v>5.8333333333333304</v>
      </c>
      <c r="V367" s="344">
        <v>6.3</v>
      </c>
      <c r="W367" s="344">
        <v>9.1</v>
      </c>
      <c r="X367" s="344">
        <v>9.1</v>
      </c>
      <c r="Y367" s="344">
        <v>9.8000000000000007</v>
      </c>
      <c r="Z367" s="344">
        <v>8.6333333333333293</v>
      </c>
      <c r="AA367" s="344">
        <v>5.3666666666666698</v>
      </c>
      <c r="AB367" s="344">
        <v>5.8333333333333304</v>
      </c>
      <c r="AC367" s="344">
        <v>5.1333333333333302</v>
      </c>
      <c r="AD367" s="344">
        <f t="shared" si="53"/>
        <v>-0.70000000000000018</v>
      </c>
      <c r="AE367" s="197">
        <v>2</v>
      </c>
      <c r="AF367" s="197">
        <v>2</v>
      </c>
      <c r="AG367" s="197">
        <v>2</v>
      </c>
      <c r="AH367" s="197">
        <v>2</v>
      </c>
      <c r="AI367" s="197">
        <v>2</v>
      </c>
      <c r="AJ367" s="197">
        <v>2</v>
      </c>
      <c r="AK367" s="197">
        <v>2</v>
      </c>
      <c r="AL367" s="197">
        <v>2</v>
      </c>
      <c r="AM367" s="197">
        <v>2</v>
      </c>
      <c r="AN367" s="197">
        <v>2</v>
      </c>
      <c r="AO367" s="197">
        <v>2</v>
      </c>
      <c r="AP367" s="197">
        <v>2</v>
      </c>
      <c r="AQ367" s="347">
        <v>2</v>
      </c>
      <c r="AR367" s="197">
        <v>2</v>
      </c>
      <c r="AS367" s="197">
        <v>2</v>
      </c>
      <c r="AT367" s="197">
        <v>2</v>
      </c>
      <c r="AU367" s="347">
        <v>2</v>
      </c>
      <c r="AV367" s="347">
        <v>2</v>
      </c>
      <c r="AW367" s="347">
        <v>10</v>
      </c>
      <c r="AX367" s="347">
        <v>2</v>
      </c>
      <c r="AY367" s="347">
        <v>1</v>
      </c>
      <c r="AZ367" s="347">
        <v>1</v>
      </c>
      <c r="BA367" s="347">
        <v>2</v>
      </c>
      <c r="BB367" s="347">
        <v>2</v>
      </c>
      <c r="BC367" s="347">
        <v>1</v>
      </c>
    </row>
    <row r="368" spans="1:55" s="381" customFormat="1" ht="17.649999999999999" customHeight="1">
      <c r="A368" s="343"/>
      <c r="B368" s="197" t="s">
        <v>2389</v>
      </c>
      <c r="C368" s="211" t="s">
        <v>2055</v>
      </c>
      <c r="D368" s="211" t="s">
        <v>2056</v>
      </c>
      <c r="E368" s="344">
        <v>1.86666666666667</v>
      </c>
      <c r="F368" s="344">
        <v>1.86666666666667</v>
      </c>
      <c r="G368" s="344">
        <v>1.86666666666667</v>
      </c>
      <c r="H368" s="344">
        <v>1.86666666666667</v>
      </c>
      <c r="I368" s="344">
        <v>1.86666666666667</v>
      </c>
      <c r="J368" s="344">
        <v>1.86666666666667</v>
      </c>
      <c r="K368" s="344">
        <v>1.86666666666667</v>
      </c>
      <c r="L368" s="344">
        <v>1.86666666666667</v>
      </c>
      <c r="M368" s="344">
        <v>1.86666666666667</v>
      </c>
      <c r="N368" s="344">
        <v>1.86666666666667</v>
      </c>
      <c r="O368" s="344">
        <v>1.86666666666667</v>
      </c>
      <c r="P368" s="344">
        <v>2.56666666666667</v>
      </c>
      <c r="Q368" s="344">
        <v>3.5</v>
      </c>
      <c r="R368" s="344">
        <v>4.6666666666666696</v>
      </c>
      <c r="S368" s="344">
        <v>5.3666666666666698</v>
      </c>
      <c r="T368" s="344">
        <v>5.6</v>
      </c>
      <c r="U368" s="344">
        <v>5.6</v>
      </c>
      <c r="V368" s="344">
        <v>3.9666666666666699</v>
      </c>
      <c r="W368" s="344">
        <v>3.0333333333333301</v>
      </c>
      <c r="X368" s="344">
        <v>2.3333333333333299</v>
      </c>
      <c r="Y368" s="344">
        <v>3.2666666666666702</v>
      </c>
      <c r="Z368" s="344">
        <v>3.2666666666666702</v>
      </c>
      <c r="AA368" s="344">
        <v>3.9666666666666699</v>
      </c>
      <c r="AB368" s="344">
        <v>4.2</v>
      </c>
      <c r="AC368" s="344">
        <v>3.0333333333333301</v>
      </c>
      <c r="AD368" s="344">
        <f t="shared" si="53"/>
        <v>-1.1666666666666701</v>
      </c>
      <c r="AE368" s="197">
        <v>3</v>
      </c>
      <c r="AF368" s="197">
        <v>3</v>
      </c>
      <c r="AG368" s="197">
        <v>3</v>
      </c>
      <c r="AH368" s="197">
        <v>3</v>
      </c>
      <c r="AI368" s="197">
        <v>3</v>
      </c>
      <c r="AJ368" s="197">
        <v>3</v>
      </c>
      <c r="AK368" s="197">
        <v>3</v>
      </c>
      <c r="AL368" s="197">
        <v>3</v>
      </c>
      <c r="AM368" s="197">
        <v>3</v>
      </c>
      <c r="AN368" s="197">
        <v>3</v>
      </c>
      <c r="AO368" s="197">
        <v>3</v>
      </c>
      <c r="AP368" s="197">
        <v>1</v>
      </c>
      <c r="AQ368" s="197">
        <v>3</v>
      </c>
      <c r="AR368" s="197">
        <v>3</v>
      </c>
      <c r="AS368" s="197">
        <v>3</v>
      </c>
      <c r="AT368" s="197">
        <v>3</v>
      </c>
      <c r="AU368" s="347">
        <v>3</v>
      </c>
      <c r="AV368" s="347">
        <v>3</v>
      </c>
      <c r="AW368" s="347">
        <v>1</v>
      </c>
      <c r="AX368" s="347">
        <v>3</v>
      </c>
      <c r="AY368" s="347">
        <v>3</v>
      </c>
      <c r="AZ368" s="347">
        <v>6</v>
      </c>
      <c r="BA368" s="347">
        <v>5</v>
      </c>
      <c r="BB368" s="347">
        <v>2</v>
      </c>
      <c r="BC368" s="347">
        <v>5</v>
      </c>
    </row>
    <row r="369" spans="1:55" s="381" customFormat="1" ht="17.649999999999999" customHeight="1">
      <c r="A369" s="343"/>
      <c r="B369" s="197" t="s">
        <v>2390</v>
      </c>
      <c r="C369" s="211" t="s">
        <v>2055</v>
      </c>
      <c r="D369" s="211" t="s">
        <v>2056</v>
      </c>
      <c r="E369" s="344">
        <v>1.1666666666666701</v>
      </c>
      <c r="F369" s="344">
        <v>1.1666666666666701</v>
      </c>
      <c r="G369" s="344">
        <v>1.1666666666666701</v>
      </c>
      <c r="H369" s="344">
        <v>1.1666666666666701</v>
      </c>
      <c r="I369" s="344">
        <v>1.1666666666666701</v>
      </c>
      <c r="J369" s="344">
        <v>1.1666666666666701</v>
      </c>
      <c r="K369" s="344">
        <v>1.1666666666666701</v>
      </c>
      <c r="L369" s="344">
        <v>1.1666666666666701</v>
      </c>
      <c r="M369" s="344">
        <v>1.1666666666666701</v>
      </c>
      <c r="N369" s="344">
        <v>1.1666666666666701</v>
      </c>
      <c r="O369" s="344">
        <v>1.1666666666666701</v>
      </c>
      <c r="P369" s="344">
        <v>1.86666666666667</v>
      </c>
      <c r="Q369" s="344">
        <v>2.3333333333333299</v>
      </c>
      <c r="R369" s="344">
        <v>2.3333333333333299</v>
      </c>
      <c r="S369" s="344">
        <v>3.9666666666666699</v>
      </c>
      <c r="T369" s="344">
        <v>2.56666666666667</v>
      </c>
      <c r="U369" s="344">
        <v>2.56666666666667</v>
      </c>
      <c r="V369" s="344">
        <v>3.0333333333333301</v>
      </c>
      <c r="W369" s="344">
        <v>0.233333333333333</v>
      </c>
      <c r="X369" s="344">
        <v>1.4</v>
      </c>
      <c r="Y369" s="344">
        <v>1.4</v>
      </c>
      <c r="Z369" s="344">
        <v>2.3333333333333299</v>
      </c>
      <c r="AA369" s="344">
        <v>2.3333333333333299</v>
      </c>
      <c r="AB369" s="344">
        <v>3.0333333333333301</v>
      </c>
      <c r="AC369" s="344">
        <v>1.86666666666667</v>
      </c>
      <c r="AD369" s="344">
        <f t="shared" si="53"/>
        <v>-1.1666666666666601</v>
      </c>
      <c r="AE369" s="197">
        <v>12</v>
      </c>
      <c r="AF369" s="197">
        <v>12</v>
      </c>
      <c r="AG369" s="197">
        <v>12</v>
      </c>
      <c r="AH369" s="197">
        <v>12</v>
      </c>
      <c r="AI369" s="197">
        <v>12</v>
      </c>
      <c r="AJ369" s="197">
        <v>12</v>
      </c>
      <c r="AK369" s="197">
        <v>12</v>
      </c>
      <c r="AL369" s="197">
        <v>12</v>
      </c>
      <c r="AM369" s="197">
        <v>12</v>
      </c>
      <c r="AN369" s="197">
        <v>12</v>
      </c>
      <c r="AO369" s="197">
        <v>12</v>
      </c>
      <c r="AP369" s="197">
        <v>1</v>
      </c>
      <c r="AQ369" s="197">
        <v>1</v>
      </c>
      <c r="AR369" s="197">
        <v>1</v>
      </c>
      <c r="AS369" s="347">
        <v>1</v>
      </c>
      <c r="AT369" s="197">
        <v>8</v>
      </c>
      <c r="AU369" s="347">
        <v>1</v>
      </c>
      <c r="AV369" s="347">
        <v>1</v>
      </c>
      <c r="AW369" s="347">
        <v>1</v>
      </c>
      <c r="AX369" s="347">
        <v>1</v>
      </c>
      <c r="AY369" s="347">
        <v>1</v>
      </c>
      <c r="AZ369" s="347">
        <v>5</v>
      </c>
      <c r="BA369" s="347">
        <v>1</v>
      </c>
      <c r="BB369" s="347">
        <v>1</v>
      </c>
      <c r="BC369" s="347">
        <v>1</v>
      </c>
    </row>
    <row r="370" spans="1:55" s="381" customFormat="1" ht="17.649999999999999" customHeight="1">
      <c r="A370" s="343"/>
      <c r="B370" s="197" t="s">
        <v>2391</v>
      </c>
      <c r="C370" s="211" t="s">
        <v>2055</v>
      </c>
      <c r="D370" s="211" t="s">
        <v>2056</v>
      </c>
      <c r="E370" s="344">
        <v>0.233333333333333</v>
      </c>
      <c r="F370" s="344">
        <v>0.233333333333333</v>
      </c>
      <c r="G370" s="344">
        <v>0.233333333333333</v>
      </c>
      <c r="H370" s="344">
        <v>0.233333333333333</v>
      </c>
      <c r="I370" s="344">
        <v>0.233333333333333</v>
      </c>
      <c r="J370" s="344">
        <v>0.233333333333333</v>
      </c>
      <c r="K370" s="344">
        <v>0.233333333333333</v>
      </c>
      <c r="L370" s="344">
        <v>0.233333333333333</v>
      </c>
      <c r="M370" s="344">
        <v>0.233333333333333</v>
      </c>
      <c r="N370" s="344">
        <v>0.233333333333333</v>
      </c>
      <c r="O370" s="344">
        <v>0.233333333333333</v>
      </c>
      <c r="P370" s="344">
        <v>1.4</v>
      </c>
      <c r="Q370" s="344">
        <v>1.86666666666667</v>
      </c>
      <c r="R370" s="344">
        <v>2.3333333333333299</v>
      </c>
      <c r="S370" s="344">
        <v>12.133333333333301</v>
      </c>
      <c r="T370" s="344">
        <v>12.366666666666699</v>
      </c>
      <c r="U370" s="344">
        <v>14.466666666666701</v>
      </c>
      <c r="V370" s="344">
        <v>14</v>
      </c>
      <c r="W370" s="344">
        <v>8.4</v>
      </c>
      <c r="X370" s="344">
        <v>4.2</v>
      </c>
      <c r="Y370" s="344">
        <v>3.5</v>
      </c>
      <c r="Z370" s="344">
        <v>3.0333333333333301</v>
      </c>
      <c r="AA370" s="344">
        <v>3.5</v>
      </c>
      <c r="AB370" s="344">
        <v>4.2</v>
      </c>
      <c r="AC370" s="344">
        <v>2.3333333333333299</v>
      </c>
      <c r="AD370" s="344">
        <f t="shared" si="53"/>
        <v>-1.8666666666666702</v>
      </c>
      <c r="AE370" s="197">
        <v>2</v>
      </c>
      <c r="AF370" s="197">
        <v>2</v>
      </c>
      <c r="AG370" s="197">
        <v>2</v>
      </c>
      <c r="AH370" s="197">
        <v>2</v>
      </c>
      <c r="AI370" s="197">
        <v>2</v>
      </c>
      <c r="AJ370" s="197">
        <v>2</v>
      </c>
      <c r="AK370" s="197">
        <v>2</v>
      </c>
      <c r="AL370" s="197">
        <v>2</v>
      </c>
      <c r="AM370" s="197">
        <v>2</v>
      </c>
      <c r="AN370" s="197">
        <v>2</v>
      </c>
      <c r="AO370" s="197">
        <v>2</v>
      </c>
      <c r="AP370" s="197">
        <v>2</v>
      </c>
      <c r="AQ370" s="197">
        <v>2</v>
      </c>
      <c r="AR370" s="197">
        <v>2</v>
      </c>
      <c r="AS370" s="197">
        <v>2</v>
      </c>
      <c r="AT370" s="197">
        <v>2</v>
      </c>
      <c r="AU370" s="347">
        <v>2</v>
      </c>
      <c r="AV370" s="347">
        <v>10</v>
      </c>
      <c r="AW370" s="347">
        <v>8</v>
      </c>
      <c r="AX370" s="347">
        <v>2</v>
      </c>
      <c r="AY370" s="347">
        <v>7</v>
      </c>
      <c r="AZ370" s="347">
        <v>2</v>
      </c>
      <c r="BA370" s="347">
        <v>1</v>
      </c>
      <c r="BB370" s="347">
        <v>3</v>
      </c>
      <c r="BC370" s="347">
        <v>8</v>
      </c>
    </row>
    <row r="371" spans="1:55" s="381" customFormat="1" ht="17.649999999999999" customHeight="1">
      <c r="A371" s="343"/>
      <c r="B371" s="197" t="s">
        <v>2392</v>
      </c>
      <c r="C371" s="211" t="s">
        <v>2055</v>
      </c>
      <c r="D371" s="211" t="s">
        <v>2056</v>
      </c>
      <c r="E371" s="344">
        <v>1.1666666666666701</v>
      </c>
      <c r="F371" s="344">
        <v>1.1666666666666701</v>
      </c>
      <c r="G371" s="344">
        <v>1.1666666666666701</v>
      </c>
      <c r="H371" s="344">
        <v>1.1666666666666701</v>
      </c>
      <c r="I371" s="344">
        <v>1.1666666666666701</v>
      </c>
      <c r="J371" s="344">
        <v>1.1666666666666701</v>
      </c>
      <c r="K371" s="344">
        <v>1.1666666666666701</v>
      </c>
      <c r="L371" s="344">
        <v>1.1666666666666701</v>
      </c>
      <c r="M371" s="344">
        <v>1.1666666666666701</v>
      </c>
      <c r="N371" s="344">
        <v>1.1666666666666701</v>
      </c>
      <c r="O371" s="344">
        <v>1.1666666666666701</v>
      </c>
      <c r="P371" s="344">
        <v>2.1</v>
      </c>
      <c r="Q371" s="344">
        <v>3.0333333333333301</v>
      </c>
      <c r="R371" s="344">
        <v>4.43333333333333</v>
      </c>
      <c r="S371" s="344">
        <v>5.6</v>
      </c>
      <c r="T371" s="344">
        <v>3.5</v>
      </c>
      <c r="U371" s="344">
        <v>3.2666666666666702</v>
      </c>
      <c r="V371" s="344">
        <v>2.56666666666667</v>
      </c>
      <c r="W371" s="344">
        <v>2.1</v>
      </c>
      <c r="X371" s="344">
        <v>2.1</v>
      </c>
      <c r="Y371" s="344">
        <v>2.1</v>
      </c>
      <c r="Z371" s="344">
        <v>2.56666666666667</v>
      </c>
      <c r="AA371" s="344">
        <v>1.86666666666667</v>
      </c>
      <c r="AB371" s="344">
        <v>1.86666666666667</v>
      </c>
      <c r="AC371" s="344">
        <v>2.56666666666667</v>
      </c>
      <c r="AD371" s="344">
        <f t="shared" si="53"/>
        <v>0.7</v>
      </c>
      <c r="AE371" s="197">
        <v>4</v>
      </c>
      <c r="AF371" s="197">
        <v>4</v>
      </c>
      <c r="AG371" s="197">
        <v>4</v>
      </c>
      <c r="AH371" s="197">
        <v>4</v>
      </c>
      <c r="AI371" s="197">
        <v>4</v>
      </c>
      <c r="AJ371" s="197">
        <v>4</v>
      </c>
      <c r="AK371" s="197">
        <v>4</v>
      </c>
      <c r="AL371" s="197">
        <v>4</v>
      </c>
      <c r="AM371" s="197">
        <v>4</v>
      </c>
      <c r="AN371" s="197">
        <v>4</v>
      </c>
      <c r="AO371" s="197">
        <v>4</v>
      </c>
      <c r="AP371" s="197">
        <v>2</v>
      </c>
      <c r="AQ371" s="197">
        <v>6</v>
      </c>
      <c r="AR371" s="197">
        <v>4</v>
      </c>
      <c r="AS371" s="197">
        <v>1</v>
      </c>
      <c r="AT371" s="197">
        <v>4</v>
      </c>
      <c r="AU371" s="347">
        <v>4</v>
      </c>
      <c r="AV371" s="347">
        <v>4</v>
      </c>
      <c r="AW371" s="347">
        <v>4</v>
      </c>
      <c r="AX371" s="347">
        <v>4</v>
      </c>
      <c r="AY371" s="347">
        <v>10</v>
      </c>
      <c r="AZ371" s="347">
        <v>3</v>
      </c>
      <c r="BA371" s="347">
        <v>3</v>
      </c>
      <c r="BB371" s="347">
        <v>9</v>
      </c>
      <c r="BC371" s="347">
        <v>1</v>
      </c>
    </row>
    <row r="372" spans="1:55" s="381" customFormat="1" ht="17.649999999999999" customHeight="1">
      <c r="A372" s="343"/>
      <c r="B372" s="197" t="s">
        <v>2393</v>
      </c>
      <c r="C372" s="211" t="s">
        <v>2055</v>
      </c>
      <c r="D372" s="211" t="s">
        <v>2056</v>
      </c>
      <c r="E372" s="344">
        <v>0.233333333333333</v>
      </c>
      <c r="F372" s="344">
        <v>0.233333333333333</v>
      </c>
      <c r="G372" s="344">
        <v>0.233333333333333</v>
      </c>
      <c r="H372" s="344">
        <v>0.233333333333333</v>
      </c>
      <c r="I372" s="344">
        <v>0.233333333333333</v>
      </c>
      <c r="J372" s="344">
        <v>0.233333333333333</v>
      </c>
      <c r="K372" s="344">
        <v>0.233333333333333</v>
      </c>
      <c r="L372" s="344">
        <v>0.233333333333333</v>
      </c>
      <c r="M372" s="344">
        <v>0.233333333333333</v>
      </c>
      <c r="N372" s="344">
        <v>0.233333333333333</v>
      </c>
      <c r="O372" s="344">
        <v>0.233333333333333</v>
      </c>
      <c r="P372" s="344">
        <v>0.233333333333333</v>
      </c>
      <c r="Q372" s="344">
        <v>1.1666666666666701</v>
      </c>
      <c r="R372" s="344">
        <v>1.1666666666666701</v>
      </c>
      <c r="S372" s="344">
        <v>2.1</v>
      </c>
      <c r="T372" s="344">
        <v>2.3333333333333299</v>
      </c>
      <c r="U372" s="344">
        <v>1.86666666666667</v>
      </c>
      <c r="V372" s="344">
        <v>2.3333333333333299</v>
      </c>
      <c r="W372" s="344">
        <v>1.4</v>
      </c>
      <c r="X372" s="344">
        <v>1.1666666666666701</v>
      </c>
      <c r="Y372" s="344">
        <v>1.86666666666667</v>
      </c>
      <c r="Z372" s="344">
        <v>1.86666666666667</v>
      </c>
      <c r="AA372" s="344">
        <v>1.4</v>
      </c>
      <c r="AB372" s="344">
        <v>2.3333333333333299</v>
      </c>
      <c r="AC372" s="344">
        <v>2.1</v>
      </c>
      <c r="AD372" s="344">
        <f t="shared" si="53"/>
        <v>-0.23333333333332984</v>
      </c>
      <c r="AE372" s="197">
        <v>12</v>
      </c>
      <c r="AF372" s="197">
        <v>12</v>
      </c>
      <c r="AG372" s="197">
        <v>12</v>
      </c>
      <c r="AH372" s="197">
        <v>12</v>
      </c>
      <c r="AI372" s="197">
        <v>12</v>
      </c>
      <c r="AJ372" s="197">
        <v>12</v>
      </c>
      <c r="AK372" s="197">
        <v>12</v>
      </c>
      <c r="AL372" s="197">
        <v>12</v>
      </c>
      <c r="AM372" s="197">
        <v>12</v>
      </c>
      <c r="AN372" s="197">
        <v>12</v>
      </c>
      <c r="AO372" s="197">
        <v>12</v>
      </c>
      <c r="AP372" s="347">
        <v>4</v>
      </c>
      <c r="AQ372" s="197">
        <v>5</v>
      </c>
      <c r="AR372" s="347">
        <v>6</v>
      </c>
      <c r="AS372" s="347">
        <v>14</v>
      </c>
      <c r="AT372" s="197">
        <v>4</v>
      </c>
      <c r="AU372" s="347">
        <v>3</v>
      </c>
      <c r="AV372" s="347">
        <v>5</v>
      </c>
      <c r="AW372" s="347">
        <v>5</v>
      </c>
      <c r="AX372" s="347">
        <v>4</v>
      </c>
      <c r="AY372" s="347">
        <v>4</v>
      </c>
      <c r="AZ372" s="347">
        <v>11</v>
      </c>
      <c r="BA372" s="347">
        <v>3</v>
      </c>
      <c r="BB372" s="347">
        <v>3</v>
      </c>
      <c r="BC372" s="347">
        <v>10</v>
      </c>
    </row>
    <row r="373" spans="1:55" s="381" customFormat="1" ht="17.649999999999999" customHeight="1">
      <c r="A373" s="343"/>
      <c r="B373" s="197" t="s">
        <v>2394</v>
      </c>
      <c r="C373" s="211" t="s">
        <v>2055</v>
      </c>
      <c r="D373" s="211" t="s">
        <v>2056</v>
      </c>
      <c r="E373" s="344">
        <v>1.4</v>
      </c>
      <c r="F373" s="344">
        <v>1.4</v>
      </c>
      <c r="G373" s="344">
        <v>1.4</v>
      </c>
      <c r="H373" s="344">
        <v>1.4</v>
      </c>
      <c r="I373" s="344">
        <v>1.4</v>
      </c>
      <c r="J373" s="344">
        <v>1.4</v>
      </c>
      <c r="K373" s="344">
        <v>1.4</v>
      </c>
      <c r="L373" s="344">
        <v>1.4</v>
      </c>
      <c r="M373" s="344">
        <v>1.4</v>
      </c>
      <c r="N373" s="344">
        <v>1.4</v>
      </c>
      <c r="O373" s="344">
        <v>1.4</v>
      </c>
      <c r="P373" s="344">
        <v>2.3333333333333299</v>
      </c>
      <c r="Q373" s="344">
        <v>2.3333333333333299</v>
      </c>
      <c r="R373" s="344">
        <v>4.2</v>
      </c>
      <c r="S373" s="344">
        <v>3.9666666666666699</v>
      </c>
      <c r="T373" s="344">
        <v>3.9666666666666699</v>
      </c>
      <c r="U373" s="344">
        <v>5.1333333333333302</v>
      </c>
      <c r="V373" s="344">
        <v>3.5</v>
      </c>
      <c r="W373" s="344">
        <v>2.3333333333333299</v>
      </c>
      <c r="X373" s="344">
        <v>2.3333333333333299</v>
      </c>
      <c r="Y373" s="344">
        <v>1.1666666666666701</v>
      </c>
      <c r="Z373" s="344">
        <v>1.1666666666666701</v>
      </c>
      <c r="AA373" s="344">
        <v>2.1</v>
      </c>
      <c r="AB373" s="344">
        <v>2.3333333333333299</v>
      </c>
      <c r="AC373" s="344">
        <v>1.86666666666667</v>
      </c>
      <c r="AD373" s="344">
        <f t="shared" si="53"/>
        <v>-0.4666666666666599</v>
      </c>
      <c r="AE373" s="197">
        <v>3</v>
      </c>
      <c r="AF373" s="197">
        <v>3</v>
      </c>
      <c r="AG373" s="197">
        <v>3</v>
      </c>
      <c r="AH373" s="197">
        <v>3</v>
      </c>
      <c r="AI373" s="197">
        <v>3</v>
      </c>
      <c r="AJ373" s="197">
        <v>3</v>
      </c>
      <c r="AK373" s="197">
        <v>3</v>
      </c>
      <c r="AL373" s="197">
        <v>3</v>
      </c>
      <c r="AM373" s="197">
        <v>3</v>
      </c>
      <c r="AN373" s="197">
        <v>3</v>
      </c>
      <c r="AO373" s="197">
        <v>3</v>
      </c>
      <c r="AP373" s="197">
        <v>3</v>
      </c>
      <c r="AQ373" s="197">
        <v>3</v>
      </c>
      <c r="AR373" s="197">
        <v>3</v>
      </c>
      <c r="AS373" s="197">
        <v>1</v>
      </c>
      <c r="AT373" s="197">
        <v>2</v>
      </c>
      <c r="AU373" s="347">
        <v>1</v>
      </c>
      <c r="AV373" s="347">
        <v>10</v>
      </c>
      <c r="AW373" s="347">
        <v>1</v>
      </c>
      <c r="AX373" s="347">
        <v>8</v>
      </c>
      <c r="AY373" s="347">
        <v>1</v>
      </c>
      <c r="AZ373" s="347">
        <v>4</v>
      </c>
      <c r="BA373" s="347">
        <v>1</v>
      </c>
      <c r="BB373" s="347">
        <v>1</v>
      </c>
      <c r="BC373" s="347">
        <v>1</v>
      </c>
    </row>
    <row r="374" spans="1:55" s="381" customFormat="1" ht="17.649999999999999" customHeight="1">
      <c r="A374" s="343"/>
      <c r="B374" s="197" t="s">
        <v>2395</v>
      </c>
      <c r="C374" s="211" t="s">
        <v>2055</v>
      </c>
      <c r="D374" s="211" t="s">
        <v>2056</v>
      </c>
      <c r="E374" s="344">
        <v>0.233333333333333</v>
      </c>
      <c r="F374" s="344">
        <v>0.233333333333333</v>
      </c>
      <c r="G374" s="344">
        <v>0.233333333333333</v>
      </c>
      <c r="H374" s="344">
        <v>0.233333333333333</v>
      </c>
      <c r="I374" s="344">
        <v>0.233333333333333</v>
      </c>
      <c r="J374" s="344">
        <v>0.233333333333333</v>
      </c>
      <c r="K374" s="344">
        <v>0.233333333333333</v>
      </c>
      <c r="L374" s="344">
        <v>0.233333333333333</v>
      </c>
      <c r="M374" s="344">
        <v>0.233333333333333</v>
      </c>
      <c r="N374" s="344">
        <v>0.233333333333333</v>
      </c>
      <c r="O374" s="344">
        <v>0.233333333333333</v>
      </c>
      <c r="P374" s="344">
        <v>2.1</v>
      </c>
      <c r="Q374" s="344">
        <v>2.1</v>
      </c>
      <c r="R374" s="344">
        <v>3.9666666666666699</v>
      </c>
      <c r="S374" s="344">
        <v>4.43333333333333</v>
      </c>
      <c r="T374" s="344">
        <v>4.6666666666666696</v>
      </c>
      <c r="U374" s="344">
        <v>5.6</v>
      </c>
      <c r="V374" s="344">
        <v>4.6666666666666696</v>
      </c>
      <c r="W374" s="344">
        <v>3.2666666666666702</v>
      </c>
      <c r="X374" s="344">
        <v>3.2666666666666702</v>
      </c>
      <c r="Y374" s="344">
        <v>4.6666666666666696</v>
      </c>
      <c r="Z374" s="344">
        <v>3.5</v>
      </c>
      <c r="AA374" s="344">
        <v>4.43333333333333</v>
      </c>
      <c r="AB374" s="344">
        <v>4.43333333333333</v>
      </c>
      <c r="AC374" s="344">
        <v>2.56666666666667</v>
      </c>
      <c r="AD374" s="344">
        <f t="shared" si="53"/>
        <v>-1.86666666666666</v>
      </c>
      <c r="AE374" s="197">
        <v>33</v>
      </c>
      <c r="AF374" s="197">
        <v>33</v>
      </c>
      <c r="AG374" s="197">
        <v>33</v>
      </c>
      <c r="AH374" s="197">
        <v>33</v>
      </c>
      <c r="AI374" s="197">
        <v>33</v>
      </c>
      <c r="AJ374" s="197">
        <v>33</v>
      </c>
      <c r="AK374" s="197">
        <v>33</v>
      </c>
      <c r="AL374" s="197">
        <v>33</v>
      </c>
      <c r="AM374" s="197">
        <v>33</v>
      </c>
      <c r="AN374" s="197">
        <v>33</v>
      </c>
      <c r="AO374" s="197">
        <v>33</v>
      </c>
      <c r="AP374" s="347">
        <v>17</v>
      </c>
      <c r="AQ374" s="347">
        <v>22</v>
      </c>
      <c r="AR374" s="347">
        <v>2</v>
      </c>
      <c r="AS374" s="347">
        <v>14</v>
      </c>
      <c r="AT374" s="197">
        <v>51</v>
      </c>
      <c r="AU374" s="347">
        <v>28</v>
      </c>
      <c r="AV374" s="347">
        <v>15</v>
      </c>
      <c r="AW374" s="347">
        <v>4</v>
      </c>
      <c r="AX374" s="197">
        <v>51</v>
      </c>
      <c r="AY374" s="347">
        <v>1</v>
      </c>
      <c r="AZ374" s="197">
        <v>51</v>
      </c>
      <c r="BA374" s="197">
        <v>51</v>
      </c>
      <c r="BB374" s="347">
        <v>1</v>
      </c>
      <c r="BC374" s="347">
        <v>1</v>
      </c>
    </row>
    <row r="375" spans="1:55" s="381" customFormat="1" ht="17.649999999999999" customHeight="1">
      <c r="A375" s="343"/>
      <c r="B375" s="197" t="s">
        <v>2396</v>
      </c>
      <c r="C375" s="211" t="s">
        <v>2055</v>
      </c>
      <c r="D375" s="211" t="s">
        <v>2056</v>
      </c>
      <c r="E375" s="344">
        <v>1.1666666666666701</v>
      </c>
      <c r="F375" s="344">
        <v>1.1666666666666701</v>
      </c>
      <c r="G375" s="344">
        <v>1.1666666666666701</v>
      </c>
      <c r="H375" s="344">
        <v>1.1666666666666701</v>
      </c>
      <c r="I375" s="344">
        <v>1.1666666666666701</v>
      </c>
      <c r="J375" s="344">
        <v>1.1666666666666701</v>
      </c>
      <c r="K375" s="344">
        <v>1.1666666666666701</v>
      </c>
      <c r="L375" s="344">
        <v>1.1666666666666701</v>
      </c>
      <c r="M375" s="344">
        <v>1.1666666666666701</v>
      </c>
      <c r="N375" s="344">
        <v>1.1666666666666701</v>
      </c>
      <c r="O375" s="344">
        <v>1.1666666666666701</v>
      </c>
      <c r="P375" s="344">
        <v>1.86666666666667</v>
      </c>
      <c r="Q375" s="344">
        <v>1.86666666666667</v>
      </c>
      <c r="R375" s="344">
        <v>3.2666666666666702</v>
      </c>
      <c r="S375" s="344">
        <v>3.9666666666666699</v>
      </c>
      <c r="T375" s="344">
        <v>2.3333333333333299</v>
      </c>
      <c r="U375" s="344">
        <v>3.0333333333333301</v>
      </c>
      <c r="V375" s="344">
        <v>1.4</v>
      </c>
      <c r="W375" s="344">
        <v>0.233333333333333</v>
      </c>
      <c r="X375" s="344">
        <v>0.233333333333333</v>
      </c>
      <c r="Y375" s="344">
        <v>1.86666666666667</v>
      </c>
      <c r="Z375" s="344">
        <v>1.86666666666667</v>
      </c>
      <c r="AA375" s="344">
        <v>1.86666666666667</v>
      </c>
      <c r="AB375" s="344">
        <v>2.3333333333333299</v>
      </c>
      <c r="AC375" s="344">
        <v>1.4</v>
      </c>
      <c r="AD375" s="344">
        <f t="shared" si="53"/>
        <v>-0.93333333333333002</v>
      </c>
      <c r="AE375" s="197">
        <v>6</v>
      </c>
      <c r="AF375" s="197">
        <v>6</v>
      </c>
      <c r="AG375" s="197">
        <v>6</v>
      </c>
      <c r="AH375" s="197">
        <v>6</v>
      </c>
      <c r="AI375" s="197">
        <v>6</v>
      </c>
      <c r="AJ375" s="197">
        <v>6</v>
      </c>
      <c r="AK375" s="197">
        <v>6</v>
      </c>
      <c r="AL375" s="197">
        <v>6</v>
      </c>
      <c r="AM375" s="197">
        <v>6</v>
      </c>
      <c r="AN375" s="197">
        <v>6</v>
      </c>
      <c r="AO375" s="197">
        <v>6</v>
      </c>
      <c r="AP375" s="197">
        <v>1</v>
      </c>
      <c r="AQ375" s="347">
        <v>1</v>
      </c>
      <c r="AR375" s="197">
        <v>1</v>
      </c>
      <c r="AS375" s="197">
        <v>1</v>
      </c>
      <c r="AT375" s="197">
        <v>1</v>
      </c>
      <c r="AU375" s="347">
        <v>1</v>
      </c>
      <c r="AV375" s="347">
        <v>1</v>
      </c>
      <c r="AW375" s="347">
        <v>1</v>
      </c>
      <c r="AX375" s="347">
        <v>1</v>
      </c>
      <c r="AY375" s="347">
        <v>2</v>
      </c>
      <c r="AZ375" s="347">
        <v>3</v>
      </c>
      <c r="BA375" s="347">
        <v>1</v>
      </c>
      <c r="BB375" s="347">
        <v>1</v>
      </c>
      <c r="BC375" s="347">
        <v>1</v>
      </c>
    </row>
    <row r="376" spans="1:55" s="381" customFormat="1" ht="17.649999999999999" customHeight="1">
      <c r="A376" s="343"/>
      <c r="B376" s="197" t="s">
        <v>2397</v>
      </c>
      <c r="C376" s="211" t="s">
        <v>2055</v>
      </c>
      <c r="D376" s="211" t="s">
        <v>2056</v>
      </c>
      <c r="E376" s="344">
        <v>58.3333333333333</v>
      </c>
      <c r="F376" s="344">
        <v>58.3333333333333</v>
      </c>
      <c r="G376" s="344">
        <v>58.3333333333333</v>
      </c>
      <c r="H376" s="344">
        <v>58.3333333333333</v>
      </c>
      <c r="I376" s="344">
        <v>58.3333333333333</v>
      </c>
      <c r="J376" s="344">
        <v>58.3333333333333</v>
      </c>
      <c r="K376" s="344">
        <v>58.3333333333333</v>
      </c>
      <c r="L376" s="344">
        <v>58.3333333333333</v>
      </c>
      <c r="M376" s="344">
        <v>58.3333333333333</v>
      </c>
      <c r="N376" s="344">
        <v>58.3333333333333</v>
      </c>
      <c r="O376" s="344">
        <v>58.3333333333333</v>
      </c>
      <c r="P376" s="344">
        <v>66.733333333333306</v>
      </c>
      <c r="Q376" s="344">
        <v>84.7</v>
      </c>
      <c r="R376" s="344">
        <v>89.133333333333297</v>
      </c>
      <c r="S376" s="344">
        <v>87.966666666666697</v>
      </c>
      <c r="T376" s="344">
        <v>80.033333333333303</v>
      </c>
      <c r="U376" s="344">
        <v>74.433333333333294</v>
      </c>
      <c r="V376" s="344">
        <v>68.8333333333333</v>
      </c>
      <c r="W376" s="344">
        <v>60.6666666666667</v>
      </c>
      <c r="X376" s="344">
        <v>70.466666666666697</v>
      </c>
      <c r="Y376" s="344">
        <v>92.1666666666667</v>
      </c>
      <c r="Z376" s="344">
        <v>129.26666666666699</v>
      </c>
      <c r="AA376" s="344">
        <v>157.26666666666699</v>
      </c>
      <c r="AB376" s="344">
        <v>171.26666666666699</v>
      </c>
      <c r="AC376" s="344">
        <v>158.433333333333</v>
      </c>
      <c r="AD376" s="344">
        <f t="shared" si="53"/>
        <v>-12.833333333333997</v>
      </c>
      <c r="AE376" s="197">
        <v>4</v>
      </c>
      <c r="AF376" s="197">
        <v>4</v>
      </c>
      <c r="AG376" s="197">
        <v>4</v>
      </c>
      <c r="AH376" s="197">
        <v>4</v>
      </c>
      <c r="AI376" s="197">
        <v>4</v>
      </c>
      <c r="AJ376" s="197">
        <v>4</v>
      </c>
      <c r="AK376" s="197">
        <v>4</v>
      </c>
      <c r="AL376" s="197">
        <v>4</v>
      </c>
      <c r="AM376" s="197">
        <v>4</v>
      </c>
      <c r="AN376" s="197">
        <v>4</v>
      </c>
      <c r="AO376" s="197">
        <v>4</v>
      </c>
      <c r="AP376" s="197">
        <v>4</v>
      </c>
      <c r="AQ376" s="197">
        <v>6</v>
      </c>
      <c r="AR376" s="197">
        <v>4</v>
      </c>
      <c r="AS376" s="197">
        <v>8</v>
      </c>
      <c r="AT376" s="197">
        <v>1</v>
      </c>
      <c r="AU376" s="197">
        <v>4</v>
      </c>
      <c r="AV376" s="347">
        <v>3</v>
      </c>
      <c r="AW376" s="347">
        <v>8</v>
      </c>
      <c r="AX376" s="347">
        <v>5</v>
      </c>
      <c r="AY376" s="347">
        <v>1</v>
      </c>
      <c r="AZ376" s="347">
        <v>7</v>
      </c>
      <c r="BA376" s="347">
        <v>8</v>
      </c>
      <c r="BB376" s="347">
        <v>5</v>
      </c>
      <c r="BC376" s="347">
        <v>6</v>
      </c>
    </row>
    <row r="377" spans="1:55" s="381" customFormat="1" ht="17.649999999999999" customHeight="1">
      <c r="A377" s="343"/>
      <c r="B377" s="197" t="s">
        <v>2398</v>
      </c>
      <c r="C377" s="211" t="s">
        <v>2055</v>
      </c>
      <c r="D377" s="211" t="s">
        <v>2056</v>
      </c>
      <c r="E377" s="344">
        <v>4.6666666666666696</v>
      </c>
      <c r="F377" s="344">
        <v>4.6666666666666696</v>
      </c>
      <c r="G377" s="344">
        <v>4.6666666666666696</v>
      </c>
      <c r="H377" s="344">
        <v>4.6666666666666696</v>
      </c>
      <c r="I377" s="344">
        <v>4.6666666666666696</v>
      </c>
      <c r="J377" s="344">
        <v>4.6666666666666696</v>
      </c>
      <c r="K377" s="344">
        <v>4.6666666666666696</v>
      </c>
      <c r="L377" s="344">
        <v>4.6666666666666696</v>
      </c>
      <c r="M377" s="344">
        <v>4.6666666666666696</v>
      </c>
      <c r="N377" s="344">
        <v>4.6666666666666696</v>
      </c>
      <c r="O377" s="344">
        <v>4.6666666666666696</v>
      </c>
      <c r="P377" s="344">
        <v>4.6666666666666696</v>
      </c>
      <c r="Q377" s="344">
        <v>6.3</v>
      </c>
      <c r="R377" s="344">
        <v>6.7666666666666702</v>
      </c>
      <c r="S377" s="344">
        <v>6.5333333333333297</v>
      </c>
      <c r="T377" s="344">
        <v>7.93333333333333</v>
      </c>
      <c r="U377" s="344">
        <v>5.3666666666666698</v>
      </c>
      <c r="V377" s="344">
        <v>6.3</v>
      </c>
      <c r="W377" s="344">
        <v>10.966666666666701</v>
      </c>
      <c r="X377" s="344">
        <v>10.733333333333301</v>
      </c>
      <c r="Y377" s="344">
        <v>11.2</v>
      </c>
      <c r="Z377" s="344">
        <v>11.6666666666667</v>
      </c>
      <c r="AA377" s="344">
        <v>5.1333333333333302</v>
      </c>
      <c r="AB377" s="344">
        <v>4.2</v>
      </c>
      <c r="AC377" s="344">
        <v>3.0333333333333301</v>
      </c>
      <c r="AD377" s="344">
        <f t="shared" si="53"/>
        <v>-1.1666666666666701</v>
      </c>
      <c r="AE377" s="197">
        <v>7</v>
      </c>
      <c r="AF377" s="197">
        <v>7</v>
      </c>
      <c r="AG377" s="197">
        <v>7</v>
      </c>
      <c r="AH377" s="197">
        <v>7</v>
      </c>
      <c r="AI377" s="197">
        <v>7</v>
      </c>
      <c r="AJ377" s="197">
        <v>7</v>
      </c>
      <c r="AK377" s="197">
        <v>7</v>
      </c>
      <c r="AL377" s="197">
        <v>7</v>
      </c>
      <c r="AM377" s="197">
        <v>7</v>
      </c>
      <c r="AN377" s="197">
        <v>7</v>
      </c>
      <c r="AO377" s="197">
        <v>7</v>
      </c>
      <c r="AP377" s="197">
        <v>2</v>
      </c>
      <c r="AQ377" s="197">
        <v>2</v>
      </c>
      <c r="AR377" s="197">
        <v>2</v>
      </c>
      <c r="AS377" s="197">
        <v>2</v>
      </c>
      <c r="AT377" s="197">
        <v>4</v>
      </c>
      <c r="AU377" s="347">
        <v>3</v>
      </c>
      <c r="AV377" s="347">
        <v>3</v>
      </c>
      <c r="AW377" s="347">
        <v>3</v>
      </c>
      <c r="AX377" s="347">
        <v>5</v>
      </c>
      <c r="AY377" s="347">
        <v>3</v>
      </c>
      <c r="AZ377" s="347">
        <v>1</v>
      </c>
      <c r="BA377" s="347">
        <v>3</v>
      </c>
      <c r="BB377" s="347">
        <v>2</v>
      </c>
      <c r="BC377" s="347">
        <v>3</v>
      </c>
    </row>
    <row r="378" spans="1:55" s="381" customFormat="1" ht="17.649999999999999" customHeight="1">
      <c r="A378" s="343"/>
      <c r="B378" s="197" t="s">
        <v>2399</v>
      </c>
      <c r="C378" s="211" t="s">
        <v>2055</v>
      </c>
      <c r="D378" s="211" t="s">
        <v>2056</v>
      </c>
      <c r="E378" s="344">
        <v>168</v>
      </c>
      <c r="F378" s="344">
        <v>168</v>
      </c>
      <c r="G378" s="344">
        <v>168</v>
      </c>
      <c r="H378" s="344">
        <v>168</v>
      </c>
      <c r="I378" s="344">
        <v>168</v>
      </c>
      <c r="J378" s="344">
        <v>168</v>
      </c>
      <c r="K378" s="344">
        <v>168</v>
      </c>
      <c r="L378" s="344">
        <v>168</v>
      </c>
      <c r="M378" s="344">
        <v>168</v>
      </c>
      <c r="N378" s="344">
        <v>168</v>
      </c>
      <c r="O378" s="344">
        <v>168</v>
      </c>
      <c r="P378" s="344">
        <v>182</v>
      </c>
      <c r="Q378" s="344">
        <v>220.96666666666701</v>
      </c>
      <c r="R378" s="344">
        <v>187.833333333333</v>
      </c>
      <c r="S378" s="344">
        <v>161</v>
      </c>
      <c r="T378" s="344">
        <v>151.666666666667</v>
      </c>
      <c r="U378" s="344">
        <v>142.80000000000001</v>
      </c>
      <c r="V378" s="344">
        <v>127.166666666667</v>
      </c>
      <c r="W378" s="344">
        <v>122.033333333333</v>
      </c>
      <c r="X378" s="344">
        <v>147</v>
      </c>
      <c r="Y378" s="344">
        <v>144.19999999999999</v>
      </c>
      <c r="Z378" s="344">
        <v>155.63333333333301</v>
      </c>
      <c r="AA378" s="344">
        <v>163.333333333333</v>
      </c>
      <c r="AB378" s="344">
        <v>151.19999999999999</v>
      </c>
      <c r="AC378" s="344">
        <v>135.333333333333</v>
      </c>
      <c r="AD378" s="344">
        <f t="shared" si="53"/>
        <v>-15.866666666666987</v>
      </c>
      <c r="AE378" s="197">
        <v>10</v>
      </c>
      <c r="AF378" s="197">
        <v>10</v>
      </c>
      <c r="AG378" s="197">
        <v>10</v>
      </c>
      <c r="AH378" s="197">
        <v>10</v>
      </c>
      <c r="AI378" s="197">
        <v>10</v>
      </c>
      <c r="AJ378" s="197">
        <v>10</v>
      </c>
      <c r="AK378" s="197">
        <v>10</v>
      </c>
      <c r="AL378" s="197">
        <v>10</v>
      </c>
      <c r="AM378" s="197">
        <v>10</v>
      </c>
      <c r="AN378" s="197">
        <v>10</v>
      </c>
      <c r="AO378" s="197">
        <v>10</v>
      </c>
      <c r="AP378" s="197">
        <v>9</v>
      </c>
      <c r="AQ378" s="347">
        <v>1</v>
      </c>
      <c r="AR378" s="197">
        <v>1</v>
      </c>
      <c r="AS378" s="197">
        <v>1</v>
      </c>
      <c r="AT378" s="197">
        <v>1</v>
      </c>
      <c r="AU378" s="347">
        <v>1</v>
      </c>
      <c r="AV378" s="347">
        <v>1</v>
      </c>
      <c r="AW378" s="347">
        <v>3</v>
      </c>
      <c r="AX378" s="347">
        <v>1</v>
      </c>
      <c r="AY378" s="347">
        <v>1</v>
      </c>
      <c r="AZ378" s="347">
        <v>1</v>
      </c>
      <c r="BA378" s="347">
        <v>3</v>
      </c>
      <c r="BB378" s="347">
        <v>1</v>
      </c>
      <c r="BC378" s="347">
        <v>1</v>
      </c>
    </row>
    <row r="379" spans="1:55" s="381" customFormat="1" ht="17.649999999999999" customHeight="1">
      <c r="A379" s="343"/>
      <c r="B379" s="197" t="s">
        <v>2400</v>
      </c>
      <c r="C379" s="211" t="s">
        <v>2055</v>
      </c>
      <c r="D379" s="211" t="s">
        <v>2056</v>
      </c>
      <c r="E379" s="344">
        <v>63.933333333333302</v>
      </c>
      <c r="F379" s="344">
        <v>63.933333333333302</v>
      </c>
      <c r="G379" s="344">
        <v>63.933333333333302</v>
      </c>
      <c r="H379" s="344">
        <v>63.933333333333302</v>
      </c>
      <c r="I379" s="344">
        <v>63.933333333333302</v>
      </c>
      <c r="J379" s="344">
        <v>63.933333333333302</v>
      </c>
      <c r="K379" s="344">
        <v>63.933333333333302</v>
      </c>
      <c r="L379" s="344">
        <v>63.933333333333302</v>
      </c>
      <c r="M379" s="344">
        <v>63.933333333333302</v>
      </c>
      <c r="N379" s="344">
        <v>63.933333333333302</v>
      </c>
      <c r="O379" s="344">
        <v>63.933333333333302</v>
      </c>
      <c r="P379" s="344">
        <v>68.133333333333297</v>
      </c>
      <c r="Q379" s="344">
        <v>78.866666666666703</v>
      </c>
      <c r="R379" s="344">
        <v>60.2</v>
      </c>
      <c r="S379" s="344">
        <v>52.5</v>
      </c>
      <c r="T379" s="344">
        <v>50.4</v>
      </c>
      <c r="U379" s="344">
        <v>46.433333333333302</v>
      </c>
      <c r="V379" s="344">
        <v>48.3</v>
      </c>
      <c r="W379" s="344">
        <v>48.533333333333303</v>
      </c>
      <c r="X379" s="344">
        <v>49.7</v>
      </c>
      <c r="Y379" s="344">
        <v>51.566666666666698</v>
      </c>
      <c r="Z379" s="344">
        <v>46.433333333333302</v>
      </c>
      <c r="AA379" s="344">
        <v>39.6666666666667</v>
      </c>
      <c r="AB379" s="344">
        <v>45.266666666666701</v>
      </c>
      <c r="AC379" s="344">
        <v>40.366666666666703</v>
      </c>
      <c r="AD379" s="344">
        <f t="shared" si="53"/>
        <v>-4.8999999999999986</v>
      </c>
      <c r="AE379" s="197">
        <v>1</v>
      </c>
      <c r="AF379" s="197">
        <v>1</v>
      </c>
      <c r="AG379" s="197">
        <v>1</v>
      </c>
      <c r="AH379" s="197">
        <v>1</v>
      </c>
      <c r="AI379" s="197">
        <v>1</v>
      </c>
      <c r="AJ379" s="197">
        <v>1</v>
      </c>
      <c r="AK379" s="197">
        <v>1</v>
      </c>
      <c r="AL379" s="197">
        <v>1</v>
      </c>
      <c r="AM379" s="197">
        <v>1</v>
      </c>
      <c r="AN379" s="197">
        <v>1</v>
      </c>
      <c r="AO379" s="197">
        <v>1</v>
      </c>
      <c r="AP379" s="197">
        <v>8</v>
      </c>
      <c r="AQ379" s="197">
        <v>1</v>
      </c>
      <c r="AR379" s="197">
        <v>2</v>
      </c>
      <c r="AS379" s="197">
        <v>9</v>
      </c>
      <c r="AT379" s="197">
        <v>2</v>
      </c>
      <c r="AU379" s="347">
        <v>1</v>
      </c>
      <c r="AV379" s="347">
        <v>1</v>
      </c>
      <c r="AW379" s="347">
        <v>2</v>
      </c>
      <c r="AX379" s="347">
        <v>1</v>
      </c>
      <c r="AY379" s="347">
        <v>1</v>
      </c>
      <c r="AZ379" s="347">
        <v>8</v>
      </c>
      <c r="BA379" s="347">
        <v>1</v>
      </c>
      <c r="BB379" s="347">
        <v>1</v>
      </c>
      <c r="BC379" s="347">
        <v>1</v>
      </c>
    </row>
    <row r="380" spans="1:55" s="381" customFormat="1" ht="17.649999999999999" customHeight="1">
      <c r="A380" s="343"/>
      <c r="B380" s="197" t="s">
        <v>2401</v>
      </c>
      <c r="C380" s="211" t="s">
        <v>2055</v>
      </c>
      <c r="D380" s="211" t="s">
        <v>2056</v>
      </c>
      <c r="E380" s="344">
        <v>20.766666666666701</v>
      </c>
      <c r="F380" s="344">
        <v>20.766666666666701</v>
      </c>
      <c r="G380" s="344">
        <v>20.766666666666701</v>
      </c>
      <c r="H380" s="344">
        <v>20.766666666666701</v>
      </c>
      <c r="I380" s="344">
        <v>20.766666666666701</v>
      </c>
      <c r="J380" s="344">
        <v>20.766666666666701</v>
      </c>
      <c r="K380" s="344">
        <v>20.766666666666701</v>
      </c>
      <c r="L380" s="344">
        <v>20.766666666666701</v>
      </c>
      <c r="M380" s="344">
        <v>20.766666666666701</v>
      </c>
      <c r="N380" s="344">
        <v>20.766666666666701</v>
      </c>
      <c r="O380" s="344">
        <v>20.766666666666701</v>
      </c>
      <c r="P380" s="344">
        <v>24.033333333333299</v>
      </c>
      <c r="Q380" s="344">
        <v>27.533333333333299</v>
      </c>
      <c r="R380" s="344">
        <v>24.5</v>
      </c>
      <c r="S380" s="344">
        <v>20.533333333333299</v>
      </c>
      <c r="T380" s="344">
        <v>15.1666666666667</v>
      </c>
      <c r="U380" s="344">
        <v>14.9333333333333</v>
      </c>
      <c r="V380" s="344">
        <v>13.533333333333299</v>
      </c>
      <c r="W380" s="344">
        <v>12.8333333333333</v>
      </c>
      <c r="X380" s="344">
        <v>16.566666666666698</v>
      </c>
      <c r="Y380" s="344">
        <v>16.100000000000001</v>
      </c>
      <c r="Z380" s="344">
        <v>17.266666666666701</v>
      </c>
      <c r="AA380" s="344">
        <v>16.566666666666698</v>
      </c>
      <c r="AB380" s="344">
        <v>16.3333333333333</v>
      </c>
      <c r="AC380" s="344">
        <v>15.1666666666667</v>
      </c>
      <c r="AD380" s="344">
        <f t="shared" si="53"/>
        <v>-1.1666666666666003</v>
      </c>
      <c r="AE380" s="197">
        <v>7</v>
      </c>
      <c r="AF380" s="197">
        <v>7</v>
      </c>
      <c r="AG380" s="197">
        <v>7</v>
      </c>
      <c r="AH380" s="197">
        <v>7</v>
      </c>
      <c r="AI380" s="197">
        <v>7</v>
      </c>
      <c r="AJ380" s="197">
        <v>7</v>
      </c>
      <c r="AK380" s="197">
        <v>7</v>
      </c>
      <c r="AL380" s="197">
        <v>7</v>
      </c>
      <c r="AM380" s="197">
        <v>7</v>
      </c>
      <c r="AN380" s="197">
        <v>7</v>
      </c>
      <c r="AO380" s="197">
        <v>7</v>
      </c>
      <c r="AP380" s="197">
        <v>3</v>
      </c>
      <c r="AQ380" s="197">
        <v>1</v>
      </c>
      <c r="AR380" s="197">
        <v>1</v>
      </c>
      <c r="AS380" s="197">
        <v>4</v>
      </c>
      <c r="AT380" s="197">
        <v>1</v>
      </c>
      <c r="AU380" s="347">
        <v>3</v>
      </c>
      <c r="AV380" s="347">
        <v>8</v>
      </c>
      <c r="AW380" s="347">
        <v>3</v>
      </c>
      <c r="AX380" s="347">
        <v>3</v>
      </c>
      <c r="AY380" s="347">
        <v>3</v>
      </c>
      <c r="AZ380" s="347">
        <v>2</v>
      </c>
      <c r="BA380" s="347">
        <v>1</v>
      </c>
      <c r="BB380" s="347">
        <v>1</v>
      </c>
      <c r="BC380" s="347">
        <v>5</v>
      </c>
    </row>
    <row r="381" spans="1:55" s="381" customFormat="1" ht="17.649999999999999" customHeight="1">
      <c r="A381" s="343"/>
      <c r="B381" s="197" t="s">
        <v>2402</v>
      </c>
      <c r="C381" s="211" t="s">
        <v>2055</v>
      </c>
      <c r="D381" s="211" t="s">
        <v>2056</v>
      </c>
      <c r="E381" s="344">
        <v>0.233333333333333</v>
      </c>
      <c r="F381" s="344">
        <v>0.233333333333333</v>
      </c>
      <c r="G381" s="344">
        <v>0.233333333333333</v>
      </c>
      <c r="H381" s="344">
        <v>0.233333333333333</v>
      </c>
      <c r="I381" s="344">
        <v>0.233333333333333</v>
      </c>
      <c r="J381" s="344">
        <v>0.233333333333333</v>
      </c>
      <c r="K381" s="344">
        <v>0.233333333333333</v>
      </c>
      <c r="L381" s="344">
        <v>0.233333333333333</v>
      </c>
      <c r="M381" s="344">
        <v>0.233333333333333</v>
      </c>
      <c r="N381" s="344">
        <v>0.233333333333333</v>
      </c>
      <c r="O381" s="344">
        <v>0.233333333333333</v>
      </c>
      <c r="P381" s="344">
        <v>1.1666666666666701</v>
      </c>
      <c r="Q381" s="344">
        <v>1.1666666666666701</v>
      </c>
      <c r="R381" s="344">
        <v>1.86666666666667</v>
      </c>
      <c r="S381" s="344">
        <v>2.3333333333333299</v>
      </c>
      <c r="T381" s="344">
        <v>2.3333333333333299</v>
      </c>
      <c r="U381" s="344">
        <v>4.2</v>
      </c>
      <c r="V381" s="344">
        <v>3.5</v>
      </c>
      <c r="W381" s="344">
        <v>2.56666666666667</v>
      </c>
      <c r="X381" s="344">
        <v>3.0333333333333301</v>
      </c>
      <c r="Y381" s="344">
        <v>3.2666666666666702</v>
      </c>
      <c r="Z381" s="344">
        <v>2.1</v>
      </c>
      <c r="AA381" s="344">
        <v>1.86666666666667</v>
      </c>
      <c r="AB381" s="344">
        <v>1.4</v>
      </c>
      <c r="AC381" s="344">
        <v>0.233333333333333</v>
      </c>
      <c r="AD381" s="344">
        <f t="shared" ref="AD381:AD444" si="54">AC381-AB381</f>
        <v>-1.166666666666667</v>
      </c>
      <c r="AE381" s="197">
        <v>3</v>
      </c>
      <c r="AF381" s="197">
        <v>3</v>
      </c>
      <c r="AG381" s="197">
        <v>3</v>
      </c>
      <c r="AH381" s="197">
        <v>3</v>
      </c>
      <c r="AI381" s="197">
        <v>3</v>
      </c>
      <c r="AJ381" s="197">
        <v>3</v>
      </c>
      <c r="AK381" s="197">
        <v>3</v>
      </c>
      <c r="AL381" s="197">
        <v>3</v>
      </c>
      <c r="AM381" s="197">
        <v>3</v>
      </c>
      <c r="AN381" s="197">
        <v>3</v>
      </c>
      <c r="AO381" s="197">
        <v>3</v>
      </c>
      <c r="AP381" s="197">
        <v>9</v>
      </c>
      <c r="AQ381" s="197">
        <v>7</v>
      </c>
      <c r="AR381" s="347">
        <v>2</v>
      </c>
      <c r="AS381" s="197">
        <v>2</v>
      </c>
      <c r="AT381" s="347">
        <v>11</v>
      </c>
      <c r="AU381" s="347">
        <v>7</v>
      </c>
      <c r="AV381" s="347">
        <v>2</v>
      </c>
      <c r="AW381" s="347">
        <v>1</v>
      </c>
      <c r="AX381" s="347">
        <v>7</v>
      </c>
      <c r="AY381" s="347">
        <v>7</v>
      </c>
      <c r="AZ381" s="347">
        <v>3</v>
      </c>
      <c r="BA381" s="347">
        <v>5</v>
      </c>
      <c r="BB381" s="347">
        <v>9</v>
      </c>
      <c r="BC381" s="347">
        <v>2</v>
      </c>
    </row>
    <row r="382" spans="1:55" s="381" customFormat="1" ht="17.649999999999999" customHeight="1">
      <c r="A382" s="343"/>
      <c r="B382" s="197" t="s">
        <v>2403</v>
      </c>
      <c r="C382" s="211" t="s">
        <v>2055</v>
      </c>
      <c r="D382" s="211" t="s">
        <v>2056</v>
      </c>
      <c r="E382" s="344">
        <v>38.266666666666701</v>
      </c>
      <c r="F382" s="344">
        <v>38.266666666666701</v>
      </c>
      <c r="G382" s="344">
        <v>38.266666666666701</v>
      </c>
      <c r="H382" s="344">
        <v>38.266666666666701</v>
      </c>
      <c r="I382" s="344">
        <v>38.266666666666701</v>
      </c>
      <c r="J382" s="344">
        <v>38.266666666666701</v>
      </c>
      <c r="K382" s="344">
        <v>38.266666666666701</v>
      </c>
      <c r="L382" s="344">
        <v>38.266666666666701</v>
      </c>
      <c r="M382" s="344">
        <v>38.266666666666701</v>
      </c>
      <c r="N382" s="344">
        <v>38.266666666666701</v>
      </c>
      <c r="O382" s="344">
        <v>38.266666666666701</v>
      </c>
      <c r="P382" s="344">
        <v>45.033333333333303</v>
      </c>
      <c r="Q382" s="344">
        <v>51.3333333333333</v>
      </c>
      <c r="R382" s="344">
        <v>54.133333333333297</v>
      </c>
      <c r="S382" s="344">
        <v>44.566666666666698</v>
      </c>
      <c r="T382" s="344">
        <v>44.566666666666698</v>
      </c>
      <c r="U382" s="344">
        <v>40.6</v>
      </c>
      <c r="V382" s="344">
        <v>37.1</v>
      </c>
      <c r="W382" s="344">
        <v>32.9</v>
      </c>
      <c r="X382" s="344">
        <v>39.433333333333302</v>
      </c>
      <c r="Y382" s="344">
        <v>41.766666666666701</v>
      </c>
      <c r="Z382" s="344">
        <v>43.633333333333297</v>
      </c>
      <c r="AA382" s="344">
        <v>41.533333333333303</v>
      </c>
      <c r="AB382" s="344">
        <v>39.433333333333302</v>
      </c>
      <c r="AC382" s="344">
        <v>29.4</v>
      </c>
      <c r="AD382" s="344">
        <f t="shared" si="54"/>
        <v>-10.033333333333303</v>
      </c>
      <c r="AE382" s="197">
        <v>10</v>
      </c>
      <c r="AF382" s="197">
        <v>10</v>
      </c>
      <c r="AG382" s="197">
        <v>10</v>
      </c>
      <c r="AH382" s="197">
        <v>10</v>
      </c>
      <c r="AI382" s="197">
        <v>10</v>
      </c>
      <c r="AJ382" s="197">
        <v>10</v>
      </c>
      <c r="AK382" s="197">
        <v>10</v>
      </c>
      <c r="AL382" s="197">
        <v>10</v>
      </c>
      <c r="AM382" s="197">
        <v>10</v>
      </c>
      <c r="AN382" s="197">
        <v>10</v>
      </c>
      <c r="AO382" s="197">
        <v>10</v>
      </c>
      <c r="AP382" s="197">
        <v>10</v>
      </c>
      <c r="AQ382" s="197">
        <v>1</v>
      </c>
      <c r="AR382" s="197">
        <v>3</v>
      </c>
      <c r="AS382" s="197">
        <v>1</v>
      </c>
      <c r="AT382" s="197">
        <v>9</v>
      </c>
      <c r="AU382" s="347">
        <v>1</v>
      </c>
      <c r="AV382" s="347">
        <v>9</v>
      </c>
      <c r="AW382" s="347">
        <v>1</v>
      </c>
      <c r="AX382" s="347">
        <v>1</v>
      </c>
      <c r="AY382" s="347">
        <v>1</v>
      </c>
      <c r="AZ382" s="347">
        <v>1</v>
      </c>
      <c r="BA382" s="347">
        <v>2</v>
      </c>
      <c r="BB382" s="347">
        <v>1</v>
      </c>
      <c r="BC382" s="347">
        <v>1</v>
      </c>
    </row>
    <row r="383" spans="1:55" s="381" customFormat="1" ht="17.649999999999999" customHeight="1">
      <c r="A383" s="343"/>
      <c r="B383" s="197" t="s">
        <v>135</v>
      </c>
      <c r="C383" s="211" t="s">
        <v>2055</v>
      </c>
      <c r="D383" s="211" t="s">
        <v>2056</v>
      </c>
      <c r="E383" s="344">
        <v>25.433333333333302</v>
      </c>
      <c r="F383" s="344">
        <v>25.433333333333302</v>
      </c>
      <c r="G383" s="344">
        <v>25.433333333333302</v>
      </c>
      <c r="H383" s="344">
        <v>25.433333333333302</v>
      </c>
      <c r="I383" s="344">
        <v>25.433333333333302</v>
      </c>
      <c r="J383" s="344">
        <v>25.433333333333302</v>
      </c>
      <c r="K383" s="344">
        <v>25.433333333333302</v>
      </c>
      <c r="L383" s="344">
        <v>25.433333333333302</v>
      </c>
      <c r="M383" s="344">
        <v>25.433333333333302</v>
      </c>
      <c r="N383" s="344">
        <v>25.433333333333302</v>
      </c>
      <c r="O383" s="344">
        <v>25.433333333333302</v>
      </c>
      <c r="P383" s="344">
        <v>26.366666666666699</v>
      </c>
      <c r="Q383" s="344">
        <v>36.633333333333297</v>
      </c>
      <c r="R383" s="344">
        <v>37.3333333333333</v>
      </c>
      <c r="S383" s="344">
        <v>36.4</v>
      </c>
      <c r="T383" s="344">
        <v>38.5</v>
      </c>
      <c r="U383" s="344">
        <v>39.9</v>
      </c>
      <c r="V383" s="344">
        <v>39.433333333333302</v>
      </c>
      <c r="W383" s="344">
        <v>37.3333333333333</v>
      </c>
      <c r="X383" s="344">
        <v>41.3</v>
      </c>
      <c r="Y383" s="344">
        <v>39.6666666666667</v>
      </c>
      <c r="Z383" s="344">
        <v>43.633333333333297</v>
      </c>
      <c r="AA383" s="344">
        <v>52.966666666666697</v>
      </c>
      <c r="AB383" s="344">
        <v>54.133333333333297</v>
      </c>
      <c r="AC383" s="344">
        <v>52.266666666666701</v>
      </c>
      <c r="AD383" s="344">
        <f t="shared" si="54"/>
        <v>-1.8666666666665961</v>
      </c>
      <c r="AE383" s="197">
        <v>1</v>
      </c>
      <c r="AF383" s="197">
        <v>1</v>
      </c>
      <c r="AG383" s="197">
        <v>1</v>
      </c>
      <c r="AH383" s="197">
        <v>1</v>
      </c>
      <c r="AI383" s="197">
        <v>1</v>
      </c>
      <c r="AJ383" s="197">
        <v>1</v>
      </c>
      <c r="AK383" s="197">
        <v>1</v>
      </c>
      <c r="AL383" s="197">
        <v>1</v>
      </c>
      <c r="AM383" s="197">
        <v>1</v>
      </c>
      <c r="AN383" s="197">
        <v>1</v>
      </c>
      <c r="AO383" s="197">
        <v>1</v>
      </c>
      <c r="AP383" s="197">
        <v>10</v>
      </c>
      <c r="AQ383" s="197">
        <v>1</v>
      </c>
      <c r="AR383" s="197">
        <v>9</v>
      </c>
      <c r="AS383" s="197">
        <v>1</v>
      </c>
      <c r="AT383" s="197">
        <v>1</v>
      </c>
      <c r="AU383" s="347">
        <v>1</v>
      </c>
      <c r="AV383" s="347">
        <v>10</v>
      </c>
      <c r="AW383" s="347">
        <v>10</v>
      </c>
      <c r="AX383" s="347">
        <v>10</v>
      </c>
      <c r="AY383" s="347">
        <v>9</v>
      </c>
      <c r="AZ383" s="347">
        <v>1</v>
      </c>
      <c r="BA383" s="347">
        <v>7</v>
      </c>
      <c r="BB383" s="347">
        <v>1</v>
      </c>
      <c r="BC383" s="347">
        <v>1</v>
      </c>
    </row>
    <row r="384" spans="1:55" s="381" customFormat="1" ht="17.649999999999999" customHeight="1">
      <c r="A384" s="343"/>
      <c r="B384" s="197" t="s">
        <v>2404</v>
      </c>
      <c r="C384" s="211" t="s">
        <v>2055</v>
      </c>
      <c r="D384" s="211" t="s">
        <v>2056</v>
      </c>
      <c r="E384" s="344">
        <v>3.0333333333333301</v>
      </c>
      <c r="F384" s="344">
        <v>3.0333333333333301</v>
      </c>
      <c r="G384" s="344">
        <v>3.0333333333333301</v>
      </c>
      <c r="H384" s="344">
        <v>3.0333333333333301</v>
      </c>
      <c r="I384" s="344">
        <v>3.0333333333333301</v>
      </c>
      <c r="J384" s="344">
        <v>3.0333333333333301</v>
      </c>
      <c r="K384" s="344">
        <v>3.0333333333333301</v>
      </c>
      <c r="L384" s="344">
        <v>3.0333333333333301</v>
      </c>
      <c r="M384" s="344">
        <v>3.0333333333333301</v>
      </c>
      <c r="N384" s="344">
        <v>3.0333333333333301</v>
      </c>
      <c r="O384" s="344">
        <v>3.0333333333333301</v>
      </c>
      <c r="P384" s="344">
        <v>3.5</v>
      </c>
      <c r="Q384" s="344">
        <v>5.1333333333333302</v>
      </c>
      <c r="R384" s="344">
        <v>5.8333333333333304</v>
      </c>
      <c r="S384" s="344">
        <v>5.3666666666666698</v>
      </c>
      <c r="T384" s="344">
        <v>4.2</v>
      </c>
      <c r="U384" s="344">
        <v>5.1333333333333302</v>
      </c>
      <c r="V384" s="344">
        <v>3.9666666666666699</v>
      </c>
      <c r="W384" s="344">
        <v>5.8333333333333304</v>
      </c>
      <c r="X384" s="344">
        <v>5.6</v>
      </c>
      <c r="Y384" s="344">
        <v>5.1333333333333302</v>
      </c>
      <c r="Z384" s="344">
        <v>3.5</v>
      </c>
      <c r="AA384" s="344">
        <v>2.56666666666667</v>
      </c>
      <c r="AB384" s="344">
        <v>3.9666666666666699</v>
      </c>
      <c r="AC384" s="344">
        <v>5.8333333333333304</v>
      </c>
      <c r="AD384" s="344">
        <f t="shared" si="54"/>
        <v>1.8666666666666605</v>
      </c>
      <c r="AE384" s="197">
        <v>5</v>
      </c>
      <c r="AF384" s="197">
        <v>5</v>
      </c>
      <c r="AG384" s="197">
        <v>5</v>
      </c>
      <c r="AH384" s="197">
        <v>5</v>
      </c>
      <c r="AI384" s="197">
        <v>5</v>
      </c>
      <c r="AJ384" s="197">
        <v>5</v>
      </c>
      <c r="AK384" s="197">
        <v>5</v>
      </c>
      <c r="AL384" s="197">
        <v>5</v>
      </c>
      <c r="AM384" s="197">
        <v>5</v>
      </c>
      <c r="AN384" s="197">
        <v>5</v>
      </c>
      <c r="AO384" s="197">
        <v>5</v>
      </c>
      <c r="AP384" s="347">
        <v>1</v>
      </c>
      <c r="AQ384" s="197">
        <v>9</v>
      </c>
      <c r="AR384" s="197">
        <v>1</v>
      </c>
      <c r="AS384" s="197">
        <v>3</v>
      </c>
      <c r="AT384" s="197">
        <v>1</v>
      </c>
      <c r="AU384" s="347">
        <v>1</v>
      </c>
      <c r="AV384" s="347">
        <v>1</v>
      </c>
      <c r="AW384" s="347">
        <v>1</v>
      </c>
      <c r="AX384" s="347">
        <v>10</v>
      </c>
      <c r="AY384" s="347">
        <v>1</v>
      </c>
      <c r="AZ384" s="347">
        <v>1</v>
      </c>
      <c r="BA384" s="347">
        <v>1</v>
      </c>
      <c r="BB384" s="347">
        <v>1</v>
      </c>
      <c r="BC384" s="347">
        <v>7</v>
      </c>
    </row>
    <row r="385" spans="1:55" s="381" customFormat="1" ht="17.649999999999999" customHeight="1">
      <c r="A385" s="343"/>
      <c r="B385" s="197" t="s">
        <v>2405</v>
      </c>
      <c r="C385" s="211" t="s">
        <v>2055</v>
      </c>
      <c r="D385" s="211" t="s">
        <v>2056</v>
      </c>
      <c r="E385" s="344">
        <v>13.0666666666667</v>
      </c>
      <c r="F385" s="344">
        <v>13.0666666666667</v>
      </c>
      <c r="G385" s="344">
        <v>13.0666666666667</v>
      </c>
      <c r="H385" s="344">
        <v>13.0666666666667</v>
      </c>
      <c r="I385" s="344">
        <v>13.0666666666667</v>
      </c>
      <c r="J385" s="344">
        <v>13.0666666666667</v>
      </c>
      <c r="K385" s="344">
        <v>13.0666666666667</v>
      </c>
      <c r="L385" s="344">
        <v>13.0666666666667</v>
      </c>
      <c r="M385" s="344">
        <v>13.0666666666667</v>
      </c>
      <c r="N385" s="344">
        <v>13.0666666666667</v>
      </c>
      <c r="O385" s="344">
        <v>13.0666666666667</v>
      </c>
      <c r="P385" s="344">
        <v>14.9333333333333</v>
      </c>
      <c r="Q385" s="344">
        <v>18.899999999999999</v>
      </c>
      <c r="R385" s="344">
        <v>19.366666666666699</v>
      </c>
      <c r="S385" s="344">
        <v>19.600000000000001</v>
      </c>
      <c r="T385" s="344">
        <v>16.566666666666698</v>
      </c>
      <c r="U385" s="344">
        <v>13.3</v>
      </c>
      <c r="V385" s="344">
        <v>10.733333333333301</v>
      </c>
      <c r="W385" s="344">
        <v>10.733333333333301</v>
      </c>
      <c r="X385" s="344">
        <v>11.6666666666667</v>
      </c>
      <c r="Y385" s="344">
        <v>10.033333333333299</v>
      </c>
      <c r="Z385" s="344">
        <v>11.6666666666667</v>
      </c>
      <c r="AA385" s="344">
        <v>11.9</v>
      </c>
      <c r="AB385" s="344">
        <v>12.8333333333333</v>
      </c>
      <c r="AC385" s="344">
        <v>13.0666666666667</v>
      </c>
      <c r="AD385" s="344">
        <f t="shared" si="54"/>
        <v>0.23333333333340001</v>
      </c>
      <c r="AE385" s="197">
        <v>10</v>
      </c>
      <c r="AF385" s="197">
        <v>10</v>
      </c>
      <c r="AG385" s="197">
        <v>10</v>
      </c>
      <c r="AH385" s="197">
        <v>10</v>
      </c>
      <c r="AI385" s="197">
        <v>10</v>
      </c>
      <c r="AJ385" s="197">
        <v>10</v>
      </c>
      <c r="AK385" s="197">
        <v>10</v>
      </c>
      <c r="AL385" s="197">
        <v>10</v>
      </c>
      <c r="AM385" s="197">
        <v>10</v>
      </c>
      <c r="AN385" s="197">
        <v>10</v>
      </c>
      <c r="AO385" s="197">
        <v>10</v>
      </c>
      <c r="AP385" s="197">
        <v>10</v>
      </c>
      <c r="AQ385" s="197">
        <v>1</v>
      </c>
      <c r="AR385" s="197">
        <v>1</v>
      </c>
      <c r="AS385" s="197">
        <v>10</v>
      </c>
      <c r="AT385" s="197">
        <v>1</v>
      </c>
      <c r="AU385" s="347">
        <v>1</v>
      </c>
      <c r="AV385" s="347">
        <v>1</v>
      </c>
      <c r="AW385" s="347">
        <v>3</v>
      </c>
      <c r="AX385" s="347">
        <v>1</v>
      </c>
      <c r="AY385" s="347">
        <v>1</v>
      </c>
      <c r="AZ385" s="347">
        <v>1</v>
      </c>
      <c r="BA385" s="347">
        <v>2</v>
      </c>
      <c r="BB385" s="347">
        <v>2</v>
      </c>
      <c r="BC385" s="347">
        <v>3</v>
      </c>
    </row>
    <row r="386" spans="1:55" s="381" customFormat="1" ht="17.649999999999999" customHeight="1">
      <c r="A386" s="343"/>
      <c r="B386" s="197" t="s">
        <v>2406</v>
      </c>
      <c r="C386" s="211" t="s">
        <v>2055</v>
      </c>
      <c r="D386" s="211" t="s">
        <v>2056</v>
      </c>
      <c r="E386" s="344">
        <v>34.066666666666698</v>
      </c>
      <c r="F386" s="344">
        <v>34.066666666666698</v>
      </c>
      <c r="G386" s="344">
        <v>34.066666666666698</v>
      </c>
      <c r="H386" s="344">
        <v>34.066666666666698</v>
      </c>
      <c r="I386" s="344">
        <v>34.066666666666698</v>
      </c>
      <c r="J386" s="344">
        <v>34.066666666666698</v>
      </c>
      <c r="K386" s="344">
        <v>34.066666666666698</v>
      </c>
      <c r="L386" s="344">
        <v>34.066666666666698</v>
      </c>
      <c r="M386" s="344">
        <v>34.066666666666698</v>
      </c>
      <c r="N386" s="344">
        <v>34.066666666666698</v>
      </c>
      <c r="O386" s="344">
        <v>34.066666666666698</v>
      </c>
      <c r="P386" s="344">
        <v>36.1666666666667</v>
      </c>
      <c r="Q386" s="344">
        <v>34.066666666666698</v>
      </c>
      <c r="R386" s="344">
        <v>35.233333333333299</v>
      </c>
      <c r="S386" s="344">
        <v>39.200000000000003</v>
      </c>
      <c r="T386" s="344">
        <v>41.3</v>
      </c>
      <c r="U386" s="344">
        <v>39.200000000000003</v>
      </c>
      <c r="V386" s="344">
        <v>39.6666666666667</v>
      </c>
      <c r="W386" s="344">
        <v>39.433333333333302</v>
      </c>
      <c r="X386" s="344">
        <v>33.6</v>
      </c>
      <c r="Y386" s="344">
        <v>34.066666666666698</v>
      </c>
      <c r="Z386" s="344">
        <v>34.766666666666701</v>
      </c>
      <c r="AA386" s="344">
        <v>33.8333333333333</v>
      </c>
      <c r="AB386" s="344">
        <v>35.933333333333302</v>
      </c>
      <c r="AC386" s="344">
        <v>29.866666666666699</v>
      </c>
      <c r="AD386" s="344">
        <f t="shared" si="54"/>
        <v>-6.0666666666666025</v>
      </c>
      <c r="AE386" s="197">
        <v>1</v>
      </c>
      <c r="AF386" s="197">
        <v>1</v>
      </c>
      <c r="AG386" s="197">
        <v>1</v>
      </c>
      <c r="AH386" s="197">
        <v>1</v>
      </c>
      <c r="AI386" s="197">
        <v>1</v>
      </c>
      <c r="AJ386" s="197">
        <v>1</v>
      </c>
      <c r="AK386" s="197">
        <v>1</v>
      </c>
      <c r="AL386" s="197">
        <v>1</v>
      </c>
      <c r="AM386" s="197">
        <v>1</v>
      </c>
      <c r="AN386" s="197">
        <v>1</v>
      </c>
      <c r="AO386" s="197">
        <v>1</v>
      </c>
      <c r="AP386" s="347">
        <v>2</v>
      </c>
      <c r="AQ386" s="347">
        <v>2</v>
      </c>
      <c r="AR386" s="197">
        <v>2</v>
      </c>
      <c r="AS386" s="197">
        <v>2</v>
      </c>
      <c r="AT386" s="197">
        <v>2</v>
      </c>
      <c r="AU386" s="347">
        <v>2</v>
      </c>
      <c r="AV386" s="347">
        <v>2</v>
      </c>
      <c r="AW386" s="347">
        <v>2</v>
      </c>
      <c r="AX386" s="347">
        <v>9</v>
      </c>
      <c r="AY386" s="347">
        <v>3</v>
      </c>
      <c r="AZ386" s="347">
        <v>3</v>
      </c>
      <c r="BA386" s="347">
        <v>6</v>
      </c>
      <c r="BB386" s="347">
        <v>2</v>
      </c>
      <c r="BC386" s="347">
        <v>2</v>
      </c>
    </row>
    <row r="387" spans="1:55" s="381" customFormat="1" ht="17.649999999999999" customHeight="1">
      <c r="A387" s="343"/>
      <c r="B387" s="197" t="s">
        <v>2407</v>
      </c>
      <c r="C387" s="211" t="s">
        <v>2055</v>
      </c>
      <c r="D387" s="211" t="s">
        <v>2056</v>
      </c>
      <c r="E387" s="344">
        <v>19.8333333333333</v>
      </c>
      <c r="F387" s="344">
        <v>19.8333333333333</v>
      </c>
      <c r="G387" s="344">
        <v>19.8333333333333</v>
      </c>
      <c r="H387" s="344">
        <v>19.8333333333333</v>
      </c>
      <c r="I387" s="344">
        <v>19.8333333333333</v>
      </c>
      <c r="J387" s="344">
        <v>19.8333333333333</v>
      </c>
      <c r="K387" s="344">
        <v>19.8333333333333</v>
      </c>
      <c r="L387" s="344">
        <v>19.8333333333333</v>
      </c>
      <c r="M387" s="344">
        <v>19.8333333333333</v>
      </c>
      <c r="N387" s="344">
        <v>19.8333333333333</v>
      </c>
      <c r="O387" s="344">
        <v>19.8333333333333</v>
      </c>
      <c r="P387" s="344">
        <v>22.866666666666699</v>
      </c>
      <c r="Q387" s="344">
        <v>26.366666666666699</v>
      </c>
      <c r="R387" s="344">
        <v>24.266666666666701</v>
      </c>
      <c r="S387" s="344">
        <v>21.233333333333299</v>
      </c>
      <c r="T387" s="344">
        <v>16.8</v>
      </c>
      <c r="U387" s="344">
        <v>18.433333333333302</v>
      </c>
      <c r="V387" s="344">
        <v>18.6666666666667</v>
      </c>
      <c r="W387" s="344">
        <v>20.533333333333299</v>
      </c>
      <c r="X387" s="344">
        <v>18.899999999999999</v>
      </c>
      <c r="Y387" s="344">
        <v>20.533333333333299</v>
      </c>
      <c r="Z387" s="344">
        <v>21.233333333333299</v>
      </c>
      <c r="AA387" s="344">
        <v>18.6666666666667</v>
      </c>
      <c r="AB387" s="344">
        <v>19.366666666666699</v>
      </c>
      <c r="AC387" s="344">
        <v>15.1666666666667</v>
      </c>
      <c r="AD387" s="344">
        <f t="shared" si="54"/>
        <v>-4.1999999999999993</v>
      </c>
      <c r="AE387" s="197">
        <v>3</v>
      </c>
      <c r="AF387" s="197">
        <v>3</v>
      </c>
      <c r="AG387" s="197">
        <v>3</v>
      </c>
      <c r="AH387" s="197">
        <v>3</v>
      </c>
      <c r="AI387" s="197">
        <v>3</v>
      </c>
      <c r="AJ387" s="197">
        <v>3</v>
      </c>
      <c r="AK387" s="197">
        <v>3</v>
      </c>
      <c r="AL387" s="197">
        <v>3</v>
      </c>
      <c r="AM387" s="197">
        <v>3</v>
      </c>
      <c r="AN387" s="197">
        <v>3</v>
      </c>
      <c r="AO387" s="197">
        <v>3</v>
      </c>
      <c r="AP387" s="197">
        <v>3</v>
      </c>
      <c r="AQ387" s="347">
        <v>3</v>
      </c>
      <c r="AR387" s="197">
        <v>2</v>
      </c>
      <c r="AS387" s="197">
        <v>1</v>
      </c>
      <c r="AT387" s="197">
        <v>1</v>
      </c>
      <c r="AU387" s="347">
        <v>1</v>
      </c>
      <c r="AV387" s="347">
        <v>1</v>
      </c>
      <c r="AW387" s="347">
        <v>3</v>
      </c>
      <c r="AX387" s="347">
        <v>1</v>
      </c>
      <c r="AY387" s="347">
        <v>3</v>
      </c>
      <c r="AZ387" s="347">
        <v>2</v>
      </c>
      <c r="BA387" s="347">
        <v>2</v>
      </c>
      <c r="BB387" s="347">
        <v>2</v>
      </c>
      <c r="BC387" s="347">
        <v>1</v>
      </c>
    </row>
    <row r="388" spans="1:55" s="381" customFormat="1" ht="17.649999999999999" customHeight="1">
      <c r="A388" s="343"/>
      <c r="B388" s="197" t="s">
        <v>2408</v>
      </c>
      <c r="C388" s="211" t="s">
        <v>2055</v>
      </c>
      <c r="D388" s="211" t="s">
        <v>2056</v>
      </c>
      <c r="E388" s="344">
        <v>6.3</v>
      </c>
      <c r="F388" s="344">
        <v>6.3</v>
      </c>
      <c r="G388" s="344">
        <v>6.3</v>
      </c>
      <c r="H388" s="344">
        <v>6.3</v>
      </c>
      <c r="I388" s="344">
        <v>6.3</v>
      </c>
      <c r="J388" s="344">
        <v>6.3</v>
      </c>
      <c r="K388" s="344">
        <v>6.3</v>
      </c>
      <c r="L388" s="344">
        <v>6.3</v>
      </c>
      <c r="M388" s="344">
        <v>6.3</v>
      </c>
      <c r="N388" s="344">
        <v>6.3</v>
      </c>
      <c r="O388" s="344">
        <v>6.3</v>
      </c>
      <c r="P388" s="344">
        <v>8.4</v>
      </c>
      <c r="Q388" s="344">
        <v>9.1</v>
      </c>
      <c r="R388" s="344">
        <v>10.266666666666699</v>
      </c>
      <c r="S388" s="344">
        <v>7.93333333333333</v>
      </c>
      <c r="T388" s="344">
        <v>4.6666666666666696</v>
      </c>
      <c r="U388" s="344">
        <v>8.4</v>
      </c>
      <c r="V388" s="344">
        <v>7.93333333333333</v>
      </c>
      <c r="W388" s="344">
        <v>8.6333333333333293</v>
      </c>
      <c r="X388" s="344">
        <v>13.533333333333299</v>
      </c>
      <c r="Y388" s="344">
        <v>14</v>
      </c>
      <c r="Z388" s="344">
        <v>12.133333333333301</v>
      </c>
      <c r="AA388" s="344">
        <v>11.6666666666667</v>
      </c>
      <c r="AB388" s="344">
        <v>8.6333333333333293</v>
      </c>
      <c r="AC388" s="344">
        <v>5.6</v>
      </c>
      <c r="AD388" s="344">
        <f t="shared" si="54"/>
        <v>-3.0333333333333297</v>
      </c>
      <c r="AE388" s="197">
        <v>2</v>
      </c>
      <c r="AF388" s="197">
        <v>2</v>
      </c>
      <c r="AG388" s="197">
        <v>2</v>
      </c>
      <c r="AH388" s="197">
        <v>2</v>
      </c>
      <c r="AI388" s="197">
        <v>2</v>
      </c>
      <c r="AJ388" s="197">
        <v>2</v>
      </c>
      <c r="AK388" s="197">
        <v>2</v>
      </c>
      <c r="AL388" s="197">
        <v>2</v>
      </c>
      <c r="AM388" s="197">
        <v>2</v>
      </c>
      <c r="AN388" s="197">
        <v>2</v>
      </c>
      <c r="AO388" s="197">
        <v>2</v>
      </c>
      <c r="AP388" s="197">
        <v>1</v>
      </c>
      <c r="AQ388" s="197">
        <v>5</v>
      </c>
      <c r="AR388" s="347">
        <v>17</v>
      </c>
      <c r="AS388" s="197">
        <v>2</v>
      </c>
      <c r="AT388" s="197">
        <v>3</v>
      </c>
      <c r="AU388" s="347">
        <v>2</v>
      </c>
      <c r="AV388" s="347">
        <v>3</v>
      </c>
      <c r="AW388" s="347">
        <v>2</v>
      </c>
      <c r="AX388" s="347">
        <v>2</v>
      </c>
      <c r="AY388" s="347">
        <v>2</v>
      </c>
      <c r="AZ388" s="347">
        <v>1</v>
      </c>
      <c r="BA388" s="347">
        <v>1</v>
      </c>
      <c r="BB388" s="347">
        <v>2</v>
      </c>
      <c r="BC388" s="347">
        <v>1</v>
      </c>
    </row>
    <row r="389" spans="1:55" s="381" customFormat="1" ht="17.649999999999999" customHeight="1">
      <c r="A389" s="343"/>
      <c r="B389" s="197" t="s">
        <v>2409</v>
      </c>
      <c r="C389" s="211" t="s">
        <v>2055</v>
      </c>
      <c r="D389" s="211" t="s">
        <v>2056</v>
      </c>
      <c r="E389" s="344">
        <v>9.8000000000000007</v>
      </c>
      <c r="F389" s="344">
        <v>9.8000000000000007</v>
      </c>
      <c r="G389" s="344">
        <v>9.8000000000000007</v>
      </c>
      <c r="H389" s="344">
        <v>9.8000000000000007</v>
      </c>
      <c r="I389" s="344">
        <v>9.8000000000000007</v>
      </c>
      <c r="J389" s="344">
        <v>9.8000000000000007</v>
      </c>
      <c r="K389" s="344">
        <v>9.8000000000000007</v>
      </c>
      <c r="L389" s="344">
        <v>9.8000000000000007</v>
      </c>
      <c r="M389" s="344">
        <v>9.8000000000000007</v>
      </c>
      <c r="N389" s="344">
        <v>9.8000000000000007</v>
      </c>
      <c r="O389" s="344">
        <v>9.8000000000000007</v>
      </c>
      <c r="P389" s="344">
        <v>12.366666666666699</v>
      </c>
      <c r="Q389" s="344">
        <v>16.8</v>
      </c>
      <c r="R389" s="344">
        <v>16.566666666666698</v>
      </c>
      <c r="S389" s="344">
        <v>17.733333333333299</v>
      </c>
      <c r="T389" s="344">
        <v>17.733333333333299</v>
      </c>
      <c r="U389" s="344">
        <v>17.266666666666701</v>
      </c>
      <c r="V389" s="344">
        <v>15.4</v>
      </c>
      <c r="W389" s="344">
        <v>12.366666666666699</v>
      </c>
      <c r="X389" s="344">
        <v>12.133333333333301</v>
      </c>
      <c r="Y389" s="344">
        <v>10.733333333333301</v>
      </c>
      <c r="Z389" s="344">
        <v>10.033333333333299</v>
      </c>
      <c r="AA389" s="344">
        <v>11.2</v>
      </c>
      <c r="AB389" s="344">
        <v>12.366666666666699</v>
      </c>
      <c r="AC389" s="344">
        <v>9.1</v>
      </c>
      <c r="AD389" s="344">
        <f t="shared" si="54"/>
        <v>-3.2666666666666995</v>
      </c>
      <c r="AE389" s="197">
        <v>1</v>
      </c>
      <c r="AF389" s="197">
        <v>1</v>
      </c>
      <c r="AG389" s="197">
        <v>1</v>
      </c>
      <c r="AH389" s="197">
        <v>1</v>
      </c>
      <c r="AI389" s="197">
        <v>1</v>
      </c>
      <c r="AJ389" s="197">
        <v>1</v>
      </c>
      <c r="AK389" s="197">
        <v>1</v>
      </c>
      <c r="AL389" s="197">
        <v>1</v>
      </c>
      <c r="AM389" s="197">
        <v>1</v>
      </c>
      <c r="AN389" s="197">
        <v>1</v>
      </c>
      <c r="AO389" s="197">
        <v>1</v>
      </c>
      <c r="AP389" s="197">
        <v>1</v>
      </c>
      <c r="AQ389" s="347">
        <v>1</v>
      </c>
      <c r="AR389" s="197">
        <v>1</v>
      </c>
      <c r="AS389" s="197">
        <v>10</v>
      </c>
      <c r="AT389" s="197">
        <v>1</v>
      </c>
      <c r="AU389" s="347">
        <v>1</v>
      </c>
      <c r="AV389" s="347">
        <v>1</v>
      </c>
      <c r="AW389" s="347">
        <v>1</v>
      </c>
      <c r="AX389" s="347">
        <v>1</v>
      </c>
      <c r="AY389" s="347">
        <v>10</v>
      </c>
      <c r="AZ389" s="347">
        <v>1</v>
      </c>
      <c r="BA389" s="347">
        <v>1</v>
      </c>
      <c r="BB389" s="347">
        <v>1</v>
      </c>
      <c r="BC389" s="347">
        <v>1</v>
      </c>
    </row>
    <row r="390" spans="1:55" s="381" customFormat="1" ht="17.649999999999999" customHeight="1">
      <c r="A390" s="343"/>
      <c r="B390" s="197" t="s">
        <v>2410</v>
      </c>
      <c r="C390" s="211" t="s">
        <v>2055</v>
      </c>
      <c r="D390" s="211" t="s">
        <v>2056</v>
      </c>
      <c r="E390" s="344">
        <v>4.6666666666666696</v>
      </c>
      <c r="F390" s="344">
        <v>4.6666666666666696</v>
      </c>
      <c r="G390" s="344">
        <v>4.6666666666666696</v>
      </c>
      <c r="H390" s="344">
        <v>4.6666666666666696</v>
      </c>
      <c r="I390" s="344">
        <v>4.6666666666666696</v>
      </c>
      <c r="J390" s="344">
        <v>4.6666666666666696</v>
      </c>
      <c r="K390" s="344">
        <v>4.6666666666666696</v>
      </c>
      <c r="L390" s="344">
        <v>4.6666666666666696</v>
      </c>
      <c r="M390" s="344">
        <v>4.6666666666666696</v>
      </c>
      <c r="N390" s="344">
        <v>4.6666666666666696</v>
      </c>
      <c r="O390" s="344">
        <v>4.6666666666666696</v>
      </c>
      <c r="P390" s="344">
        <v>5.6</v>
      </c>
      <c r="Q390" s="344">
        <v>6.5333333333333297</v>
      </c>
      <c r="R390" s="344">
        <v>8.6333333333333293</v>
      </c>
      <c r="S390" s="344">
        <v>7.7</v>
      </c>
      <c r="T390" s="344">
        <v>7</v>
      </c>
      <c r="U390" s="344">
        <v>8.6333333333333293</v>
      </c>
      <c r="V390" s="344">
        <v>5.6</v>
      </c>
      <c r="W390" s="344">
        <v>4.6666666666666696</v>
      </c>
      <c r="X390" s="344">
        <v>6.3</v>
      </c>
      <c r="Y390" s="344">
        <v>5.8333333333333304</v>
      </c>
      <c r="Z390" s="344">
        <v>5.3666666666666698</v>
      </c>
      <c r="AA390" s="344">
        <v>5.3666666666666698</v>
      </c>
      <c r="AB390" s="344">
        <v>4.6666666666666696</v>
      </c>
      <c r="AC390" s="344">
        <v>3.5</v>
      </c>
      <c r="AD390" s="344">
        <f t="shared" si="54"/>
        <v>-1.1666666666666696</v>
      </c>
      <c r="AE390" s="197">
        <v>3</v>
      </c>
      <c r="AF390" s="197">
        <v>3</v>
      </c>
      <c r="AG390" s="197">
        <v>3</v>
      </c>
      <c r="AH390" s="197">
        <v>3</v>
      </c>
      <c r="AI390" s="197">
        <v>3</v>
      </c>
      <c r="AJ390" s="197">
        <v>3</v>
      </c>
      <c r="AK390" s="197">
        <v>3</v>
      </c>
      <c r="AL390" s="197">
        <v>3</v>
      </c>
      <c r="AM390" s="197">
        <v>3</v>
      </c>
      <c r="AN390" s="197">
        <v>3</v>
      </c>
      <c r="AO390" s="197">
        <v>3</v>
      </c>
      <c r="AP390" s="347">
        <v>1</v>
      </c>
      <c r="AQ390" s="197">
        <v>1</v>
      </c>
      <c r="AR390" s="197">
        <v>1</v>
      </c>
      <c r="AS390" s="347">
        <v>14</v>
      </c>
      <c r="AT390" s="197">
        <v>1</v>
      </c>
      <c r="AU390" s="347">
        <v>1</v>
      </c>
      <c r="AV390" s="347">
        <v>1</v>
      </c>
      <c r="AW390" s="347">
        <v>1</v>
      </c>
      <c r="AX390" s="347">
        <v>1</v>
      </c>
      <c r="AY390" s="347">
        <v>1</v>
      </c>
      <c r="AZ390" s="347">
        <v>1</v>
      </c>
      <c r="BA390" s="347">
        <v>1</v>
      </c>
      <c r="BB390" s="347">
        <v>6</v>
      </c>
      <c r="BC390" s="347">
        <v>1</v>
      </c>
    </row>
    <row r="391" spans="1:55" s="381" customFormat="1" ht="17.649999999999999" customHeight="1">
      <c r="A391" s="343"/>
      <c r="B391" s="197" t="s">
        <v>2411</v>
      </c>
      <c r="C391" s="211" t="s">
        <v>2055</v>
      </c>
      <c r="D391" s="211" t="s">
        <v>2056</v>
      </c>
      <c r="E391" s="344">
        <v>9.1</v>
      </c>
      <c r="F391" s="344">
        <v>9.1</v>
      </c>
      <c r="G391" s="344">
        <v>9.1</v>
      </c>
      <c r="H391" s="344">
        <v>9.1</v>
      </c>
      <c r="I391" s="344">
        <v>9.1</v>
      </c>
      <c r="J391" s="344">
        <v>9.1</v>
      </c>
      <c r="K391" s="344">
        <v>9.1</v>
      </c>
      <c r="L391" s="344">
        <v>9.1</v>
      </c>
      <c r="M391" s="344">
        <v>9.1</v>
      </c>
      <c r="N391" s="344">
        <v>9.1</v>
      </c>
      <c r="O391" s="344">
        <v>9.1</v>
      </c>
      <c r="P391" s="344">
        <v>10.733333333333301</v>
      </c>
      <c r="Q391" s="344">
        <v>14.466666666666701</v>
      </c>
      <c r="R391" s="344">
        <v>18.6666666666667</v>
      </c>
      <c r="S391" s="344">
        <v>19.8333333333333</v>
      </c>
      <c r="T391" s="344">
        <v>18.433333333333302</v>
      </c>
      <c r="U391" s="344">
        <v>17.733333333333299</v>
      </c>
      <c r="V391" s="344">
        <v>14.466666666666701</v>
      </c>
      <c r="W391" s="344">
        <v>14</v>
      </c>
      <c r="X391" s="344">
        <v>15.4</v>
      </c>
      <c r="Y391" s="344">
        <v>14.9333333333333</v>
      </c>
      <c r="Z391" s="344">
        <v>14.466666666666701</v>
      </c>
      <c r="AA391" s="344">
        <v>12.366666666666699</v>
      </c>
      <c r="AB391" s="344">
        <v>10.733333333333301</v>
      </c>
      <c r="AC391" s="344">
        <v>9.56666666666667</v>
      </c>
      <c r="AD391" s="344">
        <f t="shared" si="54"/>
        <v>-1.1666666666666305</v>
      </c>
      <c r="AE391" s="197">
        <v>1</v>
      </c>
      <c r="AF391" s="197">
        <v>1</v>
      </c>
      <c r="AG391" s="197">
        <v>1</v>
      </c>
      <c r="AH391" s="197">
        <v>1</v>
      </c>
      <c r="AI391" s="197">
        <v>1</v>
      </c>
      <c r="AJ391" s="197">
        <v>1</v>
      </c>
      <c r="AK391" s="197">
        <v>1</v>
      </c>
      <c r="AL391" s="197">
        <v>1</v>
      </c>
      <c r="AM391" s="197">
        <v>1</v>
      </c>
      <c r="AN391" s="197">
        <v>1</v>
      </c>
      <c r="AO391" s="197">
        <v>1</v>
      </c>
      <c r="AP391" s="347">
        <v>1</v>
      </c>
      <c r="AQ391" s="347">
        <v>1</v>
      </c>
      <c r="AR391" s="347">
        <v>1</v>
      </c>
      <c r="AS391" s="197">
        <v>1</v>
      </c>
      <c r="AT391" s="197">
        <v>2</v>
      </c>
      <c r="AU391" s="347">
        <v>1</v>
      </c>
      <c r="AV391" s="347">
        <v>1</v>
      </c>
      <c r="AW391" s="347">
        <v>2</v>
      </c>
      <c r="AX391" s="347">
        <v>1</v>
      </c>
      <c r="AY391" s="347">
        <v>1</v>
      </c>
      <c r="AZ391" s="347">
        <v>2</v>
      </c>
      <c r="BA391" s="347">
        <v>1</v>
      </c>
      <c r="BB391" s="347">
        <v>10</v>
      </c>
      <c r="BC391" s="347">
        <v>2</v>
      </c>
    </row>
    <row r="392" spans="1:55" s="381" customFormat="1" ht="17.649999999999999" customHeight="1">
      <c r="A392" s="343"/>
      <c r="B392" s="197" t="s">
        <v>2412</v>
      </c>
      <c r="C392" s="211" t="s">
        <v>2055</v>
      </c>
      <c r="D392" s="211" t="s">
        <v>2056</v>
      </c>
      <c r="E392" s="344">
        <v>2.56666666666667</v>
      </c>
      <c r="F392" s="344">
        <v>2.56666666666667</v>
      </c>
      <c r="G392" s="344">
        <v>2.56666666666667</v>
      </c>
      <c r="H392" s="344">
        <v>2.56666666666667</v>
      </c>
      <c r="I392" s="344">
        <v>2.56666666666667</v>
      </c>
      <c r="J392" s="344">
        <v>2.56666666666667</v>
      </c>
      <c r="K392" s="344">
        <v>2.56666666666667</v>
      </c>
      <c r="L392" s="344">
        <v>2.56666666666667</v>
      </c>
      <c r="M392" s="344">
        <v>2.56666666666667</v>
      </c>
      <c r="N392" s="344">
        <v>2.56666666666667</v>
      </c>
      <c r="O392" s="344">
        <v>2.56666666666667</v>
      </c>
      <c r="P392" s="344">
        <v>3.9666666666666699</v>
      </c>
      <c r="Q392" s="344">
        <v>5.3666666666666698</v>
      </c>
      <c r="R392" s="344">
        <v>7.4666666666666703</v>
      </c>
      <c r="S392" s="344">
        <v>9.8000000000000007</v>
      </c>
      <c r="T392" s="344">
        <v>9.8000000000000007</v>
      </c>
      <c r="U392" s="344">
        <v>9.1</v>
      </c>
      <c r="V392" s="344">
        <v>7.93333333333333</v>
      </c>
      <c r="W392" s="344">
        <v>5.8333333333333304</v>
      </c>
      <c r="X392" s="344">
        <v>4.2</v>
      </c>
      <c r="Y392" s="344">
        <v>3.9666666666666699</v>
      </c>
      <c r="Z392" s="344">
        <v>3.9666666666666699</v>
      </c>
      <c r="AA392" s="344">
        <v>3.5</v>
      </c>
      <c r="AB392" s="344">
        <v>4.6666666666666696</v>
      </c>
      <c r="AC392" s="344">
        <v>3.9666666666666699</v>
      </c>
      <c r="AD392" s="344">
        <f t="shared" si="54"/>
        <v>-0.69999999999999973</v>
      </c>
      <c r="AE392" s="197">
        <v>1</v>
      </c>
      <c r="AF392" s="197">
        <v>1</v>
      </c>
      <c r="AG392" s="197">
        <v>1</v>
      </c>
      <c r="AH392" s="197">
        <v>1</v>
      </c>
      <c r="AI392" s="197">
        <v>1</v>
      </c>
      <c r="AJ392" s="197">
        <v>1</v>
      </c>
      <c r="AK392" s="197">
        <v>1</v>
      </c>
      <c r="AL392" s="197">
        <v>1</v>
      </c>
      <c r="AM392" s="197">
        <v>1</v>
      </c>
      <c r="AN392" s="197">
        <v>1</v>
      </c>
      <c r="AO392" s="197">
        <v>1</v>
      </c>
      <c r="AP392" s="347">
        <v>1</v>
      </c>
      <c r="AQ392" s="197">
        <v>1</v>
      </c>
      <c r="AR392" s="197">
        <v>1</v>
      </c>
      <c r="AS392" s="197">
        <v>5</v>
      </c>
      <c r="AT392" s="197">
        <v>1</v>
      </c>
      <c r="AU392" s="347">
        <v>1</v>
      </c>
      <c r="AV392" s="347">
        <v>1</v>
      </c>
      <c r="AW392" s="347">
        <v>1</v>
      </c>
      <c r="AX392" s="347">
        <v>9</v>
      </c>
      <c r="AY392" s="347">
        <v>1</v>
      </c>
      <c r="AZ392" s="347">
        <v>4</v>
      </c>
      <c r="BA392" s="347">
        <v>4</v>
      </c>
      <c r="BB392" s="347">
        <v>4</v>
      </c>
      <c r="BC392" s="347">
        <v>8</v>
      </c>
    </row>
    <row r="393" spans="1:55" s="381" customFormat="1" ht="17.649999999999999" customHeight="1">
      <c r="A393" s="343"/>
      <c r="B393" s="197" t="s">
        <v>2413</v>
      </c>
      <c r="C393" s="211" t="s">
        <v>2055</v>
      </c>
      <c r="D393" s="211" t="s">
        <v>2056</v>
      </c>
      <c r="E393" s="344">
        <v>5.6</v>
      </c>
      <c r="F393" s="344">
        <v>5.6</v>
      </c>
      <c r="G393" s="344">
        <v>5.6</v>
      </c>
      <c r="H393" s="344">
        <v>5.6</v>
      </c>
      <c r="I393" s="344">
        <v>5.6</v>
      </c>
      <c r="J393" s="344">
        <v>5.6</v>
      </c>
      <c r="K393" s="344">
        <v>5.6</v>
      </c>
      <c r="L393" s="344">
        <v>5.6</v>
      </c>
      <c r="M393" s="344">
        <v>5.6</v>
      </c>
      <c r="N393" s="344">
        <v>5.6</v>
      </c>
      <c r="O393" s="344">
        <v>5.6</v>
      </c>
      <c r="P393" s="344">
        <v>5.8333333333333304</v>
      </c>
      <c r="Q393" s="344">
        <v>7</v>
      </c>
      <c r="R393" s="344">
        <v>8.8666666666666707</v>
      </c>
      <c r="S393" s="344">
        <v>7.4666666666666703</v>
      </c>
      <c r="T393" s="344">
        <v>9.1</v>
      </c>
      <c r="U393" s="344">
        <v>8.4</v>
      </c>
      <c r="V393" s="344">
        <v>6.5333333333333297</v>
      </c>
      <c r="W393" s="344">
        <v>6.5333333333333297</v>
      </c>
      <c r="X393" s="344">
        <v>6.5333333333333297</v>
      </c>
      <c r="Y393" s="344">
        <v>5.3666666666666698</v>
      </c>
      <c r="Z393" s="344">
        <v>6.5333333333333297</v>
      </c>
      <c r="AA393" s="344">
        <v>7.4666666666666703</v>
      </c>
      <c r="AB393" s="344">
        <v>6.5333333333333297</v>
      </c>
      <c r="AC393" s="344">
        <v>6.3</v>
      </c>
      <c r="AD393" s="344">
        <f t="shared" si="54"/>
        <v>-0.23333333333332984</v>
      </c>
      <c r="AE393" s="197">
        <v>10</v>
      </c>
      <c r="AF393" s="197">
        <v>10</v>
      </c>
      <c r="AG393" s="197">
        <v>10</v>
      </c>
      <c r="AH393" s="197">
        <v>10</v>
      </c>
      <c r="AI393" s="197">
        <v>10</v>
      </c>
      <c r="AJ393" s="197">
        <v>10</v>
      </c>
      <c r="AK393" s="197">
        <v>10</v>
      </c>
      <c r="AL393" s="197">
        <v>10</v>
      </c>
      <c r="AM393" s="197">
        <v>10</v>
      </c>
      <c r="AN393" s="197">
        <v>10</v>
      </c>
      <c r="AO393" s="197">
        <v>10</v>
      </c>
      <c r="AP393" s="197">
        <v>1</v>
      </c>
      <c r="AQ393" s="197">
        <v>1</v>
      </c>
      <c r="AR393" s="347">
        <v>11</v>
      </c>
      <c r="AS393" s="197">
        <v>1</v>
      </c>
      <c r="AT393" s="347">
        <v>1</v>
      </c>
      <c r="AU393" s="347">
        <v>1</v>
      </c>
      <c r="AV393" s="347">
        <v>1</v>
      </c>
      <c r="AW393" s="347">
        <v>1</v>
      </c>
      <c r="AX393" s="347">
        <v>1</v>
      </c>
      <c r="AY393" s="347">
        <v>1</v>
      </c>
      <c r="AZ393" s="347">
        <v>2</v>
      </c>
      <c r="BA393" s="347">
        <v>9</v>
      </c>
      <c r="BB393" s="347">
        <v>8</v>
      </c>
      <c r="BC393" s="347">
        <v>2</v>
      </c>
    </row>
    <row r="394" spans="1:55" s="381" customFormat="1" ht="17.649999999999999" customHeight="1">
      <c r="A394" s="343"/>
      <c r="B394" s="197" t="s">
        <v>2414</v>
      </c>
      <c r="C394" s="211" t="s">
        <v>2055</v>
      </c>
      <c r="D394" s="211" t="s">
        <v>2056</v>
      </c>
      <c r="E394" s="344">
        <v>2.3333333333333299</v>
      </c>
      <c r="F394" s="344">
        <v>2.3333333333333299</v>
      </c>
      <c r="G394" s="344">
        <v>2.3333333333333299</v>
      </c>
      <c r="H394" s="344">
        <v>2.3333333333333299</v>
      </c>
      <c r="I394" s="344">
        <v>2.3333333333333299</v>
      </c>
      <c r="J394" s="344">
        <v>2.3333333333333299</v>
      </c>
      <c r="K394" s="344">
        <v>2.3333333333333299</v>
      </c>
      <c r="L394" s="344">
        <v>2.3333333333333299</v>
      </c>
      <c r="M394" s="344">
        <v>2.3333333333333299</v>
      </c>
      <c r="N394" s="344">
        <v>2.3333333333333299</v>
      </c>
      <c r="O394" s="344">
        <v>2.3333333333333299</v>
      </c>
      <c r="P394" s="344">
        <v>3.5</v>
      </c>
      <c r="Q394" s="344">
        <v>5.1333333333333302</v>
      </c>
      <c r="R394" s="344">
        <v>5.3666666666666698</v>
      </c>
      <c r="S394" s="344">
        <v>7.93333333333333</v>
      </c>
      <c r="T394" s="344">
        <v>6.5333333333333297</v>
      </c>
      <c r="U394" s="344">
        <v>6.7666666666666702</v>
      </c>
      <c r="V394" s="344">
        <v>7</v>
      </c>
      <c r="W394" s="344">
        <v>6.5333333333333297</v>
      </c>
      <c r="X394" s="344">
        <v>6.7666666666666702</v>
      </c>
      <c r="Y394" s="344">
        <v>5.6</v>
      </c>
      <c r="Z394" s="344">
        <v>6.7666666666666702</v>
      </c>
      <c r="AA394" s="344">
        <v>7.7</v>
      </c>
      <c r="AB394" s="344">
        <v>7.7</v>
      </c>
      <c r="AC394" s="344">
        <v>7</v>
      </c>
      <c r="AD394" s="344">
        <f t="shared" si="54"/>
        <v>-0.70000000000000018</v>
      </c>
      <c r="AE394" s="197">
        <v>1</v>
      </c>
      <c r="AF394" s="197">
        <v>1</v>
      </c>
      <c r="AG394" s="197">
        <v>1</v>
      </c>
      <c r="AH394" s="197">
        <v>1</v>
      </c>
      <c r="AI394" s="197">
        <v>1</v>
      </c>
      <c r="AJ394" s="197">
        <v>1</v>
      </c>
      <c r="AK394" s="197">
        <v>1</v>
      </c>
      <c r="AL394" s="197">
        <v>1</v>
      </c>
      <c r="AM394" s="197">
        <v>1</v>
      </c>
      <c r="AN394" s="197">
        <v>1</v>
      </c>
      <c r="AO394" s="197">
        <v>1</v>
      </c>
      <c r="AP394" s="197">
        <v>8</v>
      </c>
      <c r="AQ394" s="197">
        <v>8</v>
      </c>
      <c r="AR394" s="197">
        <v>1</v>
      </c>
      <c r="AS394" s="197">
        <v>1</v>
      </c>
      <c r="AT394" s="197">
        <v>1</v>
      </c>
      <c r="AU394" s="347">
        <v>1</v>
      </c>
      <c r="AV394" s="347">
        <v>1</v>
      </c>
      <c r="AW394" s="347">
        <v>1</v>
      </c>
      <c r="AX394" s="347">
        <v>8</v>
      </c>
      <c r="AY394" s="347">
        <v>5</v>
      </c>
      <c r="AZ394" s="347">
        <v>1</v>
      </c>
      <c r="BA394" s="347">
        <v>1</v>
      </c>
      <c r="BB394" s="347">
        <v>1</v>
      </c>
      <c r="BC394" s="347">
        <v>1</v>
      </c>
    </row>
    <row r="395" spans="1:55" s="381" customFormat="1" ht="17.649999999999999" customHeight="1">
      <c r="A395" s="343"/>
      <c r="B395" s="197" t="s">
        <v>2415</v>
      </c>
      <c r="C395" s="211" t="s">
        <v>2055</v>
      </c>
      <c r="D395" s="211" t="s">
        <v>2056</v>
      </c>
      <c r="E395" s="344">
        <v>2.56666666666667</v>
      </c>
      <c r="F395" s="344">
        <v>2.56666666666667</v>
      </c>
      <c r="G395" s="344">
        <v>2.56666666666667</v>
      </c>
      <c r="H395" s="344">
        <v>2.56666666666667</v>
      </c>
      <c r="I395" s="344">
        <v>2.56666666666667</v>
      </c>
      <c r="J395" s="344">
        <v>2.56666666666667</v>
      </c>
      <c r="K395" s="344">
        <v>2.56666666666667</v>
      </c>
      <c r="L395" s="344">
        <v>2.56666666666667</v>
      </c>
      <c r="M395" s="344">
        <v>2.56666666666667</v>
      </c>
      <c r="N395" s="344">
        <v>2.56666666666667</v>
      </c>
      <c r="O395" s="344">
        <v>2.56666666666667</v>
      </c>
      <c r="P395" s="344">
        <v>3.5</v>
      </c>
      <c r="Q395" s="344">
        <v>4.6666666666666696</v>
      </c>
      <c r="R395" s="344">
        <v>6.7666666666666702</v>
      </c>
      <c r="S395" s="344">
        <v>6.3</v>
      </c>
      <c r="T395" s="344">
        <v>6.5333333333333297</v>
      </c>
      <c r="U395" s="344">
        <v>5.3666666666666698</v>
      </c>
      <c r="V395" s="344">
        <v>4.2</v>
      </c>
      <c r="W395" s="344">
        <v>2.3333333333333299</v>
      </c>
      <c r="X395" s="344">
        <v>1.86666666666667</v>
      </c>
      <c r="Y395" s="344">
        <v>2.1</v>
      </c>
      <c r="Z395" s="344">
        <v>3.2666666666666702</v>
      </c>
      <c r="AA395" s="344">
        <v>3.5</v>
      </c>
      <c r="AB395" s="344">
        <v>4.2</v>
      </c>
      <c r="AC395" s="344">
        <v>3.2666666666666702</v>
      </c>
      <c r="AD395" s="344">
        <f t="shared" si="54"/>
        <v>-0.93333333333333002</v>
      </c>
      <c r="AE395" s="197">
        <v>12</v>
      </c>
      <c r="AF395" s="197">
        <v>12</v>
      </c>
      <c r="AG395" s="197">
        <v>12</v>
      </c>
      <c r="AH395" s="197">
        <v>12</v>
      </c>
      <c r="AI395" s="197">
        <v>12</v>
      </c>
      <c r="AJ395" s="197">
        <v>12</v>
      </c>
      <c r="AK395" s="197">
        <v>12</v>
      </c>
      <c r="AL395" s="197">
        <v>12</v>
      </c>
      <c r="AM395" s="197">
        <v>12</v>
      </c>
      <c r="AN395" s="197">
        <v>12</v>
      </c>
      <c r="AO395" s="197">
        <v>12</v>
      </c>
      <c r="AP395" s="197">
        <v>2</v>
      </c>
      <c r="AQ395" s="197">
        <v>2</v>
      </c>
      <c r="AR395" s="347">
        <v>10</v>
      </c>
      <c r="AS395" s="197">
        <v>1</v>
      </c>
      <c r="AT395" s="197">
        <v>2</v>
      </c>
      <c r="AU395" s="347">
        <v>1</v>
      </c>
      <c r="AV395" s="347">
        <v>1</v>
      </c>
      <c r="AW395" s="347">
        <v>1</v>
      </c>
      <c r="AX395" s="347">
        <v>9</v>
      </c>
      <c r="AY395" s="347">
        <v>1</v>
      </c>
      <c r="AZ395" s="347">
        <v>3</v>
      </c>
      <c r="BA395" s="347">
        <v>2</v>
      </c>
      <c r="BB395" s="347">
        <v>1</v>
      </c>
      <c r="BC395" s="347">
        <v>2</v>
      </c>
    </row>
    <row r="396" spans="1:55" s="381" customFormat="1" ht="17.649999999999999" customHeight="1">
      <c r="A396" s="343"/>
      <c r="B396" s="197" t="s">
        <v>2416</v>
      </c>
      <c r="C396" s="211" t="s">
        <v>2055</v>
      </c>
      <c r="D396" s="211" t="s">
        <v>2056</v>
      </c>
      <c r="E396" s="344">
        <v>1.86666666666667</v>
      </c>
      <c r="F396" s="344">
        <v>1.86666666666667</v>
      </c>
      <c r="G396" s="344">
        <v>1.86666666666667</v>
      </c>
      <c r="H396" s="344">
        <v>1.86666666666667</v>
      </c>
      <c r="I396" s="344">
        <v>1.86666666666667</v>
      </c>
      <c r="J396" s="344">
        <v>1.86666666666667</v>
      </c>
      <c r="K396" s="344">
        <v>1.86666666666667</v>
      </c>
      <c r="L396" s="344">
        <v>1.86666666666667</v>
      </c>
      <c r="M396" s="344">
        <v>1.86666666666667</v>
      </c>
      <c r="N396" s="344">
        <v>1.86666666666667</v>
      </c>
      <c r="O396" s="344">
        <v>1.86666666666667</v>
      </c>
      <c r="P396" s="344">
        <v>2.3333333333333299</v>
      </c>
      <c r="Q396" s="344">
        <v>2.3333333333333299</v>
      </c>
      <c r="R396" s="344">
        <v>3.9666666666666699</v>
      </c>
      <c r="S396" s="344">
        <v>3.9666666666666699</v>
      </c>
      <c r="T396" s="344">
        <v>3.2666666666666702</v>
      </c>
      <c r="U396" s="344">
        <v>3.9666666666666699</v>
      </c>
      <c r="V396" s="344">
        <v>3.0333333333333301</v>
      </c>
      <c r="W396" s="344">
        <v>2.3333333333333299</v>
      </c>
      <c r="X396" s="344">
        <v>3.9666666666666699</v>
      </c>
      <c r="Y396" s="344">
        <v>5.8333333333333304</v>
      </c>
      <c r="Z396" s="344">
        <v>6.3</v>
      </c>
      <c r="AA396" s="344">
        <v>6.5333333333333297</v>
      </c>
      <c r="AB396" s="344">
        <v>7</v>
      </c>
      <c r="AC396" s="344">
        <v>4.6666666666666696</v>
      </c>
      <c r="AD396" s="344">
        <f t="shared" si="54"/>
        <v>-2.3333333333333304</v>
      </c>
      <c r="AE396" s="197">
        <v>2</v>
      </c>
      <c r="AF396" s="197">
        <v>2</v>
      </c>
      <c r="AG396" s="197">
        <v>2</v>
      </c>
      <c r="AH396" s="197">
        <v>2</v>
      </c>
      <c r="AI396" s="197">
        <v>2</v>
      </c>
      <c r="AJ396" s="197">
        <v>2</v>
      </c>
      <c r="AK396" s="197">
        <v>2</v>
      </c>
      <c r="AL396" s="197">
        <v>2</v>
      </c>
      <c r="AM396" s="197">
        <v>2</v>
      </c>
      <c r="AN396" s="197">
        <v>2</v>
      </c>
      <c r="AO396" s="197">
        <v>2</v>
      </c>
      <c r="AP396" s="197">
        <v>7</v>
      </c>
      <c r="AQ396" s="347">
        <v>1</v>
      </c>
      <c r="AR396" s="197">
        <v>10</v>
      </c>
      <c r="AS396" s="347">
        <v>1</v>
      </c>
      <c r="AT396" s="197">
        <v>1</v>
      </c>
      <c r="AU396" s="347">
        <v>1</v>
      </c>
      <c r="AV396" s="347">
        <v>9</v>
      </c>
      <c r="AW396" s="347">
        <v>1</v>
      </c>
      <c r="AX396" s="347">
        <v>1</v>
      </c>
      <c r="AY396" s="347">
        <v>8</v>
      </c>
      <c r="AZ396" s="347">
        <v>2</v>
      </c>
      <c r="BA396" s="347">
        <v>3</v>
      </c>
      <c r="BB396" s="347">
        <v>2</v>
      </c>
      <c r="BC396" s="347">
        <v>1</v>
      </c>
    </row>
    <row r="397" spans="1:55" s="381" customFormat="1" ht="17.649999999999999" customHeight="1">
      <c r="A397" s="343"/>
      <c r="B397" s="197" t="s">
        <v>2417</v>
      </c>
      <c r="C397" s="211" t="s">
        <v>2055</v>
      </c>
      <c r="D397" s="211" t="s">
        <v>2056</v>
      </c>
      <c r="E397" s="344">
        <v>0.233333333333333</v>
      </c>
      <c r="F397" s="344">
        <v>0.233333333333333</v>
      </c>
      <c r="G397" s="344">
        <v>0.233333333333333</v>
      </c>
      <c r="H397" s="344">
        <v>0.233333333333333</v>
      </c>
      <c r="I397" s="344">
        <v>0.233333333333333</v>
      </c>
      <c r="J397" s="344">
        <v>0.233333333333333</v>
      </c>
      <c r="K397" s="344">
        <v>0.233333333333333</v>
      </c>
      <c r="L397" s="344">
        <v>0.233333333333333</v>
      </c>
      <c r="M397" s="344">
        <v>0.233333333333333</v>
      </c>
      <c r="N397" s="344">
        <v>0.233333333333333</v>
      </c>
      <c r="O397" s="344">
        <v>0.233333333333333</v>
      </c>
      <c r="P397" s="344">
        <v>0.233333333333333</v>
      </c>
      <c r="Q397" s="344">
        <v>3.2666666666666702</v>
      </c>
      <c r="R397" s="344">
        <v>5.6</v>
      </c>
      <c r="S397" s="344">
        <v>7</v>
      </c>
      <c r="T397" s="344">
        <v>6.7666666666666702</v>
      </c>
      <c r="U397" s="344">
        <v>5.8333333333333304</v>
      </c>
      <c r="V397" s="344">
        <v>3.0333333333333301</v>
      </c>
      <c r="W397" s="344">
        <v>1.86666666666667</v>
      </c>
      <c r="X397" s="344">
        <v>1.1666666666666701</v>
      </c>
      <c r="Y397" s="344">
        <v>0.233333333333333</v>
      </c>
      <c r="Z397" s="344">
        <v>0.233333333333333</v>
      </c>
      <c r="AA397" s="344">
        <v>0.233333333333333</v>
      </c>
      <c r="AB397" s="344">
        <v>0.233333333333333</v>
      </c>
      <c r="AC397" s="344">
        <v>0.233333333333333</v>
      </c>
      <c r="AD397" s="344">
        <f t="shared" si="54"/>
        <v>0</v>
      </c>
      <c r="AE397" s="197">
        <v>12</v>
      </c>
      <c r="AF397" s="197">
        <v>12</v>
      </c>
      <c r="AG397" s="197">
        <v>12</v>
      </c>
      <c r="AH397" s="197">
        <v>12</v>
      </c>
      <c r="AI397" s="197">
        <v>12</v>
      </c>
      <c r="AJ397" s="197">
        <v>12</v>
      </c>
      <c r="AK397" s="197">
        <v>12</v>
      </c>
      <c r="AL397" s="197">
        <v>12</v>
      </c>
      <c r="AM397" s="197">
        <v>12</v>
      </c>
      <c r="AN397" s="197">
        <v>12</v>
      </c>
      <c r="AO397" s="197">
        <v>12</v>
      </c>
      <c r="AP397" s="347">
        <v>1</v>
      </c>
      <c r="AQ397" s="197">
        <v>10</v>
      </c>
      <c r="AR397" s="197">
        <v>1</v>
      </c>
      <c r="AS397" s="197">
        <v>1</v>
      </c>
      <c r="AT397" s="197">
        <v>1</v>
      </c>
      <c r="AU397" s="347">
        <v>1</v>
      </c>
      <c r="AV397" s="347">
        <v>1</v>
      </c>
      <c r="AW397" s="347">
        <v>1</v>
      </c>
      <c r="AX397" s="347">
        <v>1</v>
      </c>
      <c r="AY397" s="347">
        <v>1</v>
      </c>
      <c r="AZ397" s="347">
        <v>1</v>
      </c>
      <c r="BA397" s="347">
        <v>1</v>
      </c>
      <c r="BB397" s="347">
        <v>1</v>
      </c>
      <c r="BC397" s="347">
        <v>1</v>
      </c>
    </row>
    <row r="398" spans="1:55" s="381" customFormat="1" ht="17.649999999999999" customHeight="1">
      <c r="A398" s="343"/>
      <c r="B398" s="197" t="s">
        <v>2418</v>
      </c>
      <c r="C398" s="211" t="s">
        <v>2055</v>
      </c>
      <c r="D398" s="211" t="s">
        <v>2056</v>
      </c>
      <c r="E398" s="344">
        <v>0.233333333333333</v>
      </c>
      <c r="F398" s="344">
        <v>0.233333333333333</v>
      </c>
      <c r="G398" s="344">
        <v>0.233333333333333</v>
      </c>
      <c r="H398" s="344">
        <v>0.233333333333333</v>
      </c>
      <c r="I398" s="344">
        <v>0.233333333333333</v>
      </c>
      <c r="J398" s="344">
        <v>0.233333333333333</v>
      </c>
      <c r="K398" s="344">
        <v>0.233333333333333</v>
      </c>
      <c r="L398" s="344">
        <v>0.233333333333333</v>
      </c>
      <c r="M398" s="344">
        <v>0.233333333333333</v>
      </c>
      <c r="N398" s="344">
        <v>0.233333333333333</v>
      </c>
      <c r="O398" s="344">
        <v>0.233333333333333</v>
      </c>
      <c r="P398" s="344">
        <v>1.1666666666666701</v>
      </c>
      <c r="Q398" s="344">
        <v>1.86666666666667</v>
      </c>
      <c r="R398" s="344">
        <v>3.0333333333333301</v>
      </c>
      <c r="S398" s="344">
        <v>3.5</v>
      </c>
      <c r="T398" s="344">
        <v>3.0333333333333301</v>
      </c>
      <c r="U398" s="344">
        <v>3.0333333333333301</v>
      </c>
      <c r="V398" s="344">
        <v>2.3333333333333299</v>
      </c>
      <c r="W398" s="344">
        <v>1.86666666666667</v>
      </c>
      <c r="X398" s="344">
        <v>1.4</v>
      </c>
      <c r="Y398" s="344">
        <v>2.3333333333333299</v>
      </c>
      <c r="Z398" s="344">
        <v>2.3333333333333299</v>
      </c>
      <c r="AA398" s="344">
        <v>2.3333333333333299</v>
      </c>
      <c r="AB398" s="344">
        <v>2.3333333333333299</v>
      </c>
      <c r="AC398" s="344">
        <v>1.86666666666667</v>
      </c>
      <c r="AD398" s="344">
        <f t="shared" si="54"/>
        <v>-0.4666666666666599</v>
      </c>
      <c r="AE398" s="197">
        <v>1</v>
      </c>
      <c r="AF398" s="197">
        <v>1</v>
      </c>
      <c r="AG398" s="197">
        <v>1</v>
      </c>
      <c r="AH398" s="197">
        <v>1</v>
      </c>
      <c r="AI398" s="197">
        <v>1</v>
      </c>
      <c r="AJ398" s="197">
        <v>1</v>
      </c>
      <c r="AK398" s="197">
        <v>1</v>
      </c>
      <c r="AL398" s="197">
        <v>1</v>
      </c>
      <c r="AM398" s="197">
        <v>1</v>
      </c>
      <c r="AN398" s="197">
        <v>1</v>
      </c>
      <c r="AO398" s="197">
        <v>1</v>
      </c>
      <c r="AP398" s="197">
        <v>9</v>
      </c>
      <c r="AQ398" s="197">
        <v>8</v>
      </c>
      <c r="AR398" s="197">
        <v>1</v>
      </c>
      <c r="AS398" s="197">
        <v>1</v>
      </c>
      <c r="AT398" s="197">
        <v>6</v>
      </c>
      <c r="AU398" s="347">
        <v>1</v>
      </c>
      <c r="AV398" s="347">
        <v>1</v>
      </c>
      <c r="AW398" s="347">
        <v>1</v>
      </c>
      <c r="AX398" s="347">
        <v>1</v>
      </c>
      <c r="AY398" s="347">
        <v>1</v>
      </c>
      <c r="AZ398" s="347">
        <v>5</v>
      </c>
      <c r="BA398" s="347">
        <v>3</v>
      </c>
      <c r="BB398" s="347">
        <v>2</v>
      </c>
      <c r="BC398" s="347">
        <v>2</v>
      </c>
    </row>
    <row r="399" spans="1:55" s="381" customFormat="1" ht="17.649999999999999" customHeight="1">
      <c r="A399" s="343"/>
      <c r="B399" s="197" t="s">
        <v>2419</v>
      </c>
      <c r="C399" s="211" t="s">
        <v>2055</v>
      </c>
      <c r="D399" s="211" t="s">
        <v>2056</v>
      </c>
      <c r="E399" s="344">
        <v>35.933333333333302</v>
      </c>
      <c r="F399" s="344">
        <v>35.933333333333302</v>
      </c>
      <c r="G399" s="344">
        <v>35.933333333333302</v>
      </c>
      <c r="H399" s="344">
        <v>35.933333333333302</v>
      </c>
      <c r="I399" s="344">
        <v>35.933333333333302</v>
      </c>
      <c r="J399" s="344">
        <v>35.933333333333302</v>
      </c>
      <c r="K399" s="344">
        <v>35.933333333333302</v>
      </c>
      <c r="L399" s="344">
        <v>35.933333333333302</v>
      </c>
      <c r="M399" s="344">
        <v>35.933333333333302</v>
      </c>
      <c r="N399" s="344">
        <v>35.933333333333302</v>
      </c>
      <c r="O399" s="344">
        <v>35.933333333333302</v>
      </c>
      <c r="P399" s="344">
        <v>38.033333333333303</v>
      </c>
      <c r="Q399" s="344">
        <v>42.7</v>
      </c>
      <c r="R399" s="344">
        <v>41.533333333333303</v>
      </c>
      <c r="S399" s="344">
        <v>49</v>
      </c>
      <c r="T399" s="344">
        <v>47.133333333333297</v>
      </c>
      <c r="U399" s="344">
        <v>48.066666666666698</v>
      </c>
      <c r="V399" s="344">
        <v>48.066666666666698</v>
      </c>
      <c r="W399" s="344">
        <v>43.866666666666703</v>
      </c>
      <c r="X399" s="344">
        <v>39.200000000000003</v>
      </c>
      <c r="Y399" s="344">
        <v>33.8333333333333</v>
      </c>
      <c r="Z399" s="344">
        <v>24.266666666666701</v>
      </c>
      <c r="AA399" s="344">
        <v>15.633333333333301</v>
      </c>
      <c r="AB399" s="344">
        <v>16.566666666666698</v>
      </c>
      <c r="AC399" s="344">
        <v>15.1666666666667</v>
      </c>
      <c r="AD399" s="344">
        <f t="shared" si="54"/>
        <v>-1.3999999999999986</v>
      </c>
      <c r="AE399" s="197">
        <v>2</v>
      </c>
      <c r="AF399" s="197">
        <v>2</v>
      </c>
      <c r="AG399" s="197">
        <v>2</v>
      </c>
      <c r="AH399" s="197">
        <v>2</v>
      </c>
      <c r="AI399" s="197">
        <v>2</v>
      </c>
      <c r="AJ399" s="197">
        <v>2</v>
      </c>
      <c r="AK399" s="197">
        <v>2</v>
      </c>
      <c r="AL399" s="197">
        <v>2</v>
      </c>
      <c r="AM399" s="197">
        <v>2</v>
      </c>
      <c r="AN399" s="197">
        <v>2</v>
      </c>
      <c r="AO399" s="197">
        <v>2</v>
      </c>
      <c r="AP399" s="197">
        <v>9</v>
      </c>
      <c r="AQ399" s="347">
        <v>1</v>
      </c>
      <c r="AR399" s="197">
        <v>1</v>
      </c>
      <c r="AS399" s="197">
        <v>4</v>
      </c>
      <c r="AT399" s="197">
        <v>1</v>
      </c>
      <c r="AU399" s="347">
        <v>1</v>
      </c>
      <c r="AV399" s="347">
        <v>1</v>
      </c>
      <c r="AW399" s="347">
        <v>4</v>
      </c>
      <c r="AX399" s="347">
        <v>1</v>
      </c>
      <c r="AY399" s="347">
        <v>1</v>
      </c>
      <c r="AZ399" s="347">
        <v>7</v>
      </c>
      <c r="BA399" s="347">
        <v>1</v>
      </c>
      <c r="BB399" s="347">
        <v>5</v>
      </c>
      <c r="BC399" s="347">
        <v>1</v>
      </c>
    </row>
    <row r="400" spans="1:55" s="381" customFormat="1" ht="17.649999999999999" customHeight="1">
      <c r="A400" s="343"/>
      <c r="B400" s="197" t="s">
        <v>2420</v>
      </c>
      <c r="C400" s="211" t="s">
        <v>2055</v>
      </c>
      <c r="D400" s="211" t="s">
        <v>2056</v>
      </c>
      <c r="E400" s="344">
        <v>69.533333333333303</v>
      </c>
      <c r="F400" s="344">
        <v>69.533333333333303</v>
      </c>
      <c r="G400" s="344">
        <v>69.533333333333303</v>
      </c>
      <c r="H400" s="344">
        <v>69.533333333333303</v>
      </c>
      <c r="I400" s="344">
        <v>69.533333333333303</v>
      </c>
      <c r="J400" s="344">
        <v>69.533333333333303</v>
      </c>
      <c r="K400" s="344">
        <v>69.533333333333303</v>
      </c>
      <c r="L400" s="344">
        <v>69.533333333333303</v>
      </c>
      <c r="M400" s="344">
        <v>69.533333333333303</v>
      </c>
      <c r="N400" s="344">
        <v>69.533333333333303</v>
      </c>
      <c r="O400" s="344">
        <v>69.533333333333303</v>
      </c>
      <c r="P400" s="344">
        <v>99.1666666666667</v>
      </c>
      <c r="Q400" s="344">
        <v>158.9</v>
      </c>
      <c r="R400" s="344">
        <v>199.03333333333299</v>
      </c>
      <c r="S400" s="344">
        <v>240.566666666667</v>
      </c>
      <c r="T400" s="344">
        <v>201.13333333333301</v>
      </c>
      <c r="U400" s="344">
        <v>179.2</v>
      </c>
      <c r="V400" s="344">
        <v>161</v>
      </c>
      <c r="W400" s="344">
        <v>135.80000000000001</v>
      </c>
      <c r="X400" s="344">
        <v>199.5</v>
      </c>
      <c r="Y400" s="344">
        <v>184.8</v>
      </c>
      <c r="Z400" s="344">
        <v>324.8</v>
      </c>
      <c r="AA400" s="344">
        <v>400.16666666666703</v>
      </c>
      <c r="AB400" s="344">
        <v>378.7</v>
      </c>
      <c r="AC400" s="344">
        <v>360.26666666666699</v>
      </c>
      <c r="AD400" s="344">
        <f t="shared" si="54"/>
        <v>-18.433333333332996</v>
      </c>
      <c r="AE400" s="197">
        <v>1</v>
      </c>
      <c r="AF400" s="197">
        <v>1</v>
      </c>
      <c r="AG400" s="197">
        <v>1</v>
      </c>
      <c r="AH400" s="197">
        <v>1</v>
      </c>
      <c r="AI400" s="197">
        <v>1</v>
      </c>
      <c r="AJ400" s="197">
        <v>1</v>
      </c>
      <c r="AK400" s="197">
        <v>1</v>
      </c>
      <c r="AL400" s="197">
        <v>1</v>
      </c>
      <c r="AM400" s="197">
        <v>1</v>
      </c>
      <c r="AN400" s="197">
        <v>1</v>
      </c>
      <c r="AO400" s="197">
        <v>1</v>
      </c>
      <c r="AP400" s="197">
        <v>1</v>
      </c>
      <c r="AQ400" s="197">
        <v>10</v>
      </c>
      <c r="AR400" s="197">
        <v>9</v>
      </c>
      <c r="AS400" s="347">
        <v>1</v>
      </c>
      <c r="AT400" s="197">
        <v>1</v>
      </c>
      <c r="AU400" s="347">
        <v>1</v>
      </c>
      <c r="AV400" s="347">
        <v>1</v>
      </c>
      <c r="AW400" s="347">
        <v>1</v>
      </c>
      <c r="AX400" s="347">
        <v>9</v>
      </c>
      <c r="AY400" s="347">
        <v>1</v>
      </c>
      <c r="AZ400" s="347">
        <v>1</v>
      </c>
      <c r="BA400" s="347">
        <v>1</v>
      </c>
      <c r="BB400" s="347">
        <v>1</v>
      </c>
      <c r="BC400" s="347">
        <v>9</v>
      </c>
    </row>
    <row r="401" spans="1:55" s="381" customFormat="1" ht="17.649999999999999" customHeight="1">
      <c r="A401" s="343"/>
      <c r="B401" s="197" t="s">
        <v>2421</v>
      </c>
      <c r="C401" s="211" t="s">
        <v>2055</v>
      </c>
      <c r="D401" s="211" t="s">
        <v>2056</v>
      </c>
      <c r="E401" s="344">
        <v>264.36666666666702</v>
      </c>
      <c r="F401" s="344">
        <v>264.36666666666702</v>
      </c>
      <c r="G401" s="344">
        <v>264.36666666666702</v>
      </c>
      <c r="H401" s="344">
        <v>264.36666666666702</v>
      </c>
      <c r="I401" s="344">
        <v>264.36666666666702</v>
      </c>
      <c r="J401" s="344">
        <v>264.36666666666702</v>
      </c>
      <c r="K401" s="344">
        <v>264.36666666666702</v>
      </c>
      <c r="L401" s="344">
        <v>264.36666666666702</v>
      </c>
      <c r="M401" s="344">
        <v>264.36666666666702</v>
      </c>
      <c r="N401" s="344">
        <v>264.36666666666702</v>
      </c>
      <c r="O401" s="344">
        <v>264.36666666666702</v>
      </c>
      <c r="P401" s="344">
        <v>274.63333333333298</v>
      </c>
      <c r="Q401" s="344">
        <v>336.23333333333301</v>
      </c>
      <c r="R401" s="344">
        <v>336.933333333333</v>
      </c>
      <c r="S401" s="344">
        <v>532.23333333333301</v>
      </c>
      <c r="T401" s="344">
        <v>929.83333333333303</v>
      </c>
      <c r="U401" s="344">
        <v>1207.9666666666701</v>
      </c>
      <c r="V401" s="344">
        <v>1273.06666666667</v>
      </c>
      <c r="W401" s="344">
        <v>1292.9000000000001</v>
      </c>
      <c r="X401" s="344">
        <v>973.7</v>
      </c>
      <c r="Y401" s="344">
        <v>640.73333333333301</v>
      </c>
      <c r="Z401" s="344">
        <v>621.13333333333298</v>
      </c>
      <c r="AA401" s="344">
        <v>752.73333333333301</v>
      </c>
      <c r="AB401" s="344">
        <v>809.9</v>
      </c>
      <c r="AC401" s="344">
        <v>827.16666666666697</v>
      </c>
      <c r="AD401" s="344">
        <f t="shared" si="54"/>
        <v>17.266666666666993</v>
      </c>
      <c r="AE401" s="197">
        <v>26</v>
      </c>
      <c r="AF401" s="197">
        <v>26</v>
      </c>
      <c r="AG401" s="197">
        <v>26</v>
      </c>
      <c r="AH401" s="197">
        <v>26</v>
      </c>
      <c r="AI401" s="197">
        <v>26</v>
      </c>
      <c r="AJ401" s="197">
        <v>26</v>
      </c>
      <c r="AK401" s="197">
        <v>26</v>
      </c>
      <c r="AL401" s="197">
        <v>26</v>
      </c>
      <c r="AM401" s="197">
        <v>26</v>
      </c>
      <c r="AN401" s="197">
        <v>26</v>
      </c>
      <c r="AO401" s="197">
        <v>26</v>
      </c>
      <c r="AP401" s="197">
        <v>3</v>
      </c>
      <c r="AQ401" s="347">
        <v>6</v>
      </c>
      <c r="AR401" s="347">
        <v>24</v>
      </c>
      <c r="AS401" s="347">
        <v>18</v>
      </c>
      <c r="AT401" s="347">
        <v>11</v>
      </c>
      <c r="AU401" s="347">
        <v>6</v>
      </c>
      <c r="AV401" s="347">
        <v>5</v>
      </c>
      <c r="AW401" s="347">
        <v>23</v>
      </c>
      <c r="AX401" s="347">
        <v>9</v>
      </c>
      <c r="AY401" s="347">
        <v>9</v>
      </c>
      <c r="AZ401" s="347">
        <v>3</v>
      </c>
      <c r="BA401" s="347">
        <v>10</v>
      </c>
      <c r="BB401" s="347">
        <v>10</v>
      </c>
      <c r="BC401" s="347">
        <v>7</v>
      </c>
    </row>
    <row r="402" spans="1:55" s="381" customFormat="1" ht="17.649999999999999" customHeight="1">
      <c r="A402" s="343"/>
      <c r="B402" s="197" t="s">
        <v>2422</v>
      </c>
      <c r="C402" s="211" t="s">
        <v>2055</v>
      </c>
      <c r="D402" s="211" t="s">
        <v>2056</v>
      </c>
      <c r="E402" s="344">
        <v>28.466666666666701</v>
      </c>
      <c r="F402" s="344">
        <v>28.466666666666701</v>
      </c>
      <c r="G402" s="344">
        <v>28.466666666666701</v>
      </c>
      <c r="H402" s="344">
        <v>28.466666666666701</v>
      </c>
      <c r="I402" s="344">
        <v>28.466666666666701</v>
      </c>
      <c r="J402" s="344">
        <v>28.466666666666701</v>
      </c>
      <c r="K402" s="344">
        <v>28.466666666666701</v>
      </c>
      <c r="L402" s="344">
        <v>28.466666666666701</v>
      </c>
      <c r="M402" s="344">
        <v>28.466666666666701</v>
      </c>
      <c r="N402" s="344">
        <v>28.466666666666701</v>
      </c>
      <c r="O402" s="344">
        <v>28.466666666666701</v>
      </c>
      <c r="P402" s="344">
        <v>30.8</v>
      </c>
      <c r="Q402" s="344">
        <v>35.466666666666697</v>
      </c>
      <c r="R402" s="344">
        <v>33.6</v>
      </c>
      <c r="S402" s="344">
        <v>31.033333333333299</v>
      </c>
      <c r="T402" s="344">
        <v>22.866666666666699</v>
      </c>
      <c r="U402" s="344">
        <v>17.733333333333299</v>
      </c>
      <c r="V402" s="344">
        <v>13.0666666666667</v>
      </c>
      <c r="W402" s="344">
        <v>7</v>
      </c>
      <c r="X402" s="344">
        <v>5.3666666666666698</v>
      </c>
      <c r="Y402" s="344">
        <v>4.6666666666666696</v>
      </c>
      <c r="Z402" s="344">
        <v>3.9666666666666699</v>
      </c>
      <c r="AA402" s="344">
        <v>4.2</v>
      </c>
      <c r="AB402" s="344">
        <v>3.2666666666666702</v>
      </c>
      <c r="AC402" s="344">
        <v>2.56666666666667</v>
      </c>
      <c r="AD402" s="344">
        <f t="shared" si="54"/>
        <v>-0.70000000000000018</v>
      </c>
      <c r="AE402" s="197">
        <v>9</v>
      </c>
      <c r="AF402" s="197">
        <v>9</v>
      </c>
      <c r="AG402" s="197">
        <v>9</v>
      </c>
      <c r="AH402" s="197">
        <v>9</v>
      </c>
      <c r="AI402" s="197">
        <v>9</v>
      </c>
      <c r="AJ402" s="197">
        <v>9</v>
      </c>
      <c r="AK402" s="197">
        <v>9</v>
      </c>
      <c r="AL402" s="197">
        <v>9</v>
      </c>
      <c r="AM402" s="197">
        <v>9</v>
      </c>
      <c r="AN402" s="197">
        <v>9</v>
      </c>
      <c r="AO402" s="197">
        <v>9</v>
      </c>
      <c r="AP402" s="197">
        <v>9</v>
      </c>
      <c r="AQ402" s="197">
        <v>5</v>
      </c>
      <c r="AR402" s="197">
        <v>4</v>
      </c>
      <c r="AS402" s="197">
        <v>4</v>
      </c>
      <c r="AT402" s="197">
        <v>4</v>
      </c>
      <c r="AU402" s="347">
        <v>3</v>
      </c>
      <c r="AV402" s="347">
        <v>4</v>
      </c>
      <c r="AW402" s="347">
        <v>7</v>
      </c>
      <c r="AX402" s="347">
        <v>7</v>
      </c>
      <c r="AY402" s="347">
        <v>7</v>
      </c>
      <c r="AZ402" s="347">
        <v>7</v>
      </c>
      <c r="BA402" s="347">
        <v>9</v>
      </c>
      <c r="BB402" s="347">
        <v>3</v>
      </c>
      <c r="BC402" s="347">
        <v>3</v>
      </c>
    </row>
    <row r="403" spans="1:55" s="381" customFormat="1" ht="17.649999999999999" customHeight="1">
      <c r="A403" s="343"/>
      <c r="B403" s="197" t="s">
        <v>2423</v>
      </c>
      <c r="C403" s="211" t="s">
        <v>2055</v>
      </c>
      <c r="D403" s="211" t="s">
        <v>2056</v>
      </c>
      <c r="E403" s="344">
        <v>262.26666666666699</v>
      </c>
      <c r="F403" s="344">
        <v>262.26666666666699</v>
      </c>
      <c r="G403" s="344">
        <v>262.26666666666699</v>
      </c>
      <c r="H403" s="344">
        <v>262.26666666666699</v>
      </c>
      <c r="I403" s="344">
        <v>262.26666666666699</v>
      </c>
      <c r="J403" s="344">
        <v>262.26666666666699</v>
      </c>
      <c r="K403" s="344">
        <v>262.26666666666699</v>
      </c>
      <c r="L403" s="344">
        <v>262.26666666666699</v>
      </c>
      <c r="M403" s="344">
        <v>262.26666666666699</v>
      </c>
      <c r="N403" s="344">
        <v>262.26666666666699</v>
      </c>
      <c r="O403" s="344">
        <v>262.26666666666699</v>
      </c>
      <c r="P403" s="344">
        <v>278.60000000000002</v>
      </c>
      <c r="Q403" s="344">
        <v>220.26666666666699</v>
      </c>
      <c r="R403" s="344">
        <v>167.76666666666699</v>
      </c>
      <c r="S403" s="344">
        <v>228.666666666667</v>
      </c>
      <c r="T403" s="344">
        <v>224</v>
      </c>
      <c r="U403" s="344">
        <v>239.4</v>
      </c>
      <c r="V403" s="344">
        <v>310.8</v>
      </c>
      <c r="W403" s="344">
        <v>408.1</v>
      </c>
      <c r="X403" s="344">
        <v>435.86666666666702</v>
      </c>
      <c r="Y403" s="344">
        <v>443.1</v>
      </c>
      <c r="Z403" s="344">
        <v>355.36666666666702</v>
      </c>
      <c r="AA403" s="344">
        <v>206.26666666666699</v>
      </c>
      <c r="AB403" s="344">
        <v>119.933333333333</v>
      </c>
      <c r="AC403" s="344">
        <v>74.433333333333294</v>
      </c>
      <c r="AD403" s="344">
        <f t="shared" si="54"/>
        <v>-45.499999999999702</v>
      </c>
      <c r="AE403" s="197">
        <v>1</v>
      </c>
      <c r="AF403" s="197">
        <v>1</v>
      </c>
      <c r="AG403" s="197">
        <v>1</v>
      </c>
      <c r="AH403" s="197">
        <v>1</v>
      </c>
      <c r="AI403" s="197">
        <v>1</v>
      </c>
      <c r="AJ403" s="197">
        <v>1</v>
      </c>
      <c r="AK403" s="197">
        <v>1</v>
      </c>
      <c r="AL403" s="197">
        <v>1</v>
      </c>
      <c r="AM403" s="197">
        <v>1</v>
      </c>
      <c r="AN403" s="197">
        <v>1</v>
      </c>
      <c r="AO403" s="197">
        <v>1</v>
      </c>
      <c r="AP403" s="197">
        <v>3</v>
      </c>
      <c r="AQ403" s="197">
        <v>3</v>
      </c>
      <c r="AR403" s="197">
        <v>3</v>
      </c>
      <c r="AS403" s="197">
        <v>3</v>
      </c>
      <c r="AT403" s="197">
        <v>3</v>
      </c>
      <c r="AU403" s="347">
        <v>6</v>
      </c>
      <c r="AV403" s="347">
        <v>3</v>
      </c>
      <c r="AW403" s="347">
        <v>2</v>
      </c>
      <c r="AX403" s="347">
        <v>3</v>
      </c>
      <c r="AY403" s="347">
        <v>3</v>
      </c>
      <c r="AZ403" s="347">
        <v>4</v>
      </c>
      <c r="BA403" s="347">
        <v>4</v>
      </c>
      <c r="BB403" s="347">
        <v>3</v>
      </c>
      <c r="BC403" s="347">
        <v>1</v>
      </c>
    </row>
    <row r="404" spans="1:55" s="381" customFormat="1" ht="17.649999999999999" customHeight="1">
      <c r="A404" s="343"/>
      <c r="B404" s="197" t="s">
        <v>2424</v>
      </c>
      <c r="C404" s="211" t="s">
        <v>2055</v>
      </c>
      <c r="D404" s="211" t="s">
        <v>2056</v>
      </c>
      <c r="E404" s="344">
        <v>1480.2666666666701</v>
      </c>
      <c r="F404" s="344">
        <v>1480.2666666666701</v>
      </c>
      <c r="G404" s="344">
        <v>1480.2666666666701</v>
      </c>
      <c r="H404" s="344">
        <v>1480.2666666666701</v>
      </c>
      <c r="I404" s="344">
        <v>1480.2666666666701</v>
      </c>
      <c r="J404" s="344">
        <v>1480.2666666666701</v>
      </c>
      <c r="K404" s="344">
        <v>480</v>
      </c>
      <c r="L404" s="344">
        <v>1400</v>
      </c>
      <c r="M404" s="344">
        <v>1480.2666666666701</v>
      </c>
      <c r="N404" s="344">
        <v>1480.2666666666701</v>
      </c>
      <c r="O404" s="344">
        <v>1480.2666666666701</v>
      </c>
      <c r="P404" s="344">
        <v>1602.3</v>
      </c>
      <c r="Q404" s="344">
        <v>1949.5</v>
      </c>
      <c r="R404" s="344">
        <v>1786.4</v>
      </c>
      <c r="S404" s="344">
        <v>1811.8333333333301</v>
      </c>
      <c r="T404" s="344">
        <v>1871.56666666667</v>
      </c>
      <c r="U404" s="344">
        <v>1814.4</v>
      </c>
      <c r="V404" s="344">
        <v>1670.2</v>
      </c>
      <c r="W404" s="344">
        <v>1440.13333333333</v>
      </c>
      <c r="X404" s="344">
        <v>1336.7666666666701</v>
      </c>
      <c r="Y404" s="344">
        <v>1260.93333333333</v>
      </c>
      <c r="Z404" s="344">
        <v>1285.43333333333</v>
      </c>
      <c r="AA404" s="344">
        <v>1373.86666666667</v>
      </c>
      <c r="AB404" s="344">
        <v>1434.5333333333299</v>
      </c>
      <c r="AC404" s="344">
        <v>1399.3</v>
      </c>
      <c r="AD404" s="344">
        <f t="shared" si="54"/>
        <v>-35.233333333329938</v>
      </c>
      <c r="AE404" s="197">
        <v>1</v>
      </c>
      <c r="AF404" s="197">
        <v>1</v>
      </c>
      <c r="AG404" s="197">
        <v>1</v>
      </c>
      <c r="AH404" s="197">
        <v>1</v>
      </c>
      <c r="AI404" s="197">
        <v>1</v>
      </c>
      <c r="AJ404" s="197">
        <v>1</v>
      </c>
      <c r="AK404" s="197">
        <v>1</v>
      </c>
      <c r="AL404" s="197">
        <v>1</v>
      </c>
      <c r="AM404" s="197">
        <v>1</v>
      </c>
      <c r="AN404" s="197">
        <v>1</v>
      </c>
      <c r="AO404" s="197">
        <v>1</v>
      </c>
      <c r="AP404" s="197">
        <v>10</v>
      </c>
      <c r="AQ404" s="347">
        <v>8</v>
      </c>
      <c r="AR404" s="347">
        <v>12</v>
      </c>
      <c r="AS404" s="347">
        <v>12</v>
      </c>
      <c r="AT404" s="197">
        <v>10</v>
      </c>
      <c r="AU404" s="347">
        <v>10</v>
      </c>
      <c r="AV404" s="347">
        <v>10</v>
      </c>
      <c r="AW404" s="347">
        <v>7</v>
      </c>
      <c r="AX404" s="347">
        <v>8</v>
      </c>
      <c r="AY404" s="347">
        <v>8</v>
      </c>
      <c r="AZ404" s="347">
        <v>15</v>
      </c>
      <c r="BA404" s="347">
        <v>5</v>
      </c>
      <c r="BB404" s="347">
        <v>9</v>
      </c>
      <c r="BC404" s="347">
        <v>6</v>
      </c>
    </row>
    <row r="405" spans="1:55" s="381" customFormat="1" ht="17.649999999999999" customHeight="1">
      <c r="A405" s="343"/>
      <c r="B405" s="197" t="s">
        <v>2425</v>
      </c>
      <c r="C405" s="211" t="s">
        <v>2055</v>
      </c>
      <c r="D405" s="211" t="s">
        <v>2056</v>
      </c>
      <c r="E405" s="344">
        <v>14</v>
      </c>
      <c r="F405" s="344">
        <v>14</v>
      </c>
      <c r="G405" s="344">
        <v>14</v>
      </c>
      <c r="H405" s="344">
        <v>14</v>
      </c>
      <c r="I405" s="344">
        <v>14</v>
      </c>
      <c r="J405" s="344">
        <v>14</v>
      </c>
      <c r="K405" s="344">
        <v>14</v>
      </c>
      <c r="L405" s="344">
        <v>14</v>
      </c>
      <c r="M405" s="344">
        <v>14</v>
      </c>
      <c r="N405" s="344">
        <v>14</v>
      </c>
      <c r="O405" s="344">
        <v>14</v>
      </c>
      <c r="P405" s="344">
        <v>14.233333333333301</v>
      </c>
      <c r="Q405" s="344">
        <v>16.3333333333333</v>
      </c>
      <c r="R405" s="344">
        <v>16.100000000000001</v>
      </c>
      <c r="S405" s="344">
        <v>18.433333333333302</v>
      </c>
      <c r="T405" s="344">
        <v>15.1666666666667</v>
      </c>
      <c r="U405" s="344">
        <v>16.3333333333333</v>
      </c>
      <c r="V405" s="344">
        <v>16.566666666666698</v>
      </c>
      <c r="W405" s="344">
        <v>12.133333333333301</v>
      </c>
      <c r="X405" s="344">
        <v>14.233333333333301</v>
      </c>
      <c r="Y405" s="344">
        <v>14.9333333333333</v>
      </c>
      <c r="Z405" s="344">
        <v>14</v>
      </c>
      <c r="AA405" s="344">
        <v>14.9333333333333</v>
      </c>
      <c r="AB405" s="344">
        <v>14.233333333333301</v>
      </c>
      <c r="AC405" s="344">
        <v>11.6666666666667</v>
      </c>
      <c r="AD405" s="344">
        <f t="shared" si="54"/>
        <v>-2.5666666666666007</v>
      </c>
      <c r="AE405" s="197">
        <v>3</v>
      </c>
      <c r="AF405" s="197">
        <v>3</v>
      </c>
      <c r="AG405" s="197">
        <v>3</v>
      </c>
      <c r="AH405" s="197">
        <v>3</v>
      </c>
      <c r="AI405" s="197">
        <v>3</v>
      </c>
      <c r="AJ405" s="197">
        <v>3</v>
      </c>
      <c r="AK405" s="197">
        <v>3</v>
      </c>
      <c r="AL405" s="197">
        <v>3</v>
      </c>
      <c r="AM405" s="197">
        <v>3</v>
      </c>
      <c r="AN405" s="197">
        <v>3</v>
      </c>
      <c r="AO405" s="197">
        <v>3</v>
      </c>
      <c r="AP405" s="197">
        <v>3</v>
      </c>
      <c r="AQ405" s="197">
        <v>10</v>
      </c>
      <c r="AR405" s="197">
        <v>6</v>
      </c>
      <c r="AS405" s="197">
        <v>2</v>
      </c>
      <c r="AT405" s="197">
        <v>4</v>
      </c>
      <c r="AU405" s="347">
        <v>4</v>
      </c>
      <c r="AV405" s="347">
        <v>4</v>
      </c>
      <c r="AW405" s="347">
        <v>5</v>
      </c>
      <c r="AX405" s="347">
        <v>4</v>
      </c>
      <c r="AY405" s="347">
        <v>5</v>
      </c>
      <c r="AZ405" s="347">
        <v>12</v>
      </c>
      <c r="BA405" s="347">
        <v>1</v>
      </c>
      <c r="BB405" s="347">
        <v>3</v>
      </c>
      <c r="BC405" s="347">
        <v>3</v>
      </c>
    </row>
    <row r="406" spans="1:55" s="381" customFormat="1" ht="17.649999999999999" customHeight="1">
      <c r="A406" s="343"/>
      <c r="B406" s="197" t="s">
        <v>2426</v>
      </c>
      <c r="C406" s="211" t="s">
        <v>2055</v>
      </c>
      <c r="D406" s="211" t="s">
        <v>2056</v>
      </c>
      <c r="E406" s="344">
        <v>1445.0333333333299</v>
      </c>
      <c r="F406" s="344">
        <v>1445.0333333333299</v>
      </c>
      <c r="G406" s="344">
        <v>1445.0333333333299</v>
      </c>
      <c r="H406" s="344">
        <v>1445.0333333333299</v>
      </c>
      <c r="I406" s="344">
        <v>1445.0333333333299</v>
      </c>
      <c r="J406" s="344">
        <v>1445.0333333333299</v>
      </c>
      <c r="K406" s="344">
        <v>1445.0333333333299</v>
      </c>
      <c r="L406" s="344">
        <v>880</v>
      </c>
      <c r="M406" s="344">
        <v>1445.0333333333299</v>
      </c>
      <c r="N406" s="344">
        <v>1445.0333333333299</v>
      </c>
      <c r="O406" s="344">
        <v>1445.0333333333299</v>
      </c>
      <c r="P406" s="344">
        <v>1605.56666666667</v>
      </c>
      <c r="Q406" s="344">
        <v>2034.43333333333</v>
      </c>
      <c r="R406" s="344">
        <v>1991.7333333333299</v>
      </c>
      <c r="S406" s="344">
        <v>2004.8</v>
      </c>
      <c r="T406" s="344">
        <v>1881.8333333333301</v>
      </c>
      <c r="U406" s="344">
        <v>1737.1666666666699</v>
      </c>
      <c r="V406" s="344">
        <v>1575.93333333333</v>
      </c>
      <c r="W406" s="344">
        <v>1466.5</v>
      </c>
      <c r="X406" s="344">
        <v>1615.13333333333</v>
      </c>
      <c r="Y406" s="344">
        <v>1538.36666666667</v>
      </c>
      <c r="Z406" s="344">
        <v>1502.43333333333</v>
      </c>
      <c r="AA406" s="344">
        <v>1264.43333333333</v>
      </c>
      <c r="AB406" s="344">
        <v>916.06666666666695</v>
      </c>
      <c r="AC406" s="344">
        <v>756.46666666666704</v>
      </c>
      <c r="AD406" s="344">
        <f t="shared" si="54"/>
        <v>-159.59999999999991</v>
      </c>
      <c r="AE406" s="197">
        <v>9</v>
      </c>
      <c r="AF406" s="197">
        <v>9</v>
      </c>
      <c r="AG406" s="197">
        <v>9</v>
      </c>
      <c r="AH406" s="197">
        <v>9</v>
      </c>
      <c r="AI406" s="197">
        <v>9</v>
      </c>
      <c r="AJ406" s="197">
        <v>9</v>
      </c>
      <c r="AK406" s="197">
        <v>9</v>
      </c>
      <c r="AL406" s="197">
        <v>9</v>
      </c>
      <c r="AM406" s="197">
        <v>9</v>
      </c>
      <c r="AN406" s="197">
        <v>9</v>
      </c>
      <c r="AO406" s="197">
        <v>9</v>
      </c>
      <c r="AP406" s="197">
        <v>9</v>
      </c>
      <c r="AQ406" s="197">
        <v>10</v>
      </c>
      <c r="AR406" s="197">
        <v>5</v>
      </c>
      <c r="AS406" s="197">
        <v>7</v>
      </c>
      <c r="AT406" s="197">
        <v>7</v>
      </c>
      <c r="AU406" s="347">
        <v>6</v>
      </c>
      <c r="AV406" s="347">
        <v>6</v>
      </c>
      <c r="AW406" s="347">
        <v>6</v>
      </c>
      <c r="AX406" s="347">
        <v>6</v>
      </c>
      <c r="AY406" s="347">
        <v>8</v>
      </c>
      <c r="AZ406" s="347">
        <v>8</v>
      </c>
      <c r="BA406" s="347">
        <v>6</v>
      </c>
      <c r="BB406" s="347">
        <v>6</v>
      </c>
      <c r="BC406" s="347">
        <v>7</v>
      </c>
    </row>
    <row r="407" spans="1:55" s="381" customFormat="1" ht="17.649999999999999" customHeight="1">
      <c r="A407" s="343"/>
      <c r="B407" s="197" t="s">
        <v>2427</v>
      </c>
      <c r="C407" s="211" t="s">
        <v>2055</v>
      </c>
      <c r="D407" s="211" t="s">
        <v>2056</v>
      </c>
      <c r="E407" s="344">
        <v>1072.4000000000001</v>
      </c>
      <c r="F407" s="344">
        <v>1072.4000000000001</v>
      </c>
      <c r="G407" s="344">
        <v>1072.4000000000001</v>
      </c>
      <c r="H407" s="344">
        <v>1072.4000000000001</v>
      </c>
      <c r="I407" s="344">
        <v>1072.4000000000001</v>
      </c>
      <c r="J407" s="344">
        <v>1072.4000000000001</v>
      </c>
      <c r="K407" s="344">
        <v>1072.4000000000001</v>
      </c>
      <c r="L407" s="344">
        <v>820</v>
      </c>
      <c r="M407" s="344">
        <v>1072.4000000000001</v>
      </c>
      <c r="N407" s="344">
        <v>1072.4000000000001</v>
      </c>
      <c r="O407" s="344">
        <v>1072.4000000000001</v>
      </c>
      <c r="P407" s="344">
        <v>1171.8</v>
      </c>
      <c r="Q407" s="344">
        <v>1391.8333333333301</v>
      </c>
      <c r="R407" s="344">
        <v>1365.4666666666701</v>
      </c>
      <c r="S407" s="344">
        <v>1324.4</v>
      </c>
      <c r="T407" s="344">
        <v>1328.36666666667</v>
      </c>
      <c r="U407" s="344">
        <v>1326.9666666666701</v>
      </c>
      <c r="V407" s="344">
        <v>1267.93333333333</v>
      </c>
      <c r="W407" s="344">
        <v>1158.9666666666701</v>
      </c>
      <c r="X407" s="344">
        <v>1174.36666666667</v>
      </c>
      <c r="Y407" s="344">
        <v>1113.7</v>
      </c>
      <c r="Z407" s="344">
        <v>1110.6666666666699</v>
      </c>
      <c r="AA407" s="344">
        <v>1170.1666666666699</v>
      </c>
      <c r="AB407" s="344">
        <v>1161.3</v>
      </c>
      <c r="AC407" s="344">
        <v>1114.86666666667</v>
      </c>
      <c r="AD407" s="344">
        <f t="shared" si="54"/>
        <v>-46.433333333329983</v>
      </c>
      <c r="AE407" s="197">
        <v>11</v>
      </c>
      <c r="AF407" s="197">
        <v>11</v>
      </c>
      <c r="AG407" s="197">
        <v>11</v>
      </c>
      <c r="AH407" s="197">
        <v>11</v>
      </c>
      <c r="AI407" s="197">
        <v>11</v>
      </c>
      <c r="AJ407" s="197">
        <v>11</v>
      </c>
      <c r="AK407" s="197">
        <v>11</v>
      </c>
      <c r="AL407" s="197">
        <v>11</v>
      </c>
      <c r="AM407" s="197">
        <v>11</v>
      </c>
      <c r="AN407" s="197">
        <v>11</v>
      </c>
      <c r="AO407" s="197">
        <v>11</v>
      </c>
      <c r="AP407" s="197">
        <v>8</v>
      </c>
      <c r="AQ407" s="347">
        <v>10</v>
      </c>
      <c r="AR407" s="197">
        <v>4</v>
      </c>
      <c r="AS407" s="197">
        <v>9</v>
      </c>
      <c r="AT407" s="347">
        <v>10</v>
      </c>
      <c r="AU407" s="347">
        <v>8</v>
      </c>
      <c r="AV407" s="347">
        <v>51</v>
      </c>
      <c r="AW407" s="347">
        <v>6</v>
      </c>
      <c r="AX407" s="197">
        <v>51</v>
      </c>
      <c r="AY407" s="347">
        <v>9</v>
      </c>
      <c r="AZ407" s="347">
        <v>3</v>
      </c>
      <c r="BA407" s="347">
        <v>8</v>
      </c>
      <c r="BB407" s="347">
        <v>5</v>
      </c>
      <c r="BC407" s="347">
        <v>5</v>
      </c>
    </row>
    <row r="408" spans="1:55" s="381" customFormat="1" ht="17.649999999999999" customHeight="1">
      <c r="A408" s="343"/>
      <c r="B408" s="197" t="s">
        <v>2428</v>
      </c>
      <c r="C408" s="211" t="s">
        <v>2055</v>
      </c>
      <c r="D408" s="211" t="s">
        <v>2056</v>
      </c>
      <c r="E408" s="344">
        <v>80.033333333333303</v>
      </c>
      <c r="F408" s="344">
        <v>80.033333333333303</v>
      </c>
      <c r="G408" s="344">
        <v>80.033333333333303</v>
      </c>
      <c r="H408" s="344">
        <v>80.033333333333303</v>
      </c>
      <c r="I408" s="344">
        <v>80.033333333333303</v>
      </c>
      <c r="J408" s="344">
        <v>80.033333333333303</v>
      </c>
      <c r="K408" s="344">
        <v>80.033333333333303</v>
      </c>
      <c r="L408" s="344">
        <v>80.033333333333303</v>
      </c>
      <c r="M408" s="344">
        <v>80.033333333333303</v>
      </c>
      <c r="N408" s="344">
        <v>80.033333333333303</v>
      </c>
      <c r="O408" s="344">
        <v>80.033333333333303</v>
      </c>
      <c r="P408" s="344">
        <v>85.4</v>
      </c>
      <c r="Q408" s="344">
        <v>105.7</v>
      </c>
      <c r="R408" s="344">
        <v>101.966666666667</v>
      </c>
      <c r="S408" s="344">
        <v>95.9</v>
      </c>
      <c r="T408" s="344">
        <v>93.3333333333333</v>
      </c>
      <c r="U408" s="344">
        <v>94.5</v>
      </c>
      <c r="V408" s="344">
        <v>98</v>
      </c>
      <c r="W408" s="344">
        <v>107.566666666667</v>
      </c>
      <c r="X408" s="344">
        <v>128.80000000000001</v>
      </c>
      <c r="Y408" s="344">
        <v>123.9</v>
      </c>
      <c r="Z408" s="344">
        <v>121.566666666667</v>
      </c>
      <c r="AA408" s="344">
        <v>107.8</v>
      </c>
      <c r="AB408" s="344">
        <v>89.8333333333333</v>
      </c>
      <c r="AC408" s="344">
        <v>84.233333333333306</v>
      </c>
      <c r="AD408" s="344">
        <f t="shared" si="54"/>
        <v>-5.5999999999999943</v>
      </c>
      <c r="AE408" s="197">
        <v>3</v>
      </c>
      <c r="AF408" s="197">
        <v>3</v>
      </c>
      <c r="AG408" s="197">
        <v>3</v>
      </c>
      <c r="AH408" s="197">
        <v>3</v>
      </c>
      <c r="AI408" s="197">
        <v>3</v>
      </c>
      <c r="AJ408" s="197">
        <v>3</v>
      </c>
      <c r="AK408" s="197">
        <v>3</v>
      </c>
      <c r="AL408" s="197">
        <v>3</v>
      </c>
      <c r="AM408" s="197">
        <v>3</v>
      </c>
      <c r="AN408" s="197">
        <v>3</v>
      </c>
      <c r="AO408" s="197">
        <v>3</v>
      </c>
      <c r="AP408" s="197">
        <v>3</v>
      </c>
      <c r="AQ408" s="347">
        <v>7</v>
      </c>
      <c r="AR408" s="197">
        <v>7</v>
      </c>
      <c r="AS408" s="197">
        <v>2</v>
      </c>
      <c r="AT408" s="197">
        <v>3</v>
      </c>
      <c r="AU408" s="347">
        <v>2</v>
      </c>
      <c r="AV408" s="347">
        <v>9</v>
      </c>
      <c r="AW408" s="347">
        <v>9</v>
      </c>
      <c r="AX408" s="347">
        <v>5</v>
      </c>
      <c r="AY408" s="347">
        <v>10</v>
      </c>
      <c r="AZ408" s="347">
        <v>5</v>
      </c>
      <c r="BA408" s="347">
        <v>7</v>
      </c>
      <c r="BB408" s="347">
        <v>7</v>
      </c>
      <c r="BC408" s="347">
        <v>4</v>
      </c>
    </row>
    <row r="409" spans="1:55" s="381" customFormat="1" ht="17.649999999999999" customHeight="1">
      <c r="A409" s="343"/>
      <c r="B409" s="197" t="s">
        <v>2429</v>
      </c>
      <c r="C409" s="211" t="s">
        <v>2055</v>
      </c>
      <c r="D409" s="211" t="s">
        <v>2056</v>
      </c>
      <c r="E409" s="344">
        <v>10.033333333333299</v>
      </c>
      <c r="F409" s="344">
        <v>10.033333333333299</v>
      </c>
      <c r="G409" s="344">
        <v>10.033333333333299</v>
      </c>
      <c r="H409" s="344">
        <v>10.033333333333299</v>
      </c>
      <c r="I409" s="344">
        <v>10.033333333333299</v>
      </c>
      <c r="J409" s="344">
        <v>10.033333333333299</v>
      </c>
      <c r="K409" s="344">
        <v>10.033333333333299</v>
      </c>
      <c r="L409" s="344">
        <v>10.033333333333299</v>
      </c>
      <c r="M409" s="344">
        <v>10.033333333333299</v>
      </c>
      <c r="N409" s="344">
        <v>10.033333333333299</v>
      </c>
      <c r="O409" s="344">
        <v>10.033333333333299</v>
      </c>
      <c r="P409" s="344">
        <v>10.966666666666701</v>
      </c>
      <c r="Q409" s="344">
        <v>12.8333333333333</v>
      </c>
      <c r="R409" s="344">
        <v>9.1</v>
      </c>
      <c r="S409" s="344">
        <v>7</v>
      </c>
      <c r="T409" s="344">
        <v>6.7666666666666702</v>
      </c>
      <c r="U409" s="344">
        <v>6.3</v>
      </c>
      <c r="V409" s="344">
        <v>4.2</v>
      </c>
      <c r="W409" s="344">
        <v>2.56666666666667</v>
      </c>
      <c r="X409" s="344">
        <v>5.6</v>
      </c>
      <c r="Y409" s="344">
        <v>7.4666666666666703</v>
      </c>
      <c r="Z409" s="344">
        <v>16.8</v>
      </c>
      <c r="AA409" s="344">
        <v>24.966666666666701</v>
      </c>
      <c r="AB409" s="344">
        <v>25.2</v>
      </c>
      <c r="AC409" s="344">
        <v>22.1666666666667</v>
      </c>
      <c r="AD409" s="344">
        <f t="shared" si="54"/>
        <v>-3.0333333333332995</v>
      </c>
      <c r="AE409" s="197">
        <v>10</v>
      </c>
      <c r="AF409" s="197">
        <v>10</v>
      </c>
      <c r="AG409" s="197">
        <v>10</v>
      </c>
      <c r="AH409" s="197">
        <v>10</v>
      </c>
      <c r="AI409" s="197">
        <v>10</v>
      </c>
      <c r="AJ409" s="197">
        <v>10</v>
      </c>
      <c r="AK409" s="197">
        <v>10</v>
      </c>
      <c r="AL409" s="197">
        <v>10</v>
      </c>
      <c r="AM409" s="197">
        <v>10</v>
      </c>
      <c r="AN409" s="197">
        <v>10</v>
      </c>
      <c r="AO409" s="197">
        <v>10</v>
      </c>
      <c r="AP409" s="197">
        <v>1</v>
      </c>
      <c r="AQ409" s="197">
        <v>10</v>
      </c>
      <c r="AR409" s="197">
        <v>1</v>
      </c>
      <c r="AS409" s="197">
        <v>1</v>
      </c>
      <c r="AT409" s="197">
        <v>1</v>
      </c>
      <c r="AU409" s="347">
        <v>9</v>
      </c>
      <c r="AV409" s="347">
        <v>1</v>
      </c>
      <c r="AW409" s="347">
        <v>1</v>
      </c>
      <c r="AX409" s="347">
        <v>1</v>
      </c>
      <c r="AY409" s="347">
        <v>10</v>
      </c>
      <c r="AZ409" s="347">
        <v>1</v>
      </c>
      <c r="BA409" s="347">
        <v>1</v>
      </c>
      <c r="BB409" s="347">
        <v>7</v>
      </c>
      <c r="BC409" s="347">
        <v>1</v>
      </c>
    </row>
    <row r="410" spans="1:55" s="381" customFormat="1" ht="17.649999999999999" customHeight="1">
      <c r="A410" s="343"/>
      <c r="B410" s="197" t="s">
        <v>2430</v>
      </c>
      <c r="C410" s="211" t="s">
        <v>2055</v>
      </c>
      <c r="D410" s="211" t="s">
        <v>2056</v>
      </c>
      <c r="E410" s="344">
        <v>1460.9</v>
      </c>
      <c r="F410" s="344">
        <v>1460.9</v>
      </c>
      <c r="G410" s="344">
        <v>1460.9</v>
      </c>
      <c r="H410" s="344">
        <v>1460.9</v>
      </c>
      <c r="I410" s="344">
        <v>1460.9</v>
      </c>
      <c r="J410" s="344">
        <v>1460.9</v>
      </c>
      <c r="K410" s="344">
        <v>1460.9</v>
      </c>
      <c r="L410" s="344">
        <v>1460.9</v>
      </c>
      <c r="M410" s="344">
        <v>1460.9</v>
      </c>
      <c r="N410" s="344">
        <v>1460.9</v>
      </c>
      <c r="O410" s="344">
        <v>1460.9</v>
      </c>
      <c r="P410" s="344">
        <v>1738.3333333333301</v>
      </c>
      <c r="Q410" s="344">
        <v>2122.4</v>
      </c>
      <c r="R410" s="344">
        <v>1972.36666666667</v>
      </c>
      <c r="S410" s="344">
        <v>2227.63333333333</v>
      </c>
      <c r="T410" s="344">
        <v>1967.7</v>
      </c>
      <c r="U410" s="344">
        <v>1979.6</v>
      </c>
      <c r="V410" s="344">
        <v>1929.43333333333</v>
      </c>
      <c r="W410" s="344">
        <v>1673.4666666666701</v>
      </c>
      <c r="X410" s="344">
        <v>1560.5333333333299</v>
      </c>
      <c r="Y410" s="344">
        <v>1458.3333333333301</v>
      </c>
      <c r="Z410" s="344">
        <v>1440.13333333333</v>
      </c>
      <c r="AA410" s="344">
        <v>1449.93333333333</v>
      </c>
      <c r="AB410" s="344">
        <v>1357.5333333333299</v>
      </c>
      <c r="AC410" s="344">
        <v>1381.8</v>
      </c>
      <c r="AD410" s="344">
        <f t="shared" si="54"/>
        <v>24.266666666670062</v>
      </c>
      <c r="AE410" s="197">
        <v>6</v>
      </c>
      <c r="AF410" s="197">
        <v>6</v>
      </c>
      <c r="AG410" s="197">
        <v>6</v>
      </c>
      <c r="AH410" s="197">
        <v>6</v>
      </c>
      <c r="AI410" s="197">
        <v>6</v>
      </c>
      <c r="AJ410" s="197">
        <v>6</v>
      </c>
      <c r="AK410" s="197">
        <v>6</v>
      </c>
      <c r="AL410" s="197">
        <v>6</v>
      </c>
      <c r="AM410" s="197">
        <v>6</v>
      </c>
      <c r="AN410" s="197">
        <v>6</v>
      </c>
      <c r="AO410" s="197">
        <v>6</v>
      </c>
      <c r="AP410" s="197">
        <v>4</v>
      </c>
      <c r="AQ410" s="197">
        <v>10</v>
      </c>
      <c r="AR410" s="197">
        <v>10</v>
      </c>
      <c r="AS410" s="197">
        <v>1</v>
      </c>
      <c r="AT410" s="347">
        <v>19</v>
      </c>
      <c r="AU410" s="347">
        <v>8</v>
      </c>
      <c r="AV410" s="347">
        <v>10</v>
      </c>
      <c r="AW410" s="347">
        <v>3</v>
      </c>
      <c r="AX410" s="347">
        <v>4</v>
      </c>
      <c r="AY410" s="347">
        <v>8</v>
      </c>
      <c r="AZ410" s="347">
        <v>9</v>
      </c>
      <c r="BA410" s="347">
        <v>9</v>
      </c>
      <c r="BB410" s="347">
        <v>8</v>
      </c>
      <c r="BC410" s="347">
        <v>9</v>
      </c>
    </row>
    <row r="411" spans="1:55" s="381" customFormat="1" ht="17.649999999999999" customHeight="1">
      <c r="A411" s="343"/>
      <c r="B411" s="197" t="s">
        <v>2431</v>
      </c>
      <c r="C411" s="211" t="s">
        <v>2055</v>
      </c>
      <c r="D411" s="211" t="s">
        <v>2056</v>
      </c>
      <c r="E411" s="344">
        <v>40.366666666666703</v>
      </c>
      <c r="F411" s="344">
        <v>40.366666666666703</v>
      </c>
      <c r="G411" s="344">
        <v>40.366666666666703</v>
      </c>
      <c r="H411" s="344">
        <v>40.366666666666703</v>
      </c>
      <c r="I411" s="344">
        <v>40.366666666666703</v>
      </c>
      <c r="J411" s="344">
        <v>40.366666666666703</v>
      </c>
      <c r="K411" s="344">
        <v>40.366666666666703</v>
      </c>
      <c r="L411" s="344">
        <v>40.366666666666703</v>
      </c>
      <c r="M411" s="344">
        <v>40.366666666666703</v>
      </c>
      <c r="N411" s="344">
        <v>40.366666666666703</v>
      </c>
      <c r="O411" s="344">
        <v>40.366666666666703</v>
      </c>
      <c r="P411" s="344">
        <v>42</v>
      </c>
      <c r="Q411" s="344">
        <v>49.7</v>
      </c>
      <c r="R411" s="344">
        <v>44.566666666666698</v>
      </c>
      <c r="S411" s="344">
        <v>44.1</v>
      </c>
      <c r="T411" s="344">
        <v>40.366666666666703</v>
      </c>
      <c r="U411" s="344">
        <v>39.433333333333302</v>
      </c>
      <c r="V411" s="344">
        <v>37.3333333333333</v>
      </c>
      <c r="W411" s="344">
        <v>30.8</v>
      </c>
      <c r="X411" s="344">
        <v>30.566666666666698</v>
      </c>
      <c r="Y411" s="344">
        <v>31.733333333333299</v>
      </c>
      <c r="Z411" s="344">
        <v>31.966666666666701</v>
      </c>
      <c r="AA411" s="344">
        <v>36.4</v>
      </c>
      <c r="AB411" s="344">
        <v>39.9</v>
      </c>
      <c r="AC411" s="344">
        <v>36.1666666666667</v>
      </c>
      <c r="AD411" s="344">
        <f t="shared" si="54"/>
        <v>-3.7333333333332988</v>
      </c>
      <c r="AE411" s="197">
        <v>3</v>
      </c>
      <c r="AF411" s="197">
        <v>3</v>
      </c>
      <c r="AG411" s="197">
        <v>3</v>
      </c>
      <c r="AH411" s="197">
        <v>3</v>
      </c>
      <c r="AI411" s="197">
        <v>3</v>
      </c>
      <c r="AJ411" s="197">
        <v>3</v>
      </c>
      <c r="AK411" s="197">
        <v>3</v>
      </c>
      <c r="AL411" s="197">
        <v>3</v>
      </c>
      <c r="AM411" s="197">
        <v>3</v>
      </c>
      <c r="AN411" s="197">
        <v>3</v>
      </c>
      <c r="AO411" s="197">
        <v>3</v>
      </c>
      <c r="AP411" s="347">
        <v>3</v>
      </c>
      <c r="AQ411" s="197">
        <v>3</v>
      </c>
      <c r="AR411" s="197">
        <v>3</v>
      </c>
      <c r="AS411" s="197">
        <v>1</v>
      </c>
      <c r="AT411" s="197">
        <v>3</v>
      </c>
      <c r="AU411" s="347">
        <v>3</v>
      </c>
      <c r="AV411" s="347">
        <v>9</v>
      </c>
      <c r="AW411" s="347">
        <v>3</v>
      </c>
      <c r="AX411" s="347">
        <v>2</v>
      </c>
      <c r="AY411" s="347">
        <v>1</v>
      </c>
      <c r="AZ411" s="347">
        <v>10</v>
      </c>
      <c r="BA411" s="347">
        <v>2</v>
      </c>
      <c r="BB411" s="347">
        <v>2</v>
      </c>
      <c r="BC411" s="347">
        <v>2</v>
      </c>
    </row>
    <row r="412" spans="1:55" s="381" customFormat="1" ht="17.649999999999999" customHeight="1">
      <c r="A412" s="343"/>
      <c r="B412" s="197" t="s">
        <v>2432</v>
      </c>
      <c r="C412" s="211" t="s">
        <v>2055</v>
      </c>
      <c r="D412" s="211" t="s">
        <v>2056</v>
      </c>
      <c r="E412" s="344">
        <v>40.8333333333333</v>
      </c>
      <c r="F412" s="344">
        <v>40.8333333333333</v>
      </c>
      <c r="G412" s="344">
        <v>40.8333333333333</v>
      </c>
      <c r="H412" s="344">
        <v>40.8333333333333</v>
      </c>
      <c r="I412" s="344">
        <v>40.8333333333333</v>
      </c>
      <c r="J412" s="344">
        <v>40.8333333333333</v>
      </c>
      <c r="K412" s="344">
        <v>40.8333333333333</v>
      </c>
      <c r="L412" s="344">
        <v>40.8333333333333</v>
      </c>
      <c r="M412" s="344">
        <v>40.8333333333333</v>
      </c>
      <c r="N412" s="344">
        <v>40.8333333333333</v>
      </c>
      <c r="O412" s="344">
        <v>40.8333333333333</v>
      </c>
      <c r="P412" s="344">
        <v>46.2</v>
      </c>
      <c r="Q412" s="344">
        <v>56.933333333333302</v>
      </c>
      <c r="R412" s="344">
        <v>61.8333333333333</v>
      </c>
      <c r="S412" s="344">
        <v>58.3333333333333</v>
      </c>
      <c r="T412" s="344">
        <v>57.4</v>
      </c>
      <c r="U412" s="344">
        <v>49.233333333333299</v>
      </c>
      <c r="V412" s="344">
        <v>43.1666666666667</v>
      </c>
      <c r="W412" s="344">
        <v>31.033333333333299</v>
      </c>
      <c r="X412" s="344">
        <v>28.933333333333302</v>
      </c>
      <c r="Y412" s="344">
        <v>21.233333333333299</v>
      </c>
      <c r="Z412" s="344">
        <v>17.733333333333299</v>
      </c>
      <c r="AA412" s="344">
        <v>21</v>
      </c>
      <c r="AB412" s="344">
        <v>17.733333333333299</v>
      </c>
      <c r="AC412" s="344">
        <v>15.633333333333301</v>
      </c>
      <c r="AD412" s="344">
        <f t="shared" si="54"/>
        <v>-2.0999999999999979</v>
      </c>
      <c r="AE412" s="197">
        <v>3</v>
      </c>
      <c r="AF412" s="197">
        <v>3</v>
      </c>
      <c r="AG412" s="197">
        <v>3</v>
      </c>
      <c r="AH412" s="197">
        <v>3</v>
      </c>
      <c r="AI412" s="197">
        <v>3</v>
      </c>
      <c r="AJ412" s="197">
        <v>3</v>
      </c>
      <c r="AK412" s="197">
        <v>3</v>
      </c>
      <c r="AL412" s="197">
        <v>3</v>
      </c>
      <c r="AM412" s="197">
        <v>3</v>
      </c>
      <c r="AN412" s="197">
        <v>3</v>
      </c>
      <c r="AO412" s="197">
        <v>3</v>
      </c>
      <c r="AP412" s="197">
        <v>7</v>
      </c>
      <c r="AQ412" s="197">
        <v>2</v>
      </c>
      <c r="AR412" s="197">
        <v>2</v>
      </c>
      <c r="AS412" s="197">
        <v>1</v>
      </c>
      <c r="AT412" s="197">
        <v>2</v>
      </c>
      <c r="AU412" s="347">
        <v>1</v>
      </c>
      <c r="AV412" s="347">
        <v>1</v>
      </c>
      <c r="AW412" s="347">
        <v>7</v>
      </c>
      <c r="AX412" s="347">
        <v>1</v>
      </c>
      <c r="AY412" s="347">
        <v>1</v>
      </c>
      <c r="AZ412" s="347">
        <v>1</v>
      </c>
      <c r="BA412" s="347">
        <v>1</v>
      </c>
      <c r="BB412" s="347">
        <v>1</v>
      </c>
      <c r="BC412" s="347">
        <v>7</v>
      </c>
    </row>
    <row r="413" spans="1:55" s="381" customFormat="1" ht="17.649999999999999" customHeight="1">
      <c r="A413" s="343"/>
      <c r="B413" s="197" t="s">
        <v>2433</v>
      </c>
      <c r="C413" s="211" t="s">
        <v>2055</v>
      </c>
      <c r="D413" s="211" t="s">
        <v>2056</v>
      </c>
      <c r="E413" s="344">
        <v>137.19999999999999</v>
      </c>
      <c r="F413" s="344">
        <v>137.19999999999999</v>
      </c>
      <c r="G413" s="344">
        <v>137.19999999999999</v>
      </c>
      <c r="H413" s="344">
        <v>137.19999999999999</v>
      </c>
      <c r="I413" s="344">
        <v>137.19999999999999</v>
      </c>
      <c r="J413" s="344">
        <v>137.19999999999999</v>
      </c>
      <c r="K413" s="344">
        <v>137.19999999999999</v>
      </c>
      <c r="L413" s="344">
        <v>137.19999999999999</v>
      </c>
      <c r="M413" s="344">
        <v>137.19999999999999</v>
      </c>
      <c r="N413" s="344">
        <v>137.19999999999999</v>
      </c>
      <c r="O413" s="344">
        <v>137.19999999999999</v>
      </c>
      <c r="P413" s="344">
        <v>165.433333333333</v>
      </c>
      <c r="Q413" s="344">
        <v>193.433333333333</v>
      </c>
      <c r="R413" s="344">
        <v>193.9</v>
      </c>
      <c r="S413" s="344">
        <v>218.63333333333301</v>
      </c>
      <c r="T413" s="344">
        <v>217.23333333333301</v>
      </c>
      <c r="U413" s="344">
        <v>220.96666666666701</v>
      </c>
      <c r="V413" s="344">
        <v>234.96666666666701</v>
      </c>
      <c r="W413" s="344">
        <v>304.73333333333301</v>
      </c>
      <c r="X413" s="344">
        <v>313.13333333333298</v>
      </c>
      <c r="Y413" s="344">
        <v>319.2</v>
      </c>
      <c r="Z413" s="344">
        <v>314.76666666666699</v>
      </c>
      <c r="AA413" s="344">
        <v>252.46666666666701</v>
      </c>
      <c r="AB413" s="344">
        <v>235.666666666667</v>
      </c>
      <c r="AC413" s="344">
        <v>233.1</v>
      </c>
      <c r="AD413" s="344">
        <f t="shared" si="54"/>
        <v>-2.5666666666670039</v>
      </c>
      <c r="AE413" s="197">
        <v>2</v>
      </c>
      <c r="AF413" s="197">
        <v>2</v>
      </c>
      <c r="AG413" s="197">
        <v>2</v>
      </c>
      <c r="AH413" s="197">
        <v>2</v>
      </c>
      <c r="AI413" s="197">
        <v>2</v>
      </c>
      <c r="AJ413" s="197">
        <v>2</v>
      </c>
      <c r="AK413" s="197">
        <v>2</v>
      </c>
      <c r="AL413" s="197">
        <v>2</v>
      </c>
      <c r="AM413" s="197">
        <v>2</v>
      </c>
      <c r="AN413" s="197">
        <v>2</v>
      </c>
      <c r="AO413" s="197">
        <v>2</v>
      </c>
      <c r="AP413" s="347">
        <v>10</v>
      </c>
      <c r="AQ413" s="197">
        <v>1</v>
      </c>
      <c r="AR413" s="197">
        <v>1</v>
      </c>
      <c r="AS413" s="197">
        <v>2</v>
      </c>
      <c r="AT413" s="197">
        <v>1</v>
      </c>
      <c r="AU413" s="347">
        <v>1</v>
      </c>
      <c r="AV413" s="347">
        <v>1</v>
      </c>
      <c r="AW413" s="347">
        <v>2</v>
      </c>
      <c r="AX413" s="347">
        <v>1</v>
      </c>
      <c r="AY413" s="347">
        <v>10</v>
      </c>
      <c r="AZ413" s="347">
        <v>3</v>
      </c>
      <c r="BA413" s="347">
        <v>1</v>
      </c>
      <c r="BB413" s="347">
        <v>1</v>
      </c>
      <c r="BC413" s="347">
        <v>1</v>
      </c>
    </row>
    <row r="414" spans="1:55" s="381" customFormat="1" ht="17.649999999999999" customHeight="1">
      <c r="A414" s="343"/>
      <c r="B414" s="197" t="s">
        <v>2434</v>
      </c>
      <c r="C414" s="211" t="s">
        <v>2055</v>
      </c>
      <c r="D414" s="211" t="s">
        <v>2056</v>
      </c>
      <c r="E414" s="344">
        <v>732.43333333333305</v>
      </c>
      <c r="F414" s="344">
        <v>732.43333333333305</v>
      </c>
      <c r="G414" s="344">
        <v>732.43333333333305</v>
      </c>
      <c r="H414" s="344">
        <v>732.43333333333305</v>
      </c>
      <c r="I414" s="344">
        <v>732.43333333333305</v>
      </c>
      <c r="J414" s="344">
        <v>732.43333333333305</v>
      </c>
      <c r="K414" s="344">
        <v>732.43333333333305</v>
      </c>
      <c r="L414" s="344">
        <v>732.43333333333305</v>
      </c>
      <c r="M414" s="344">
        <v>732.43333333333305</v>
      </c>
      <c r="N414" s="344">
        <v>732.43333333333305</v>
      </c>
      <c r="O414" s="344">
        <v>732.43333333333305</v>
      </c>
      <c r="P414" s="344">
        <v>835.1</v>
      </c>
      <c r="Q414" s="344">
        <v>963.9</v>
      </c>
      <c r="R414" s="344">
        <v>915.36666666666702</v>
      </c>
      <c r="S414" s="344">
        <v>793.33333333333303</v>
      </c>
      <c r="T414" s="344">
        <v>629.06666666666695</v>
      </c>
      <c r="U414" s="344">
        <v>523.13333333333298</v>
      </c>
      <c r="V414" s="344">
        <v>477.63333333333298</v>
      </c>
      <c r="W414" s="344">
        <v>402.96666666666698</v>
      </c>
      <c r="X414" s="344">
        <v>363.3</v>
      </c>
      <c r="Y414" s="344">
        <v>292.83333333333297</v>
      </c>
      <c r="Z414" s="344">
        <v>258.3</v>
      </c>
      <c r="AA414" s="344">
        <v>240.1</v>
      </c>
      <c r="AB414" s="344">
        <v>241.03333333333299</v>
      </c>
      <c r="AC414" s="344">
        <v>234.03333333333299</v>
      </c>
      <c r="AD414" s="344">
        <f t="shared" si="54"/>
        <v>-7</v>
      </c>
      <c r="AE414" s="197">
        <v>4</v>
      </c>
      <c r="AF414" s="197">
        <v>4</v>
      </c>
      <c r="AG414" s="197">
        <v>4</v>
      </c>
      <c r="AH414" s="197">
        <v>4</v>
      </c>
      <c r="AI414" s="197">
        <v>4</v>
      </c>
      <c r="AJ414" s="197">
        <v>4</v>
      </c>
      <c r="AK414" s="197">
        <v>4</v>
      </c>
      <c r="AL414" s="197">
        <v>4</v>
      </c>
      <c r="AM414" s="197">
        <v>4</v>
      </c>
      <c r="AN414" s="197">
        <v>4</v>
      </c>
      <c r="AO414" s="197">
        <v>4</v>
      </c>
      <c r="AP414" s="197">
        <v>4</v>
      </c>
      <c r="AQ414" s="197">
        <v>4</v>
      </c>
      <c r="AR414" s="197">
        <v>5</v>
      </c>
      <c r="AS414" s="197">
        <v>7</v>
      </c>
      <c r="AT414" s="197">
        <v>6</v>
      </c>
      <c r="AU414" s="347">
        <v>3</v>
      </c>
      <c r="AV414" s="347">
        <v>5</v>
      </c>
      <c r="AW414" s="347">
        <v>12</v>
      </c>
      <c r="AX414" s="347">
        <v>6</v>
      </c>
      <c r="AY414" s="347">
        <v>3</v>
      </c>
      <c r="AZ414" s="347">
        <v>6</v>
      </c>
      <c r="BA414" s="347">
        <v>8</v>
      </c>
      <c r="BB414" s="347">
        <v>7</v>
      </c>
      <c r="BC414" s="347">
        <v>7</v>
      </c>
    </row>
    <row r="415" spans="1:55" s="381" customFormat="1" ht="17.649999999999999" customHeight="1">
      <c r="A415" s="343"/>
      <c r="B415" s="197" t="s">
        <v>2435</v>
      </c>
      <c r="C415" s="211" t="s">
        <v>2055</v>
      </c>
      <c r="D415" s="211" t="s">
        <v>2056</v>
      </c>
      <c r="E415" s="344">
        <v>334.83333333333297</v>
      </c>
      <c r="F415" s="344">
        <v>334.83333333333297</v>
      </c>
      <c r="G415" s="344">
        <v>334.83333333333297</v>
      </c>
      <c r="H415" s="344">
        <v>334.83333333333297</v>
      </c>
      <c r="I415" s="344">
        <v>334.83333333333297</v>
      </c>
      <c r="J415" s="344">
        <v>334.83333333333297</v>
      </c>
      <c r="K415" s="344">
        <v>334.83333333333297</v>
      </c>
      <c r="L415" s="344">
        <v>334.83333333333297</v>
      </c>
      <c r="M415" s="344">
        <v>334.83333333333297</v>
      </c>
      <c r="N415" s="344">
        <v>334.83333333333297</v>
      </c>
      <c r="O415" s="344">
        <v>334.83333333333297</v>
      </c>
      <c r="P415" s="344">
        <v>371.7</v>
      </c>
      <c r="Q415" s="344">
        <v>490.46666666666698</v>
      </c>
      <c r="R415" s="344">
        <v>495.36666666666702</v>
      </c>
      <c r="S415" s="344">
        <v>520.33333333333303</v>
      </c>
      <c r="T415" s="344">
        <v>546.70000000000005</v>
      </c>
      <c r="U415" s="344">
        <v>551.13333333333298</v>
      </c>
      <c r="V415" s="344">
        <v>541.1</v>
      </c>
      <c r="W415" s="344">
        <v>495.13333333333298</v>
      </c>
      <c r="X415" s="344">
        <v>462</v>
      </c>
      <c r="Y415" s="344">
        <v>380.566666666667</v>
      </c>
      <c r="Z415" s="344">
        <v>328.3</v>
      </c>
      <c r="AA415" s="344">
        <v>296.33333333333297</v>
      </c>
      <c r="AB415" s="344">
        <v>267.39999999999998</v>
      </c>
      <c r="AC415" s="344">
        <v>248.96666666666701</v>
      </c>
      <c r="AD415" s="344">
        <f t="shared" si="54"/>
        <v>-18.433333333332968</v>
      </c>
      <c r="AE415" s="197">
        <v>6</v>
      </c>
      <c r="AF415" s="197">
        <v>6</v>
      </c>
      <c r="AG415" s="197">
        <v>6</v>
      </c>
      <c r="AH415" s="197">
        <v>6</v>
      </c>
      <c r="AI415" s="197">
        <v>6</v>
      </c>
      <c r="AJ415" s="197">
        <v>6</v>
      </c>
      <c r="AK415" s="197">
        <v>6</v>
      </c>
      <c r="AL415" s="197">
        <v>6</v>
      </c>
      <c r="AM415" s="197">
        <v>6</v>
      </c>
      <c r="AN415" s="197">
        <v>6</v>
      </c>
      <c r="AO415" s="197">
        <v>6</v>
      </c>
      <c r="AP415" s="347">
        <v>7</v>
      </c>
      <c r="AQ415" s="197">
        <v>6</v>
      </c>
      <c r="AR415" s="197">
        <v>8</v>
      </c>
      <c r="AS415" s="197">
        <v>5</v>
      </c>
      <c r="AT415" s="197">
        <v>7</v>
      </c>
      <c r="AU415" s="347">
        <v>8</v>
      </c>
      <c r="AV415" s="347">
        <v>10</v>
      </c>
      <c r="AW415" s="347">
        <v>7</v>
      </c>
      <c r="AX415" s="347">
        <v>8</v>
      </c>
      <c r="AY415" s="347">
        <v>7</v>
      </c>
      <c r="AZ415" s="347">
        <v>3</v>
      </c>
      <c r="BA415" s="347">
        <v>1</v>
      </c>
      <c r="BB415" s="347">
        <v>10</v>
      </c>
      <c r="BC415" s="347">
        <v>9</v>
      </c>
    </row>
    <row r="416" spans="1:55" s="381" customFormat="1" ht="17.649999999999999" customHeight="1">
      <c r="A416" s="343"/>
      <c r="B416" s="197" t="s">
        <v>2436</v>
      </c>
      <c r="C416" s="211" t="s">
        <v>2055</v>
      </c>
      <c r="D416" s="211" t="s">
        <v>2056</v>
      </c>
      <c r="E416" s="344">
        <v>0.233333333333333</v>
      </c>
      <c r="F416" s="344">
        <v>0.233333333333333</v>
      </c>
      <c r="G416" s="344">
        <v>0.233333333333333</v>
      </c>
      <c r="H416" s="344">
        <v>0.233333333333333</v>
      </c>
      <c r="I416" s="344">
        <v>0.233333333333333</v>
      </c>
      <c r="J416" s="344">
        <v>0.233333333333333</v>
      </c>
      <c r="K416" s="344">
        <v>0.233333333333333</v>
      </c>
      <c r="L416" s="344">
        <v>0.233333333333333</v>
      </c>
      <c r="M416" s="344">
        <v>0.233333333333333</v>
      </c>
      <c r="N416" s="344">
        <v>0.233333333333333</v>
      </c>
      <c r="O416" s="344">
        <v>0.233333333333333</v>
      </c>
      <c r="P416" s="344">
        <v>1.86666666666667</v>
      </c>
      <c r="Q416" s="344">
        <v>2.3333333333333299</v>
      </c>
      <c r="R416" s="344">
        <v>2.56666666666667</v>
      </c>
      <c r="S416" s="344">
        <v>3.5</v>
      </c>
      <c r="T416" s="344">
        <v>3.0333333333333301</v>
      </c>
      <c r="U416" s="344">
        <v>2.3333333333333299</v>
      </c>
      <c r="V416" s="344">
        <v>1.86666666666667</v>
      </c>
      <c r="W416" s="344">
        <v>1.1666666666666701</v>
      </c>
      <c r="X416" s="344">
        <v>2.1</v>
      </c>
      <c r="Y416" s="344">
        <v>2.56666666666667</v>
      </c>
      <c r="Z416" s="344">
        <v>3.0333333333333301</v>
      </c>
      <c r="AA416" s="344">
        <v>2.56666666666667</v>
      </c>
      <c r="AB416" s="344">
        <v>3.0333333333333301</v>
      </c>
      <c r="AC416" s="344">
        <v>2.1</v>
      </c>
      <c r="AD416" s="344">
        <f t="shared" si="54"/>
        <v>-0.93333333333333002</v>
      </c>
      <c r="AE416" s="197">
        <v>2</v>
      </c>
      <c r="AF416" s="197">
        <v>2</v>
      </c>
      <c r="AG416" s="197">
        <v>2</v>
      </c>
      <c r="AH416" s="197">
        <v>2</v>
      </c>
      <c r="AI416" s="197">
        <v>2</v>
      </c>
      <c r="AJ416" s="197">
        <v>2</v>
      </c>
      <c r="AK416" s="197">
        <v>2</v>
      </c>
      <c r="AL416" s="197">
        <v>2</v>
      </c>
      <c r="AM416" s="197">
        <v>2</v>
      </c>
      <c r="AN416" s="197">
        <v>2</v>
      </c>
      <c r="AO416" s="197">
        <v>2</v>
      </c>
      <c r="AP416" s="197">
        <v>2</v>
      </c>
      <c r="AQ416" s="197">
        <v>1</v>
      </c>
      <c r="AR416" s="197">
        <v>1</v>
      </c>
      <c r="AS416" s="197">
        <v>2</v>
      </c>
      <c r="AT416" s="197">
        <v>10</v>
      </c>
      <c r="AU416" s="347">
        <v>9</v>
      </c>
      <c r="AV416" s="347">
        <v>1</v>
      </c>
      <c r="AW416" s="347">
        <v>1</v>
      </c>
      <c r="AX416" s="347">
        <v>8</v>
      </c>
      <c r="AY416" s="347">
        <v>21</v>
      </c>
      <c r="AZ416" s="347">
        <v>19</v>
      </c>
      <c r="BA416" s="347">
        <v>5</v>
      </c>
      <c r="BB416" s="347">
        <v>20</v>
      </c>
      <c r="BC416" s="347">
        <v>1</v>
      </c>
    </row>
    <row r="417" spans="1:55" s="381" customFormat="1" ht="17.649999999999999" customHeight="1">
      <c r="A417" s="343"/>
      <c r="B417" s="197" t="s">
        <v>2437</v>
      </c>
      <c r="C417" s="211" t="s">
        <v>2055</v>
      </c>
      <c r="D417" s="211" t="s">
        <v>2056</v>
      </c>
      <c r="E417" s="344">
        <v>195.76666666666699</v>
      </c>
      <c r="F417" s="344">
        <v>195.76666666666699</v>
      </c>
      <c r="G417" s="344">
        <v>195.76666666666699</v>
      </c>
      <c r="H417" s="344">
        <v>195.76666666666699</v>
      </c>
      <c r="I417" s="344">
        <v>195.76666666666699</v>
      </c>
      <c r="J417" s="344">
        <v>195.76666666666699</v>
      </c>
      <c r="K417" s="344">
        <v>195.76666666666699</v>
      </c>
      <c r="L417" s="344">
        <v>195.76666666666699</v>
      </c>
      <c r="M417" s="344">
        <v>195.76666666666699</v>
      </c>
      <c r="N417" s="344">
        <v>195.76666666666699</v>
      </c>
      <c r="O417" s="344">
        <v>195.76666666666699</v>
      </c>
      <c r="P417" s="344">
        <v>211.86666666666699</v>
      </c>
      <c r="Q417" s="344">
        <v>289.566666666667</v>
      </c>
      <c r="R417" s="344">
        <v>279.76666666666699</v>
      </c>
      <c r="S417" s="344">
        <v>256.89999999999998</v>
      </c>
      <c r="T417" s="344">
        <v>245.7</v>
      </c>
      <c r="U417" s="344">
        <v>222.833333333333</v>
      </c>
      <c r="V417" s="344">
        <v>185.73333333333301</v>
      </c>
      <c r="W417" s="344">
        <v>151.19999999999999</v>
      </c>
      <c r="X417" s="344">
        <v>140.69999999999999</v>
      </c>
      <c r="Y417" s="344">
        <v>120.866666666667</v>
      </c>
      <c r="Z417" s="344">
        <v>108.966666666667</v>
      </c>
      <c r="AA417" s="344">
        <v>148.4</v>
      </c>
      <c r="AB417" s="344">
        <v>181.76666666666699</v>
      </c>
      <c r="AC417" s="344">
        <v>175.23333333333301</v>
      </c>
      <c r="AD417" s="344">
        <f t="shared" si="54"/>
        <v>-6.5333333333339851</v>
      </c>
      <c r="AE417" s="197">
        <v>5</v>
      </c>
      <c r="AF417" s="197">
        <v>5</v>
      </c>
      <c r="AG417" s="197">
        <v>5</v>
      </c>
      <c r="AH417" s="197">
        <v>5</v>
      </c>
      <c r="AI417" s="197">
        <v>5</v>
      </c>
      <c r="AJ417" s="197">
        <v>5</v>
      </c>
      <c r="AK417" s="197">
        <v>5</v>
      </c>
      <c r="AL417" s="197">
        <v>5</v>
      </c>
      <c r="AM417" s="197">
        <v>5</v>
      </c>
      <c r="AN417" s="197">
        <v>5</v>
      </c>
      <c r="AO417" s="197">
        <v>5</v>
      </c>
      <c r="AP417" s="197">
        <v>4</v>
      </c>
      <c r="AQ417" s="347">
        <v>4</v>
      </c>
      <c r="AR417" s="197">
        <v>4</v>
      </c>
      <c r="AS417" s="347">
        <v>3</v>
      </c>
      <c r="AT417" s="197">
        <v>10</v>
      </c>
      <c r="AU417" s="347">
        <v>4</v>
      </c>
      <c r="AV417" s="347">
        <v>3</v>
      </c>
      <c r="AW417" s="347">
        <v>5</v>
      </c>
      <c r="AX417" s="347">
        <v>10</v>
      </c>
      <c r="AY417" s="347">
        <v>6</v>
      </c>
      <c r="AZ417" s="347">
        <v>7</v>
      </c>
      <c r="BA417" s="347">
        <v>10</v>
      </c>
      <c r="BB417" s="347">
        <v>3</v>
      </c>
      <c r="BC417" s="347">
        <v>4</v>
      </c>
    </row>
    <row r="418" spans="1:55" s="381" customFormat="1" ht="17.649999999999999" customHeight="1">
      <c r="A418" s="343"/>
      <c r="B418" s="197" t="s">
        <v>2438</v>
      </c>
      <c r="C418" s="211" t="s">
        <v>2055</v>
      </c>
      <c r="D418" s="211" t="s">
        <v>2056</v>
      </c>
      <c r="E418" s="344">
        <v>233.1</v>
      </c>
      <c r="F418" s="344">
        <v>233.1</v>
      </c>
      <c r="G418" s="344">
        <v>233.1</v>
      </c>
      <c r="H418" s="344">
        <v>233.1</v>
      </c>
      <c r="I418" s="344">
        <v>233.1</v>
      </c>
      <c r="J418" s="344">
        <v>233.1</v>
      </c>
      <c r="K418" s="344">
        <v>233.1</v>
      </c>
      <c r="L418" s="344">
        <v>233.1</v>
      </c>
      <c r="M418" s="344">
        <v>233.1</v>
      </c>
      <c r="N418" s="344">
        <v>233.1</v>
      </c>
      <c r="O418" s="344">
        <v>233.1</v>
      </c>
      <c r="P418" s="344">
        <v>239.63333333333301</v>
      </c>
      <c r="Q418" s="344">
        <v>272.3</v>
      </c>
      <c r="R418" s="344">
        <v>251.53333333333299</v>
      </c>
      <c r="S418" s="344">
        <v>186.9</v>
      </c>
      <c r="T418" s="344">
        <v>157.26666666666699</v>
      </c>
      <c r="U418" s="344">
        <v>135.333333333333</v>
      </c>
      <c r="V418" s="344">
        <v>125.3</v>
      </c>
      <c r="W418" s="344">
        <v>114.1</v>
      </c>
      <c r="X418" s="344">
        <v>122.966666666667</v>
      </c>
      <c r="Y418" s="344">
        <v>129.73333333333301</v>
      </c>
      <c r="Z418" s="344">
        <v>145.13333333333301</v>
      </c>
      <c r="AA418" s="344">
        <v>154.46666666666701</v>
      </c>
      <c r="AB418" s="344">
        <v>159.13333333333301</v>
      </c>
      <c r="AC418" s="344">
        <v>144.19999999999999</v>
      </c>
      <c r="AD418" s="344">
        <f t="shared" si="54"/>
        <v>-14.933333333333024</v>
      </c>
      <c r="AE418" s="197">
        <v>51</v>
      </c>
      <c r="AF418" s="197">
        <v>51</v>
      </c>
      <c r="AG418" s="197">
        <v>51</v>
      </c>
      <c r="AH418" s="197">
        <v>51</v>
      </c>
      <c r="AI418" s="197">
        <v>51</v>
      </c>
      <c r="AJ418" s="197">
        <v>51</v>
      </c>
      <c r="AK418" s="197">
        <v>51</v>
      </c>
      <c r="AL418" s="197">
        <v>51</v>
      </c>
      <c r="AM418" s="197">
        <v>51</v>
      </c>
      <c r="AN418" s="197">
        <v>51</v>
      </c>
      <c r="AO418" s="197">
        <v>51</v>
      </c>
      <c r="AP418" s="197">
        <v>51</v>
      </c>
      <c r="AQ418" s="197">
        <v>51</v>
      </c>
      <c r="AR418" s="197">
        <v>51</v>
      </c>
      <c r="AS418" s="197">
        <v>51</v>
      </c>
      <c r="AT418" s="197">
        <v>51</v>
      </c>
      <c r="AU418" s="197">
        <v>51</v>
      </c>
      <c r="AV418" s="347">
        <v>11</v>
      </c>
      <c r="AW418" s="347">
        <v>5</v>
      </c>
      <c r="AX418" s="197">
        <v>51</v>
      </c>
      <c r="AY418" s="197">
        <v>51</v>
      </c>
      <c r="AZ418" s="197">
        <v>51</v>
      </c>
      <c r="BA418" s="197">
        <v>51</v>
      </c>
      <c r="BB418" s="197">
        <v>51</v>
      </c>
      <c r="BC418" s="347" t="s">
        <v>2287</v>
      </c>
    </row>
    <row r="419" spans="1:55" s="381" customFormat="1" ht="17.649999999999999" customHeight="1">
      <c r="A419" s="343"/>
      <c r="B419" s="197" t="s">
        <v>2439</v>
      </c>
      <c r="C419" s="211" t="s">
        <v>2055</v>
      </c>
      <c r="D419" s="211" t="s">
        <v>2056</v>
      </c>
      <c r="E419" s="344">
        <v>73.266666666666694</v>
      </c>
      <c r="F419" s="344">
        <v>73.266666666666694</v>
      </c>
      <c r="G419" s="344">
        <v>73.266666666666694</v>
      </c>
      <c r="H419" s="344">
        <v>73.266666666666694</v>
      </c>
      <c r="I419" s="344">
        <v>73.266666666666694</v>
      </c>
      <c r="J419" s="344">
        <v>73.266666666666694</v>
      </c>
      <c r="K419" s="344">
        <v>73.266666666666694</v>
      </c>
      <c r="L419" s="344">
        <v>73.266666666666694</v>
      </c>
      <c r="M419" s="344">
        <v>73.266666666666694</v>
      </c>
      <c r="N419" s="344">
        <v>73.266666666666694</v>
      </c>
      <c r="O419" s="344">
        <v>73.266666666666694</v>
      </c>
      <c r="P419" s="344">
        <v>75.366666666666703</v>
      </c>
      <c r="Q419" s="344">
        <v>84.466666666666697</v>
      </c>
      <c r="R419" s="344">
        <v>78.866666666666703</v>
      </c>
      <c r="S419" s="344">
        <v>93.566666666666706</v>
      </c>
      <c r="T419" s="344">
        <v>99.633333333333297</v>
      </c>
      <c r="U419" s="344">
        <v>126.23333333333299</v>
      </c>
      <c r="V419" s="344">
        <v>154.69999999999999</v>
      </c>
      <c r="W419" s="344">
        <v>203</v>
      </c>
      <c r="X419" s="344">
        <v>235.2</v>
      </c>
      <c r="Y419" s="344">
        <v>247.8</v>
      </c>
      <c r="Z419" s="344">
        <v>258.76666666666699</v>
      </c>
      <c r="AA419" s="344">
        <v>228.2</v>
      </c>
      <c r="AB419" s="344">
        <v>219.8</v>
      </c>
      <c r="AC419" s="344">
        <v>248.96666666666701</v>
      </c>
      <c r="AD419" s="344">
        <f t="shared" si="54"/>
        <v>29.166666666666998</v>
      </c>
      <c r="AE419" s="197">
        <v>6</v>
      </c>
      <c r="AF419" s="197">
        <v>6</v>
      </c>
      <c r="AG419" s="197">
        <v>6</v>
      </c>
      <c r="AH419" s="197">
        <v>6</v>
      </c>
      <c r="AI419" s="197">
        <v>6</v>
      </c>
      <c r="AJ419" s="197">
        <v>6</v>
      </c>
      <c r="AK419" s="197">
        <v>6</v>
      </c>
      <c r="AL419" s="197">
        <v>6</v>
      </c>
      <c r="AM419" s="197">
        <v>6</v>
      </c>
      <c r="AN419" s="197">
        <v>6</v>
      </c>
      <c r="AO419" s="197">
        <v>6</v>
      </c>
      <c r="AP419" s="347">
        <v>8</v>
      </c>
      <c r="AQ419" s="197">
        <v>6</v>
      </c>
      <c r="AR419" s="347">
        <v>5</v>
      </c>
      <c r="AS419" s="197">
        <v>7</v>
      </c>
      <c r="AT419" s="347">
        <v>4</v>
      </c>
      <c r="AU419" s="347">
        <v>7</v>
      </c>
      <c r="AV419" s="347">
        <v>4</v>
      </c>
      <c r="AW419" s="347">
        <v>4</v>
      </c>
      <c r="AX419" s="347">
        <v>4</v>
      </c>
      <c r="AY419" s="347">
        <v>4</v>
      </c>
      <c r="AZ419" s="347">
        <v>8</v>
      </c>
      <c r="BA419" s="347">
        <v>5</v>
      </c>
      <c r="BB419" s="347">
        <v>8</v>
      </c>
      <c r="BC419" s="347">
        <v>9</v>
      </c>
    </row>
    <row r="420" spans="1:55" s="381" customFormat="1" ht="17.649999999999999" customHeight="1">
      <c r="A420" s="343"/>
      <c r="B420" s="197" t="s">
        <v>2440</v>
      </c>
      <c r="C420" s="211" t="s">
        <v>2055</v>
      </c>
      <c r="D420" s="211" t="s">
        <v>2056</v>
      </c>
      <c r="E420" s="344">
        <v>276.96666666666698</v>
      </c>
      <c r="F420" s="344">
        <v>276.96666666666698</v>
      </c>
      <c r="G420" s="344">
        <v>276.96666666666698</v>
      </c>
      <c r="H420" s="344">
        <v>276.96666666666698</v>
      </c>
      <c r="I420" s="344">
        <v>276.96666666666698</v>
      </c>
      <c r="J420" s="344">
        <v>276.96666666666698</v>
      </c>
      <c r="K420" s="344">
        <v>276.96666666666698</v>
      </c>
      <c r="L420" s="344">
        <v>276.96666666666698</v>
      </c>
      <c r="M420" s="344">
        <v>276.96666666666698</v>
      </c>
      <c r="N420" s="344">
        <v>276.96666666666698</v>
      </c>
      <c r="O420" s="344">
        <v>276.96666666666698</v>
      </c>
      <c r="P420" s="344">
        <v>296.10000000000002</v>
      </c>
      <c r="Q420" s="344">
        <v>360.96666666666698</v>
      </c>
      <c r="R420" s="344">
        <v>367.5</v>
      </c>
      <c r="S420" s="344">
        <v>367.5</v>
      </c>
      <c r="T420" s="344">
        <v>360.96666666666698</v>
      </c>
      <c r="U420" s="344">
        <v>357.933333333333</v>
      </c>
      <c r="V420" s="344">
        <v>339.96666666666698</v>
      </c>
      <c r="W420" s="344">
        <v>315</v>
      </c>
      <c r="X420" s="344">
        <v>320.60000000000002</v>
      </c>
      <c r="Y420" s="344">
        <v>306.36666666666702</v>
      </c>
      <c r="Z420" s="344">
        <v>300.76666666666699</v>
      </c>
      <c r="AA420" s="344">
        <v>308.46666666666698</v>
      </c>
      <c r="AB420" s="344">
        <v>307.066666666667</v>
      </c>
      <c r="AC420" s="344">
        <v>296.566666666667</v>
      </c>
      <c r="AD420" s="344">
        <f t="shared" si="54"/>
        <v>-10.5</v>
      </c>
      <c r="AE420" s="197">
        <v>2</v>
      </c>
      <c r="AF420" s="197">
        <v>2</v>
      </c>
      <c r="AG420" s="197">
        <v>2</v>
      </c>
      <c r="AH420" s="197">
        <v>2</v>
      </c>
      <c r="AI420" s="197">
        <v>2</v>
      </c>
      <c r="AJ420" s="197">
        <v>2</v>
      </c>
      <c r="AK420" s="197">
        <v>2</v>
      </c>
      <c r="AL420" s="197">
        <v>2</v>
      </c>
      <c r="AM420" s="197">
        <v>2</v>
      </c>
      <c r="AN420" s="197">
        <v>2</v>
      </c>
      <c r="AO420" s="197">
        <v>2</v>
      </c>
      <c r="AP420" s="197">
        <v>5</v>
      </c>
      <c r="AQ420" s="347">
        <v>4</v>
      </c>
      <c r="AR420" s="197">
        <v>2</v>
      </c>
      <c r="AS420" s="197">
        <v>7</v>
      </c>
      <c r="AT420" s="197">
        <v>3</v>
      </c>
      <c r="AU420" s="347">
        <v>5</v>
      </c>
      <c r="AV420" s="347">
        <v>5</v>
      </c>
      <c r="AW420" s="347">
        <v>3</v>
      </c>
      <c r="AX420" s="347">
        <v>5</v>
      </c>
      <c r="AY420" s="347">
        <v>8</v>
      </c>
      <c r="AZ420" s="347">
        <v>4</v>
      </c>
      <c r="BA420" s="347">
        <v>4</v>
      </c>
      <c r="BB420" s="347">
        <v>5</v>
      </c>
      <c r="BC420" s="347">
        <v>4</v>
      </c>
    </row>
    <row r="421" spans="1:55" s="381" customFormat="1" ht="17.649999999999999" customHeight="1">
      <c r="A421" s="343"/>
      <c r="B421" s="197" t="s">
        <v>2441</v>
      </c>
      <c r="C421" s="211" t="s">
        <v>2055</v>
      </c>
      <c r="D421" s="211" t="s">
        <v>2056</v>
      </c>
      <c r="E421" s="344">
        <v>77.233333333333306</v>
      </c>
      <c r="F421" s="344">
        <v>77.233333333333306</v>
      </c>
      <c r="G421" s="344">
        <v>77.233333333333306</v>
      </c>
      <c r="H421" s="344">
        <v>77.233333333333306</v>
      </c>
      <c r="I421" s="344">
        <v>77.233333333333306</v>
      </c>
      <c r="J421" s="344">
        <v>77.233333333333306</v>
      </c>
      <c r="K421" s="344">
        <v>77.233333333333306</v>
      </c>
      <c r="L421" s="344">
        <v>77.233333333333306</v>
      </c>
      <c r="M421" s="344">
        <v>77.233333333333306</v>
      </c>
      <c r="N421" s="344">
        <v>77.233333333333306</v>
      </c>
      <c r="O421" s="344">
        <v>77.233333333333306</v>
      </c>
      <c r="P421" s="344">
        <v>88.9</v>
      </c>
      <c r="Q421" s="344">
        <v>117.6</v>
      </c>
      <c r="R421" s="344">
        <v>133.46666666666701</v>
      </c>
      <c r="S421" s="344">
        <v>150.03333333333299</v>
      </c>
      <c r="T421" s="344">
        <v>141.166666666667</v>
      </c>
      <c r="U421" s="344">
        <v>132.76666666666699</v>
      </c>
      <c r="V421" s="344">
        <v>125.066666666667</v>
      </c>
      <c r="W421" s="344">
        <v>110.6</v>
      </c>
      <c r="X421" s="344">
        <v>108.26666666666701</v>
      </c>
      <c r="Y421" s="344">
        <v>109.666666666667</v>
      </c>
      <c r="Z421" s="344">
        <v>109.9</v>
      </c>
      <c r="AA421" s="344">
        <v>117.6</v>
      </c>
      <c r="AB421" s="344">
        <v>113.166666666667</v>
      </c>
      <c r="AC421" s="344">
        <v>101.73333333333299</v>
      </c>
      <c r="AD421" s="344">
        <f t="shared" si="54"/>
        <v>-11.433333333334005</v>
      </c>
      <c r="AE421" s="197">
        <v>8</v>
      </c>
      <c r="AF421" s="197">
        <v>8</v>
      </c>
      <c r="AG421" s="197">
        <v>8</v>
      </c>
      <c r="AH421" s="197">
        <v>8</v>
      </c>
      <c r="AI421" s="197">
        <v>8</v>
      </c>
      <c r="AJ421" s="197">
        <v>8</v>
      </c>
      <c r="AK421" s="197">
        <v>8</v>
      </c>
      <c r="AL421" s="197">
        <v>8</v>
      </c>
      <c r="AM421" s="197">
        <v>8</v>
      </c>
      <c r="AN421" s="197">
        <v>8</v>
      </c>
      <c r="AO421" s="197">
        <v>8</v>
      </c>
      <c r="AP421" s="347">
        <v>5</v>
      </c>
      <c r="AQ421" s="197">
        <v>5</v>
      </c>
      <c r="AR421" s="197">
        <v>4</v>
      </c>
      <c r="AS421" s="197">
        <v>5</v>
      </c>
      <c r="AT421" s="197">
        <v>6</v>
      </c>
      <c r="AU421" s="347">
        <v>9</v>
      </c>
      <c r="AV421" s="347">
        <v>5</v>
      </c>
      <c r="AW421" s="347">
        <v>9</v>
      </c>
      <c r="AX421" s="347">
        <v>8</v>
      </c>
      <c r="AY421" s="347">
        <v>6</v>
      </c>
      <c r="AZ421" s="347">
        <v>10</v>
      </c>
      <c r="BA421" s="347">
        <v>7</v>
      </c>
      <c r="BB421" s="347">
        <v>8</v>
      </c>
      <c r="BC421" s="347">
        <v>4</v>
      </c>
    </row>
    <row r="422" spans="1:55" s="381" customFormat="1" ht="17.649999999999999" customHeight="1">
      <c r="A422" s="343"/>
      <c r="B422" s="197" t="s">
        <v>2442</v>
      </c>
      <c r="C422" s="211" t="s">
        <v>2055</v>
      </c>
      <c r="D422" s="211" t="s">
        <v>2056</v>
      </c>
      <c r="E422" s="344">
        <v>285.36666666666702</v>
      </c>
      <c r="F422" s="344">
        <v>285.36666666666702</v>
      </c>
      <c r="G422" s="344">
        <v>285.36666666666702</v>
      </c>
      <c r="H422" s="344">
        <v>285.36666666666702</v>
      </c>
      <c r="I422" s="344">
        <v>285.36666666666702</v>
      </c>
      <c r="J422" s="344">
        <v>285.36666666666702</v>
      </c>
      <c r="K422" s="344">
        <v>285.36666666666702</v>
      </c>
      <c r="L422" s="344">
        <v>285.36666666666702</v>
      </c>
      <c r="M422" s="344">
        <v>285.36666666666702</v>
      </c>
      <c r="N422" s="344">
        <v>285.36666666666702</v>
      </c>
      <c r="O422" s="344">
        <v>285.36666666666702</v>
      </c>
      <c r="P422" s="344">
        <v>307.3</v>
      </c>
      <c r="Q422" s="344">
        <v>303.8</v>
      </c>
      <c r="R422" s="344">
        <v>250.36666666666699</v>
      </c>
      <c r="S422" s="344">
        <v>273.23333333333301</v>
      </c>
      <c r="T422" s="344">
        <v>276.5</v>
      </c>
      <c r="U422" s="344">
        <v>313.60000000000002</v>
      </c>
      <c r="V422" s="344">
        <v>329.23333333333301</v>
      </c>
      <c r="W422" s="344">
        <v>365.63333333333298</v>
      </c>
      <c r="X422" s="344">
        <v>456.86666666666702</v>
      </c>
      <c r="Y422" s="344">
        <v>482.066666666667</v>
      </c>
      <c r="Z422" s="344">
        <v>417.9</v>
      </c>
      <c r="AA422" s="344">
        <v>305.433333333333</v>
      </c>
      <c r="AB422" s="344">
        <v>177.1</v>
      </c>
      <c r="AC422" s="344">
        <v>89.8333333333333</v>
      </c>
      <c r="AD422" s="344">
        <f t="shared" si="54"/>
        <v>-87.266666666666694</v>
      </c>
      <c r="AE422" s="197">
        <v>2</v>
      </c>
      <c r="AF422" s="197">
        <v>2</v>
      </c>
      <c r="AG422" s="197">
        <v>2</v>
      </c>
      <c r="AH422" s="197">
        <v>2</v>
      </c>
      <c r="AI422" s="197">
        <v>2</v>
      </c>
      <c r="AJ422" s="197">
        <v>2</v>
      </c>
      <c r="AK422" s="197">
        <v>2</v>
      </c>
      <c r="AL422" s="197">
        <v>2</v>
      </c>
      <c r="AM422" s="197">
        <v>2</v>
      </c>
      <c r="AN422" s="197">
        <v>2</v>
      </c>
      <c r="AO422" s="197">
        <v>2</v>
      </c>
      <c r="AP422" s="197">
        <v>3</v>
      </c>
      <c r="AQ422" s="197">
        <v>2</v>
      </c>
      <c r="AR422" s="197">
        <v>2</v>
      </c>
      <c r="AS422" s="197">
        <v>2</v>
      </c>
      <c r="AT422" s="197">
        <v>2</v>
      </c>
      <c r="AU422" s="347">
        <v>2</v>
      </c>
      <c r="AV422" s="347">
        <v>2</v>
      </c>
      <c r="AW422" s="347">
        <v>2</v>
      </c>
      <c r="AX422" s="347">
        <v>6</v>
      </c>
      <c r="AY422" s="347">
        <v>2</v>
      </c>
      <c r="AZ422" s="347">
        <v>2</v>
      </c>
      <c r="BA422" s="347">
        <v>2</v>
      </c>
      <c r="BB422" s="347">
        <v>7</v>
      </c>
      <c r="BC422" s="347">
        <v>6</v>
      </c>
    </row>
    <row r="423" spans="1:55" s="381" customFormat="1" ht="17.649999999999999" customHeight="1">
      <c r="A423" s="343"/>
      <c r="B423" s="197" t="s">
        <v>2443</v>
      </c>
      <c r="C423" s="211" t="s">
        <v>2055</v>
      </c>
      <c r="D423" s="211" t="s">
        <v>2056</v>
      </c>
      <c r="E423" s="344">
        <v>32.6666666666667</v>
      </c>
      <c r="F423" s="344">
        <v>32.6666666666667</v>
      </c>
      <c r="G423" s="344">
        <v>32.6666666666667</v>
      </c>
      <c r="H423" s="344">
        <v>32.6666666666667</v>
      </c>
      <c r="I423" s="344">
        <v>32.6666666666667</v>
      </c>
      <c r="J423" s="344">
        <v>32.6666666666667</v>
      </c>
      <c r="K423" s="344">
        <v>32.6666666666667</v>
      </c>
      <c r="L423" s="344">
        <v>32.6666666666667</v>
      </c>
      <c r="M423" s="344">
        <v>32.6666666666667</v>
      </c>
      <c r="N423" s="344">
        <v>32.6666666666667</v>
      </c>
      <c r="O423" s="344">
        <v>32.6666666666667</v>
      </c>
      <c r="P423" s="344">
        <v>36.4</v>
      </c>
      <c r="Q423" s="344">
        <v>42.933333333333302</v>
      </c>
      <c r="R423" s="344">
        <v>38.5</v>
      </c>
      <c r="S423" s="344">
        <v>32.200000000000003</v>
      </c>
      <c r="T423" s="344">
        <v>26.133333333333301</v>
      </c>
      <c r="U423" s="344">
        <v>25.6666666666667</v>
      </c>
      <c r="V423" s="344">
        <v>22.866666666666699</v>
      </c>
      <c r="W423" s="344">
        <v>21.933333333333302</v>
      </c>
      <c r="X423" s="344">
        <v>21</v>
      </c>
      <c r="Y423" s="344">
        <v>22.633333333333301</v>
      </c>
      <c r="Z423" s="344">
        <v>22.633333333333301</v>
      </c>
      <c r="AA423" s="344">
        <v>25.6666666666667</v>
      </c>
      <c r="AB423" s="344">
        <v>26.366666666666699</v>
      </c>
      <c r="AC423" s="344">
        <v>21.233333333333299</v>
      </c>
      <c r="AD423" s="344">
        <f t="shared" si="54"/>
        <v>-5.1333333333334004</v>
      </c>
      <c r="AE423" s="197">
        <v>4</v>
      </c>
      <c r="AF423" s="197">
        <v>4</v>
      </c>
      <c r="AG423" s="197">
        <v>4</v>
      </c>
      <c r="AH423" s="197">
        <v>4</v>
      </c>
      <c r="AI423" s="197">
        <v>4</v>
      </c>
      <c r="AJ423" s="197">
        <v>4</v>
      </c>
      <c r="AK423" s="197">
        <v>4</v>
      </c>
      <c r="AL423" s="197">
        <v>4</v>
      </c>
      <c r="AM423" s="197">
        <v>4</v>
      </c>
      <c r="AN423" s="197">
        <v>4</v>
      </c>
      <c r="AO423" s="197">
        <v>4</v>
      </c>
      <c r="AP423" s="197">
        <v>4</v>
      </c>
      <c r="AQ423" s="347">
        <v>1</v>
      </c>
      <c r="AR423" s="197">
        <v>2</v>
      </c>
      <c r="AS423" s="197">
        <v>1</v>
      </c>
      <c r="AT423" s="197">
        <v>3</v>
      </c>
      <c r="AU423" s="347">
        <v>4</v>
      </c>
      <c r="AV423" s="347">
        <v>2</v>
      </c>
      <c r="AW423" s="347">
        <v>4</v>
      </c>
      <c r="AX423" s="347">
        <v>3</v>
      </c>
      <c r="AY423" s="347">
        <v>4</v>
      </c>
      <c r="AZ423" s="347">
        <v>1</v>
      </c>
      <c r="BA423" s="347">
        <v>1</v>
      </c>
      <c r="BB423" s="347">
        <v>1</v>
      </c>
      <c r="BC423" s="347">
        <v>1</v>
      </c>
    </row>
    <row r="424" spans="1:55" s="381" customFormat="1" ht="17.649999999999999" customHeight="1">
      <c r="A424" s="343"/>
      <c r="B424" s="197" t="s">
        <v>2444</v>
      </c>
      <c r="C424" s="211" t="s">
        <v>2055</v>
      </c>
      <c r="D424" s="211" t="s">
        <v>2056</v>
      </c>
      <c r="E424" s="344">
        <v>52.733333333333299</v>
      </c>
      <c r="F424" s="344">
        <v>52.733333333333299</v>
      </c>
      <c r="G424" s="344">
        <v>52.733333333333299</v>
      </c>
      <c r="H424" s="344">
        <v>52.733333333333299</v>
      </c>
      <c r="I424" s="344">
        <v>52.733333333333299</v>
      </c>
      <c r="J424" s="344">
        <v>52.733333333333299</v>
      </c>
      <c r="K424" s="344">
        <v>52.733333333333299</v>
      </c>
      <c r="L424" s="344">
        <v>52.733333333333299</v>
      </c>
      <c r="M424" s="344">
        <v>52.733333333333299</v>
      </c>
      <c r="N424" s="344">
        <v>52.733333333333299</v>
      </c>
      <c r="O424" s="344">
        <v>52.733333333333299</v>
      </c>
      <c r="P424" s="344">
        <v>59.033333333333303</v>
      </c>
      <c r="Q424" s="344">
        <v>76.766666666666694</v>
      </c>
      <c r="R424" s="344">
        <v>69.533333333333303</v>
      </c>
      <c r="S424" s="344">
        <v>131.36666666666699</v>
      </c>
      <c r="T424" s="344">
        <v>155.166666666667</v>
      </c>
      <c r="U424" s="344">
        <v>167.066666666667</v>
      </c>
      <c r="V424" s="344">
        <v>179.666666666667</v>
      </c>
      <c r="W424" s="344">
        <v>176.86666666666699</v>
      </c>
      <c r="X424" s="344">
        <v>227.03333333333299</v>
      </c>
      <c r="Y424" s="344">
        <v>274.16666666666703</v>
      </c>
      <c r="Z424" s="344">
        <v>321.76666666666699</v>
      </c>
      <c r="AA424" s="344">
        <v>499.33333333333297</v>
      </c>
      <c r="AB424" s="344">
        <v>605.73333333333301</v>
      </c>
      <c r="AC424" s="344">
        <v>584.96666666666704</v>
      </c>
      <c r="AD424" s="344">
        <f t="shared" si="54"/>
        <v>-20.766666666665969</v>
      </c>
      <c r="AE424" s="197">
        <v>10</v>
      </c>
      <c r="AF424" s="197">
        <v>10</v>
      </c>
      <c r="AG424" s="197">
        <v>10</v>
      </c>
      <c r="AH424" s="197">
        <v>10</v>
      </c>
      <c r="AI424" s="197">
        <v>10</v>
      </c>
      <c r="AJ424" s="197">
        <v>10</v>
      </c>
      <c r="AK424" s="197">
        <v>10</v>
      </c>
      <c r="AL424" s="197">
        <v>10</v>
      </c>
      <c r="AM424" s="197">
        <v>10</v>
      </c>
      <c r="AN424" s="197">
        <v>10</v>
      </c>
      <c r="AO424" s="197">
        <v>10</v>
      </c>
      <c r="AP424" s="197">
        <v>3</v>
      </c>
      <c r="AQ424" s="197">
        <v>3</v>
      </c>
      <c r="AR424" s="197">
        <v>5</v>
      </c>
      <c r="AS424" s="197">
        <v>4</v>
      </c>
      <c r="AT424" s="197">
        <v>5</v>
      </c>
      <c r="AU424" s="347">
        <v>8</v>
      </c>
      <c r="AV424" s="347">
        <v>10</v>
      </c>
      <c r="AW424" s="347">
        <v>4</v>
      </c>
      <c r="AX424" s="347">
        <v>7</v>
      </c>
      <c r="AY424" s="347">
        <v>5</v>
      </c>
      <c r="AZ424" s="347">
        <v>8</v>
      </c>
      <c r="BA424" s="347">
        <v>3</v>
      </c>
      <c r="BB424" s="347">
        <v>7</v>
      </c>
      <c r="BC424" s="347">
        <v>5</v>
      </c>
    </row>
    <row r="425" spans="1:55" s="381" customFormat="1" ht="17.649999999999999" customHeight="1">
      <c r="A425" s="343"/>
      <c r="B425" s="197" t="s">
        <v>2445</v>
      </c>
      <c r="C425" s="211" t="s">
        <v>2055</v>
      </c>
      <c r="D425" s="211" t="s">
        <v>2056</v>
      </c>
      <c r="E425" s="344">
        <v>177.8</v>
      </c>
      <c r="F425" s="344">
        <v>177.8</v>
      </c>
      <c r="G425" s="344">
        <v>177.8</v>
      </c>
      <c r="H425" s="344">
        <v>177.8</v>
      </c>
      <c r="I425" s="344">
        <v>177.8</v>
      </c>
      <c r="J425" s="344">
        <v>177.8</v>
      </c>
      <c r="K425" s="344">
        <v>177.8</v>
      </c>
      <c r="L425" s="344">
        <v>177.8</v>
      </c>
      <c r="M425" s="344">
        <v>177.8</v>
      </c>
      <c r="N425" s="344">
        <v>177.8</v>
      </c>
      <c r="O425" s="344">
        <v>177.8</v>
      </c>
      <c r="P425" s="344">
        <v>191.8</v>
      </c>
      <c r="Q425" s="344">
        <v>237.76666666666699</v>
      </c>
      <c r="R425" s="344">
        <v>236.36666666666699</v>
      </c>
      <c r="S425" s="344">
        <v>239.166666666667</v>
      </c>
      <c r="T425" s="344">
        <v>241.03333333333299</v>
      </c>
      <c r="U425" s="344">
        <v>231.23333333333301</v>
      </c>
      <c r="V425" s="344">
        <v>224</v>
      </c>
      <c r="W425" s="344">
        <v>210.46666666666701</v>
      </c>
      <c r="X425" s="344">
        <v>212.1</v>
      </c>
      <c r="Y425" s="344">
        <v>197.4</v>
      </c>
      <c r="Z425" s="344">
        <v>188.53333333333299</v>
      </c>
      <c r="AA425" s="344">
        <v>194.36666666666699</v>
      </c>
      <c r="AB425" s="344">
        <v>190.86666666666699</v>
      </c>
      <c r="AC425" s="344">
        <v>180.833333333333</v>
      </c>
      <c r="AD425" s="344">
        <f t="shared" si="54"/>
        <v>-10.033333333333985</v>
      </c>
      <c r="AE425" s="197">
        <v>10</v>
      </c>
      <c r="AF425" s="197">
        <v>10</v>
      </c>
      <c r="AG425" s="197">
        <v>10</v>
      </c>
      <c r="AH425" s="197">
        <v>10</v>
      </c>
      <c r="AI425" s="197">
        <v>10</v>
      </c>
      <c r="AJ425" s="197">
        <v>10</v>
      </c>
      <c r="AK425" s="197">
        <v>10</v>
      </c>
      <c r="AL425" s="197">
        <v>10</v>
      </c>
      <c r="AM425" s="197">
        <v>10</v>
      </c>
      <c r="AN425" s="197">
        <v>10</v>
      </c>
      <c r="AO425" s="197">
        <v>10</v>
      </c>
      <c r="AP425" s="197">
        <v>3</v>
      </c>
      <c r="AQ425" s="197">
        <v>6</v>
      </c>
      <c r="AR425" s="197">
        <v>2</v>
      </c>
      <c r="AS425" s="197">
        <v>2</v>
      </c>
      <c r="AT425" s="197">
        <v>6</v>
      </c>
      <c r="AU425" s="347">
        <v>5</v>
      </c>
      <c r="AV425" s="347">
        <v>5</v>
      </c>
      <c r="AW425" s="347">
        <v>4</v>
      </c>
      <c r="AX425" s="347">
        <v>4</v>
      </c>
      <c r="AY425" s="347">
        <v>5</v>
      </c>
      <c r="AZ425" s="347">
        <v>5</v>
      </c>
      <c r="BA425" s="347">
        <v>6</v>
      </c>
      <c r="BB425" s="347">
        <v>7</v>
      </c>
      <c r="BC425" s="347">
        <v>10</v>
      </c>
    </row>
    <row r="426" spans="1:55" s="381" customFormat="1" ht="17.649999999999999" customHeight="1">
      <c r="A426" s="349"/>
      <c r="B426" s="244"/>
      <c r="C426" s="244"/>
      <c r="D426" s="244"/>
      <c r="E426" s="350"/>
      <c r="F426" s="350"/>
      <c r="G426" s="351"/>
      <c r="H426" s="350"/>
      <c r="I426" s="350"/>
      <c r="J426" s="350"/>
      <c r="K426" s="350"/>
      <c r="L426" s="350"/>
      <c r="M426" s="350"/>
      <c r="N426" s="350"/>
      <c r="O426" s="350"/>
      <c r="P426" s="350"/>
      <c r="Q426" s="350"/>
      <c r="R426" s="350"/>
      <c r="S426" s="350"/>
      <c r="T426" s="350"/>
      <c r="U426" s="350"/>
      <c r="V426" s="350"/>
      <c r="W426" s="350"/>
      <c r="X426" s="350"/>
      <c r="Y426" s="350"/>
      <c r="Z426" s="350"/>
      <c r="AA426" s="350"/>
      <c r="AB426" s="350"/>
      <c r="AC426" s="350"/>
      <c r="AD426" s="350"/>
      <c r="AE426" s="350"/>
      <c r="AF426" s="350"/>
      <c r="AG426" s="352"/>
      <c r="AH426" s="353"/>
      <c r="AI426" s="332"/>
      <c r="AJ426" s="332"/>
      <c r="AK426" s="332"/>
      <c r="AL426" s="332"/>
      <c r="AM426" s="332"/>
      <c r="AN426" s="332"/>
      <c r="AO426" s="332"/>
    </row>
    <row r="427" spans="1:55" s="381" customFormat="1" ht="17.649999999999999" customHeight="1">
      <c r="A427" s="349"/>
      <c r="B427" s="244"/>
      <c r="C427" s="244"/>
      <c r="D427" s="244"/>
      <c r="E427" s="350"/>
      <c r="F427" s="350"/>
      <c r="G427" s="351"/>
      <c r="H427" s="350"/>
      <c r="I427" s="350"/>
      <c r="J427" s="350"/>
      <c r="K427" s="350"/>
      <c r="L427" s="350"/>
      <c r="M427" s="350"/>
      <c r="N427" s="350"/>
      <c r="O427" s="350"/>
      <c r="P427" s="350"/>
      <c r="Q427" s="350"/>
      <c r="R427" s="350"/>
      <c r="S427" s="350"/>
      <c r="T427" s="350"/>
      <c r="U427" s="350"/>
      <c r="V427" s="350"/>
      <c r="W427" s="350"/>
      <c r="X427" s="350"/>
      <c r="Y427" s="350"/>
      <c r="Z427" s="350"/>
      <c r="AA427" s="350"/>
      <c r="AB427" s="350"/>
      <c r="AC427" s="350"/>
      <c r="AD427" s="350"/>
      <c r="AE427" s="350"/>
      <c r="AF427" s="350"/>
      <c r="AG427" s="352"/>
      <c r="AH427" s="353"/>
      <c r="AI427" s="332"/>
      <c r="AJ427" s="332"/>
      <c r="AK427" s="332"/>
      <c r="AL427" s="332"/>
      <c r="AM427" s="332"/>
      <c r="AN427" s="332"/>
      <c r="AO427" s="332"/>
    </row>
    <row r="428" spans="1:55" s="381" customFormat="1" ht="17.649999999999999" customHeight="1">
      <c r="B428" s="354"/>
      <c r="C428" s="354"/>
      <c r="D428" s="354"/>
      <c r="E428" s="354"/>
      <c r="F428" s="354"/>
      <c r="G428" s="354"/>
      <c r="H428" s="354"/>
      <c r="I428" s="354"/>
      <c r="J428" s="354"/>
      <c r="K428" s="354"/>
      <c r="L428" s="354"/>
      <c r="M428" s="354"/>
      <c r="N428" s="354"/>
      <c r="AH428" s="355"/>
    </row>
    <row r="429" spans="1:55" s="381" customFormat="1" ht="17.649999999999999" customHeight="1">
      <c r="A429" s="518" t="s">
        <v>2076</v>
      </c>
      <c r="B429" s="516" t="s">
        <v>2446</v>
      </c>
      <c r="C429" s="516" t="s">
        <v>2027</v>
      </c>
      <c r="D429" s="516" t="s">
        <v>2028</v>
      </c>
      <c r="E429" s="511" t="s">
        <v>2078</v>
      </c>
      <c r="F429" s="512"/>
      <c r="G429" s="512"/>
      <c r="H429" s="512"/>
      <c r="I429" s="512"/>
      <c r="J429" s="512"/>
      <c r="K429" s="512"/>
      <c r="L429" s="512"/>
      <c r="M429" s="512"/>
      <c r="N429" s="512"/>
      <c r="O429" s="512"/>
      <c r="P429" s="512"/>
      <c r="Q429" s="512"/>
      <c r="R429" s="513"/>
      <c r="S429" s="341"/>
      <c r="T429" s="341"/>
      <c r="U429" s="341"/>
      <c r="V429" s="341"/>
      <c r="W429" s="341"/>
      <c r="X429" s="341"/>
      <c r="Y429" s="341"/>
      <c r="Z429" s="341"/>
      <c r="AA429" s="341"/>
      <c r="AB429" s="341"/>
      <c r="AC429" s="341"/>
      <c r="AD429" s="342"/>
      <c r="AE429" s="514" t="s">
        <v>1999</v>
      </c>
      <c r="AF429" s="515"/>
      <c r="AG429" s="515"/>
      <c r="AH429" s="515"/>
      <c r="AI429" s="515"/>
      <c r="AJ429" s="515"/>
      <c r="AK429" s="515"/>
      <c r="AL429" s="515"/>
      <c r="AM429" s="515"/>
      <c r="AN429" s="515"/>
      <c r="AO429" s="515"/>
      <c r="AP429" s="515"/>
      <c r="AQ429" s="515"/>
      <c r="AR429" s="515"/>
      <c r="AS429" s="515"/>
      <c r="AT429" s="515"/>
      <c r="AU429" s="515"/>
      <c r="AV429" s="515"/>
      <c r="AW429" s="515"/>
      <c r="AX429" s="515"/>
      <c r="AY429" s="515"/>
      <c r="AZ429" s="515"/>
      <c r="BA429" s="515"/>
      <c r="BB429" s="515"/>
      <c r="BC429" s="515"/>
    </row>
    <row r="430" spans="1:55" s="381" customFormat="1" ht="17.649999999999999" customHeight="1">
      <c r="A430" s="519"/>
      <c r="B430" s="516"/>
      <c r="C430" s="516"/>
      <c r="D430" s="516"/>
      <c r="E430" s="516" t="s">
        <v>2000</v>
      </c>
      <c r="F430" s="516" t="s">
        <v>2001</v>
      </c>
      <c r="G430" s="516" t="s">
        <v>2002</v>
      </c>
      <c r="H430" s="516" t="s">
        <v>2003</v>
      </c>
      <c r="I430" s="516" t="s">
        <v>2004</v>
      </c>
      <c r="J430" s="516" t="s">
        <v>2005</v>
      </c>
      <c r="K430" s="516" t="s">
        <v>2006</v>
      </c>
      <c r="L430" s="516" t="s">
        <v>2007</v>
      </c>
      <c r="M430" s="516" t="s">
        <v>2008</v>
      </c>
      <c r="N430" s="516" t="s">
        <v>2009</v>
      </c>
      <c r="O430" s="516" t="s">
        <v>2010</v>
      </c>
      <c r="P430" s="516" t="s">
        <v>2011</v>
      </c>
      <c r="Q430" s="516" t="s">
        <v>2012</v>
      </c>
      <c r="R430" s="516" t="s">
        <v>2013</v>
      </c>
      <c r="S430" s="516" t="s">
        <v>2014</v>
      </c>
      <c r="T430" s="516" t="s">
        <v>2015</v>
      </c>
      <c r="U430" s="516" t="s">
        <v>2016</v>
      </c>
      <c r="V430" s="516" t="s">
        <v>2017</v>
      </c>
      <c r="W430" s="516" t="s">
        <v>2018</v>
      </c>
      <c r="X430" s="516" t="s">
        <v>2019</v>
      </c>
      <c r="Y430" s="516" t="s">
        <v>2020</v>
      </c>
      <c r="Z430" s="516" t="s">
        <v>2021</v>
      </c>
      <c r="AA430" s="516" t="s">
        <v>2022</v>
      </c>
      <c r="AB430" s="516" t="s">
        <v>2023</v>
      </c>
      <c r="AC430" s="516" t="s">
        <v>2024</v>
      </c>
      <c r="AD430" s="525" t="s">
        <v>2079</v>
      </c>
      <c r="AE430" s="528" t="s">
        <v>2000</v>
      </c>
      <c r="AF430" s="528" t="s">
        <v>2001</v>
      </c>
      <c r="AG430" s="528" t="s">
        <v>2002</v>
      </c>
      <c r="AH430" s="528" t="s">
        <v>2003</v>
      </c>
      <c r="AI430" s="528" t="s">
        <v>2004</v>
      </c>
      <c r="AJ430" s="528" t="s">
        <v>2005</v>
      </c>
      <c r="AK430" s="528" t="s">
        <v>2006</v>
      </c>
      <c r="AL430" s="528" t="s">
        <v>2007</v>
      </c>
      <c r="AM430" s="528" t="s">
        <v>2008</v>
      </c>
      <c r="AN430" s="528" t="s">
        <v>2009</v>
      </c>
      <c r="AO430" s="528" t="s">
        <v>2080</v>
      </c>
      <c r="AP430" s="528" t="s">
        <v>2011</v>
      </c>
      <c r="AQ430" s="528" t="s">
        <v>2012</v>
      </c>
      <c r="AR430" s="516" t="s">
        <v>2013</v>
      </c>
      <c r="AS430" s="516" t="s">
        <v>2014</v>
      </c>
      <c r="AT430" s="516" t="s">
        <v>2015</v>
      </c>
      <c r="AU430" s="516" t="s">
        <v>2016</v>
      </c>
      <c r="AV430" s="516" t="s">
        <v>2017</v>
      </c>
      <c r="AW430" s="516" t="s">
        <v>2018</v>
      </c>
      <c r="AX430" s="516" t="s">
        <v>2019</v>
      </c>
      <c r="AY430" s="516" t="s">
        <v>2020</v>
      </c>
      <c r="AZ430" s="516" t="s">
        <v>2021</v>
      </c>
      <c r="BA430" s="516" t="s">
        <v>2022</v>
      </c>
      <c r="BB430" s="516" t="s">
        <v>2023</v>
      </c>
      <c r="BC430" s="516" t="s">
        <v>2024</v>
      </c>
    </row>
    <row r="431" spans="1:55" s="381" customFormat="1" ht="17.649999999999999" customHeight="1">
      <c r="A431" s="519"/>
      <c r="B431" s="516"/>
      <c r="C431" s="516"/>
      <c r="D431" s="516"/>
      <c r="E431" s="516"/>
      <c r="F431" s="516"/>
      <c r="G431" s="516"/>
      <c r="H431" s="516"/>
      <c r="I431" s="516"/>
      <c r="J431" s="516"/>
      <c r="K431" s="516"/>
      <c r="L431" s="516"/>
      <c r="M431" s="516"/>
      <c r="N431" s="516"/>
      <c r="O431" s="516"/>
      <c r="P431" s="516"/>
      <c r="Q431" s="516"/>
      <c r="R431" s="516"/>
      <c r="S431" s="516"/>
      <c r="T431" s="516"/>
      <c r="U431" s="516"/>
      <c r="V431" s="516"/>
      <c r="W431" s="516"/>
      <c r="X431" s="516"/>
      <c r="Y431" s="516"/>
      <c r="Z431" s="516"/>
      <c r="AA431" s="516"/>
      <c r="AB431" s="516"/>
      <c r="AC431" s="516"/>
      <c r="AD431" s="525"/>
      <c r="AE431" s="516"/>
      <c r="AF431" s="516"/>
      <c r="AG431" s="516"/>
      <c r="AH431" s="516"/>
      <c r="AI431" s="516"/>
      <c r="AJ431" s="516"/>
      <c r="AK431" s="516"/>
      <c r="AL431" s="516"/>
      <c r="AM431" s="516"/>
      <c r="AN431" s="516"/>
      <c r="AO431" s="516"/>
      <c r="AP431" s="516"/>
      <c r="AQ431" s="516"/>
      <c r="AR431" s="516"/>
      <c r="AS431" s="516"/>
      <c r="AT431" s="516"/>
      <c r="AU431" s="516"/>
      <c r="AV431" s="516"/>
      <c r="AW431" s="516"/>
      <c r="AX431" s="516"/>
      <c r="AY431" s="516"/>
      <c r="AZ431" s="516"/>
      <c r="BA431" s="516"/>
      <c r="BB431" s="516"/>
      <c r="BC431" s="516"/>
    </row>
    <row r="432" spans="1:55" s="381" customFormat="1" ht="17.649999999999999" customHeight="1">
      <c r="A432" s="519"/>
      <c r="B432" s="516"/>
      <c r="C432" s="516"/>
      <c r="D432" s="516"/>
      <c r="E432" s="334" t="s">
        <v>2081</v>
      </c>
      <c r="F432" s="334" t="s">
        <v>2031</v>
      </c>
      <c r="G432" s="334" t="s">
        <v>2032</v>
      </c>
      <c r="H432" s="334" t="s">
        <v>2033</v>
      </c>
      <c r="I432" s="334" t="s">
        <v>2034</v>
      </c>
      <c r="J432" s="334" t="s">
        <v>2035</v>
      </c>
      <c r="K432" s="334" t="s">
        <v>2036</v>
      </c>
      <c r="L432" s="334" t="s">
        <v>2037</v>
      </c>
      <c r="M432" s="334" t="s">
        <v>2038</v>
      </c>
      <c r="N432" s="334" t="s">
        <v>2039</v>
      </c>
      <c r="O432" s="334" t="s">
        <v>2040</v>
      </c>
      <c r="P432" s="334" t="s">
        <v>2041</v>
      </c>
      <c r="Q432" s="334" t="s">
        <v>2042</v>
      </c>
      <c r="R432" s="334" t="s">
        <v>2043</v>
      </c>
      <c r="S432" s="334" t="s">
        <v>2044</v>
      </c>
      <c r="T432" s="334" t="s">
        <v>2045</v>
      </c>
      <c r="U432" s="334" t="s">
        <v>2046</v>
      </c>
      <c r="V432" s="334" t="s">
        <v>2047</v>
      </c>
      <c r="W432" s="334" t="s">
        <v>2048</v>
      </c>
      <c r="X432" s="334" t="s">
        <v>2049</v>
      </c>
      <c r="Y432" s="334" t="s">
        <v>2050</v>
      </c>
      <c r="Z432" s="334" t="s">
        <v>2051</v>
      </c>
      <c r="AA432" s="334" t="s">
        <v>2052</v>
      </c>
      <c r="AB432" s="334" t="s">
        <v>2053</v>
      </c>
      <c r="AC432" s="334" t="s">
        <v>2054</v>
      </c>
      <c r="AD432" s="526"/>
      <c r="AE432" s="334" t="s">
        <v>2081</v>
      </c>
      <c r="AF432" s="334" t="s">
        <v>2447</v>
      </c>
      <c r="AG432" s="334" t="s">
        <v>2448</v>
      </c>
      <c r="AH432" s="334" t="s">
        <v>2449</v>
      </c>
      <c r="AI432" s="334" t="s">
        <v>2450</v>
      </c>
      <c r="AJ432" s="334" t="s">
        <v>2451</v>
      </c>
      <c r="AK432" s="334" t="s">
        <v>2452</v>
      </c>
      <c r="AL432" s="334" t="s">
        <v>2453</v>
      </c>
      <c r="AM432" s="334" t="s">
        <v>2454</v>
      </c>
      <c r="AN432" s="334" t="s">
        <v>2455</v>
      </c>
      <c r="AO432" s="334" t="s">
        <v>2456</v>
      </c>
      <c r="AP432" s="334" t="s">
        <v>2041</v>
      </c>
      <c r="AQ432" s="334" t="s">
        <v>2042</v>
      </c>
      <c r="AR432" s="334" t="s">
        <v>2043</v>
      </c>
      <c r="AS432" s="334" t="s">
        <v>2044</v>
      </c>
      <c r="AT432" s="334" t="s">
        <v>2045</v>
      </c>
      <c r="AU432" s="334" t="s">
        <v>2046</v>
      </c>
      <c r="AV432" s="334" t="s">
        <v>2047</v>
      </c>
      <c r="AW432" s="334" t="s">
        <v>2048</v>
      </c>
      <c r="AX432" s="334" t="s">
        <v>2049</v>
      </c>
      <c r="AY432" s="334" t="s">
        <v>2050</v>
      </c>
      <c r="AZ432" s="334" t="s">
        <v>2051</v>
      </c>
      <c r="BA432" s="334" t="s">
        <v>2052</v>
      </c>
      <c r="BB432" s="334" t="s">
        <v>2053</v>
      </c>
      <c r="BC432" s="334" t="s">
        <v>2054</v>
      </c>
    </row>
    <row r="433" spans="1:55" s="381" customFormat="1" ht="17.649999999999999" customHeight="1">
      <c r="A433" s="343">
        <v>1</v>
      </c>
      <c r="B433" s="211" t="s">
        <v>2082</v>
      </c>
      <c r="C433" s="211" t="s">
        <v>2055</v>
      </c>
      <c r="D433" s="211" t="s">
        <v>2063</v>
      </c>
      <c r="E433" s="344">
        <v>25071</v>
      </c>
      <c r="F433" s="344">
        <v>24503.266666666699</v>
      </c>
      <c r="G433" s="356">
        <v>23008.766666666699</v>
      </c>
      <c r="H433" s="344">
        <v>22306.2</v>
      </c>
      <c r="I433" s="344">
        <v>21393.166666666701</v>
      </c>
      <c r="J433" s="344">
        <v>21124.6</v>
      </c>
      <c r="K433" s="344">
        <v>20408.266666666699</v>
      </c>
      <c r="L433" s="344">
        <f t="shared" ref="L433:L496" si="55">I433/30*7</f>
        <v>4991.7388888888963</v>
      </c>
      <c r="M433" s="344">
        <v>17969.4666666667</v>
      </c>
      <c r="N433" s="344">
        <v>18344.433333333302</v>
      </c>
      <c r="O433" s="344">
        <v>20175.633333333299</v>
      </c>
      <c r="P433" s="344">
        <v>22459.0333333333</v>
      </c>
      <c r="Q433" s="344">
        <v>24281.833333333299</v>
      </c>
      <c r="R433" s="344">
        <v>24859.1</v>
      </c>
      <c r="S433" s="344">
        <v>24181.9666666667</v>
      </c>
      <c r="T433" s="344">
        <v>23906.400000000001</v>
      </c>
      <c r="U433" s="344">
        <v>23570.633333333299</v>
      </c>
      <c r="V433" s="344">
        <v>22861.766666666699</v>
      </c>
      <c r="W433" s="344">
        <v>21906.0333333333</v>
      </c>
      <c r="X433" s="344">
        <v>21677.133333333299</v>
      </c>
      <c r="Y433" s="344">
        <v>21910.933333333302</v>
      </c>
      <c r="Z433" s="344">
        <v>24070.666666666701</v>
      </c>
      <c r="AA433" s="344">
        <v>25360.3</v>
      </c>
      <c r="AB433" s="344">
        <v>26229</v>
      </c>
      <c r="AC433" s="344">
        <v>25634.233333333301</v>
      </c>
      <c r="AD433" s="344">
        <f t="shared" ref="AD433:AD496" si="56">AC433-AB433</f>
        <v>-594.76666666669917</v>
      </c>
      <c r="AE433" s="344">
        <v>17</v>
      </c>
      <c r="AF433" s="344">
        <v>14</v>
      </c>
      <c r="AG433" s="346">
        <v>13</v>
      </c>
      <c r="AH433" s="346">
        <v>13</v>
      </c>
      <c r="AI433" s="346">
        <v>15</v>
      </c>
      <c r="AJ433" s="346">
        <v>51</v>
      </c>
      <c r="AK433" s="346">
        <v>21</v>
      </c>
      <c r="AL433" s="346">
        <v>51</v>
      </c>
      <c r="AM433" s="346">
        <v>16</v>
      </c>
      <c r="AN433" s="346">
        <v>30</v>
      </c>
      <c r="AO433" s="346">
        <v>30</v>
      </c>
      <c r="AP433" s="357">
        <v>18</v>
      </c>
      <c r="AQ433" s="357">
        <v>8</v>
      </c>
      <c r="AR433" s="357">
        <v>9</v>
      </c>
      <c r="AS433" s="357">
        <v>6</v>
      </c>
      <c r="AT433" s="357">
        <v>12</v>
      </c>
      <c r="AU433" s="357">
        <v>9</v>
      </c>
      <c r="AV433" s="357">
        <v>12</v>
      </c>
      <c r="AW433" s="357">
        <v>10</v>
      </c>
      <c r="AX433" s="357">
        <v>8</v>
      </c>
      <c r="AY433" s="357">
        <v>7</v>
      </c>
      <c r="AZ433" s="357">
        <v>4</v>
      </c>
      <c r="BA433" s="357">
        <v>6</v>
      </c>
      <c r="BB433" s="357">
        <v>7</v>
      </c>
      <c r="BC433" s="357">
        <v>3</v>
      </c>
    </row>
    <row r="434" spans="1:55" s="381" customFormat="1" ht="17.649999999999999" customHeight="1">
      <c r="A434" s="343">
        <v>2</v>
      </c>
      <c r="B434" s="211" t="s">
        <v>2083</v>
      </c>
      <c r="C434" s="211" t="s">
        <v>2055</v>
      </c>
      <c r="D434" s="211" t="s">
        <v>2063</v>
      </c>
      <c r="E434" s="344">
        <v>12175</v>
      </c>
      <c r="F434" s="344">
        <v>11758.1333333333</v>
      </c>
      <c r="G434" s="356">
        <v>10775.333333333299</v>
      </c>
      <c r="H434" s="344">
        <v>10111.733333333301</v>
      </c>
      <c r="I434" s="344">
        <v>9558.0333333333292</v>
      </c>
      <c r="J434" s="344">
        <v>9168.6</v>
      </c>
      <c r="K434" s="344">
        <v>8788.2666666666701</v>
      </c>
      <c r="L434" s="344">
        <f t="shared" si="55"/>
        <v>2230.2077777777768</v>
      </c>
      <c r="M434" s="344">
        <v>7584.0333333333301</v>
      </c>
      <c r="N434" s="344">
        <v>7550.9</v>
      </c>
      <c r="O434" s="344">
        <v>7682.9666666666699</v>
      </c>
      <c r="P434" s="344">
        <v>8178.8</v>
      </c>
      <c r="Q434" s="344">
        <v>8747.6666666666697</v>
      </c>
      <c r="R434" s="344">
        <v>8797.1333333333296</v>
      </c>
      <c r="S434" s="344">
        <v>8948.5666666666693</v>
      </c>
      <c r="T434" s="344">
        <v>9205.2333333333299</v>
      </c>
      <c r="U434" s="344">
        <v>9436.2333333333299</v>
      </c>
      <c r="V434" s="344">
        <v>9478.2333333333299</v>
      </c>
      <c r="W434" s="344">
        <v>9239.7666666666701</v>
      </c>
      <c r="X434" s="344">
        <v>8967.9333333333307</v>
      </c>
      <c r="Y434" s="344">
        <v>8791.0666666666693</v>
      </c>
      <c r="Z434" s="344">
        <v>8692.1333333333296</v>
      </c>
      <c r="AA434" s="344">
        <v>8882.5333333333292</v>
      </c>
      <c r="AB434" s="344">
        <v>8913.1</v>
      </c>
      <c r="AC434" s="344">
        <v>8696.5666666666693</v>
      </c>
      <c r="AD434" s="344">
        <f t="shared" si="56"/>
        <v>-216.53333333333103</v>
      </c>
      <c r="AE434" s="344">
        <v>26</v>
      </c>
      <c r="AF434" s="344">
        <v>0</v>
      </c>
      <c r="AG434" s="346">
        <v>35</v>
      </c>
      <c r="AH434" s="346">
        <v>39</v>
      </c>
      <c r="AI434" s="346">
        <v>33</v>
      </c>
      <c r="AJ434" s="346">
        <v>26</v>
      </c>
      <c r="AK434" s="346">
        <v>31</v>
      </c>
      <c r="AL434" s="346">
        <v>26</v>
      </c>
      <c r="AM434" s="346">
        <v>23</v>
      </c>
      <c r="AN434" s="346">
        <v>35</v>
      </c>
      <c r="AO434" s="346">
        <v>35</v>
      </c>
      <c r="AP434" s="357">
        <v>31</v>
      </c>
      <c r="AQ434" s="357">
        <v>35</v>
      </c>
      <c r="AR434" s="357">
        <v>36</v>
      </c>
      <c r="AS434" s="357">
        <v>24</v>
      </c>
      <c r="AT434" s="357">
        <v>34</v>
      </c>
      <c r="AU434" s="357">
        <v>40</v>
      </c>
      <c r="AV434" s="357">
        <v>41</v>
      </c>
      <c r="AW434" s="357">
        <v>27</v>
      </c>
      <c r="AX434" s="357">
        <v>6</v>
      </c>
      <c r="AY434" s="211">
        <v>51</v>
      </c>
      <c r="AZ434" s="357">
        <v>22</v>
      </c>
      <c r="BA434" s="357">
        <v>39</v>
      </c>
      <c r="BB434" s="357">
        <v>28</v>
      </c>
      <c r="BC434" s="357">
        <v>41</v>
      </c>
    </row>
    <row r="435" spans="1:55" s="381" customFormat="1" ht="17.649999999999999" customHeight="1">
      <c r="A435" s="343">
        <v>3</v>
      </c>
      <c r="B435" s="211" t="s">
        <v>2084</v>
      </c>
      <c r="C435" s="211" t="s">
        <v>2055</v>
      </c>
      <c r="D435" s="211" t="s">
        <v>2063</v>
      </c>
      <c r="E435" s="344">
        <v>1496</v>
      </c>
      <c r="F435" s="344">
        <v>1524.8333333333301</v>
      </c>
      <c r="G435" s="356">
        <v>1591.1</v>
      </c>
      <c r="H435" s="344">
        <v>1632.86666666667</v>
      </c>
      <c r="I435" s="344">
        <v>1679.3</v>
      </c>
      <c r="J435" s="344">
        <v>1696.56666666667</v>
      </c>
      <c r="K435" s="344">
        <v>1624.2333333333299</v>
      </c>
      <c r="L435" s="344">
        <f t="shared" si="55"/>
        <v>391.83666666666664</v>
      </c>
      <c r="M435" s="344">
        <v>1362.9</v>
      </c>
      <c r="N435" s="344">
        <v>1399.3</v>
      </c>
      <c r="O435" s="344">
        <v>1610.4666666666701</v>
      </c>
      <c r="P435" s="344">
        <v>1795.2666666666701</v>
      </c>
      <c r="Q435" s="344">
        <v>1924.7666666666701</v>
      </c>
      <c r="R435" s="344">
        <v>1938.06666666667</v>
      </c>
      <c r="S435" s="344">
        <v>1848</v>
      </c>
      <c r="T435" s="344">
        <v>1852.6666666666699</v>
      </c>
      <c r="U435" s="344">
        <v>1874.36666666667</v>
      </c>
      <c r="V435" s="344">
        <v>1856.1666666666699</v>
      </c>
      <c r="W435" s="344">
        <v>1683.7333333333299</v>
      </c>
      <c r="X435" s="344">
        <v>1532.06666666667</v>
      </c>
      <c r="Y435" s="344">
        <v>1432.43333333333</v>
      </c>
      <c r="Z435" s="344">
        <v>1315.06666666667</v>
      </c>
      <c r="AA435" s="344">
        <v>1288.7</v>
      </c>
      <c r="AB435" s="344">
        <v>1300.5999999999999</v>
      </c>
      <c r="AC435" s="344">
        <v>1335.36666666667</v>
      </c>
      <c r="AD435" s="344">
        <f t="shared" si="56"/>
        <v>34.766666666670062</v>
      </c>
      <c r="AE435" s="344">
        <v>1</v>
      </c>
      <c r="AF435" s="344">
        <v>4</v>
      </c>
      <c r="AG435" s="346">
        <v>1</v>
      </c>
      <c r="AH435" s="346">
        <v>1</v>
      </c>
      <c r="AI435" s="346">
        <v>2</v>
      </c>
      <c r="AJ435" s="346">
        <v>1</v>
      </c>
      <c r="AK435" s="346">
        <v>2</v>
      </c>
      <c r="AL435" s="346">
        <v>1</v>
      </c>
      <c r="AM435" s="346">
        <v>5</v>
      </c>
      <c r="AN435" s="346">
        <v>3</v>
      </c>
      <c r="AO435" s="346">
        <v>3</v>
      </c>
      <c r="AP435" s="357">
        <v>4</v>
      </c>
      <c r="AQ435" s="357">
        <v>12</v>
      </c>
      <c r="AR435" s="357">
        <v>4</v>
      </c>
      <c r="AS435" s="357">
        <v>1</v>
      </c>
      <c r="AT435" s="357">
        <v>3</v>
      </c>
      <c r="AU435" s="211">
        <v>2</v>
      </c>
      <c r="AV435" s="357">
        <v>2</v>
      </c>
      <c r="AW435" s="357">
        <v>1</v>
      </c>
      <c r="AX435" s="357">
        <v>1</v>
      </c>
      <c r="AY435" s="357">
        <v>2</v>
      </c>
      <c r="AZ435" s="357">
        <v>3</v>
      </c>
      <c r="BA435" s="357">
        <v>3</v>
      </c>
      <c r="BB435" s="357">
        <v>3</v>
      </c>
      <c r="BC435" s="357">
        <v>3</v>
      </c>
    </row>
    <row r="436" spans="1:55" s="381" customFormat="1" ht="17.649999999999999" customHeight="1">
      <c r="A436" s="343">
        <v>4</v>
      </c>
      <c r="B436" s="211" t="s">
        <v>2085</v>
      </c>
      <c r="C436" s="211" t="s">
        <v>2055</v>
      </c>
      <c r="D436" s="211" t="s">
        <v>2063</v>
      </c>
      <c r="E436" s="344">
        <v>3211</v>
      </c>
      <c r="F436" s="344">
        <v>3179.86666666667</v>
      </c>
      <c r="G436" s="356">
        <v>3149.5333333333301</v>
      </c>
      <c r="H436" s="344">
        <v>3365.36666666667</v>
      </c>
      <c r="I436" s="344">
        <v>3603.6</v>
      </c>
      <c r="J436" s="344">
        <v>3332</v>
      </c>
      <c r="K436" s="344">
        <v>3038.2333333333299</v>
      </c>
      <c r="L436" s="344">
        <f t="shared" si="55"/>
        <v>840.83999999999992</v>
      </c>
      <c r="M436" s="344">
        <v>2446.5</v>
      </c>
      <c r="N436" s="344">
        <v>2321.1999999999998</v>
      </c>
      <c r="O436" s="344">
        <v>2741.4333333333302</v>
      </c>
      <c r="P436" s="344">
        <v>3530.5666666666698</v>
      </c>
      <c r="Q436" s="344">
        <v>3311.4666666666699</v>
      </c>
      <c r="R436" s="344">
        <v>3544.8</v>
      </c>
      <c r="S436" s="344">
        <v>3899.2333333333299</v>
      </c>
      <c r="T436" s="344">
        <v>3878.4666666666699</v>
      </c>
      <c r="U436" s="344">
        <v>4962.0666666666702</v>
      </c>
      <c r="V436" s="344">
        <v>5603.7333333333299</v>
      </c>
      <c r="W436" s="344">
        <v>6101.2</v>
      </c>
      <c r="X436" s="344">
        <v>6604.7333333333299</v>
      </c>
      <c r="Y436" s="344">
        <v>7364.2333333333299</v>
      </c>
      <c r="Z436" s="344">
        <v>10278.799999999999</v>
      </c>
      <c r="AA436" s="344">
        <v>13027.7</v>
      </c>
      <c r="AB436" s="344">
        <v>13465.2</v>
      </c>
      <c r="AC436" s="344">
        <v>13552</v>
      </c>
      <c r="AD436" s="344">
        <f t="shared" si="56"/>
        <v>86.799999999999272</v>
      </c>
      <c r="AE436" s="344">
        <v>1</v>
      </c>
      <c r="AF436" s="344">
        <v>2</v>
      </c>
      <c r="AG436" s="346">
        <v>1</v>
      </c>
      <c r="AH436" s="346">
        <v>1</v>
      </c>
      <c r="AI436" s="346">
        <v>1</v>
      </c>
      <c r="AJ436" s="346">
        <v>3</v>
      </c>
      <c r="AK436" s="346">
        <v>1</v>
      </c>
      <c r="AL436" s="346">
        <v>3</v>
      </c>
      <c r="AM436" s="346">
        <v>3</v>
      </c>
      <c r="AN436" s="346">
        <v>11</v>
      </c>
      <c r="AO436" s="346">
        <v>11</v>
      </c>
      <c r="AP436" s="357">
        <v>1</v>
      </c>
      <c r="AQ436" s="357">
        <v>1</v>
      </c>
      <c r="AR436" s="357">
        <v>1</v>
      </c>
      <c r="AS436" s="357">
        <v>1</v>
      </c>
      <c r="AT436" s="357">
        <v>1</v>
      </c>
      <c r="AU436" s="357">
        <v>1</v>
      </c>
      <c r="AV436" s="357">
        <v>1</v>
      </c>
      <c r="AW436" s="357">
        <v>9</v>
      </c>
      <c r="AX436" s="357">
        <v>9</v>
      </c>
      <c r="AY436" s="357">
        <v>10</v>
      </c>
      <c r="AZ436" s="357">
        <v>1</v>
      </c>
      <c r="BA436" s="357">
        <v>1</v>
      </c>
      <c r="BB436" s="357">
        <v>9</v>
      </c>
      <c r="BC436" s="357">
        <v>2</v>
      </c>
    </row>
    <row r="437" spans="1:55" s="381" customFormat="1" ht="17.649999999999999" customHeight="1">
      <c r="A437" s="343">
        <v>5</v>
      </c>
      <c r="B437" s="211" t="s">
        <v>175</v>
      </c>
      <c r="C437" s="211" t="s">
        <v>2055</v>
      </c>
      <c r="D437" s="211" t="s">
        <v>2063</v>
      </c>
      <c r="E437" s="344">
        <v>466</v>
      </c>
      <c r="F437" s="344">
        <v>454.3</v>
      </c>
      <c r="G437" s="356">
        <v>436.1</v>
      </c>
      <c r="H437" s="344">
        <v>426.53333333333302</v>
      </c>
      <c r="I437" s="344">
        <v>411.83333333333297</v>
      </c>
      <c r="J437" s="344">
        <v>402.96666666666698</v>
      </c>
      <c r="K437" s="344">
        <v>385</v>
      </c>
      <c r="L437" s="344">
        <f t="shared" si="55"/>
        <v>96.094444444444363</v>
      </c>
      <c r="M437" s="344">
        <v>354.2</v>
      </c>
      <c r="N437" s="344">
        <v>375.433333333333</v>
      </c>
      <c r="O437" s="344">
        <v>392.933333333333</v>
      </c>
      <c r="P437" s="344">
        <v>444.5</v>
      </c>
      <c r="Q437" s="344">
        <v>485.8</v>
      </c>
      <c r="R437" s="344">
        <v>476.7</v>
      </c>
      <c r="S437" s="344">
        <v>458.5</v>
      </c>
      <c r="T437" s="344">
        <v>439.83333333333297</v>
      </c>
      <c r="U437" s="344">
        <v>409.5</v>
      </c>
      <c r="V437" s="344">
        <v>411.36666666666702</v>
      </c>
      <c r="W437" s="344">
        <v>416.96666666666698</v>
      </c>
      <c r="X437" s="344">
        <v>411.83333333333297</v>
      </c>
      <c r="Y437" s="344">
        <v>413.7</v>
      </c>
      <c r="Z437" s="344">
        <v>410.9</v>
      </c>
      <c r="AA437" s="344">
        <v>407.16666666666703</v>
      </c>
      <c r="AB437" s="344">
        <v>397.36666666666702</v>
      </c>
      <c r="AC437" s="344">
        <v>393.16666666666703</v>
      </c>
      <c r="AD437" s="344">
        <f t="shared" si="56"/>
        <v>-4.1999999999999886</v>
      </c>
      <c r="AE437" s="344">
        <v>4</v>
      </c>
      <c r="AF437" s="344">
        <v>10</v>
      </c>
      <c r="AG437" s="346">
        <v>4</v>
      </c>
      <c r="AH437" s="346">
        <v>4</v>
      </c>
      <c r="AI437" s="346">
        <v>9</v>
      </c>
      <c r="AJ437" s="346">
        <v>11</v>
      </c>
      <c r="AK437" s="346">
        <v>12</v>
      </c>
      <c r="AL437" s="346">
        <v>11</v>
      </c>
      <c r="AM437" s="346">
        <v>5</v>
      </c>
      <c r="AN437" s="346">
        <v>4</v>
      </c>
      <c r="AO437" s="346">
        <v>4</v>
      </c>
      <c r="AP437" s="211">
        <v>4</v>
      </c>
      <c r="AQ437" s="357">
        <v>12</v>
      </c>
      <c r="AR437" s="357">
        <v>4</v>
      </c>
      <c r="AS437" s="357">
        <v>4</v>
      </c>
      <c r="AT437" s="357">
        <v>8</v>
      </c>
      <c r="AU437" s="357">
        <v>3</v>
      </c>
      <c r="AV437" s="357">
        <v>2</v>
      </c>
      <c r="AW437" s="357">
        <v>3</v>
      </c>
      <c r="AX437" s="357">
        <v>3</v>
      </c>
      <c r="AY437" s="357">
        <v>8</v>
      </c>
      <c r="AZ437" s="357">
        <v>5</v>
      </c>
      <c r="BA437" s="357">
        <v>3</v>
      </c>
      <c r="BB437" s="357">
        <v>3</v>
      </c>
      <c r="BC437" s="357">
        <v>1</v>
      </c>
    </row>
    <row r="438" spans="1:55" s="381" customFormat="1" ht="17.649999999999999" customHeight="1">
      <c r="A438" s="343">
        <v>6</v>
      </c>
      <c r="B438" s="211" t="s">
        <v>2086</v>
      </c>
      <c r="C438" s="211" t="s">
        <v>2055</v>
      </c>
      <c r="D438" s="211" t="s">
        <v>2063</v>
      </c>
      <c r="E438" s="344">
        <v>224</v>
      </c>
      <c r="F438" s="344">
        <v>221.9</v>
      </c>
      <c r="G438" s="356">
        <v>208.833333333333</v>
      </c>
      <c r="H438" s="344">
        <v>195.066666666667</v>
      </c>
      <c r="I438" s="344">
        <v>183.166666666667</v>
      </c>
      <c r="J438" s="344">
        <v>179.666666666667</v>
      </c>
      <c r="K438" s="344">
        <v>168.933333333333</v>
      </c>
      <c r="L438" s="344">
        <f t="shared" si="55"/>
        <v>42.738888888888965</v>
      </c>
      <c r="M438" s="344">
        <v>157.73333333333301</v>
      </c>
      <c r="N438" s="344">
        <v>159.36666666666699</v>
      </c>
      <c r="O438" s="344">
        <v>157.73333333333301</v>
      </c>
      <c r="P438" s="344">
        <v>166.13333333333301</v>
      </c>
      <c r="Q438" s="344">
        <v>171.5</v>
      </c>
      <c r="R438" s="344">
        <v>159.13333333333301</v>
      </c>
      <c r="S438" s="344">
        <v>309.39999999999998</v>
      </c>
      <c r="T438" s="344">
        <v>346.96666666666698</v>
      </c>
      <c r="U438" s="344">
        <v>355.36666666666702</v>
      </c>
      <c r="V438" s="344">
        <v>363.3</v>
      </c>
      <c r="W438" s="344">
        <v>358.63333333333298</v>
      </c>
      <c r="X438" s="344">
        <v>200.433333333333</v>
      </c>
      <c r="Y438" s="344">
        <v>193.433333333333</v>
      </c>
      <c r="Z438" s="344">
        <v>195.53333333333299</v>
      </c>
      <c r="AA438" s="344">
        <v>199.73333333333301</v>
      </c>
      <c r="AB438" s="344">
        <v>209.3</v>
      </c>
      <c r="AC438" s="344">
        <v>208.36666666666699</v>
      </c>
      <c r="AD438" s="344">
        <f t="shared" si="56"/>
        <v>-0.93333333333302448</v>
      </c>
      <c r="AE438" s="344">
        <v>3</v>
      </c>
      <c r="AF438" s="344">
        <v>10</v>
      </c>
      <c r="AG438" s="346">
        <v>3</v>
      </c>
      <c r="AH438" s="346">
        <v>4</v>
      </c>
      <c r="AI438" s="346">
        <v>3</v>
      </c>
      <c r="AJ438" s="346">
        <v>3</v>
      </c>
      <c r="AK438" s="346">
        <v>3</v>
      </c>
      <c r="AL438" s="346">
        <v>3</v>
      </c>
      <c r="AM438" s="346">
        <v>5</v>
      </c>
      <c r="AN438" s="346">
        <v>9</v>
      </c>
      <c r="AO438" s="346">
        <v>9</v>
      </c>
      <c r="AP438" s="346">
        <v>6</v>
      </c>
      <c r="AQ438" s="357">
        <v>4</v>
      </c>
      <c r="AR438" s="357">
        <v>10</v>
      </c>
      <c r="AS438" s="357">
        <v>8</v>
      </c>
      <c r="AT438" s="357">
        <v>4</v>
      </c>
      <c r="AU438" s="357">
        <v>3</v>
      </c>
      <c r="AV438" s="357">
        <v>4</v>
      </c>
      <c r="AW438" s="357">
        <v>5</v>
      </c>
      <c r="AX438" s="357">
        <v>4</v>
      </c>
      <c r="AY438" s="357">
        <v>4</v>
      </c>
      <c r="AZ438" s="357">
        <v>2</v>
      </c>
      <c r="BA438" s="357">
        <v>5</v>
      </c>
      <c r="BB438" s="357">
        <v>11</v>
      </c>
      <c r="BC438" s="357">
        <v>29</v>
      </c>
    </row>
    <row r="439" spans="1:55" s="381" customFormat="1" ht="17.649999999999999" customHeight="1">
      <c r="A439" s="343">
        <v>7</v>
      </c>
      <c r="B439" s="211" t="s">
        <v>2087</v>
      </c>
      <c r="C439" s="211" t="s">
        <v>2055</v>
      </c>
      <c r="D439" s="211" t="s">
        <v>2063</v>
      </c>
      <c r="E439" s="344">
        <v>11928</v>
      </c>
      <c r="F439" s="344">
        <v>13692</v>
      </c>
      <c r="G439" s="356">
        <v>16736.3</v>
      </c>
      <c r="H439" s="344">
        <v>17930.0333333333</v>
      </c>
      <c r="I439" s="344">
        <v>16955.866666666701</v>
      </c>
      <c r="J439" s="344">
        <v>15542.8</v>
      </c>
      <c r="K439" s="344">
        <v>13709.266666666699</v>
      </c>
      <c r="L439" s="344">
        <f t="shared" si="55"/>
        <v>3956.3688888888964</v>
      </c>
      <c r="M439" s="344">
        <v>8211.4666666666708</v>
      </c>
      <c r="N439" s="344">
        <v>5464.6666666666697</v>
      </c>
      <c r="O439" s="344">
        <v>2789.7333333333299</v>
      </c>
      <c r="P439" s="344">
        <v>624.4</v>
      </c>
      <c r="Q439" s="344">
        <v>813.16666666666697</v>
      </c>
      <c r="R439" s="344">
        <v>781.66666666666697</v>
      </c>
      <c r="S439" s="344">
        <v>885.5</v>
      </c>
      <c r="T439" s="344">
        <v>1193.9666666666701</v>
      </c>
      <c r="U439" s="344">
        <v>1008.7</v>
      </c>
      <c r="V439" s="344">
        <v>953.86666666666702</v>
      </c>
      <c r="W439" s="344">
        <v>1059.8</v>
      </c>
      <c r="X439" s="344">
        <v>767.2</v>
      </c>
      <c r="Y439" s="344">
        <v>768.6</v>
      </c>
      <c r="Z439" s="344">
        <v>715.63333333333298</v>
      </c>
      <c r="AA439" s="344">
        <v>745.26666666666699</v>
      </c>
      <c r="AB439" s="344">
        <v>741.06666666666695</v>
      </c>
      <c r="AC439" s="344">
        <v>1031.3333333333301</v>
      </c>
      <c r="AD439" s="344">
        <f t="shared" si="56"/>
        <v>290.26666666666313</v>
      </c>
      <c r="AE439" s="344">
        <v>3</v>
      </c>
      <c r="AF439" s="344">
        <v>7</v>
      </c>
      <c r="AG439" s="346">
        <v>1</v>
      </c>
      <c r="AH439" s="346">
        <v>1</v>
      </c>
      <c r="AI439" s="346">
        <v>1</v>
      </c>
      <c r="AJ439" s="346">
        <v>1</v>
      </c>
      <c r="AK439" s="346">
        <v>1</v>
      </c>
      <c r="AL439" s="346">
        <v>1</v>
      </c>
      <c r="AM439" s="346">
        <v>1</v>
      </c>
      <c r="AN439" s="346">
        <v>1</v>
      </c>
      <c r="AO439" s="346">
        <v>1</v>
      </c>
      <c r="AP439" s="346">
        <v>1</v>
      </c>
      <c r="AQ439" s="357">
        <v>1</v>
      </c>
      <c r="AR439" s="357">
        <v>1</v>
      </c>
      <c r="AS439" s="357">
        <v>10</v>
      </c>
      <c r="AT439" s="357">
        <v>1</v>
      </c>
      <c r="AU439" s="357">
        <v>6</v>
      </c>
      <c r="AV439" s="357">
        <v>1</v>
      </c>
      <c r="AW439" s="357">
        <v>9</v>
      </c>
      <c r="AX439" s="357">
        <v>1</v>
      </c>
      <c r="AY439" s="357">
        <v>1</v>
      </c>
      <c r="AZ439" s="357">
        <v>1</v>
      </c>
      <c r="BA439" s="357">
        <v>2</v>
      </c>
      <c r="BB439" s="357">
        <v>1</v>
      </c>
      <c r="BC439" s="357">
        <v>1</v>
      </c>
    </row>
    <row r="440" spans="1:55" s="381" customFormat="1" ht="17.649999999999999" customHeight="1">
      <c r="A440" s="343">
        <v>8</v>
      </c>
      <c r="B440" s="211" t="s">
        <v>2088</v>
      </c>
      <c r="C440" s="211" t="s">
        <v>2055</v>
      </c>
      <c r="D440" s="211" t="s">
        <v>2090</v>
      </c>
      <c r="E440" s="344">
        <v>193</v>
      </c>
      <c r="F440" s="344">
        <v>163.566666666667</v>
      </c>
      <c r="G440" s="356">
        <v>133.69999999999999</v>
      </c>
      <c r="H440" s="344">
        <v>123.666666666667</v>
      </c>
      <c r="I440" s="344">
        <v>106.633333333333</v>
      </c>
      <c r="J440" s="344">
        <v>92.1666666666667</v>
      </c>
      <c r="K440" s="344">
        <v>83.066666666666706</v>
      </c>
      <c r="L440" s="344">
        <f t="shared" si="55"/>
        <v>24.881111111111032</v>
      </c>
      <c r="M440" s="344">
        <v>99.1666666666667</v>
      </c>
      <c r="N440" s="344">
        <v>102.433333333333</v>
      </c>
      <c r="O440" s="344">
        <v>109.433333333333</v>
      </c>
      <c r="P440" s="344">
        <v>107.333333333333</v>
      </c>
      <c r="Q440" s="344">
        <v>91.933333333333294</v>
      </c>
      <c r="R440" s="344">
        <v>86.3333333333333</v>
      </c>
      <c r="S440" s="344">
        <v>93.3333333333333</v>
      </c>
      <c r="T440" s="344">
        <v>96.366666666666703</v>
      </c>
      <c r="U440" s="344">
        <v>102.9</v>
      </c>
      <c r="V440" s="344">
        <v>98</v>
      </c>
      <c r="W440" s="344">
        <v>92.4</v>
      </c>
      <c r="X440" s="344">
        <v>86.3333333333333</v>
      </c>
      <c r="Y440" s="344">
        <v>78.1666666666667</v>
      </c>
      <c r="Z440" s="344">
        <v>75.8333333333333</v>
      </c>
      <c r="AA440" s="344">
        <v>79.099999999999994</v>
      </c>
      <c r="AB440" s="344">
        <v>78.1666666666667</v>
      </c>
      <c r="AC440" s="344">
        <v>81.2</v>
      </c>
      <c r="AD440" s="344">
        <f t="shared" si="56"/>
        <v>3.033333333333303</v>
      </c>
      <c r="AE440" s="344">
        <v>1</v>
      </c>
      <c r="AF440" s="344">
        <v>1</v>
      </c>
      <c r="AG440" s="346">
        <v>1</v>
      </c>
      <c r="AH440" s="346">
        <v>1</v>
      </c>
      <c r="AI440" s="346">
        <v>1</v>
      </c>
      <c r="AJ440" s="346">
        <v>1</v>
      </c>
      <c r="AK440" s="346">
        <v>2</v>
      </c>
      <c r="AL440" s="346">
        <v>1</v>
      </c>
      <c r="AM440" s="346">
        <v>1</v>
      </c>
      <c r="AN440" s="346">
        <v>1</v>
      </c>
      <c r="AO440" s="346">
        <v>1</v>
      </c>
      <c r="AP440" s="346">
        <v>1</v>
      </c>
      <c r="AQ440" s="357">
        <v>1</v>
      </c>
      <c r="AR440" s="357">
        <v>1</v>
      </c>
      <c r="AS440" s="357">
        <v>1</v>
      </c>
      <c r="AT440" s="357">
        <v>1</v>
      </c>
      <c r="AU440" s="357">
        <v>1</v>
      </c>
      <c r="AV440" s="357">
        <v>1</v>
      </c>
      <c r="AW440" s="357">
        <v>9</v>
      </c>
      <c r="AX440" s="357">
        <v>1</v>
      </c>
      <c r="AY440" s="357">
        <v>1</v>
      </c>
      <c r="AZ440" s="357">
        <v>2</v>
      </c>
      <c r="BA440" s="357">
        <v>2</v>
      </c>
      <c r="BB440" s="357">
        <v>2</v>
      </c>
      <c r="BC440" s="357">
        <v>1</v>
      </c>
    </row>
    <row r="441" spans="1:55" s="381" customFormat="1" ht="17.649999999999999" customHeight="1">
      <c r="A441" s="343">
        <v>9</v>
      </c>
      <c r="B441" s="211" t="s">
        <v>2089</v>
      </c>
      <c r="C441" s="211" t="s">
        <v>2055</v>
      </c>
      <c r="D441" s="211" t="s">
        <v>2090</v>
      </c>
      <c r="E441" s="344">
        <v>144</v>
      </c>
      <c r="F441" s="344">
        <v>142.333333333333</v>
      </c>
      <c r="G441" s="356">
        <v>132.76666666666699</v>
      </c>
      <c r="H441" s="344">
        <v>128.566666666667</v>
      </c>
      <c r="I441" s="344">
        <v>120.633333333333</v>
      </c>
      <c r="J441" s="344">
        <v>113.166666666667</v>
      </c>
      <c r="K441" s="344">
        <v>106.166666666667</v>
      </c>
      <c r="L441" s="344">
        <f t="shared" si="55"/>
        <v>28.147777777777701</v>
      </c>
      <c r="M441" s="344">
        <v>97.533333333333303</v>
      </c>
      <c r="N441" s="344">
        <v>119.933333333333</v>
      </c>
      <c r="O441" s="344">
        <v>137.19999999999999</v>
      </c>
      <c r="P441" s="344">
        <v>143.73333333333301</v>
      </c>
      <c r="Q441" s="344">
        <v>141.86666666666699</v>
      </c>
      <c r="R441" s="344">
        <v>112.23333333333299</v>
      </c>
      <c r="S441" s="344">
        <v>83.766666666666694</v>
      </c>
      <c r="T441" s="344">
        <v>69.066666666666706</v>
      </c>
      <c r="U441" s="344">
        <v>63.7</v>
      </c>
      <c r="V441" s="344">
        <v>59.966666666666697</v>
      </c>
      <c r="W441" s="344">
        <v>56</v>
      </c>
      <c r="X441" s="344">
        <v>60.6666666666667</v>
      </c>
      <c r="Y441" s="344">
        <v>64.400000000000006</v>
      </c>
      <c r="Z441" s="344">
        <v>59.5</v>
      </c>
      <c r="AA441" s="344">
        <v>58.1</v>
      </c>
      <c r="AB441" s="344">
        <v>59.5</v>
      </c>
      <c r="AC441" s="344">
        <v>54.8333333333333</v>
      </c>
      <c r="AD441" s="344">
        <f t="shared" si="56"/>
        <v>-4.6666666666666998</v>
      </c>
      <c r="AE441" s="344">
        <v>1</v>
      </c>
      <c r="AF441" s="344">
        <v>1</v>
      </c>
      <c r="AG441" s="346">
        <v>12</v>
      </c>
      <c r="AH441" s="346">
        <v>11</v>
      </c>
      <c r="AI441" s="346">
        <v>1</v>
      </c>
      <c r="AJ441" s="346">
        <v>3</v>
      </c>
      <c r="AK441" s="346">
        <v>2</v>
      </c>
      <c r="AL441" s="346">
        <v>3</v>
      </c>
      <c r="AM441" s="346">
        <v>2</v>
      </c>
      <c r="AN441" s="346">
        <v>2</v>
      </c>
      <c r="AO441" s="346">
        <v>2</v>
      </c>
      <c r="AP441" s="357">
        <v>1</v>
      </c>
      <c r="AQ441" s="357">
        <v>1</v>
      </c>
      <c r="AR441" s="357">
        <v>1</v>
      </c>
      <c r="AS441" s="357">
        <v>1</v>
      </c>
      <c r="AT441" s="357">
        <v>2</v>
      </c>
      <c r="AU441" s="357">
        <v>1</v>
      </c>
      <c r="AV441" s="357">
        <v>1</v>
      </c>
      <c r="AW441" s="357">
        <v>10</v>
      </c>
      <c r="AX441" s="357">
        <v>1</v>
      </c>
      <c r="AY441" s="357">
        <v>2</v>
      </c>
      <c r="AZ441" s="357">
        <v>2</v>
      </c>
      <c r="BA441" s="357">
        <v>10</v>
      </c>
      <c r="BB441" s="357">
        <v>1</v>
      </c>
      <c r="BC441" s="357">
        <v>1</v>
      </c>
    </row>
    <row r="442" spans="1:55" s="381" customFormat="1" ht="17.649999999999999" customHeight="1">
      <c r="A442" s="343">
        <v>10</v>
      </c>
      <c r="B442" s="211" t="s">
        <v>2091</v>
      </c>
      <c r="C442" s="211" t="s">
        <v>2055</v>
      </c>
      <c r="D442" s="211" t="s">
        <v>2063</v>
      </c>
      <c r="E442" s="344">
        <v>371</v>
      </c>
      <c r="F442" s="344">
        <v>369.83333333333297</v>
      </c>
      <c r="G442" s="356">
        <v>377.76666666666699</v>
      </c>
      <c r="H442" s="344">
        <v>392.23333333333301</v>
      </c>
      <c r="I442" s="344">
        <v>407.86666666666702</v>
      </c>
      <c r="J442" s="344">
        <v>406.933333333333</v>
      </c>
      <c r="K442" s="344">
        <v>391.53333333333302</v>
      </c>
      <c r="L442" s="344">
        <f t="shared" si="55"/>
        <v>95.168888888888972</v>
      </c>
      <c r="M442" s="344">
        <v>343.933333333333</v>
      </c>
      <c r="N442" s="344">
        <v>344.4</v>
      </c>
      <c r="O442" s="344">
        <v>322.46666666666698</v>
      </c>
      <c r="P442" s="344">
        <v>308.7</v>
      </c>
      <c r="Q442" s="344">
        <v>291.2</v>
      </c>
      <c r="R442" s="344">
        <v>267.63333333333298</v>
      </c>
      <c r="S442" s="344">
        <v>304.26666666666699</v>
      </c>
      <c r="T442" s="344">
        <v>397.13333333333298</v>
      </c>
      <c r="U442" s="344">
        <v>523.13333333333298</v>
      </c>
      <c r="V442" s="344">
        <v>608.76666666666699</v>
      </c>
      <c r="W442" s="344">
        <v>679.7</v>
      </c>
      <c r="X442" s="344">
        <v>701.63333333333298</v>
      </c>
      <c r="Y442" s="344">
        <v>691.36666666666702</v>
      </c>
      <c r="Z442" s="344">
        <v>657.3</v>
      </c>
      <c r="AA442" s="344">
        <v>698.13333333333298</v>
      </c>
      <c r="AB442" s="344">
        <v>735.23333333333301</v>
      </c>
      <c r="AC442" s="344">
        <v>765.8</v>
      </c>
      <c r="AD442" s="344">
        <f t="shared" si="56"/>
        <v>30.566666666666947</v>
      </c>
      <c r="AE442" s="344">
        <v>5</v>
      </c>
      <c r="AF442" s="344">
        <v>8</v>
      </c>
      <c r="AG442" s="346">
        <v>5</v>
      </c>
      <c r="AH442" s="346">
        <v>1</v>
      </c>
      <c r="AI442" s="346">
        <v>3</v>
      </c>
      <c r="AJ442" s="346">
        <v>10</v>
      </c>
      <c r="AK442" s="346">
        <v>9</v>
      </c>
      <c r="AL442" s="346">
        <v>10</v>
      </c>
      <c r="AM442" s="346">
        <v>1</v>
      </c>
      <c r="AN442" s="346">
        <v>3</v>
      </c>
      <c r="AO442" s="346">
        <v>3</v>
      </c>
      <c r="AP442" s="346">
        <v>8</v>
      </c>
      <c r="AQ442" s="357">
        <v>5</v>
      </c>
      <c r="AR442" s="357">
        <v>2</v>
      </c>
      <c r="AS442" s="357">
        <v>1</v>
      </c>
      <c r="AT442" s="357">
        <v>4</v>
      </c>
      <c r="AU442" s="357">
        <v>5</v>
      </c>
      <c r="AV442" s="357">
        <v>3</v>
      </c>
      <c r="AW442" s="357">
        <v>2</v>
      </c>
      <c r="AX442" s="357">
        <v>3</v>
      </c>
      <c r="AY442" s="357">
        <v>4</v>
      </c>
      <c r="AZ442" s="357">
        <v>3</v>
      </c>
      <c r="BA442" s="357">
        <v>8</v>
      </c>
      <c r="BB442" s="357">
        <v>8</v>
      </c>
      <c r="BC442" s="357">
        <v>5</v>
      </c>
    </row>
    <row r="443" spans="1:55" s="381" customFormat="1" ht="17.649999999999999" customHeight="1">
      <c r="A443" s="343">
        <v>11</v>
      </c>
      <c r="B443" s="211" t="s">
        <v>2092</v>
      </c>
      <c r="C443" s="211" t="s">
        <v>2055</v>
      </c>
      <c r="D443" s="211" t="s">
        <v>2090</v>
      </c>
      <c r="E443" s="344">
        <v>46</v>
      </c>
      <c r="F443" s="344">
        <v>50.1666666666667</v>
      </c>
      <c r="G443" s="356">
        <v>48.3</v>
      </c>
      <c r="H443" s="344">
        <v>49.7</v>
      </c>
      <c r="I443" s="344">
        <v>53.6666666666667</v>
      </c>
      <c r="J443" s="344">
        <v>53.433333333333302</v>
      </c>
      <c r="K443" s="344">
        <v>50.1666666666667</v>
      </c>
      <c r="L443" s="344">
        <f t="shared" si="55"/>
        <v>12.522222222222231</v>
      </c>
      <c r="M443" s="344">
        <v>44.566666666666698</v>
      </c>
      <c r="N443" s="344">
        <v>42</v>
      </c>
      <c r="O443" s="344">
        <v>45.266666666666701</v>
      </c>
      <c r="P443" s="344">
        <v>53.6666666666667</v>
      </c>
      <c r="Q443" s="344">
        <v>60.433333333333302</v>
      </c>
      <c r="R443" s="344">
        <v>60.6666666666667</v>
      </c>
      <c r="S443" s="344">
        <v>67.6666666666667</v>
      </c>
      <c r="T443" s="344">
        <v>65.566666666666706</v>
      </c>
      <c r="U443" s="344">
        <v>56</v>
      </c>
      <c r="V443" s="344">
        <v>55.766666666666701</v>
      </c>
      <c r="W443" s="344">
        <v>49</v>
      </c>
      <c r="X443" s="344">
        <v>47.6</v>
      </c>
      <c r="Y443" s="344">
        <v>45.033333333333303</v>
      </c>
      <c r="Z443" s="344">
        <v>38.733333333333299</v>
      </c>
      <c r="AA443" s="344">
        <v>32.9</v>
      </c>
      <c r="AB443" s="344">
        <v>30.3333333333333</v>
      </c>
      <c r="AC443" s="344">
        <v>32.9</v>
      </c>
      <c r="AD443" s="344">
        <f t="shared" si="56"/>
        <v>2.5666666666666984</v>
      </c>
      <c r="AE443" s="344">
        <v>1</v>
      </c>
      <c r="AF443" s="344">
        <v>8</v>
      </c>
      <c r="AG443" s="346">
        <v>10</v>
      </c>
      <c r="AH443" s="346">
        <v>4</v>
      </c>
      <c r="AI443" s="346">
        <v>3</v>
      </c>
      <c r="AJ443" s="346">
        <v>4</v>
      </c>
      <c r="AK443" s="346">
        <v>3</v>
      </c>
      <c r="AL443" s="346">
        <v>4</v>
      </c>
      <c r="AM443" s="346">
        <v>2</v>
      </c>
      <c r="AN443" s="346">
        <v>2</v>
      </c>
      <c r="AO443" s="346">
        <v>2</v>
      </c>
      <c r="AP443" s="346">
        <v>2</v>
      </c>
      <c r="AQ443" s="357">
        <v>8</v>
      </c>
      <c r="AR443" s="357">
        <v>5</v>
      </c>
      <c r="AS443" s="357">
        <v>3</v>
      </c>
      <c r="AT443" s="357">
        <v>2</v>
      </c>
      <c r="AU443" s="357">
        <v>1</v>
      </c>
      <c r="AV443" s="357">
        <v>2</v>
      </c>
      <c r="AW443" s="357">
        <v>2</v>
      </c>
      <c r="AX443" s="357">
        <v>2</v>
      </c>
      <c r="AY443" s="357">
        <v>6</v>
      </c>
      <c r="AZ443" s="357">
        <v>3</v>
      </c>
      <c r="BA443" s="357">
        <v>3</v>
      </c>
      <c r="BB443" s="357">
        <v>2</v>
      </c>
      <c r="BC443" s="357">
        <v>3</v>
      </c>
    </row>
    <row r="444" spans="1:55" s="381" customFormat="1" ht="17.649999999999999" customHeight="1">
      <c r="A444" s="343">
        <v>12</v>
      </c>
      <c r="B444" s="211" t="s">
        <v>2093</v>
      </c>
      <c r="C444" s="211" t="s">
        <v>2055</v>
      </c>
      <c r="D444" s="211" t="s">
        <v>2090</v>
      </c>
      <c r="E444" s="344">
        <v>116</v>
      </c>
      <c r="F444" s="344">
        <v>101.26666666666701</v>
      </c>
      <c r="G444" s="356">
        <v>71.633333333333297</v>
      </c>
      <c r="H444" s="344">
        <v>61.6</v>
      </c>
      <c r="I444" s="344">
        <v>46.9</v>
      </c>
      <c r="J444" s="344">
        <v>40.366666666666703</v>
      </c>
      <c r="K444" s="344">
        <v>39.433333333333302</v>
      </c>
      <c r="L444" s="344">
        <f t="shared" si="55"/>
        <v>10.943333333333333</v>
      </c>
      <c r="M444" s="344">
        <v>38.5</v>
      </c>
      <c r="N444" s="344">
        <v>38.266666666666701</v>
      </c>
      <c r="O444" s="344">
        <v>46.2</v>
      </c>
      <c r="P444" s="344">
        <v>49.233333333333299</v>
      </c>
      <c r="Q444" s="344">
        <v>57.4</v>
      </c>
      <c r="R444" s="344">
        <v>59.966666666666697</v>
      </c>
      <c r="S444" s="344">
        <v>59.033333333333303</v>
      </c>
      <c r="T444" s="344">
        <v>57.1666666666667</v>
      </c>
      <c r="U444" s="344">
        <v>53.9</v>
      </c>
      <c r="V444" s="344">
        <v>54.6</v>
      </c>
      <c r="W444" s="344">
        <v>59.966666666666697</v>
      </c>
      <c r="X444" s="344">
        <v>69.3</v>
      </c>
      <c r="Y444" s="344">
        <v>72.3333333333333</v>
      </c>
      <c r="Z444" s="344">
        <v>95.6666666666667</v>
      </c>
      <c r="AA444" s="344">
        <v>124.133333333333</v>
      </c>
      <c r="AB444" s="344">
        <v>122.033333333333</v>
      </c>
      <c r="AC444" s="344">
        <v>131.6</v>
      </c>
      <c r="AD444" s="344">
        <f t="shared" si="56"/>
        <v>9.5666666666669897</v>
      </c>
      <c r="AE444" s="344">
        <v>1</v>
      </c>
      <c r="AF444" s="344">
        <v>1</v>
      </c>
      <c r="AG444" s="346">
        <v>1</v>
      </c>
      <c r="AH444" s="346">
        <v>1</v>
      </c>
      <c r="AI444" s="346">
        <v>9</v>
      </c>
      <c r="AJ444" s="346">
        <v>9</v>
      </c>
      <c r="AK444" s="346">
        <v>1</v>
      </c>
      <c r="AL444" s="346">
        <v>9</v>
      </c>
      <c r="AM444" s="346">
        <v>1</v>
      </c>
      <c r="AN444" s="346">
        <v>1</v>
      </c>
      <c r="AO444" s="346">
        <v>1</v>
      </c>
      <c r="AP444" s="346">
        <v>9</v>
      </c>
      <c r="AQ444" s="357">
        <v>1</v>
      </c>
      <c r="AR444" s="357">
        <v>1</v>
      </c>
      <c r="AS444" s="357">
        <v>1</v>
      </c>
      <c r="AT444" s="357">
        <v>7</v>
      </c>
      <c r="AU444" s="357">
        <v>1</v>
      </c>
      <c r="AV444" s="357">
        <v>1</v>
      </c>
      <c r="AW444" s="357">
        <v>3</v>
      </c>
      <c r="AX444" s="357">
        <v>1</v>
      </c>
      <c r="AY444" s="357">
        <v>1</v>
      </c>
      <c r="AZ444" s="357">
        <v>1</v>
      </c>
      <c r="BA444" s="357">
        <v>1</v>
      </c>
      <c r="BB444" s="357">
        <v>1</v>
      </c>
      <c r="BC444" s="357">
        <v>1</v>
      </c>
    </row>
    <row r="445" spans="1:55" s="381" customFormat="1" ht="17.649999999999999" customHeight="1">
      <c r="A445" s="343">
        <v>13</v>
      </c>
      <c r="B445" s="211" t="s">
        <v>2094</v>
      </c>
      <c r="C445" s="211" t="s">
        <v>2055</v>
      </c>
      <c r="D445" s="211" t="s">
        <v>2090</v>
      </c>
      <c r="E445" s="344">
        <v>91</v>
      </c>
      <c r="F445" s="344">
        <v>84.7</v>
      </c>
      <c r="G445" s="356">
        <v>74.6666666666667</v>
      </c>
      <c r="H445" s="344">
        <v>67.6666666666667</v>
      </c>
      <c r="I445" s="344">
        <v>64.400000000000006</v>
      </c>
      <c r="J445" s="344">
        <v>67.6666666666667</v>
      </c>
      <c r="K445" s="344">
        <v>72.566666666666706</v>
      </c>
      <c r="L445" s="344">
        <f t="shared" si="55"/>
        <v>15.026666666666669</v>
      </c>
      <c r="M445" s="344">
        <v>59.266666666666701</v>
      </c>
      <c r="N445" s="344">
        <v>57.866666666666703</v>
      </c>
      <c r="O445" s="344">
        <v>53.433333333333302</v>
      </c>
      <c r="P445" s="344">
        <v>63.933333333333302</v>
      </c>
      <c r="Q445" s="344">
        <v>74.900000000000006</v>
      </c>
      <c r="R445" s="344">
        <v>83.533333333333303</v>
      </c>
      <c r="S445" s="344">
        <v>87.966666666666697</v>
      </c>
      <c r="T445" s="344">
        <v>93.3333333333333</v>
      </c>
      <c r="U445" s="344">
        <v>90.766666666666694</v>
      </c>
      <c r="V445" s="344">
        <v>85.633333333333297</v>
      </c>
      <c r="W445" s="344">
        <v>73.733333333333306</v>
      </c>
      <c r="X445" s="344">
        <v>66.266666666666694</v>
      </c>
      <c r="Y445" s="344">
        <v>58.566666666666698</v>
      </c>
      <c r="Z445" s="344">
        <v>61.133333333333297</v>
      </c>
      <c r="AA445" s="344">
        <v>63.233333333333299</v>
      </c>
      <c r="AB445" s="344">
        <v>63.233333333333299</v>
      </c>
      <c r="AC445" s="344">
        <v>63.466666666666697</v>
      </c>
      <c r="AD445" s="344">
        <f t="shared" si="56"/>
        <v>0.23333333333339823</v>
      </c>
      <c r="AE445" s="344">
        <v>2</v>
      </c>
      <c r="AF445" s="344">
        <v>10</v>
      </c>
      <c r="AG445" s="346">
        <v>15</v>
      </c>
      <c r="AH445" s="346">
        <v>9</v>
      </c>
      <c r="AI445" s="346">
        <v>1</v>
      </c>
      <c r="AJ445" s="346">
        <v>2</v>
      </c>
      <c r="AK445" s="346">
        <v>1</v>
      </c>
      <c r="AL445" s="346">
        <v>2</v>
      </c>
      <c r="AM445" s="346">
        <v>1</v>
      </c>
      <c r="AN445" s="346">
        <v>13</v>
      </c>
      <c r="AO445" s="346">
        <v>13</v>
      </c>
      <c r="AP445" s="357">
        <v>21</v>
      </c>
      <c r="AQ445" s="357">
        <v>3</v>
      </c>
      <c r="AR445" s="357">
        <v>5</v>
      </c>
      <c r="AS445" s="357">
        <v>3</v>
      </c>
      <c r="AT445" s="357">
        <v>20</v>
      </c>
      <c r="AU445" s="357">
        <v>2</v>
      </c>
      <c r="AV445" s="357">
        <v>9</v>
      </c>
      <c r="AW445" s="357">
        <v>13</v>
      </c>
      <c r="AX445" s="357">
        <v>2</v>
      </c>
      <c r="AY445" s="357">
        <v>2</v>
      </c>
      <c r="AZ445" s="357">
        <v>6</v>
      </c>
      <c r="BA445" s="357">
        <v>9</v>
      </c>
      <c r="BB445" s="357">
        <v>11</v>
      </c>
      <c r="BC445" s="357">
        <v>3</v>
      </c>
    </row>
    <row r="446" spans="1:55" s="381" customFormat="1" ht="17.649999999999999" customHeight="1">
      <c r="A446" s="343">
        <v>14</v>
      </c>
      <c r="B446" s="211" t="s">
        <v>2095</v>
      </c>
      <c r="C446" s="211" t="s">
        <v>2055</v>
      </c>
      <c r="D446" s="211" t="s">
        <v>2063</v>
      </c>
      <c r="E446" s="344">
        <v>805</v>
      </c>
      <c r="F446" s="344">
        <v>1026.2</v>
      </c>
      <c r="G446" s="356">
        <v>1274.93333333333</v>
      </c>
      <c r="H446" s="344">
        <v>1390.43333333333</v>
      </c>
      <c r="I446" s="344">
        <v>1468.36666666667</v>
      </c>
      <c r="J446" s="344">
        <v>1431.0333333333299</v>
      </c>
      <c r="K446" s="344">
        <v>1476.3</v>
      </c>
      <c r="L446" s="344">
        <f t="shared" si="55"/>
        <v>342.61888888888967</v>
      </c>
      <c r="M446" s="344">
        <v>1019.43333333333</v>
      </c>
      <c r="N446" s="344">
        <v>1003.33333333333</v>
      </c>
      <c r="O446" s="344">
        <v>950.36666666666702</v>
      </c>
      <c r="P446" s="344">
        <v>542.5</v>
      </c>
      <c r="Q446" s="344">
        <v>450.33333333333297</v>
      </c>
      <c r="R446" s="344">
        <v>353.5</v>
      </c>
      <c r="S446" s="344">
        <v>225.86666666666699</v>
      </c>
      <c r="T446" s="344">
        <v>154</v>
      </c>
      <c r="U446" s="344">
        <v>117.133333333333</v>
      </c>
      <c r="V446" s="344">
        <v>94.033333333333303</v>
      </c>
      <c r="W446" s="344">
        <v>73.266666666666694</v>
      </c>
      <c r="X446" s="344">
        <v>68.8333333333333</v>
      </c>
      <c r="Y446" s="344">
        <v>62.766666666666701</v>
      </c>
      <c r="Z446" s="344">
        <v>59.5</v>
      </c>
      <c r="AA446" s="344">
        <v>53.6666666666667</v>
      </c>
      <c r="AB446" s="344">
        <v>55.066666666666698</v>
      </c>
      <c r="AC446" s="344">
        <v>59.266666666666701</v>
      </c>
      <c r="AD446" s="344">
        <f t="shared" si="56"/>
        <v>4.2000000000000028</v>
      </c>
      <c r="AE446" s="344">
        <v>1</v>
      </c>
      <c r="AF446" s="344">
        <v>3</v>
      </c>
      <c r="AG446" s="346">
        <v>1</v>
      </c>
      <c r="AH446" s="346">
        <v>2</v>
      </c>
      <c r="AI446" s="346">
        <v>5</v>
      </c>
      <c r="AJ446" s="346">
        <v>1</v>
      </c>
      <c r="AK446" s="346">
        <v>1</v>
      </c>
      <c r="AL446" s="346">
        <v>1</v>
      </c>
      <c r="AM446" s="346">
        <v>3</v>
      </c>
      <c r="AN446" s="346">
        <v>1</v>
      </c>
      <c r="AO446" s="346">
        <v>1</v>
      </c>
      <c r="AP446" s="346">
        <v>5</v>
      </c>
      <c r="AQ446" s="357">
        <v>1</v>
      </c>
      <c r="AR446" s="357">
        <v>3</v>
      </c>
      <c r="AS446" s="357">
        <v>9</v>
      </c>
      <c r="AT446" s="357">
        <v>10</v>
      </c>
      <c r="AU446" s="357">
        <v>1</v>
      </c>
      <c r="AV446" s="357">
        <v>1</v>
      </c>
      <c r="AW446" s="357">
        <v>1</v>
      </c>
      <c r="AX446" s="357">
        <v>1</v>
      </c>
      <c r="AY446" s="357">
        <v>1</v>
      </c>
      <c r="AZ446" s="357">
        <v>1</v>
      </c>
      <c r="BA446" s="357">
        <v>1</v>
      </c>
      <c r="BB446" s="357">
        <v>1</v>
      </c>
      <c r="BC446" s="357">
        <v>1</v>
      </c>
    </row>
    <row r="447" spans="1:55" s="381" customFormat="1" ht="17.649999999999999" customHeight="1">
      <c r="A447" s="343">
        <v>15</v>
      </c>
      <c r="B447" s="211" t="s">
        <v>2096</v>
      </c>
      <c r="C447" s="211" t="s">
        <v>2055</v>
      </c>
      <c r="D447" s="211" t="s">
        <v>2090</v>
      </c>
      <c r="E447" s="344">
        <v>13</v>
      </c>
      <c r="F447" s="344">
        <v>13.533333333333299</v>
      </c>
      <c r="G447" s="356">
        <v>8.4</v>
      </c>
      <c r="H447" s="344">
        <v>6.7666666666666702</v>
      </c>
      <c r="I447" s="344">
        <v>10.966666666666701</v>
      </c>
      <c r="J447" s="344">
        <v>9.8000000000000007</v>
      </c>
      <c r="K447" s="344">
        <v>7.7</v>
      </c>
      <c r="L447" s="344">
        <f t="shared" si="55"/>
        <v>2.5588888888888968</v>
      </c>
      <c r="M447" s="344">
        <v>5.3666666666666698</v>
      </c>
      <c r="N447" s="344">
        <v>5.1333333333333302</v>
      </c>
      <c r="O447" s="344">
        <v>5.6</v>
      </c>
      <c r="P447" s="344">
        <v>5.8333333333333304</v>
      </c>
      <c r="Q447" s="344">
        <v>6.3</v>
      </c>
      <c r="R447" s="344">
        <v>6.3</v>
      </c>
      <c r="S447" s="344">
        <v>5.6</v>
      </c>
      <c r="T447" s="344">
        <v>4.43333333333333</v>
      </c>
      <c r="U447" s="344">
        <v>7</v>
      </c>
      <c r="V447" s="344">
        <v>8.8666666666666707</v>
      </c>
      <c r="W447" s="344">
        <v>7.93333333333333</v>
      </c>
      <c r="X447" s="344">
        <v>7.7</v>
      </c>
      <c r="Y447" s="344">
        <v>4.43333333333333</v>
      </c>
      <c r="Z447" s="344">
        <v>3.0333333333333301</v>
      </c>
      <c r="AA447" s="344">
        <v>1.86666666666667</v>
      </c>
      <c r="AB447" s="344">
        <v>2.1</v>
      </c>
      <c r="AC447" s="344">
        <v>3.5</v>
      </c>
      <c r="AD447" s="344">
        <f t="shared" si="56"/>
        <v>1.4</v>
      </c>
      <c r="AE447" s="344">
        <v>11</v>
      </c>
      <c r="AF447" s="344">
        <v>12</v>
      </c>
      <c r="AG447" s="346">
        <v>1</v>
      </c>
      <c r="AH447" s="346">
        <v>1</v>
      </c>
      <c r="AI447" s="346">
        <v>1</v>
      </c>
      <c r="AJ447" s="346">
        <v>10</v>
      </c>
      <c r="AK447" s="346">
        <v>1</v>
      </c>
      <c r="AL447" s="346">
        <v>10</v>
      </c>
      <c r="AM447" s="346">
        <v>1</v>
      </c>
      <c r="AN447" s="346">
        <v>4</v>
      </c>
      <c r="AO447" s="346">
        <v>4</v>
      </c>
      <c r="AP447" s="346">
        <v>1</v>
      </c>
      <c r="AQ447" s="357">
        <v>1</v>
      </c>
      <c r="AR447" s="357">
        <v>1</v>
      </c>
      <c r="AS447" s="357">
        <v>1</v>
      </c>
      <c r="AT447" s="357">
        <v>1</v>
      </c>
      <c r="AU447" s="357">
        <v>1</v>
      </c>
      <c r="AV447" s="357">
        <v>1</v>
      </c>
      <c r="AW447" s="357">
        <v>1</v>
      </c>
      <c r="AX447" s="357">
        <v>1</v>
      </c>
      <c r="AY447" s="357">
        <v>1</v>
      </c>
      <c r="AZ447" s="357">
        <v>2</v>
      </c>
      <c r="BA447" s="357">
        <v>1</v>
      </c>
      <c r="BB447" s="357">
        <v>2</v>
      </c>
      <c r="BC447" s="357">
        <v>2</v>
      </c>
    </row>
    <row r="448" spans="1:55" s="381" customFormat="1" ht="17.649999999999999" customHeight="1">
      <c r="A448" s="343">
        <v>16</v>
      </c>
      <c r="B448" s="211" t="s">
        <v>2097</v>
      </c>
      <c r="C448" s="211" t="s">
        <v>2055</v>
      </c>
      <c r="D448" s="211" t="s">
        <v>2090</v>
      </c>
      <c r="E448" s="344">
        <v>131</v>
      </c>
      <c r="F448" s="344">
        <v>124.833333333333</v>
      </c>
      <c r="G448" s="356">
        <v>128.80000000000001</v>
      </c>
      <c r="H448" s="344">
        <v>130.19999999999999</v>
      </c>
      <c r="I448" s="344">
        <v>128.80000000000001</v>
      </c>
      <c r="J448" s="344">
        <v>122.033333333333</v>
      </c>
      <c r="K448" s="344">
        <v>118.76666666666701</v>
      </c>
      <c r="L448" s="344">
        <f t="shared" si="55"/>
        <v>30.053333333333338</v>
      </c>
      <c r="M448" s="344">
        <v>129.26666666666699</v>
      </c>
      <c r="N448" s="344">
        <v>141.86666666666699</v>
      </c>
      <c r="O448" s="344">
        <v>150.5</v>
      </c>
      <c r="P448" s="344">
        <v>153.53333333333299</v>
      </c>
      <c r="Q448" s="344">
        <v>154.46666666666701</v>
      </c>
      <c r="R448" s="344">
        <v>149.566666666667</v>
      </c>
      <c r="S448" s="344">
        <v>152.6</v>
      </c>
      <c r="T448" s="344">
        <v>145.833333333333</v>
      </c>
      <c r="U448" s="344">
        <v>136.26666666666699</v>
      </c>
      <c r="V448" s="344">
        <v>137.433333333333</v>
      </c>
      <c r="W448" s="344">
        <v>123.666666666667</v>
      </c>
      <c r="X448" s="344">
        <v>116.666666666667</v>
      </c>
      <c r="Y448" s="344">
        <v>115.966666666667</v>
      </c>
      <c r="Z448" s="344">
        <v>109.9</v>
      </c>
      <c r="AA448" s="344">
        <v>110.6</v>
      </c>
      <c r="AB448" s="344">
        <v>119.7</v>
      </c>
      <c r="AC448" s="344">
        <v>117.833333333333</v>
      </c>
      <c r="AD448" s="344">
        <f t="shared" si="56"/>
        <v>-1.8666666666670011</v>
      </c>
      <c r="AE448" s="344">
        <v>1</v>
      </c>
      <c r="AF448" s="344">
        <v>1</v>
      </c>
      <c r="AG448" s="346">
        <v>10</v>
      </c>
      <c r="AH448" s="346">
        <v>1</v>
      </c>
      <c r="AI448" s="346">
        <v>10</v>
      </c>
      <c r="AJ448" s="346">
        <v>1</v>
      </c>
      <c r="AK448" s="346">
        <v>1</v>
      </c>
      <c r="AL448" s="346">
        <v>1</v>
      </c>
      <c r="AM448" s="346">
        <v>1</v>
      </c>
      <c r="AN448" s="346">
        <v>1</v>
      </c>
      <c r="AO448" s="346">
        <v>1</v>
      </c>
      <c r="AP448" s="346">
        <v>1</v>
      </c>
      <c r="AQ448" s="357">
        <v>1</v>
      </c>
      <c r="AR448" s="357">
        <v>4</v>
      </c>
      <c r="AS448" s="357">
        <v>1</v>
      </c>
      <c r="AT448" s="357">
        <v>10</v>
      </c>
      <c r="AU448" s="357">
        <v>1</v>
      </c>
      <c r="AV448" s="357">
        <v>9</v>
      </c>
      <c r="AW448" s="357">
        <v>1</v>
      </c>
      <c r="AX448" s="357">
        <v>3</v>
      </c>
      <c r="AY448" s="357">
        <v>1</v>
      </c>
      <c r="AZ448" s="357">
        <v>1</v>
      </c>
      <c r="BA448" s="357">
        <v>1</v>
      </c>
      <c r="BB448" s="357">
        <v>1</v>
      </c>
      <c r="BC448" s="357">
        <v>1</v>
      </c>
    </row>
    <row r="449" spans="1:55" s="381" customFormat="1" ht="17.649999999999999" customHeight="1">
      <c r="A449" s="343">
        <v>17</v>
      </c>
      <c r="B449" s="211" t="s">
        <v>2098</v>
      </c>
      <c r="C449" s="211" t="s">
        <v>2055</v>
      </c>
      <c r="D449" s="211" t="s">
        <v>2063</v>
      </c>
      <c r="E449" s="344">
        <v>2079</v>
      </c>
      <c r="F449" s="344">
        <v>1926.4</v>
      </c>
      <c r="G449" s="356">
        <v>2131.2666666666701</v>
      </c>
      <c r="H449" s="344">
        <v>1976.3333333333301</v>
      </c>
      <c r="I449" s="344">
        <v>1969.8</v>
      </c>
      <c r="J449" s="344">
        <v>2090.6666666666702</v>
      </c>
      <c r="K449" s="344">
        <v>1883.2333333333299</v>
      </c>
      <c r="L449" s="344">
        <f t="shared" si="55"/>
        <v>459.62</v>
      </c>
      <c r="M449" s="344">
        <v>1752.3333333333301</v>
      </c>
      <c r="N449" s="344">
        <v>2353.4</v>
      </c>
      <c r="O449" s="344">
        <v>3066.2333333333299</v>
      </c>
      <c r="P449" s="344">
        <v>3674.7666666666701</v>
      </c>
      <c r="Q449" s="344">
        <v>4557.9333333333298</v>
      </c>
      <c r="R449" s="344">
        <v>4729.2</v>
      </c>
      <c r="S449" s="344">
        <v>4565.8666666666704</v>
      </c>
      <c r="T449" s="344">
        <v>4858.7</v>
      </c>
      <c r="U449" s="344">
        <v>4649.1666666666697</v>
      </c>
      <c r="V449" s="344">
        <v>4710.5333333333301</v>
      </c>
      <c r="W449" s="344">
        <v>4401.8333333333303</v>
      </c>
      <c r="X449" s="344">
        <v>4196.2666666666701</v>
      </c>
      <c r="Y449" s="344">
        <v>4374.7666666666701</v>
      </c>
      <c r="Z449" s="344">
        <v>3645.8333333333298</v>
      </c>
      <c r="AA449" s="344">
        <v>3246.13333333333</v>
      </c>
      <c r="AB449" s="344">
        <v>2992.7333333333299</v>
      </c>
      <c r="AC449" s="344">
        <v>2830.8</v>
      </c>
      <c r="AD449" s="344">
        <f t="shared" si="56"/>
        <v>-161.93333333332976</v>
      </c>
      <c r="AE449" s="344">
        <v>1</v>
      </c>
      <c r="AF449" s="344">
        <v>1</v>
      </c>
      <c r="AG449" s="346">
        <v>1</v>
      </c>
      <c r="AH449" s="346">
        <v>15</v>
      </c>
      <c r="AI449" s="346">
        <v>11</v>
      </c>
      <c r="AJ449" s="346">
        <v>1</v>
      </c>
      <c r="AK449" s="346">
        <v>1</v>
      </c>
      <c r="AL449" s="346">
        <v>1</v>
      </c>
      <c r="AM449" s="346">
        <v>1</v>
      </c>
      <c r="AN449" s="346">
        <v>9</v>
      </c>
      <c r="AO449" s="346">
        <v>9</v>
      </c>
      <c r="AP449" s="346">
        <v>1</v>
      </c>
      <c r="AQ449" s="357">
        <v>1</v>
      </c>
      <c r="AR449" s="357">
        <v>1</v>
      </c>
      <c r="AS449" s="357">
        <v>1</v>
      </c>
      <c r="AT449" s="357">
        <v>1</v>
      </c>
      <c r="AU449" s="357">
        <v>1</v>
      </c>
      <c r="AV449" s="357">
        <v>1</v>
      </c>
      <c r="AW449" s="357">
        <v>1</v>
      </c>
      <c r="AX449" s="357">
        <v>1</v>
      </c>
      <c r="AY449" s="357">
        <v>1</v>
      </c>
      <c r="AZ449" s="357">
        <v>1</v>
      </c>
      <c r="BA449" s="357">
        <v>1</v>
      </c>
      <c r="BB449" s="357">
        <v>1</v>
      </c>
      <c r="BC449" s="357">
        <v>1</v>
      </c>
    </row>
    <row r="450" spans="1:55" s="381" customFormat="1" ht="17.649999999999999" customHeight="1">
      <c r="A450" s="343">
        <v>18</v>
      </c>
      <c r="B450" s="211" t="s">
        <v>2099</v>
      </c>
      <c r="C450" s="211" t="s">
        <v>2055</v>
      </c>
      <c r="D450" s="211" t="s">
        <v>2063</v>
      </c>
      <c r="E450" s="344">
        <v>2114</v>
      </c>
      <c r="F450" s="344">
        <v>2092.3000000000002</v>
      </c>
      <c r="G450" s="356">
        <v>2021.36666666667</v>
      </c>
      <c r="H450" s="344">
        <v>1991.7333333333299</v>
      </c>
      <c r="I450" s="344">
        <v>1919.86666666667</v>
      </c>
      <c r="J450" s="344">
        <v>1934.1</v>
      </c>
      <c r="K450" s="344">
        <v>1899.1</v>
      </c>
      <c r="L450" s="344">
        <f t="shared" si="55"/>
        <v>447.96888888888969</v>
      </c>
      <c r="M450" s="344">
        <v>1650.8333333333301</v>
      </c>
      <c r="N450" s="344">
        <v>1692.13333333333</v>
      </c>
      <c r="O450" s="344">
        <v>1734.13333333333</v>
      </c>
      <c r="P450" s="344">
        <v>1827.7</v>
      </c>
      <c r="Q450" s="344">
        <v>1941.1</v>
      </c>
      <c r="R450" s="344">
        <v>1994.06666666667</v>
      </c>
      <c r="S450" s="344">
        <v>2124.9666666666699</v>
      </c>
      <c r="T450" s="344">
        <v>2124.9666666666699</v>
      </c>
      <c r="U450" s="344">
        <v>2158.1</v>
      </c>
      <c r="V450" s="344">
        <v>2138.2666666666701</v>
      </c>
      <c r="W450" s="344">
        <v>1992.43333333333</v>
      </c>
      <c r="X450" s="344">
        <v>1993.13333333333</v>
      </c>
      <c r="Y450" s="344">
        <v>2004.1</v>
      </c>
      <c r="Z450" s="344">
        <v>2018.3333333333301</v>
      </c>
      <c r="AA450" s="344">
        <v>1925.93333333333</v>
      </c>
      <c r="AB450" s="344">
        <v>1883</v>
      </c>
      <c r="AC450" s="344">
        <v>1797.6</v>
      </c>
      <c r="AD450" s="344">
        <f t="shared" si="56"/>
        <v>-85.400000000000091</v>
      </c>
      <c r="AE450" s="344">
        <v>11</v>
      </c>
      <c r="AF450" s="344">
        <v>6</v>
      </c>
      <c r="AG450" s="346">
        <v>11</v>
      </c>
      <c r="AH450" s="346">
        <v>7</v>
      </c>
      <c r="AI450" s="346">
        <v>10</v>
      </c>
      <c r="AJ450" s="346">
        <v>2</v>
      </c>
      <c r="AK450" s="346">
        <v>6</v>
      </c>
      <c r="AL450" s="346">
        <v>2</v>
      </c>
      <c r="AM450" s="346">
        <v>9</v>
      </c>
      <c r="AN450" s="346">
        <v>6</v>
      </c>
      <c r="AO450" s="346">
        <v>6</v>
      </c>
      <c r="AP450" s="357">
        <v>12</v>
      </c>
      <c r="AQ450" s="357">
        <v>2</v>
      </c>
      <c r="AR450" s="357">
        <v>3</v>
      </c>
      <c r="AS450" s="357">
        <v>6</v>
      </c>
      <c r="AT450" s="357">
        <v>13</v>
      </c>
      <c r="AU450" s="357">
        <v>3</v>
      </c>
      <c r="AV450" s="357">
        <v>2</v>
      </c>
      <c r="AW450" s="357">
        <v>3</v>
      </c>
      <c r="AX450" s="357">
        <v>2</v>
      </c>
      <c r="AY450" s="357">
        <v>6</v>
      </c>
      <c r="AZ450" s="357">
        <v>11</v>
      </c>
      <c r="BA450" s="357">
        <v>3</v>
      </c>
      <c r="BB450" s="357">
        <v>5</v>
      </c>
      <c r="BC450" s="357">
        <v>6</v>
      </c>
    </row>
    <row r="451" spans="1:55" s="381" customFormat="1" ht="17.649999999999999" customHeight="1">
      <c r="A451" s="343">
        <v>19</v>
      </c>
      <c r="B451" s="211" t="s">
        <v>2100</v>
      </c>
      <c r="C451" s="211" t="s">
        <v>2055</v>
      </c>
      <c r="D451" s="211" t="s">
        <v>2063</v>
      </c>
      <c r="E451" s="344">
        <v>1080</v>
      </c>
      <c r="F451" s="344">
        <v>1254.4000000000001</v>
      </c>
      <c r="G451" s="356">
        <v>959.46666666666704</v>
      </c>
      <c r="H451" s="344">
        <v>965.76666666666699</v>
      </c>
      <c r="I451" s="344">
        <v>939.63333333333298</v>
      </c>
      <c r="J451" s="344">
        <v>928.2</v>
      </c>
      <c r="K451" s="344">
        <v>322</v>
      </c>
      <c r="L451" s="344">
        <f t="shared" si="55"/>
        <v>219.24777777777771</v>
      </c>
      <c r="M451" s="344">
        <v>62.533333333333303</v>
      </c>
      <c r="N451" s="344">
        <v>66.266666666666694</v>
      </c>
      <c r="O451" s="344">
        <v>76.766666666666694</v>
      </c>
      <c r="P451" s="344">
        <v>95.9</v>
      </c>
      <c r="Q451" s="344">
        <v>104.533333333333</v>
      </c>
      <c r="R451" s="344">
        <v>97.3</v>
      </c>
      <c r="S451" s="344">
        <v>96.366666666666703</v>
      </c>
      <c r="T451" s="344">
        <v>94.733333333333306</v>
      </c>
      <c r="U451" s="344">
        <v>84.933333333333294</v>
      </c>
      <c r="V451" s="344">
        <v>81.2</v>
      </c>
      <c r="W451" s="344">
        <v>604.79999999999995</v>
      </c>
      <c r="X451" s="344">
        <v>3045.4666666666699</v>
      </c>
      <c r="Y451" s="344">
        <v>3460.3333333333298</v>
      </c>
      <c r="Z451" s="344">
        <v>3460.8</v>
      </c>
      <c r="AA451" s="344">
        <v>3455.9</v>
      </c>
      <c r="AB451" s="344">
        <v>2789.0333333333301</v>
      </c>
      <c r="AC451" s="344">
        <v>2574.6</v>
      </c>
      <c r="AD451" s="344">
        <f t="shared" si="56"/>
        <v>-214.43333333333021</v>
      </c>
      <c r="AE451" s="344">
        <v>11</v>
      </c>
      <c r="AF451" s="344">
        <v>3</v>
      </c>
      <c r="AG451" s="346">
        <v>4</v>
      </c>
      <c r="AH451" s="346">
        <v>1</v>
      </c>
      <c r="AI451" s="346">
        <v>1</v>
      </c>
      <c r="AJ451" s="346">
        <v>1</v>
      </c>
      <c r="AK451" s="346">
        <v>1</v>
      </c>
      <c r="AL451" s="346">
        <v>1</v>
      </c>
      <c r="AM451" s="346">
        <v>1</v>
      </c>
      <c r="AN451" s="346">
        <v>6</v>
      </c>
      <c r="AO451" s="346">
        <v>6</v>
      </c>
      <c r="AP451" s="346">
        <v>1</v>
      </c>
      <c r="AQ451" s="357">
        <v>1</v>
      </c>
      <c r="AR451" s="357">
        <v>3</v>
      </c>
      <c r="AS451" s="357">
        <v>1</v>
      </c>
      <c r="AT451" s="357">
        <v>1</v>
      </c>
      <c r="AU451" s="357">
        <v>3</v>
      </c>
      <c r="AV451" s="357">
        <v>1</v>
      </c>
      <c r="AW451" s="357">
        <v>1</v>
      </c>
      <c r="AX451" s="357">
        <v>1</v>
      </c>
      <c r="AY451" s="357">
        <v>1</v>
      </c>
      <c r="AZ451" s="357">
        <v>4</v>
      </c>
      <c r="BA451" s="357">
        <v>7</v>
      </c>
      <c r="BB451" s="357">
        <v>7</v>
      </c>
      <c r="BC451" s="357">
        <v>8</v>
      </c>
    </row>
    <row r="452" spans="1:55" s="381" customFormat="1" ht="17.649999999999999" customHeight="1">
      <c r="A452" s="343">
        <v>20</v>
      </c>
      <c r="B452" s="211" t="s">
        <v>134</v>
      </c>
      <c r="C452" s="211" t="s">
        <v>2055</v>
      </c>
      <c r="D452" s="211" t="s">
        <v>2063</v>
      </c>
      <c r="E452" s="344">
        <v>7547</v>
      </c>
      <c r="F452" s="344">
        <v>8047.4333333333298</v>
      </c>
      <c r="G452" s="356">
        <v>8432.4333333333307</v>
      </c>
      <c r="H452" s="344">
        <v>9448.8333333333303</v>
      </c>
      <c r="I452" s="344">
        <v>8824.2000000000007</v>
      </c>
      <c r="J452" s="344">
        <v>8317.4</v>
      </c>
      <c r="K452" s="344">
        <v>8840.2999999999993</v>
      </c>
      <c r="L452" s="344">
        <f t="shared" si="55"/>
        <v>2058.9800000000005</v>
      </c>
      <c r="M452" s="344">
        <v>15811.833333333299</v>
      </c>
      <c r="N452" s="344">
        <v>19058.666666666701</v>
      </c>
      <c r="O452" s="344">
        <v>20121.0333333333</v>
      </c>
      <c r="P452" s="344">
        <v>20323.8</v>
      </c>
      <c r="Q452" s="344">
        <v>19508.766666666699</v>
      </c>
      <c r="R452" s="344">
        <v>19334.233333333301</v>
      </c>
      <c r="S452" s="344">
        <v>22221.0333333333</v>
      </c>
      <c r="T452" s="344">
        <v>24464.766666666699</v>
      </c>
      <c r="U452" s="344">
        <v>24885.233333333301</v>
      </c>
      <c r="V452" s="344">
        <v>25059.5333333333</v>
      </c>
      <c r="W452" s="344">
        <v>23631.3</v>
      </c>
      <c r="X452" s="344">
        <v>22652.7</v>
      </c>
      <c r="Y452" s="344">
        <v>22461.133333333299</v>
      </c>
      <c r="Z452" s="344">
        <v>23760.799999999999</v>
      </c>
      <c r="AA452" s="344">
        <v>24363.9666666667</v>
      </c>
      <c r="AB452" s="344">
        <v>24236.799999999999</v>
      </c>
      <c r="AC452" s="344">
        <v>24710.7</v>
      </c>
      <c r="AD452" s="344">
        <f t="shared" si="56"/>
        <v>473.90000000000146</v>
      </c>
      <c r="AE452" s="344">
        <v>1</v>
      </c>
      <c r="AF452" s="344">
        <v>4</v>
      </c>
      <c r="AG452" s="346">
        <v>11</v>
      </c>
      <c r="AH452" s="346">
        <v>12</v>
      </c>
      <c r="AI452" s="346">
        <v>3</v>
      </c>
      <c r="AJ452" s="346">
        <v>3</v>
      </c>
      <c r="AK452" s="346">
        <v>3</v>
      </c>
      <c r="AL452" s="346">
        <v>3</v>
      </c>
      <c r="AM452" s="346">
        <v>5</v>
      </c>
      <c r="AN452" s="346">
        <v>2</v>
      </c>
      <c r="AO452" s="346">
        <v>2</v>
      </c>
      <c r="AP452" s="346">
        <v>4</v>
      </c>
      <c r="AQ452" s="357">
        <v>6</v>
      </c>
      <c r="AR452" s="357">
        <v>3</v>
      </c>
      <c r="AS452" s="357">
        <v>5</v>
      </c>
      <c r="AT452" s="357">
        <v>1</v>
      </c>
      <c r="AU452" s="357">
        <v>4</v>
      </c>
      <c r="AV452" s="357">
        <v>1</v>
      </c>
      <c r="AW452" s="357">
        <v>1</v>
      </c>
      <c r="AX452" s="357">
        <v>3</v>
      </c>
      <c r="AY452" s="357">
        <v>10</v>
      </c>
      <c r="AZ452" s="357">
        <v>3</v>
      </c>
      <c r="BA452" s="357">
        <v>9</v>
      </c>
      <c r="BB452" s="357">
        <v>1</v>
      </c>
      <c r="BC452" s="357">
        <v>10</v>
      </c>
    </row>
    <row r="453" spans="1:55" s="381" customFormat="1" ht="17.649999999999999" customHeight="1">
      <c r="A453" s="343">
        <v>21</v>
      </c>
      <c r="B453" s="211" t="s">
        <v>2101</v>
      </c>
      <c r="C453" s="211" t="s">
        <v>2055</v>
      </c>
      <c r="D453" s="211" t="s">
        <v>2090</v>
      </c>
      <c r="E453" s="344">
        <v>12</v>
      </c>
      <c r="F453" s="344">
        <v>10.966666666666701</v>
      </c>
      <c r="G453" s="356">
        <v>10.033333333333299</v>
      </c>
      <c r="H453" s="344">
        <v>10.033333333333299</v>
      </c>
      <c r="I453" s="344">
        <v>9.1</v>
      </c>
      <c r="J453" s="344">
        <v>8.8666666666666707</v>
      </c>
      <c r="K453" s="344">
        <v>6.3</v>
      </c>
      <c r="L453" s="344">
        <f t="shared" si="55"/>
        <v>2.1233333333333335</v>
      </c>
      <c r="M453" s="344">
        <v>6.7666666666666702</v>
      </c>
      <c r="N453" s="344">
        <v>7.4666666666666703</v>
      </c>
      <c r="O453" s="344">
        <v>7.4666666666666703</v>
      </c>
      <c r="P453" s="344">
        <v>7.7</v>
      </c>
      <c r="Q453" s="344">
        <v>6.7666666666666702</v>
      </c>
      <c r="R453" s="344">
        <v>5.3666666666666698</v>
      </c>
      <c r="S453" s="344">
        <v>6.7666666666666702</v>
      </c>
      <c r="T453" s="344">
        <v>4.6666666666666696</v>
      </c>
      <c r="U453" s="344">
        <v>5.1333333333333302</v>
      </c>
      <c r="V453" s="344">
        <v>6.5333333333333297</v>
      </c>
      <c r="W453" s="344">
        <v>5.3666666666666698</v>
      </c>
      <c r="X453" s="344">
        <v>3.9666666666666699</v>
      </c>
      <c r="Y453" s="344">
        <v>4.2</v>
      </c>
      <c r="Z453" s="344">
        <v>3.5</v>
      </c>
      <c r="AA453" s="344">
        <v>3.5</v>
      </c>
      <c r="AB453" s="344">
        <v>4.2</v>
      </c>
      <c r="AC453" s="344">
        <v>3.5</v>
      </c>
      <c r="AD453" s="344">
        <f t="shared" si="56"/>
        <v>-0.70000000000000018</v>
      </c>
      <c r="AE453" s="344">
        <v>5</v>
      </c>
      <c r="AF453" s="344">
        <v>5</v>
      </c>
      <c r="AG453" s="346">
        <v>6</v>
      </c>
      <c r="AH453" s="346">
        <v>6</v>
      </c>
      <c r="AI453" s="346">
        <v>5</v>
      </c>
      <c r="AJ453" s="346">
        <v>3</v>
      </c>
      <c r="AK453" s="346">
        <v>3</v>
      </c>
      <c r="AL453" s="346">
        <v>3</v>
      </c>
      <c r="AM453" s="346">
        <v>4</v>
      </c>
      <c r="AN453" s="346">
        <v>5</v>
      </c>
      <c r="AO453" s="346">
        <v>5</v>
      </c>
      <c r="AP453" s="346">
        <v>5</v>
      </c>
      <c r="AQ453" s="357">
        <v>7</v>
      </c>
      <c r="AR453" s="357">
        <v>4</v>
      </c>
      <c r="AS453" s="357">
        <v>3</v>
      </c>
      <c r="AT453" s="357">
        <v>7</v>
      </c>
      <c r="AU453" s="357">
        <v>4</v>
      </c>
      <c r="AV453" s="357">
        <v>5</v>
      </c>
      <c r="AW453" s="357">
        <v>2</v>
      </c>
      <c r="AX453" s="357">
        <v>2</v>
      </c>
      <c r="AY453" s="357">
        <v>3</v>
      </c>
      <c r="AZ453" s="357">
        <v>2</v>
      </c>
      <c r="BA453" s="357">
        <v>4</v>
      </c>
      <c r="BB453" s="357">
        <v>5</v>
      </c>
      <c r="BC453" s="357">
        <v>4</v>
      </c>
    </row>
    <row r="454" spans="1:55" s="381" customFormat="1" ht="17.649999999999999" customHeight="1">
      <c r="A454" s="343">
        <v>22</v>
      </c>
      <c r="B454" s="211" t="s">
        <v>2102</v>
      </c>
      <c r="C454" s="211" t="s">
        <v>2055</v>
      </c>
      <c r="D454" s="211" t="s">
        <v>2090</v>
      </c>
      <c r="E454" s="344">
        <v>7</v>
      </c>
      <c r="F454" s="344">
        <v>6.5333333333333297</v>
      </c>
      <c r="G454" s="356">
        <v>6.3</v>
      </c>
      <c r="H454" s="344">
        <v>6.3</v>
      </c>
      <c r="I454" s="344">
        <v>7.4666666666666703</v>
      </c>
      <c r="J454" s="344">
        <v>6.5333333333333297</v>
      </c>
      <c r="K454" s="344">
        <v>5.8333333333333304</v>
      </c>
      <c r="L454" s="344">
        <f t="shared" si="55"/>
        <v>1.7422222222222232</v>
      </c>
      <c r="M454" s="344">
        <v>11.6666666666667</v>
      </c>
      <c r="N454" s="344">
        <v>13.3</v>
      </c>
      <c r="O454" s="344">
        <v>13.3</v>
      </c>
      <c r="P454" s="344">
        <v>10.266666666666699</v>
      </c>
      <c r="Q454" s="344">
        <v>11.6666666666667</v>
      </c>
      <c r="R454" s="344">
        <v>10.033333333333299</v>
      </c>
      <c r="S454" s="344">
        <v>11.2</v>
      </c>
      <c r="T454" s="344">
        <v>12.133333333333301</v>
      </c>
      <c r="U454" s="344">
        <v>11.9</v>
      </c>
      <c r="V454" s="344">
        <v>10.733333333333301</v>
      </c>
      <c r="W454" s="344">
        <v>9.56666666666667</v>
      </c>
      <c r="X454" s="344">
        <v>9.1</v>
      </c>
      <c r="Y454" s="344">
        <v>7.4666666666666703</v>
      </c>
      <c r="Z454" s="344">
        <v>5.3666666666666698</v>
      </c>
      <c r="AA454" s="344">
        <v>5.6</v>
      </c>
      <c r="AB454" s="344">
        <v>6.5333333333333297</v>
      </c>
      <c r="AC454" s="344">
        <v>7</v>
      </c>
      <c r="AD454" s="344">
        <f t="shared" si="56"/>
        <v>0.46666666666667034</v>
      </c>
      <c r="AE454" s="344">
        <v>1</v>
      </c>
      <c r="AF454" s="344">
        <v>3</v>
      </c>
      <c r="AG454" s="346">
        <v>4</v>
      </c>
      <c r="AH454" s="346">
        <v>1</v>
      </c>
      <c r="AI454" s="346">
        <v>1</v>
      </c>
      <c r="AJ454" s="346">
        <v>1</v>
      </c>
      <c r="AK454" s="346">
        <v>1</v>
      </c>
      <c r="AL454" s="346">
        <v>1</v>
      </c>
      <c r="AM454" s="346">
        <v>1</v>
      </c>
      <c r="AN454" s="346">
        <v>1</v>
      </c>
      <c r="AO454" s="346">
        <v>1</v>
      </c>
      <c r="AP454" s="346">
        <v>1</v>
      </c>
      <c r="AQ454" s="357">
        <v>1</v>
      </c>
      <c r="AR454" s="357">
        <v>1</v>
      </c>
      <c r="AS454" s="357">
        <v>5</v>
      </c>
      <c r="AT454" s="357">
        <v>1</v>
      </c>
      <c r="AU454" s="357">
        <v>1</v>
      </c>
      <c r="AV454" s="357">
        <v>10</v>
      </c>
      <c r="AW454" s="357">
        <v>7</v>
      </c>
      <c r="AX454" s="357">
        <v>6</v>
      </c>
      <c r="AY454" s="357">
        <v>1</v>
      </c>
      <c r="AZ454" s="357">
        <v>1</v>
      </c>
      <c r="BA454" s="357">
        <v>2</v>
      </c>
      <c r="BB454" s="357">
        <v>3</v>
      </c>
      <c r="BC454" s="357">
        <v>3</v>
      </c>
    </row>
    <row r="455" spans="1:55" s="381" customFormat="1" ht="17.649999999999999" customHeight="1">
      <c r="A455" s="343">
        <v>23</v>
      </c>
      <c r="B455" s="211" t="s">
        <v>211</v>
      </c>
      <c r="C455" s="211" t="s">
        <v>2055</v>
      </c>
      <c r="D455" s="211" t="s">
        <v>2063</v>
      </c>
      <c r="E455" s="344">
        <v>753</v>
      </c>
      <c r="F455" s="344">
        <v>732.43333333333305</v>
      </c>
      <c r="G455" s="356">
        <v>747.13333333333298</v>
      </c>
      <c r="H455" s="344">
        <v>741.06666666666695</v>
      </c>
      <c r="I455" s="344">
        <v>752.5</v>
      </c>
      <c r="J455" s="344">
        <v>747.6</v>
      </c>
      <c r="K455" s="344">
        <v>729.16666666666697</v>
      </c>
      <c r="L455" s="344">
        <f t="shared" si="55"/>
        <v>175.58333333333331</v>
      </c>
      <c r="M455" s="344">
        <v>646.33333333333303</v>
      </c>
      <c r="N455" s="344">
        <v>675.03333333333296</v>
      </c>
      <c r="O455" s="344">
        <v>805.46666666666704</v>
      </c>
      <c r="P455" s="344">
        <v>894.36666666666702</v>
      </c>
      <c r="Q455" s="344">
        <v>962.73333333333301</v>
      </c>
      <c r="R455" s="344">
        <v>985.83333333333303</v>
      </c>
      <c r="S455" s="344">
        <v>912.8</v>
      </c>
      <c r="T455" s="344">
        <v>907.9</v>
      </c>
      <c r="U455" s="344">
        <v>883.86666666666702</v>
      </c>
      <c r="V455" s="344">
        <v>860.06666666666695</v>
      </c>
      <c r="W455" s="344">
        <v>793.33333333333303</v>
      </c>
      <c r="X455" s="344">
        <v>725.66666666666697</v>
      </c>
      <c r="Y455" s="344">
        <v>696.5</v>
      </c>
      <c r="Z455" s="344">
        <v>681.33333333333303</v>
      </c>
      <c r="AA455" s="344">
        <v>666.86666666666702</v>
      </c>
      <c r="AB455" s="344">
        <v>713.53333333333296</v>
      </c>
      <c r="AC455" s="344">
        <v>734.3</v>
      </c>
      <c r="AD455" s="344">
        <f t="shared" si="56"/>
        <v>20.766666666666993</v>
      </c>
      <c r="AE455" s="344">
        <v>1</v>
      </c>
      <c r="AF455" s="344">
        <v>9</v>
      </c>
      <c r="AG455" s="346">
        <v>1</v>
      </c>
      <c r="AH455" s="346">
        <v>13</v>
      </c>
      <c r="AI455" s="346">
        <v>1</v>
      </c>
      <c r="AJ455" s="346">
        <v>2</v>
      </c>
      <c r="AK455" s="346">
        <v>1</v>
      </c>
      <c r="AL455" s="346">
        <v>2</v>
      </c>
      <c r="AM455" s="346">
        <v>1</v>
      </c>
      <c r="AN455" s="346">
        <v>3</v>
      </c>
      <c r="AO455" s="346">
        <v>3</v>
      </c>
      <c r="AP455" s="346">
        <v>1</v>
      </c>
      <c r="AQ455" s="357">
        <v>1</v>
      </c>
      <c r="AR455" s="357">
        <v>2</v>
      </c>
      <c r="AS455" s="357">
        <v>1</v>
      </c>
      <c r="AT455" s="357">
        <v>1</v>
      </c>
      <c r="AU455" s="357">
        <v>2</v>
      </c>
      <c r="AV455" s="357">
        <v>1</v>
      </c>
      <c r="AW455" s="357">
        <v>1</v>
      </c>
      <c r="AX455" s="357">
        <v>1</v>
      </c>
      <c r="AY455" s="357">
        <v>1</v>
      </c>
      <c r="AZ455" s="357">
        <v>2</v>
      </c>
      <c r="BA455" s="357">
        <v>10</v>
      </c>
      <c r="BB455" s="357">
        <v>1</v>
      </c>
      <c r="BC455" s="357">
        <v>2</v>
      </c>
    </row>
    <row r="456" spans="1:55" s="381" customFormat="1" ht="17.649999999999999" customHeight="1">
      <c r="A456" s="343">
        <v>24</v>
      </c>
      <c r="B456" s="211" t="s">
        <v>2103</v>
      </c>
      <c r="C456" s="211" t="s">
        <v>2055</v>
      </c>
      <c r="D456" s="211" t="s">
        <v>2090</v>
      </c>
      <c r="E456" s="344">
        <v>14</v>
      </c>
      <c r="F456" s="344">
        <v>13.533333333333299</v>
      </c>
      <c r="G456" s="356">
        <v>10.266666666666699</v>
      </c>
      <c r="H456" s="344">
        <v>10.733333333333301</v>
      </c>
      <c r="I456" s="344">
        <v>13.533333333333299</v>
      </c>
      <c r="J456" s="344">
        <v>11.6666666666667</v>
      </c>
      <c r="K456" s="344">
        <v>10.266666666666699</v>
      </c>
      <c r="L456" s="344">
        <f t="shared" si="55"/>
        <v>3.1577777777777696</v>
      </c>
      <c r="M456" s="344">
        <v>8.8666666666666707</v>
      </c>
      <c r="N456" s="344">
        <v>7.93333333333333</v>
      </c>
      <c r="O456" s="344">
        <v>7</v>
      </c>
      <c r="P456" s="344">
        <v>4.2</v>
      </c>
      <c r="Q456" s="344">
        <v>2.56666666666667</v>
      </c>
      <c r="R456" s="344">
        <v>3.2666666666666702</v>
      </c>
      <c r="S456" s="344">
        <v>7</v>
      </c>
      <c r="T456" s="344">
        <v>8.4</v>
      </c>
      <c r="U456" s="344">
        <v>11.9</v>
      </c>
      <c r="V456" s="344">
        <v>12.133333333333301</v>
      </c>
      <c r="W456" s="344">
        <v>10.966666666666701</v>
      </c>
      <c r="X456" s="344">
        <v>12.8333333333333</v>
      </c>
      <c r="Y456" s="344">
        <v>12.8333333333333</v>
      </c>
      <c r="Z456" s="344">
        <v>13.533333333333299</v>
      </c>
      <c r="AA456" s="344">
        <v>12.133333333333301</v>
      </c>
      <c r="AB456" s="344">
        <v>9.1</v>
      </c>
      <c r="AC456" s="344">
        <v>10.733333333333301</v>
      </c>
      <c r="AD456" s="344">
        <f t="shared" si="56"/>
        <v>1.6333333333333009</v>
      </c>
      <c r="AE456" s="344">
        <v>8</v>
      </c>
      <c r="AF456" s="344">
        <v>14</v>
      </c>
      <c r="AG456" s="346">
        <v>4</v>
      </c>
      <c r="AH456" s="346">
        <v>3</v>
      </c>
      <c r="AI456" s="346">
        <v>2</v>
      </c>
      <c r="AJ456" s="346">
        <v>9</v>
      </c>
      <c r="AK456" s="346">
        <v>3</v>
      </c>
      <c r="AL456" s="346">
        <v>9</v>
      </c>
      <c r="AM456" s="346">
        <v>5</v>
      </c>
      <c r="AN456" s="346">
        <v>3</v>
      </c>
      <c r="AO456" s="346">
        <v>3</v>
      </c>
      <c r="AP456" s="346">
        <v>3</v>
      </c>
      <c r="AQ456" s="357">
        <v>3</v>
      </c>
      <c r="AR456" s="357">
        <v>10</v>
      </c>
      <c r="AS456" s="357">
        <v>3</v>
      </c>
      <c r="AT456" s="357">
        <v>3</v>
      </c>
      <c r="AU456" s="357">
        <v>3</v>
      </c>
      <c r="AV456" s="357">
        <v>10</v>
      </c>
      <c r="AW456" s="357">
        <v>6</v>
      </c>
      <c r="AX456" s="357">
        <v>8</v>
      </c>
      <c r="AY456" s="357">
        <v>3</v>
      </c>
      <c r="AZ456" s="357">
        <v>8</v>
      </c>
      <c r="BA456" s="357">
        <v>5</v>
      </c>
      <c r="BB456" s="357">
        <v>14</v>
      </c>
      <c r="BC456" s="357">
        <v>7</v>
      </c>
    </row>
    <row r="457" spans="1:55" s="381" customFormat="1" ht="17.649999999999999" customHeight="1">
      <c r="A457" s="343">
        <v>25</v>
      </c>
      <c r="B457" s="211" t="s">
        <v>2104</v>
      </c>
      <c r="C457" s="211" t="s">
        <v>2055</v>
      </c>
      <c r="D457" s="211" t="s">
        <v>2063</v>
      </c>
      <c r="E457" s="344">
        <v>220</v>
      </c>
      <c r="F457" s="344">
        <v>37.3333333333333</v>
      </c>
      <c r="G457" s="356">
        <v>29.633333333333301</v>
      </c>
      <c r="H457" s="344">
        <v>29.4</v>
      </c>
      <c r="I457" s="344">
        <v>28.933333333333302</v>
      </c>
      <c r="J457" s="344">
        <v>25.2</v>
      </c>
      <c r="K457" s="344">
        <v>23.8</v>
      </c>
      <c r="L457" s="344">
        <f t="shared" si="55"/>
        <v>6.7511111111111042</v>
      </c>
      <c r="M457" s="344">
        <v>19.600000000000001</v>
      </c>
      <c r="N457" s="344">
        <v>23.1</v>
      </c>
      <c r="O457" s="344">
        <v>29.4</v>
      </c>
      <c r="P457" s="344">
        <v>33.8333333333333</v>
      </c>
      <c r="Q457" s="344">
        <v>34.766666666666701</v>
      </c>
      <c r="R457" s="344">
        <v>30.3333333333333</v>
      </c>
      <c r="S457" s="344">
        <v>28.233333333333299</v>
      </c>
      <c r="T457" s="344">
        <v>25.2</v>
      </c>
      <c r="U457" s="344">
        <v>22.1666666666667</v>
      </c>
      <c r="V457" s="344">
        <v>20.533333333333299</v>
      </c>
      <c r="W457" s="344">
        <v>19.8333333333333</v>
      </c>
      <c r="X457" s="344">
        <v>22.1666666666667</v>
      </c>
      <c r="Y457" s="344">
        <v>27.533333333333299</v>
      </c>
      <c r="Z457" s="344">
        <v>35</v>
      </c>
      <c r="AA457" s="344">
        <v>35.466666666666697</v>
      </c>
      <c r="AB457" s="344">
        <v>33.8333333333333</v>
      </c>
      <c r="AC457" s="344">
        <v>31.033333333333299</v>
      </c>
      <c r="AD457" s="344">
        <f t="shared" si="56"/>
        <v>-2.8000000000000007</v>
      </c>
      <c r="AE457" s="344">
        <v>1</v>
      </c>
      <c r="AF457" s="344">
        <v>3</v>
      </c>
      <c r="AG457" s="346">
        <v>2</v>
      </c>
      <c r="AH457" s="346">
        <v>1</v>
      </c>
      <c r="AI457" s="346">
        <v>9</v>
      </c>
      <c r="AJ457" s="346">
        <v>1</v>
      </c>
      <c r="AK457" s="346">
        <v>1</v>
      </c>
      <c r="AL457" s="346">
        <v>1</v>
      </c>
      <c r="AM457" s="346">
        <v>1</v>
      </c>
      <c r="AN457" s="346">
        <v>10</v>
      </c>
      <c r="AO457" s="346">
        <v>10</v>
      </c>
      <c r="AP457" s="346">
        <v>9</v>
      </c>
      <c r="AQ457" s="357">
        <v>1</v>
      </c>
      <c r="AR457" s="357">
        <v>1</v>
      </c>
      <c r="AS457" s="357">
        <v>1</v>
      </c>
      <c r="AT457" s="357">
        <v>1</v>
      </c>
      <c r="AU457" s="357">
        <v>1</v>
      </c>
      <c r="AV457" s="357">
        <v>8</v>
      </c>
      <c r="AW457" s="357">
        <v>8</v>
      </c>
      <c r="AX457" s="357">
        <v>1</v>
      </c>
      <c r="AY457" s="357">
        <v>1</v>
      </c>
      <c r="AZ457" s="357">
        <v>2</v>
      </c>
      <c r="BA457" s="357">
        <v>2</v>
      </c>
      <c r="BB457" s="357">
        <v>2</v>
      </c>
      <c r="BC457" s="357">
        <v>2</v>
      </c>
    </row>
    <row r="458" spans="1:55" s="381" customFormat="1" ht="17.649999999999999" customHeight="1">
      <c r="A458" s="343">
        <v>26</v>
      </c>
      <c r="B458" s="211" t="s">
        <v>2105</v>
      </c>
      <c r="C458" s="211" t="s">
        <v>2055</v>
      </c>
      <c r="D458" s="211" t="s">
        <v>2063</v>
      </c>
      <c r="E458" s="344">
        <v>559</v>
      </c>
      <c r="F458" s="344">
        <v>514.73333333333301</v>
      </c>
      <c r="G458" s="356">
        <v>371.7</v>
      </c>
      <c r="H458" s="344">
        <v>351.4</v>
      </c>
      <c r="I458" s="344">
        <v>379.86666666666702</v>
      </c>
      <c r="J458" s="344">
        <v>382.2</v>
      </c>
      <c r="K458" s="344">
        <v>377.76666666666699</v>
      </c>
      <c r="L458" s="344">
        <f t="shared" si="55"/>
        <v>88.635555555555641</v>
      </c>
      <c r="M458" s="344">
        <v>255.5</v>
      </c>
      <c r="N458" s="344">
        <v>271.13333333333298</v>
      </c>
      <c r="O458" s="344">
        <v>288.86666666666702</v>
      </c>
      <c r="P458" s="344">
        <v>351.4</v>
      </c>
      <c r="Q458" s="344">
        <v>993.53333333333296</v>
      </c>
      <c r="R458" s="344">
        <v>1008.7</v>
      </c>
      <c r="S458" s="344">
        <v>1038.0999999999999</v>
      </c>
      <c r="T458" s="344">
        <v>1011.7333333333301</v>
      </c>
      <c r="U458" s="344">
        <v>406</v>
      </c>
      <c r="V458" s="344">
        <v>401.566666666667</v>
      </c>
      <c r="W458" s="344">
        <v>323.39999999999998</v>
      </c>
      <c r="X458" s="344">
        <v>344.86666666666702</v>
      </c>
      <c r="Y458" s="344">
        <v>360.73333333333301</v>
      </c>
      <c r="Z458" s="344">
        <v>397.36666666666702</v>
      </c>
      <c r="AA458" s="344">
        <v>736.86666666666702</v>
      </c>
      <c r="AB458" s="344">
        <v>2234.63333333333</v>
      </c>
      <c r="AC458" s="344">
        <v>2349.6666666666702</v>
      </c>
      <c r="AD458" s="344">
        <f t="shared" si="56"/>
        <v>115.03333333334012</v>
      </c>
      <c r="AE458" s="344">
        <v>1</v>
      </c>
      <c r="AF458" s="344">
        <v>1</v>
      </c>
      <c r="AG458" s="346">
        <v>1</v>
      </c>
      <c r="AH458" s="346">
        <v>1</v>
      </c>
      <c r="AI458" s="346">
        <v>4</v>
      </c>
      <c r="AJ458" s="346">
        <v>2</v>
      </c>
      <c r="AK458" s="346">
        <v>2</v>
      </c>
      <c r="AL458" s="346">
        <v>2</v>
      </c>
      <c r="AM458" s="346">
        <v>1</v>
      </c>
      <c r="AN458" s="346">
        <v>1</v>
      </c>
      <c r="AO458" s="346">
        <v>1</v>
      </c>
      <c r="AP458" s="346">
        <v>1</v>
      </c>
      <c r="AQ458" s="357">
        <v>1</v>
      </c>
      <c r="AR458" s="357">
        <v>7</v>
      </c>
      <c r="AS458" s="357">
        <v>2</v>
      </c>
      <c r="AT458" s="357">
        <v>1</v>
      </c>
      <c r="AU458" s="357">
        <v>1</v>
      </c>
      <c r="AV458" s="357">
        <v>9</v>
      </c>
      <c r="AW458" s="357">
        <v>1</v>
      </c>
      <c r="AX458" s="357">
        <v>8</v>
      </c>
      <c r="AY458" s="357">
        <v>8</v>
      </c>
      <c r="AZ458" s="357">
        <v>1</v>
      </c>
      <c r="BA458" s="357">
        <v>9</v>
      </c>
      <c r="BB458" s="357">
        <v>21</v>
      </c>
      <c r="BC458" s="357">
        <v>2</v>
      </c>
    </row>
    <row r="459" spans="1:55" s="381" customFormat="1" ht="17.649999999999999" customHeight="1">
      <c r="A459" s="343">
        <v>27</v>
      </c>
      <c r="B459" s="211" t="s">
        <v>2106</v>
      </c>
      <c r="C459" s="211" t="s">
        <v>2055</v>
      </c>
      <c r="D459" s="211" t="s">
        <v>2063</v>
      </c>
      <c r="E459" s="344">
        <v>18767</v>
      </c>
      <c r="F459" s="344">
        <v>18443.133333333299</v>
      </c>
      <c r="G459" s="356">
        <v>17486</v>
      </c>
      <c r="H459" s="344">
        <v>16953.5333333333</v>
      </c>
      <c r="I459" s="344">
        <v>16259.6</v>
      </c>
      <c r="J459" s="344">
        <v>16143.4</v>
      </c>
      <c r="K459" s="344">
        <v>15356.6</v>
      </c>
      <c r="L459" s="344">
        <f t="shared" si="55"/>
        <v>3793.9066666666668</v>
      </c>
      <c r="M459" s="344">
        <v>13298.833333333299</v>
      </c>
      <c r="N459" s="344">
        <v>13532.8666666667</v>
      </c>
      <c r="O459" s="344">
        <v>14598.0333333333</v>
      </c>
      <c r="P459" s="344">
        <v>16610.066666666698</v>
      </c>
      <c r="Q459" s="344">
        <v>18385.9666666667</v>
      </c>
      <c r="R459" s="344">
        <v>18031.3</v>
      </c>
      <c r="S459" s="344">
        <v>16228.8</v>
      </c>
      <c r="T459" s="344">
        <v>14183.6333333333</v>
      </c>
      <c r="U459" s="344">
        <v>12348</v>
      </c>
      <c r="V459" s="344">
        <v>12049.1</v>
      </c>
      <c r="W459" s="344">
        <v>12815.833333333299</v>
      </c>
      <c r="X459" s="344">
        <v>14283.266666666699</v>
      </c>
      <c r="Y459" s="344">
        <v>15343.3</v>
      </c>
      <c r="Z459" s="344">
        <v>15092.233333333301</v>
      </c>
      <c r="AA459" s="344">
        <v>14208.833333333299</v>
      </c>
      <c r="AB459" s="344">
        <v>12668.833333333299</v>
      </c>
      <c r="AC459" s="344">
        <v>11808.0666666667</v>
      </c>
      <c r="AD459" s="344">
        <f t="shared" si="56"/>
        <v>-860.76666666659912</v>
      </c>
      <c r="AE459" s="344">
        <v>5</v>
      </c>
      <c r="AF459" s="344">
        <v>9</v>
      </c>
      <c r="AG459" s="346">
        <v>7</v>
      </c>
      <c r="AH459" s="346">
        <v>6</v>
      </c>
      <c r="AI459" s="346">
        <v>7</v>
      </c>
      <c r="AJ459" s="346">
        <v>9</v>
      </c>
      <c r="AK459" s="346">
        <v>10</v>
      </c>
      <c r="AL459" s="346">
        <v>9</v>
      </c>
      <c r="AM459" s="346">
        <v>7</v>
      </c>
      <c r="AN459" s="346">
        <v>1</v>
      </c>
      <c r="AO459" s="346">
        <v>1</v>
      </c>
      <c r="AP459" s="346">
        <v>8</v>
      </c>
      <c r="AQ459" s="357">
        <v>8</v>
      </c>
      <c r="AR459" s="357">
        <v>9</v>
      </c>
      <c r="AS459" s="357">
        <v>8</v>
      </c>
      <c r="AT459" s="357">
        <v>8</v>
      </c>
      <c r="AU459" s="357">
        <v>13</v>
      </c>
      <c r="AV459" s="357">
        <v>15</v>
      </c>
      <c r="AW459" s="357">
        <v>2</v>
      </c>
      <c r="AX459" s="357">
        <v>8</v>
      </c>
      <c r="AY459" s="357">
        <v>7</v>
      </c>
      <c r="AZ459" s="357">
        <v>8</v>
      </c>
      <c r="BA459" s="357">
        <v>7</v>
      </c>
      <c r="BB459" s="357">
        <v>5</v>
      </c>
      <c r="BC459" s="357">
        <v>8</v>
      </c>
    </row>
    <row r="460" spans="1:55" s="381" customFormat="1" ht="17.649999999999999" customHeight="1">
      <c r="A460" s="343">
        <v>28</v>
      </c>
      <c r="B460" s="211" t="s">
        <v>2107</v>
      </c>
      <c r="C460" s="211" t="s">
        <v>2055</v>
      </c>
      <c r="D460" s="211" t="s">
        <v>2090</v>
      </c>
      <c r="E460" s="344">
        <v>143</v>
      </c>
      <c r="F460" s="344">
        <v>134.63333333333301</v>
      </c>
      <c r="G460" s="356">
        <v>127.4</v>
      </c>
      <c r="H460" s="344">
        <v>122.966666666667</v>
      </c>
      <c r="I460" s="344">
        <v>121.8</v>
      </c>
      <c r="J460" s="344">
        <v>124.133333333333</v>
      </c>
      <c r="K460" s="344">
        <v>117.366666666667</v>
      </c>
      <c r="L460" s="344">
        <f t="shared" si="55"/>
        <v>28.419999999999998</v>
      </c>
      <c r="M460" s="344">
        <v>89.133333333333297</v>
      </c>
      <c r="N460" s="344">
        <v>87.966666666666697</v>
      </c>
      <c r="O460" s="344">
        <v>89.133333333333297</v>
      </c>
      <c r="P460" s="344">
        <v>101.966666666667</v>
      </c>
      <c r="Q460" s="344">
        <v>135.80000000000001</v>
      </c>
      <c r="R460" s="344">
        <v>133.46666666666701</v>
      </c>
      <c r="S460" s="344">
        <v>127.166666666667</v>
      </c>
      <c r="T460" s="344">
        <v>116.2</v>
      </c>
      <c r="U460" s="344">
        <v>97.766666666666694</v>
      </c>
      <c r="V460" s="344">
        <v>106.4</v>
      </c>
      <c r="W460" s="344">
        <v>108.26666666666701</v>
      </c>
      <c r="X460" s="344">
        <v>122.5</v>
      </c>
      <c r="Y460" s="344">
        <v>135.80000000000001</v>
      </c>
      <c r="Z460" s="344">
        <v>132.066666666667</v>
      </c>
      <c r="AA460" s="344">
        <v>136.5</v>
      </c>
      <c r="AB460" s="344">
        <v>143.73333333333301</v>
      </c>
      <c r="AC460" s="344">
        <v>132.53333333333299</v>
      </c>
      <c r="AD460" s="344">
        <f t="shared" si="56"/>
        <v>-11.200000000000017</v>
      </c>
      <c r="AE460" s="344">
        <v>8</v>
      </c>
      <c r="AF460" s="344">
        <v>2</v>
      </c>
      <c r="AG460" s="346">
        <v>3</v>
      </c>
      <c r="AH460" s="346">
        <v>3</v>
      </c>
      <c r="AI460" s="346">
        <v>3</v>
      </c>
      <c r="AJ460" s="346">
        <v>6</v>
      </c>
      <c r="AK460" s="346">
        <v>4</v>
      </c>
      <c r="AL460" s="346">
        <v>6</v>
      </c>
      <c r="AM460" s="346">
        <v>5</v>
      </c>
      <c r="AN460" s="346">
        <v>4</v>
      </c>
      <c r="AO460" s="346">
        <v>4</v>
      </c>
      <c r="AP460" s="346">
        <v>3</v>
      </c>
      <c r="AQ460" s="357">
        <v>8</v>
      </c>
      <c r="AR460" s="357">
        <v>1</v>
      </c>
      <c r="AS460" s="357">
        <v>2</v>
      </c>
      <c r="AT460" s="357">
        <v>3</v>
      </c>
      <c r="AU460" s="357">
        <v>2</v>
      </c>
      <c r="AV460" s="357">
        <v>4</v>
      </c>
      <c r="AW460" s="357">
        <v>4</v>
      </c>
      <c r="AX460" s="357">
        <v>4</v>
      </c>
      <c r="AY460" s="357">
        <v>3</v>
      </c>
      <c r="AZ460" s="357">
        <v>1</v>
      </c>
      <c r="BA460" s="357">
        <v>4</v>
      </c>
      <c r="BB460" s="357">
        <v>6</v>
      </c>
      <c r="BC460" s="357">
        <v>7</v>
      </c>
    </row>
    <row r="461" spans="1:55" s="381" customFormat="1" ht="17.649999999999999" customHeight="1">
      <c r="A461" s="343">
        <v>29</v>
      </c>
      <c r="B461" s="211" t="s">
        <v>2108</v>
      </c>
      <c r="C461" s="211" t="s">
        <v>2055</v>
      </c>
      <c r="D461" s="211" t="s">
        <v>2090</v>
      </c>
      <c r="E461" s="344">
        <v>57</v>
      </c>
      <c r="F461" s="344">
        <v>57.1666666666667</v>
      </c>
      <c r="G461" s="356">
        <v>67.6666666666667</v>
      </c>
      <c r="H461" s="344">
        <v>64.866666666666703</v>
      </c>
      <c r="I461" s="344">
        <v>64.400000000000006</v>
      </c>
      <c r="J461" s="344">
        <v>50.866666666666703</v>
      </c>
      <c r="K461" s="344">
        <v>39.6666666666667</v>
      </c>
      <c r="L461" s="344">
        <f t="shared" si="55"/>
        <v>15.026666666666669</v>
      </c>
      <c r="M461" s="344">
        <v>14.233333333333301</v>
      </c>
      <c r="N461" s="344">
        <v>11.6666666666667</v>
      </c>
      <c r="O461" s="344">
        <v>14.466666666666701</v>
      </c>
      <c r="P461" s="344">
        <v>16.3333333333333</v>
      </c>
      <c r="Q461" s="344">
        <v>25.6666666666667</v>
      </c>
      <c r="R461" s="344">
        <v>40.6</v>
      </c>
      <c r="S461" s="344">
        <v>62.533333333333303</v>
      </c>
      <c r="T461" s="344">
        <v>62.3</v>
      </c>
      <c r="U461" s="344">
        <v>65.8</v>
      </c>
      <c r="V461" s="344">
        <v>67.900000000000006</v>
      </c>
      <c r="W461" s="344">
        <v>55.3</v>
      </c>
      <c r="X461" s="344">
        <v>49.466666666666697</v>
      </c>
      <c r="Y461" s="344">
        <v>50.866666666666703</v>
      </c>
      <c r="Z461" s="344">
        <v>33.6</v>
      </c>
      <c r="AA461" s="344">
        <v>28.7</v>
      </c>
      <c r="AB461" s="344">
        <v>28.233333333333299</v>
      </c>
      <c r="AC461" s="344">
        <v>27.533333333333299</v>
      </c>
      <c r="AD461" s="344">
        <f t="shared" si="56"/>
        <v>-0.69999999999999929</v>
      </c>
      <c r="AE461" s="344">
        <v>4</v>
      </c>
      <c r="AF461" s="344">
        <v>8</v>
      </c>
      <c r="AG461" s="346">
        <v>7</v>
      </c>
      <c r="AH461" s="346">
        <v>7</v>
      </c>
      <c r="AI461" s="346">
        <v>10</v>
      </c>
      <c r="AJ461" s="346">
        <v>2</v>
      </c>
      <c r="AK461" s="346">
        <v>7</v>
      </c>
      <c r="AL461" s="346">
        <v>2</v>
      </c>
      <c r="AM461" s="346">
        <v>8</v>
      </c>
      <c r="AN461" s="346">
        <v>8</v>
      </c>
      <c r="AO461" s="346">
        <v>8</v>
      </c>
      <c r="AP461" s="346">
        <v>6</v>
      </c>
      <c r="AQ461" s="357">
        <v>7</v>
      </c>
      <c r="AR461" s="357">
        <v>5</v>
      </c>
      <c r="AS461" s="357">
        <v>7</v>
      </c>
      <c r="AT461" s="357">
        <v>7</v>
      </c>
      <c r="AU461" s="357">
        <v>2</v>
      </c>
      <c r="AV461" s="357">
        <v>7</v>
      </c>
      <c r="AW461" s="357">
        <v>8</v>
      </c>
      <c r="AX461" s="357">
        <v>6</v>
      </c>
      <c r="AY461" s="357">
        <v>6</v>
      </c>
      <c r="AZ461" s="357">
        <v>5</v>
      </c>
      <c r="BA461" s="357">
        <v>10</v>
      </c>
      <c r="BB461" s="357">
        <v>10</v>
      </c>
      <c r="BC461" s="357">
        <v>10</v>
      </c>
    </row>
    <row r="462" spans="1:55" s="381" customFormat="1" ht="17.649999999999999" customHeight="1">
      <c r="A462" s="343">
        <v>30</v>
      </c>
      <c r="B462" s="211" t="s">
        <v>2109</v>
      </c>
      <c r="C462" s="211" t="s">
        <v>2055</v>
      </c>
      <c r="D462" s="211" t="s">
        <v>2063</v>
      </c>
      <c r="E462" s="344">
        <v>642</v>
      </c>
      <c r="F462" s="344">
        <v>646.33333333333303</v>
      </c>
      <c r="G462" s="356">
        <v>694.4</v>
      </c>
      <c r="H462" s="344">
        <v>717.5</v>
      </c>
      <c r="I462" s="344">
        <v>737.8</v>
      </c>
      <c r="J462" s="344">
        <v>721</v>
      </c>
      <c r="K462" s="344">
        <v>696.03333333333296</v>
      </c>
      <c r="L462" s="344">
        <f t="shared" si="55"/>
        <v>172.15333333333331</v>
      </c>
      <c r="M462" s="344">
        <v>609.23333333333301</v>
      </c>
      <c r="N462" s="344">
        <v>629.29999999999995</v>
      </c>
      <c r="O462" s="344">
        <v>672.7</v>
      </c>
      <c r="P462" s="344">
        <v>729.86666666666702</v>
      </c>
      <c r="Q462" s="344">
        <v>768.36666666666702</v>
      </c>
      <c r="R462" s="344">
        <v>730.1</v>
      </c>
      <c r="S462" s="344">
        <v>702.8</v>
      </c>
      <c r="T462" s="344">
        <v>669.2</v>
      </c>
      <c r="U462" s="344">
        <v>647.26666666666699</v>
      </c>
      <c r="V462" s="344">
        <v>623.23333333333301</v>
      </c>
      <c r="W462" s="344">
        <v>587.06666666666695</v>
      </c>
      <c r="X462" s="344">
        <v>556.5</v>
      </c>
      <c r="Y462" s="344">
        <v>546.93333333333305</v>
      </c>
      <c r="Z462" s="344">
        <v>544.36666666666702</v>
      </c>
      <c r="AA462" s="344">
        <v>552.76666666666699</v>
      </c>
      <c r="AB462" s="344">
        <v>571.43333333333305</v>
      </c>
      <c r="AC462" s="344">
        <v>571.43333333333305</v>
      </c>
      <c r="AD462" s="344">
        <f t="shared" si="56"/>
        <v>0</v>
      </c>
      <c r="AE462" s="344">
        <v>51</v>
      </c>
      <c r="AF462" s="344">
        <v>5</v>
      </c>
      <c r="AG462" s="346">
        <v>5</v>
      </c>
      <c r="AH462" s="346">
        <v>9</v>
      </c>
      <c r="AI462" s="346">
        <v>8</v>
      </c>
      <c r="AJ462" s="346">
        <v>10</v>
      </c>
      <c r="AK462" s="346">
        <v>10</v>
      </c>
      <c r="AL462" s="346">
        <v>10</v>
      </c>
      <c r="AM462" s="346">
        <v>4</v>
      </c>
      <c r="AN462" s="346">
        <v>3</v>
      </c>
      <c r="AO462" s="346">
        <v>3</v>
      </c>
      <c r="AP462" s="346">
        <v>4</v>
      </c>
      <c r="AQ462" s="357">
        <v>7</v>
      </c>
      <c r="AR462" s="357">
        <v>4</v>
      </c>
      <c r="AS462" s="357">
        <v>3</v>
      </c>
      <c r="AT462" s="357">
        <v>10</v>
      </c>
      <c r="AU462" s="357">
        <v>9</v>
      </c>
      <c r="AV462" s="357">
        <v>3</v>
      </c>
      <c r="AW462" s="357">
        <v>6</v>
      </c>
      <c r="AX462" s="357">
        <v>11</v>
      </c>
      <c r="AY462" s="357">
        <v>2</v>
      </c>
      <c r="AZ462" s="357">
        <v>1</v>
      </c>
      <c r="BA462" s="357">
        <v>1</v>
      </c>
      <c r="BB462" s="357">
        <v>9</v>
      </c>
      <c r="BC462" s="357">
        <v>8</v>
      </c>
    </row>
    <row r="463" spans="1:55" s="381" customFormat="1" ht="17.649999999999999" customHeight="1">
      <c r="A463" s="343">
        <v>31</v>
      </c>
      <c r="B463" s="211" t="s">
        <v>2110</v>
      </c>
      <c r="C463" s="211" t="s">
        <v>2055</v>
      </c>
      <c r="D463" s="211" t="s">
        <v>2063</v>
      </c>
      <c r="E463" s="344">
        <v>4285</v>
      </c>
      <c r="F463" s="344">
        <v>3499.0666666666698</v>
      </c>
      <c r="G463" s="356">
        <v>3538.0333333333301</v>
      </c>
      <c r="H463" s="344">
        <v>3357.6666666666702</v>
      </c>
      <c r="I463" s="344">
        <v>2972.9</v>
      </c>
      <c r="J463" s="344">
        <v>2890.0666666666698</v>
      </c>
      <c r="K463" s="344">
        <v>2700.6</v>
      </c>
      <c r="L463" s="344">
        <f t="shared" si="55"/>
        <v>693.67666666666662</v>
      </c>
      <c r="M463" s="344">
        <v>2042.13333333333</v>
      </c>
      <c r="N463" s="344">
        <v>2132.1999999999998</v>
      </c>
      <c r="O463" s="344">
        <v>2441.13333333333</v>
      </c>
      <c r="P463" s="344">
        <v>2920.1666666666702</v>
      </c>
      <c r="Q463" s="344">
        <v>3482.7333333333299</v>
      </c>
      <c r="R463" s="344">
        <v>3831.8</v>
      </c>
      <c r="S463" s="344">
        <v>3495.3333333333298</v>
      </c>
      <c r="T463" s="344">
        <v>3040.3333333333298</v>
      </c>
      <c r="U463" s="344">
        <v>2472.4</v>
      </c>
      <c r="V463" s="344">
        <v>2258.9</v>
      </c>
      <c r="W463" s="344">
        <v>2439.7333333333299</v>
      </c>
      <c r="X463" s="344">
        <v>2908.5</v>
      </c>
      <c r="Y463" s="344">
        <v>3044.5333333333301</v>
      </c>
      <c r="Z463" s="344">
        <v>3371.4333333333302</v>
      </c>
      <c r="AA463" s="344">
        <v>3620.4</v>
      </c>
      <c r="AB463" s="344">
        <v>3265.2666666666701</v>
      </c>
      <c r="AC463" s="344">
        <v>3573.7333333333299</v>
      </c>
      <c r="AD463" s="344">
        <f t="shared" si="56"/>
        <v>308.46666666665988</v>
      </c>
      <c r="AE463" s="344">
        <v>3</v>
      </c>
      <c r="AF463" s="344">
        <v>8</v>
      </c>
      <c r="AG463" s="346">
        <v>5</v>
      </c>
      <c r="AH463" s="346">
        <v>4</v>
      </c>
      <c r="AI463" s="346">
        <v>6</v>
      </c>
      <c r="AJ463" s="346">
        <v>6</v>
      </c>
      <c r="AK463" s="346">
        <v>7</v>
      </c>
      <c r="AL463" s="346">
        <v>6</v>
      </c>
      <c r="AM463" s="346">
        <v>4</v>
      </c>
      <c r="AN463" s="346">
        <v>7</v>
      </c>
      <c r="AO463" s="346">
        <v>7</v>
      </c>
      <c r="AP463" s="346">
        <v>4</v>
      </c>
      <c r="AQ463" s="357">
        <v>8</v>
      </c>
      <c r="AR463" s="357">
        <v>6</v>
      </c>
      <c r="AS463" s="357">
        <v>5</v>
      </c>
      <c r="AT463" s="357">
        <v>4</v>
      </c>
      <c r="AU463" s="357">
        <v>2</v>
      </c>
      <c r="AV463" s="357">
        <v>6</v>
      </c>
      <c r="AW463" s="357">
        <v>3</v>
      </c>
      <c r="AX463" s="357">
        <v>8</v>
      </c>
      <c r="AY463" s="357">
        <v>7</v>
      </c>
      <c r="AZ463" s="357">
        <v>2</v>
      </c>
      <c r="BA463" s="357">
        <v>2</v>
      </c>
      <c r="BB463" s="357">
        <v>6</v>
      </c>
      <c r="BC463" s="357">
        <v>4</v>
      </c>
    </row>
    <row r="464" spans="1:55" s="381" customFormat="1" ht="17.649999999999999" customHeight="1">
      <c r="A464" s="343">
        <v>32</v>
      </c>
      <c r="B464" s="211" t="s">
        <v>2111</v>
      </c>
      <c r="C464" s="211" t="s">
        <v>2055</v>
      </c>
      <c r="D464" s="211" t="s">
        <v>2090</v>
      </c>
      <c r="E464" s="344">
        <v>28</v>
      </c>
      <c r="F464" s="344">
        <v>25.6666666666667</v>
      </c>
      <c r="G464" s="356">
        <v>19.8333333333333</v>
      </c>
      <c r="H464" s="344">
        <v>22.1666666666667</v>
      </c>
      <c r="I464" s="344">
        <v>35.233333333333299</v>
      </c>
      <c r="J464" s="344">
        <v>68.133333333333297</v>
      </c>
      <c r="K464" s="344">
        <v>75.366666666666703</v>
      </c>
      <c r="L464" s="344">
        <f t="shared" si="55"/>
        <v>8.221111111111103</v>
      </c>
      <c r="M464" s="344">
        <v>66.966666666666697</v>
      </c>
      <c r="N464" s="344">
        <v>35.233333333333299</v>
      </c>
      <c r="O464" s="344">
        <v>26.6</v>
      </c>
      <c r="P464" s="344">
        <v>38.266666666666701</v>
      </c>
      <c r="Q464" s="344">
        <v>47.366666666666703</v>
      </c>
      <c r="R464" s="344">
        <v>53.433333333333302</v>
      </c>
      <c r="S464" s="344">
        <v>61.6</v>
      </c>
      <c r="T464" s="344">
        <v>59.966666666666697</v>
      </c>
      <c r="U464" s="344">
        <v>59.5</v>
      </c>
      <c r="V464" s="344">
        <v>53.6666666666667</v>
      </c>
      <c r="W464" s="344">
        <v>38.733333333333299</v>
      </c>
      <c r="X464" s="344">
        <v>25.433333333333302</v>
      </c>
      <c r="Y464" s="344">
        <v>19.8333333333333</v>
      </c>
      <c r="Z464" s="344">
        <v>14.233333333333301</v>
      </c>
      <c r="AA464" s="344">
        <v>16.8</v>
      </c>
      <c r="AB464" s="344">
        <v>17.266666666666701</v>
      </c>
      <c r="AC464" s="344">
        <v>17.266666666666701</v>
      </c>
      <c r="AD464" s="344">
        <f t="shared" si="56"/>
        <v>0</v>
      </c>
      <c r="AE464" s="344">
        <v>1</v>
      </c>
      <c r="AF464" s="344">
        <v>1</v>
      </c>
      <c r="AG464" s="346">
        <v>1</v>
      </c>
      <c r="AH464" s="346">
        <v>1</v>
      </c>
      <c r="AI464" s="346">
        <v>1</v>
      </c>
      <c r="AJ464" s="346">
        <v>1</v>
      </c>
      <c r="AK464" s="346">
        <v>7</v>
      </c>
      <c r="AL464" s="346">
        <v>1</v>
      </c>
      <c r="AM464" s="346">
        <v>10</v>
      </c>
      <c r="AN464" s="346">
        <v>9</v>
      </c>
      <c r="AO464" s="346">
        <v>9</v>
      </c>
      <c r="AP464" s="346">
        <v>8</v>
      </c>
      <c r="AQ464" s="357">
        <v>1</v>
      </c>
      <c r="AR464" s="357">
        <v>1</v>
      </c>
      <c r="AS464" s="357">
        <v>1</v>
      </c>
      <c r="AT464" s="357">
        <v>1</v>
      </c>
      <c r="AU464" s="357">
        <v>10</v>
      </c>
      <c r="AV464" s="357">
        <v>1</v>
      </c>
      <c r="AW464" s="357">
        <v>1</v>
      </c>
      <c r="AX464" s="357">
        <v>1</v>
      </c>
      <c r="AY464" s="357">
        <v>1</v>
      </c>
      <c r="AZ464" s="357">
        <v>7</v>
      </c>
      <c r="BA464" s="357">
        <v>2</v>
      </c>
      <c r="BB464" s="357">
        <v>10</v>
      </c>
      <c r="BC464" s="357">
        <v>1</v>
      </c>
    </row>
    <row r="465" spans="1:55" s="381" customFormat="1" ht="17.649999999999999" customHeight="1">
      <c r="A465" s="343">
        <v>33</v>
      </c>
      <c r="B465" s="211" t="s">
        <v>223</v>
      </c>
      <c r="C465" s="211" t="s">
        <v>2055</v>
      </c>
      <c r="D465" s="211" t="s">
        <v>2090</v>
      </c>
      <c r="E465" s="344">
        <v>74</v>
      </c>
      <c r="F465" s="344">
        <v>65.099999999999994</v>
      </c>
      <c r="G465" s="356">
        <v>51.566666666666698</v>
      </c>
      <c r="H465" s="344">
        <v>48.066666666666698</v>
      </c>
      <c r="I465" s="344">
        <v>43.866666666666703</v>
      </c>
      <c r="J465" s="344">
        <v>41.533333333333303</v>
      </c>
      <c r="K465" s="344">
        <v>41.766666666666701</v>
      </c>
      <c r="L465" s="344">
        <f t="shared" si="55"/>
        <v>10.235555555555564</v>
      </c>
      <c r="M465" s="344">
        <v>42.466666666666697</v>
      </c>
      <c r="N465" s="344">
        <v>44.1</v>
      </c>
      <c r="O465" s="344">
        <v>63.466666666666697</v>
      </c>
      <c r="P465" s="344">
        <v>99.1666666666667</v>
      </c>
      <c r="Q465" s="344">
        <v>117.366666666667</v>
      </c>
      <c r="R465" s="344">
        <v>143.5</v>
      </c>
      <c r="S465" s="344">
        <v>154</v>
      </c>
      <c r="T465" s="344">
        <v>139.066666666667</v>
      </c>
      <c r="U465" s="344">
        <v>132.066666666667</v>
      </c>
      <c r="V465" s="344">
        <v>122.033333333333</v>
      </c>
      <c r="W465" s="344">
        <v>124.833333333333</v>
      </c>
      <c r="X465" s="344">
        <v>125.066666666667</v>
      </c>
      <c r="Y465" s="344">
        <v>118.3</v>
      </c>
      <c r="Z465" s="344">
        <v>128.80000000000001</v>
      </c>
      <c r="AA465" s="344">
        <v>123.2</v>
      </c>
      <c r="AB465" s="344">
        <v>109.9</v>
      </c>
      <c r="AC465" s="344">
        <v>108.966666666667</v>
      </c>
      <c r="AD465" s="344">
        <f t="shared" si="56"/>
        <v>-0.93333333333301027</v>
      </c>
      <c r="AE465" s="344">
        <v>1</v>
      </c>
      <c r="AF465" s="344">
        <v>1</v>
      </c>
      <c r="AG465" s="346">
        <v>2</v>
      </c>
      <c r="AH465" s="346">
        <v>7</v>
      </c>
      <c r="AI465" s="346">
        <v>1</v>
      </c>
      <c r="AJ465" s="346">
        <v>7</v>
      </c>
      <c r="AK465" s="346">
        <v>1</v>
      </c>
      <c r="AL465" s="346">
        <v>7</v>
      </c>
      <c r="AM465" s="346">
        <v>2</v>
      </c>
      <c r="AN465" s="346">
        <v>2</v>
      </c>
      <c r="AO465" s="346">
        <v>2</v>
      </c>
      <c r="AP465" s="346">
        <v>1</v>
      </c>
      <c r="AQ465" s="357">
        <v>2</v>
      </c>
      <c r="AR465" s="357">
        <v>2</v>
      </c>
      <c r="AS465" s="357">
        <v>2</v>
      </c>
      <c r="AT465" s="357">
        <v>2</v>
      </c>
      <c r="AU465" s="357">
        <v>1</v>
      </c>
      <c r="AV465" s="357">
        <v>2</v>
      </c>
      <c r="AW465" s="357">
        <v>1</v>
      </c>
      <c r="AX465" s="357">
        <v>1</v>
      </c>
      <c r="AY465" s="357">
        <v>1</v>
      </c>
      <c r="AZ465" s="357">
        <v>2</v>
      </c>
      <c r="BA465" s="357">
        <v>4</v>
      </c>
      <c r="BB465" s="357">
        <v>3</v>
      </c>
      <c r="BC465" s="357">
        <v>4</v>
      </c>
    </row>
    <row r="466" spans="1:55" s="381" customFormat="1" ht="17.649999999999999" customHeight="1">
      <c r="A466" s="343">
        <v>34</v>
      </c>
      <c r="B466" s="211" t="s">
        <v>2112</v>
      </c>
      <c r="C466" s="211" t="s">
        <v>2055</v>
      </c>
      <c r="D466" s="211" t="s">
        <v>2090</v>
      </c>
      <c r="E466" s="344">
        <v>79</v>
      </c>
      <c r="F466" s="344">
        <v>83.3</v>
      </c>
      <c r="G466" s="356">
        <v>80.266666666666694</v>
      </c>
      <c r="H466" s="344">
        <v>75.366666666666703</v>
      </c>
      <c r="I466" s="344">
        <v>74.6666666666667</v>
      </c>
      <c r="J466" s="344">
        <v>66.966666666666697</v>
      </c>
      <c r="K466" s="344">
        <v>59.5</v>
      </c>
      <c r="L466" s="344">
        <f t="shared" si="55"/>
        <v>17.422222222222228</v>
      </c>
      <c r="M466" s="344">
        <v>55.066666666666698</v>
      </c>
      <c r="N466" s="344">
        <v>61.366666666666703</v>
      </c>
      <c r="O466" s="344">
        <v>69.066666666666706</v>
      </c>
      <c r="P466" s="344">
        <v>69.3</v>
      </c>
      <c r="Q466" s="344">
        <v>77</v>
      </c>
      <c r="R466" s="344">
        <v>73.5</v>
      </c>
      <c r="S466" s="344">
        <v>83.533333333333303</v>
      </c>
      <c r="T466" s="344">
        <v>89.8333333333333</v>
      </c>
      <c r="U466" s="344">
        <v>86.8</v>
      </c>
      <c r="V466" s="344">
        <v>96.6</v>
      </c>
      <c r="W466" s="344">
        <v>101.033333333333</v>
      </c>
      <c r="X466" s="344">
        <v>95.2</v>
      </c>
      <c r="Y466" s="344">
        <v>100.1</v>
      </c>
      <c r="Z466" s="344">
        <v>93.566666666666706</v>
      </c>
      <c r="AA466" s="344">
        <v>84.933333333333294</v>
      </c>
      <c r="AB466" s="344">
        <v>76.533333333333303</v>
      </c>
      <c r="AC466" s="344">
        <v>73.733333333333306</v>
      </c>
      <c r="AD466" s="344">
        <f t="shared" si="56"/>
        <v>-2.7999999999999972</v>
      </c>
      <c r="AE466" s="344">
        <v>4</v>
      </c>
      <c r="AF466" s="344">
        <v>9</v>
      </c>
      <c r="AG466" s="346">
        <v>8</v>
      </c>
      <c r="AH466" s="346">
        <v>7</v>
      </c>
      <c r="AI466" s="346">
        <v>5</v>
      </c>
      <c r="AJ466" s="346">
        <v>5</v>
      </c>
      <c r="AK466" s="346">
        <v>6</v>
      </c>
      <c r="AL466" s="346">
        <v>5</v>
      </c>
      <c r="AM466" s="346">
        <v>8</v>
      </c>
      <c r="AN466" s="346">
        <v>4</v>
      </c>
      <c r="AO466" s="346">
        <v>4</v>
      </c>
      <c r="AP466" s="346">
        <v>4</v>
      </c>
      <c r="AQ466" s="357">
        <v>4</v>
      </c>
      <c r="AR466" s="357">
        <v>2</v>
      </c>
      <c r="AS466" s="357">
        <v>5</v>
      </c>
      <c r="AT466" s="357">
        <v>4</v>
      </c>
      <c r="AU466" s="357">
        <v>3</v>
      </c>
      <c r="AV466" s="357">
        <v>4</v>
      </c>
      <c r="AW466" s="357">
        <v>2</v>
      </c>
      <c r="AX466" s="357">
        <v>4</v>
      </c>
      <c r="AY466" s="357">
        <v>4</v>
      </c>
      <c r="AZ466" s="357">
        <v>2</v>
      </c>
      <c r="BA466" s="357">
        <v>7</v>
      </c>
      <c r="BB466" s="357">
        <v>4</v>
      </c>
      <c r="BC466" s="357">
        <v>4</v>
      </c>
    </row>
    <row r="467" spans="1:55" s="381" customFormat="1" ht="17.649999999999999" customHeight="1">
      <c r="A467" s="343">
        <v>35</v>
      </c>
      <c r="B467" s="211" t="s">
        <v>2113</v>
      </c>
      <c r="C467" s="211" t="s">
        <v>2055</v>
      </c>
      <c r="D467" s="211" t="s">
        <v>2090</v>
      </c>
      <c r="E467" s="344">
        <v>62</v>
      </c>
      <c r="F467" s="344">
        <v>64.400000000000006</v>
      </c>
      <c r="G467" s="356">
        <v>54.133333333333297</v>
      </c>
      <c r="H467" s="344">
        <v>50.1666666666667</v>
      </c>
      <c r="I467" s="344">
        <v>53.9</v>
      </c>
      <c r="J467" s="344">
        <v>62.766666666666701</v>
      </c>
      <c r="K467" s="344">
        <v>58.566666666666698</v>
      </c>
      <c r="L467" s="344">
        <f t="shared" si="55"/>
        <v>12.576666666666666</v>
      </c>
      <c r="M467" s="344">
        <v>49.466666666666697</v>
      </c>
      <c r="N467" s="344">
        <v>42</v>
      </c>
      <c r="O467" s="344">
        <v>39.433333333333302</v>
      </c>
      <c r="P467" s="344">
        <v>46.9</v>
      </c>
      <c r="Q467" s="344">
        <v>52.5</v>
      </c>
      <c r="R467" s="344">
        <v>55.766666666666701</v>
      </c>
      <c r="S467" s="344">
        <v>60.6666666666667</v>
      </c>
      <c r="T467" s="344">
        <v>64.400000000000006</v>
      </c>
      <c r="U467" s="344">
        <v>69.533333333333303</v>
      </c>
      <c r="V467" s="344">
        <v>65.566666666666706</v>
      </c>
      <c r="W467" s="344">
        <v>63.233333333333299</v>
      </c>
      <c r="X467" s="344">
        <v>59.033333333333303</v>
      </c>
      <c r="Y467" s="344">
        <v>47.6</v>
      </c>
      <c r="Z467" s="344">
        <v>46.433333333333302</v>
      </c>
      <c r="AA467" s="344">
        <v>44.8</v>
      </c>
      <c r="AB467" s="344">
        <v>47.133333333333297</v>
      </c>
      <c r="AC467" s="344">
        <v>43.866666666666703</v>
      </c>
      <c r="AD467" s="344">
        <f t="shared" si="56"/>
        <v>-3.2666666666665947</v>
      </c>
      <c r="AE467" s="344">
        <v>12</v>
      </c>
      <c r="AF467" s="344">
        <v>2</v>
      </c>
      <c r="AG467" s="346">
        <v>11</v>
      </c>
      <c r="AH467" s="346">
        <v>2</v>
      </c>
      <c r="AI467" s="346">
        <v>2</v>
      </c>
      <c r="AJ467" s="346">
        <v>2</v>
      </c>
      <c r="AK467" s="346">
        <v>2</v>
      </c>
      <c r="AL467" s="346">
        <v>2</v>
      </c>
      <c r="AM467" s="346">
        <v>3</v>
      </c>
      <c r="AN467" s="346">
        <v>1</v>
      </c>
      <c r="AO467" s="346">
        <v>1</v>
      </c>
      <c r="AP467" s="346">
        <v>3</v>
      </c>
      <c r="AQ467" s="357">
        <v>3</v>
      </c>
      <c r="AR467" s="357">
        <v>9</v>
      </c>
      <c r="AS467" s="357">
        <v>7</v>
      </c>
      <c r="AT467" s="357">
        <v>2</v>
      </c>
      <c r="AU467" s="211">
        <v>2</v>
      </c>
      <c r="AV467" s="357">
        <v>1</v>
      </c>
      <c r="AW467" s="357">
        <v>2</v>
      </c>
      <c r="AX467" s="357">
        <v>8</v>
      </c>
      <c r="AY467" s="357">
        <v>7</v>
      </c>
      <c r="AZ467" s="357">
        <v>2</v>
      </c>
      <c r="BA467" s="357">
        <v>3</v>
      </c>
      <c r="BB467" s="357">
        <v>2</v>
      </c>
      <c r="BC467" s="357">
        <v>1</v>
      </c>
    </row>
    <row r="468" spans="1:55" s="381" customFormat="1" ht="17.649999999999999" customHeight="1">
      <c r="A468" s="343">
        <v>36</v>
      </c>
      <c r="B468" s="211" t="s">
        <v>2114</v>
      </c>
      <c r="C468" s="211" t="s">
        <v>2055</v>
      </c>
      <c r="D468" s="211" t="s">
        <v>2063</v>
      </c>
      <c r="E468" s="344">
        <v>675</v>
      </c>
      <c r="F468" s="344">
        <v>631.16666666666697</v>
      </c>
      <c r="G468" s="356">
        <v>561.86666666666702</v>
      </c>
      <c r="H468" s="344">
        <v>543.20000000000005</v>
      </c>
      <c r="I468" s="344">
        <v>481.6</v>
      </c>
      <c r="J468" s="344">
        <v>472.26666666666699</v>
      </c>
      <c r="K468" s="344">
        <v>434.23333333333301</v>
      </c>
      <c r="L468" s="344">
        <f t="shared" si="55"/>
        <v>112.37333333333333</v>
      </c>
      <c r="M468" s="344">
        <v>397.13333333333298</v>
      </c>
      <c r="N468" s="344">
        <v>484.16666666666703</v>
      </c>
      <c r="O468" s="344">
        <v>586.13333333333298</v>
      </c>
      <c r="P468" s="344">
        <v>728.46666666666704</v>
      </c>
      <c r="Q468" s="344">
        <v>859.13333333333298</v>
      </c>
      <c r="R468" s="344">
        <v>833</v>
      </c>
      <c r="S468" s="344">
        <v>776.76666666666699</v>
      </c>
      <c r="T468" s="344">
        <v>706.76666666666699</v>
      </c>
      <c r="U468" s="344">
        <v>625.79999999999995</v>
      </c>
      <c r="V468" s="344">
        <v>650.53333333333296</v>
      </c>
      <c r="W468" s="344">
        <v>694.86666666666702</v>
      </c>
      <c r="X468" s="344">
        <v>803.6</v>
      </c>
      <c r="Y468" s="344">
        <v>869.63333333333298</v>
      </c>
      <c r="Z468" s="344">
        <v>834.4</v>
      </c>
      <c r="AA468" s="344">
        <v>799.4</v>
      </c>
      <c r="AB468" s="344">
        <v>700.93333333333305</v>
      </c>
      <c r="AC468" s="344">
        <v>656.36666666666702</v>
      </c>
      <c r="AD468" s="344">
        <f t="shared" si="56"/>
        <v>-44.566666666666038</v>
      </c>
      <c r="AE468" s="344">
        <v>2</v>
      </c>
      <c r="AF468" s="344">
        <v>4</v>
      </c>
      <c r="AG468" s="346">
        <v>17</v>
      </c>
      <c r="AH468" s="346">
        <v>13</v>
      </c>
      <c r="AI468" s="346">
        <v>4</v>
      </c>
      <c r="AJ468" s="346">
        <v>1</v>
      </c>
      <c r="AK468" s="346">
        <v>4</v>
      </c>
      <c r="AL468" s="346">
        <v>1</v>
      </c>
      <c r="AM468" s="346">
        <v>4</v>
      </c>
      <c r="AN468" s="346">
        <v>4</v>
      </c>
      <c r="AO468" s="346">
        <v>4</v>
      </c>
      <c r="AP468" s="346">
        <v>4</v>
      </c>
      <c r="AQ468" s="357">
        <v>3</v>
      </c>
      <c r="AR468" s="357">
        <v>5</v>
      </c>
      <c r="AS468" s="357">
        <v>4</v>
      </c>
      <c r="AT468" s="357">
        <v>7</v>
      </c>
      <c r="AU468" s="357">
        <v>4</v>
      </c>
      <c r="AV468" s="357">
        <v>5</v>
      </c>
      <c r="AW468" s="357">
        <v>9</v>
      </c>
      <c r="AX468" s="357">
        <v>8</v>
      </c>
      <c r="AY468" s="357">
        <v>7</v>
      </c>
      <c r="AZ468" s="357">
        <v>2</v>
      </c>
      <c r="BA468" s="357">
        <v>9</v>
      </c>
      <c r="BB468" s="357">
        <v>5</v>
      </c>
      <c r="BC468" s="357">
        <v>6</v>
      </c>
    </row>
    <row r="469" spans="1:55" s="381" customFormat="1" ht="17.649999999999999" customHeight="1">
      <c r="A469" s="343">
        <v>37</v>
      </c>
      <c r="B469" s="211" t="s">
        <v>2115</v>
      </c>
      <c r="C469" s="211" t="s">
        <v>2055</v>
      </c>
      <c r="D469" s="211" t="s">
        <v>2090</v>
      </c>
      <c r="E469" s="344">
        <v>63</v>
      </c>
      <c r="F469" s="344">
        <v>82.6</v>
      </c>
      <c r="G469" s="356">
        <v>102.2</v>
      </c>
      <c r="H469" s="344">
        <v>103.833333333333</v>
      </c>
      <c r="I469" s="344">
        <v>146.76666666666699</v>
      </c>
      <c r="J469" s="344">
        <v>195.53333333333299</v>
      </c>
      <c r="K469" s="344">
        <v>165.433333333333</v>
      </c>
      <c r="L469" s="344">
        <f t="shared" si="55"/>
        <v>34.245555555555633</v>
      </c>
      <c r="M469" s="344">
        <v>112.933333333333</v>
      </c>
      <c r="N469" s="344">
        <v>51.3333333333333</v>
      </c>
      <c r="O469" s="344">
        <v>54.8333333333333</v>
      </c>
      <c r="P469" s="344">
        <v>68.133333333333297</v>
      </c>
      <c r="Q469" s="344">
        <v>430.5</v>
      </c>
      <c r="R469" s="344">
        <v>432.83333333333297</v>
      </c>
      <c r="S469" s="344">
        <v>1818.6</v>
      </c>
      <c r="T469" s="344">
        <v>3481.1</v>
      </c>
      <c r="U469" s="344">
        <v>3159.1</v>
      </c>
      <c r="V469" s="344">
        <v>3150.9333333333302</v>
      </c>
      <c r="W469" s="344">
        <v>2352</v>
      </c>
      <c r="X469" s="344">
        <v>975.56666666666695</v>
      </c>
      <c r="Y469" s="344">
        <v>79.099999999999994</v>
      </c>
      <c r="Z469" s="344">
        <v>1730.63333333333</v>
      </c>
      <c r="AA469" s="344">
        <v>1730.63333333333</v>
      </c>
      <c r="AB469" s="344">
        <v>1723.4</v>
      </c>
      <c r="AC469" s="344">
        <v>2289.4666666666699</v>
      </c>
      <c r="AD469" s="344">
        <f t="shared" si="56"/>
        <v>566.06666666666979</v>
      </c>
      <c r="AE469" s="344">
        <v>1</v>
      </c>
      <c r="AF469" s="344">
        <v>7</v>
      </c>
      <c r="AG469" s="346">
        <v>1</v>
      </c>
      <c r="AH469" s="346">
        <v>1</v>
      </c>
      <c r="AI469" s="346">
        <v>1</v>
      </c>
      <c r="AJ469" s="346">
        <v>8</v>
      </c>
      <c r="AK469" s="346">
        <v>2</v>
      </c>
      <c r="AL469" s="346">
        <v>8</v>
      </c>
      <c r="AM469" s="346">
        <v>2</v>
      </c>
      <c r="AN469" s="346">
        <v>2</v>
      </c>
      <c r="AO469" s="346">
        <v>2</v>
      </c>
      <c r="AP469" s="346">
        <v>4</v>
      </c>
      <c r="AQ469" s="357">
        <v>3</v>
      </c>
      <c r="AR469" s="357">
        <v>1</v>
      </c>
      <c r="AS469" s="357">
        <v>5</v>
      </c>
      <c r="AT469" s="357">
        <v>1</v>
      </c>
      <c r="AU469" s="357">
        <v>1</v>
      </c>
      <c r="AV469" s="357">
        <v>1</v>
      </c>
      <c r="AW469" s="357">
        <v>10</v>
      </c>
      <c r="AX469" s="357">
        <v>9</v>
      </c>
      <c r="AY469" s="357">
        <v>10</v>
      </c>
      <c r="AZ469" s="357">
        <v>2</v>
      </c>
      <c r="BA469" s="357">
        <v>4</v>
      </c>
      <c r="BB469" s="357">
        <v>2</v>
      </c>
      <c r="BC469" s="357">
        <v>1</v>
      </c>
    </row>
    <row r="470" spans="1:55" s="381" customFormat="1" ht="17.649999999999999" customHeight="1">
      <c r="A470" s="343">
        <v>38</v>
      </c>
      <c r="B470" s="211" t="s">
        <v>2116</v>
      </c>
      <c r="C470" s="211" t="s">
        <v>2055</v>
      </c>
      <c r="D470" s="211" t="s">
        <v>2063</v>
      </c>
      <c r="E470" s="344">
        <v>1436</v>
      </c>
      <c r="F470" s="344">
        <v>1363.13333333333</v>
      </c>
      <c r="G470" s="356">
        <v>1273.06666666667</v>
      </c>
      <c r="H470" s="344">
        <v>1203.3</v>
      </c>
      <c r="I470" s="344">
        <v>1121.4000000000001</v>
      </c>
      <c r="J470" s="344">
        <v>959</v>
      </c>
      <c r="K470" s="344">
        <v>813.63333333333298</v>
      </c>
      <c r="L470" s="344">
        <f t="shared" si="55"/>
        <v>261.66000000000003</v>
      </c>
      <c r="M470" s="344">
        <v>543.43333333333305</v>
      </c>
      <c r="N470" s="344">
        <v>527.79999999999995</v>
      </c>
      <c r="O470" s="344">
        <v>550.9</v>
      </c>
      <c r="P470" s="344">
        <v>660.8</v>
      </c>
      <c r="Q470" s="344">
        <v>759.5</v>
      </c>
      <c r="R470" s="344">
        <v>830.9</v>
      </c>
      <c r="S470" s="344">
        <v>931.93333333333305</v>
      </c>
      <c r="T470" s="344">
        <v>970.9</v>
      </c>
      <c r="U470" s="344">
        <v>979.06666666666695</v>
      </c>
      <c r="V470" s="344">
        <v>961.56666666666695</v>
      </c>
      <c r="W470" s="344">
        <v>912.8</v>
      </c>
      <c r="X470" s="344">
        <v>910.23333333333301</v>
      </c>
      <c r="Y470" s="344">
        <v>889.93333333333305</v>
      </c>
      <c r="Z470" s="344">
        <v>884.56666666666695</v>
      </c>
      <c r="AA470" s="344">
        <v>863.56666666666695</v>
      </c>
      <c r="AB470" s="344">
        <v>887.13333333333298</v>
      </c>
      <c r="AC470" s="344">
        <v>903.23333333333301</v>
      </c>
      <c r="AD470" s="344">
        <f t="shared" si="56"/>
        <v>16.100000000000023</v>
      </c>
      <c r="AE470" s="344">
        <v>1</v>
      </c>
      <c r="AF470" s="344">
        <v>4</v>
      </c>
      <c r="AG470" s="346">
        <v>3</v>
      </c>
      <c r="AH470" s="346">
        <v>3</v>
      </c>
      <c r="AI470" s="346">
        <v>7</v>
      </c>
      <c r="AJ470" s="346">
        <v>4</v>
      </c>
      <c r="AK470" s="346">
        <v>5</v>
      </c>
      <c r="AL470" s="346">
        <v>4</v>
      </c>
      <c r="AM470" s="346">
        <v>7</v>
      </c>
      <c r="AN470" s="346">
        <v>3</v>
      </c>
      <c r="AO470" s="346">
        <v>3</v>
      </c>
      <c r="AP470" s="357">
        <v>5</v>
      </c>
      <c r="AQ470" s="357">
        <v>3</v>
      </c>
      <c r="AR470" s="357">
        <v>4</v>
      </c>
      <c r="AS470" s="357">
        <v>3</v>
      </c>
      <c r="AT470" s="357">
        <v>3</v>
      </c>
      <c r="AU470" s="357">
        <v>3</v>
      </c>
      <c r="AV470" s="357">
        <v>3</v>
      </c>
      <c r="AW470" s="357">
        <v>2</v>
      </c>
      <c r="AX470" s="357">
        <v>4</v>
      </c>
      <c r="AY470" s="357">
        <v>5</v>
      </c>
      <c r="AZ470" s="357">
        <v>4</v>
      </c>
      <c r="BA470" s="357">
        <v>6</v>
      </c>
      <c r="BB470" s="357">
        <v>5</v>
      </c>
      <c r="BC470" s="357">
        <v>3</v>
      </c>
    </row>
    <row r="471" spans="1:55" s="381" customFormat="1" ht="17.649999999999999" customHeight="1">
      <c r="A471" s="343">
        <v>39</v>
      </c>
      <c r="B471" s="211" t="s">
        <v>2117</v>
      </c>
      <c r="C471" s="211" t="s">
        <v>2055</v>
      </c>
      <c r="D471" s="211" t="s">
        <v>2090</v>
      </c>
      <c r="E471" s="344">
        <v>23</v>
      </c>
      <c r="F471" s="344">
        <v>21.933333333333302</v>
      </c>
      <c r="G471" s="356">
        <v>18.899999999999999</v>
      </c>
      <c r="H471" s="344">
        <v>19.600000000000001</v>
      </c>
      <c r="I471" s="344">
        <v>18.899999999999999</v>
      </c>
      <c r="J471" s="344">
        <v>16.566666666666698</v>
      </c>
      <c r="K471" s="344">
        <v>15.4</v>
      </c>
      <c r="L471" s="344">
        <f t="shared" si="55"/>
        <v>4.41</v>
      </c>
      <c r="M471" s="344">
        <v>12.8333333333333</v>
      </c>
      <c r="N471" s="344">
        <v>14.233333333333301</v>
      </c>
      <c r="O471" s="344">
        <v>14.233333333333301</v>
      </c>
      <c r="P471" s="344">
        <v>16.566666666666698</v>
      </c>
      <c r="Q471" s="344">
        <v>18.899999999999999</v>
      </c>
      <c r="R471" s="344">
        <v>20.533333333333299</v>
      </c>
      <c r="S471" s="344">
        <v>18.6666666666667</v>
      </c>
      <c r="T471" s="344">
        <v>15.1666666666667</v>
      </c>
      <c r="U471" s="344">
        <v>16.8</v>
      </c>
      <c r="V471" s="344">
        <v>15.633333333333301</v>
      </c>
      <c r="W471" s="344">
        <v>15.1666666666667</v>
      </c>
      <c r="X471" s="344">
        <v>16.3333333333333</v>
      </c>
      <c r="Y471" s="344">
        <v>14.9333333333333</v>
      </c>
      <c r="Z471" s="344">
        <v>16.566666666666698</v>
      </c>
      <c r="AA471" s="344">
        <v>17.733333333333299</v>
      </c>
      <c r="AB471" s="344">
        <v>18.6666666666667</v>
      </c>
      <c r="AC471" s="344">
        <v>18.433333333333302</v>
      </c>
      <c r="AD471" s="344">
        <f t="shared" si="56"/>
        <v>-0.23333333333339823</v>
      </c>
      <c r="AE471" s="344">
        <v>1</v>
      </c>
      <c r="AF471" s="344">
        <v>1</v>
      </c>
      <c r="AG471" s="346">
        <v>7</v>
      </c>
      <c r="AH471" s="346">
        <v>1</v>
      </c>
      <c r="AI471" s="346">
        <v>1</v>
      </c>
      <c r="AJ471" s="346">
        <v>1</v>
      </c>
      <c r="AK471" s="346">
        <v>2</v>
      </c>
      <c r="AL471" s="346">
        <v>1</v>
      </c>
      <c r="AM471" s="346">
        <v>1</v>
      </c>
      <c r="AN471" s="346">
        <v>1</v>
      </c>
      <c r="AO471" s="346">
        <v>1</v>
      </c>
      <c r="AP471" s="346">
        <v>1</v>
      </c>
      <c r="AQ471" s="357">
        <v>1</v>
      </c>
      <c r="AR471" s="357">
        <v>2</v>
      </c>
      <c r="AS471" s="357">
        <v>1</v>
      </c>
      <c r="AT471" s="357">
        <v>2</v>
      </c>
      <c r="AU471" s="357">
        <v>1</v>
      </c>
      <c r="AV471" s="357">
        <v>5</v>
      </c>
      <c r="AW471" s="357">
        <v>9</v>
      </c>
      <c r="AX471" s="357">
        <v>2</v>
      </c>
      <c r="AY471" s="357">
        <v>4</v>
      </c>
      <c r="AZ471" s="357">
        <v>2</v>
      </c>
      <c r="BA471" s="357">
        <v>1</v>
      </c>
      <c r="BB471" s="357">
        <v>1</v>
      </c>
      <c r="BC471" s="357">
        <v>4</v>
      </c>
    </row>
    <row r="472" spans="1:55" s="381" customFormat="1" ht="17.649999999999999" customHeight="1">
      <c r="A472" s="343">
        <v>40</v>
      </c>
      <c r="B472" s="211" t="s">
        <v>2118</v>
      </c>
      <c r="C472" s="211" t="s">
        <v>2055</v>
      </c>
      <c r="D472" s="211" t="s">
        <v>2090</v>
      </c>
      <c r="E472" s="344">
        <v>163</v>
      </c>
      <c r="F472" s="344">
        <v>168</v>
      </c>
      <c r="G472" s="356">
        <v>165.9</v>
      </c>
      <c r="H472" s="344">
        <v>160.30000000000001</v>
      </c>
      <c r="I472" s="344">
        <v>152.36666666666699</v>
      </c>
      <c r="J472" s="344">
        <v>139.30000000000001</v>
      </c>
      <c r="K472" s="344">
        <v>119.933333333333</v>
      </c>
      <c r="L472" s="344">
        <f t="shared" si="55"/>
        <v>35.552222222222298</v>
      </c>
      <c r="M472" s="344">
        <v>107.333333333333</v>
      </c>
      <c r="N472" s="344">
        <v>115.033333333333</v>
      </c>
      <c r="O472" s="344">
        <v>142.80000000000001</v>
      </c>
      <c r="P472" s="344">
        <v>168.23333333333301</v>
      </c>
      <c r="Q472" s="344">
        <v>178.96666666666701</v>
      </c>
      <c r="R472" s="344">
        <v>171.5</v>
      </c>
      <c r="S472" s="344">
        <v>130.19999999999999</v>
      </c>
      <c r="T472" s="344">
        <v>108.26666666666701</v>
      </c>
      <c r="U472" s="344">
        <v>96.6</v>
      </c>
      <c r="V472" s="344">
        <v>87.033333333333303</v>
      </c>
      <c r="W472" s="344">
        <v>94.733333333333306</v>
      </c>
      <c r="X472" s="344">
        <v>105.23333333333299</v>
      </c>
      <c r="Y472" s="344">
        <v>107.333333333333</v>
      </c>
      <c r="Z472" s="344">
        <v>108.5</v>
      </c>
      <c r="AA472" s="344">
        <v>99.1666666666667</v>
      </c>
      <c r="AB472" s="344">
        <v>94.5</v>
      </c>
      <c r="AC472" s="344">
        <v>86.566666666666706</v>
      </c>
      <c r="AD472" s="344">
        <f t="shared" si="56"/>
        <v>-7.9333333333332945</v>
      </c>
      <c r="AE472" s="344">
        <v>2</v>
      </c>
      <c r="AF472" s="344">
        <v>4</v>
      </c>
      <c r="AG472" s="346">
        <v>3</v>
      </c>
      <c r="AH472" s="346">
        <v>1</v>
      </c>
      <c r="AI472" s="346">
        <v>2</v>
      </c>
      <c r="AJ472" s="346">
        <v>2</v>
      </c>
      <c r="AK472" s="346">
        <v>2</v>
      </c>
      <c r="AL472" s="346">
        <v>2</v>
      </c>
      <c r="AM472" s="346">
        <v>2</v>
      </c>
      <c r="AN472" s="346">
        <v>3</v>
      </c>
      <c r="AO472" s="346">
        <v>3</v>
      </c>
      <c r="AP472" s="346">
        <v>2</v>
      </c>
      <c r="AQ472" s="357">
        <v>2</v>
      </c>
      <c r="AR472" s="357">
        <v>2</v>
      </c>
      <c r="AS472" s="357">
        <v>2</v>
      </c>
      <c r="AT472" s="357">
        <v>2</v>
      </c>
      <c r="AU472" s="357">
        <v>2</v>
      </c>
      <c r="AV472" s="357">
        <v>1</v>
      </c>
      <c r="AW472" s="357">
        <v>4</v>
      </c>
      <c r="AX472" s="357">
        <v>5</v>
      </c>
      <c r="AY472" s="357">
        <v>8</v>
      </c>
      <c r="AZ472" s="357">
        <v>8</v>
      </c>
      <c r="BA472" s="357">
        <v>2</v>
      </c>
      <c r="BB472" s="357">
        <v>9</v>
      </c>
      <c r="BC472" s="357">
        <v>1</v>
      </c>
    </row>
    <row r="473" spans="1:55" s="381" customFormat="1" ht="17.649999999999999" customHeight="1">
      <c r="A473" s="343">
        <v>41</v>
      </c>
      <c r="B473" s="211" t="s">
        <v>2119</v>
      </c>
      <c r="C473" s="211" t="s">
        <v>2055</v>
      </c>
      <c r="D473" s="211" t="s">
        <v>2063</v>
      </c>
      <c r="E473" s="344">
        <v>231</v>
      </c>
      <c r="F473" s="344">
        <v>195.53333333333299</v>
      </c>
      <c r="G473" s="356">
        <v>157.03333333333299</v>
      </c>
      <c r="H473" s="344">
        <v>144.19999999999999</v>
      </c>
      <c r="I473" s="344">
        <v>167.76666666666699</v>
      </c>
      <c r="J473" s="344">
        <v>231.933333333333</v>
      </c>
      <c r="K473" s="344">
        <v>276.96666666666698</v>
      </c>
      <c r="L473" s="344">
        <f t="shared" si="55"/>
        <v>39.145555555555632</v>
      </c>
      <c r="M473" s="344">
        <v>285.36666666666702</v>
      </c>
      <c r="N473" s="344">
        <v>310.8</v>
      </c>
      <c r="O473" s="344">
        <v>302.63333333333298</v>
      </c>
      <c r="P473" s="344">
        <v>308.46666666666698</v>
      </c>
      <c r="Q473" s="344">
        <v>322.46666666666698</v>
      </c>
      <c r="R473" s="344">
        <v>325.73333333333301</v>
      </c>
      <c r="S473" s="344">
        <v>335.066666666667</v>
      </c>
      <c r="T473" s="344">
        <v>374.96666666666698</v>
      </c>
      <c r="U473" s="344">
        <v>415.566666666667</v>
      </c>
      <c r="V473" s="344">
        <v>416.03333333333302</v>
      </c>
      <c r="W473" s="344">
        <v>381.96666666666698</v>
      </c>
      <c r="X473" s="344">
        <v>400.63333333333298</v>
      </c>
      <c r="Y473" s="344">
        <v>397.13333333333298</v>
      </c>
      <c r="Z473" s="344">
        <v>390.83333333333297</v>
      </c>
      <c r="AA473" s="344">
        <v>354.9</v>
      </c>
      <c r="AB473" s="344">
        <v>317.566666666667</v>
      </c>
      <c r="AC473" s="344">
        <v>290.96666666666698</v>
      </c>
      <c r="AD473" s="344">
        <f t="shared" si="56"/>
        <v>-26.600000000000023</v>
      </c>
      <c r="AE473" s="344">
        <v>9</v>
      </c>
      <c r="AF473" s="344">
        <v>2</v>
      </c>
      <c r="AG473" s="346">
        <v>7</v>
      </c>
      <c r="AH473" s="346">
        <v>4</v>
      </c>
      <c r="AI473" s="346">
        <v>1</v>
      </c>
      <c r="AJ473" s="346">
        <v>2</v>
      </c>
      <c r="AK473" s="346">
        <v>9</v>
      </c>
      <c r="AL473" s="346">
        <v>2</v>
      </c>
      <c r="AM473" s="346">
        <v>2</v>
      </c>
      <c r="AN473" s="346">
        <v>2</v>
      </c>
      <c r="AO473" s="346">
        <v>2</v>
      </c>
      <c r="AP473" s="346">
        <v>2</v>
      </c>
      <c r="AQ473" s="357">
        <v>2</v>
      </c>
      <c r="AR473" s="357">
        <v>2</v>
      </c>
      <c r="AS473" s="357">
        <v>2</v>
      </c>
      <c r="AT473" s="357">
        <v>2</v>
      </c>
      <c r="AU473" s="357">
        <v>2</v>
      </c>
      <c r="AV473" s="357">
        <v>2</v>
      </c>
      <c r="AW473" s="357">
        <v>2</v>
      </c>
      <c r="AX473" s="357">
        <v>1</v>
      </c>
      <c r="AY473" s="357">
        <v>10</v>
      </c>
      <c r="AZ473" s="357">
        <v>2</v>
      </c>
      <c r="BA473" s="357">
        <v>8</v>
      </c>
      <c r="BB473" s="357">
        <v>2</v>
      </c>
      <c r="BC473" s="357">
        <v>3</v>
      </c>
    </row>
    <row r="474" spans="1:55" s="381" customFormat="1" ht="17.649999999999999" customHeight="1">
      <c r="A474" s="343">
        <v>42</v>
      </c>
      <c r="B474" s="211" t="s">
        <v>2120</v>
      </c>
      <c r="C474" s="211" t="s">
        <v>2055</v>
      </c>
      <c r="D474" s="211" t="s">
        <v>2090</v>
      </c>
      <c r="E474" s="344">
        <v>47</v>
      </c>
      <c r="F474" s="344">
        <v>45.733333333333299</v>
      </c>
      <c r="G474" s="356">
        <v>39.200000000000003</v>
      </c>
      <c r="H474" s="344">
        <v>35.466666666666697</v>
      </c>
      <c r="I474" s="344">
        <v>27.066666666666698</v>
      </c>
      <c r="J474" s="344">
        <v>22.633333333333301</v>
      </c>
      <c r="K474" s="344">
        <v>19.366666666666699</v>
      </c>
      <c r="L474" s="344">
        <f t="shared" si="55"/>
        <v>6.3155555555555631</v>
      </c>
      <c r="M474" s="344">
        <v>19.600000000000001</v>
      </c>
      <c r="N474" s="344">
        <v>19.8333333333333</v>
      </c>
      <c r="O474" s="344">
        <v>22.1666666666667</v>
      </c>
      <c r="P474" s="344">
        <v>24.033333333333299</v>
      </c>
      <c r="Q474" s="344">
        <v>27.066666666666698</v>
      </c>
      <c r="R474" s="344">
        <v>35.233333333333299</v>
      </c>
      <c r="S474" s="344">
        <v>36.633333333333297</v>
      </c>
      <c r="T474" s="344">
        <v>35.466666666666697</v>
      </c>
      <c r="U474" s="344">
        <v>34.066666666666698</v>
      </c>
      <c r="V474" s="344">
        <v>21.233333333333299</v>
      </c>
      <c r="W474" s="344">
        <v>18.899999999999999</v>
      </c>
      <c r="X474" s="344">
        <v>23.3333333333333</v>
      </c>
      <c r="Y474" s="344">
        <v>21.233333333333299</v>
      </c>
      <c r="Z474" s="344">
        <v>20.766666666666701</v>
      </c>
      <c r="AA474" s="344">
        <v>19.366666666666699</v>
      </c>
      <c r="AB474" s="344">
        <v>12.133333333333301</v>
      </c>
      <c r="AC474" s="344">
        <v>11.9</v>
      </c>
      <c r="AD474" s="344">
        <f t="shared" si="56"/>
        <v>-0.23333333333330053</v>
      </c>
      <c r="AE474" s="344">
        <v>1</v>
      </c>
      <c r="AF474" s="344">
        <v>1</v>
      </c>
      <c r="AG474" s="346">
        <v>1</v>
      </c>
      <c r="AH474" s="346">
        <v>1</v>
      </c>
      <c r="AI474" s="346">
        <v>1</v>
      </c>
      <c r="AJ474" s="346">
        <v>8</v>
      </c>
      <c r="AK474" s="346">
        <v>1</v>
      </c>
      <c r="AL474" s="346">
        <v>8</v>
      </c>
      <c r="AM474" s="346">
        <v>1</v>
      </c>
      <c r="AN474" s="346">
        <v>1</v>
      </c>
      <c r="AO474" s="346">
        <v>1</v>
      </c>
      <c r="AP474" s="346">
        <v>1</v>
      </c>
      <c r="AQ474" s="357">
        <v>1</v>
      </c>
      <c r="AR474" s="357">
        <v>1</v>
      </c>
      <c r="AS474" s="357">
        <v>2</v>
      </c>
      <c r="AT474" s="357">
        <v>2</v>
      </c>
      <c r="AU474" s="357">
        <v>2</v>
      </c>
      <c r="AV474" s="357">
        <v>1</v>
      </c>
      <c r="AW474" s="357">
        <v>1</v>
      </c>
      <c r="AX474" s="357">
        <v>1</v>
      </c>
      <c r="AY474" s="357">
        <v>1</v>
      </c>
      <c r="AZ474" s="357">
        <v>2</v>
      </c>
      <c r="BA474" s="357">
        <v>2</v>
      </c>
      <c r="BB474" s="357">
        <v>1</v>
      </c>
      <c r="BC474" s="357">
        <v>1</v>
      </c>
    </row>
    <row r="475" spans="1:55" s="381" customFormat="1" ht="17.649999999999999" customHeight="1">
      <c r="A475" s="343">
        <v>43</v>
      </c>
      <c r="B475" s="211" t="s">
        <v>2121</v>
      </c>
      <c r="C475" s="211" t="s">
        <v>2055</v>
      </c>
      <c r="D475" s="211" t="s">
        <v>2063</v>
      </c>
      <c r="E475" s="344">
        <v>462</v>
      </c>
      <c r="F475" s="344">
        <v>389.9</v>
      </c>
      <c r="G475" s="356">
        <v>386.16666666666703</v>
      </c>
      <c r="H475" s="344">
        <v>415.8</v>
      </c>
      <c r="I475" s="344">
        <v>394.33333333333297</v>
      </c>
      <c r="J475" s="344">
        <v>425.6</v>
      </c>
      <c r="K475" s="344">
        <v>441.23333333333301</v>
      </c>
      <c r="L475" s="344">
        <f t="shared" si="55"/>
        <v>92.011111111111035</v>
      </c>
      <c r="M475" s="344">
        <v>412.76666666666699</v>
      </c>
      <c r="N475" s="344">
        <v>423.96666666666698</v>
      </c>
      <c r="O475" s="344">
        <v>417.2</v>
      </c>
      <c r="P475" s="344">
        <v>438.66666666666703</v>
      </c>
      <c r="Q475" s="344">
        <v>444.26666666666699</v>
      </c>
      <c r="R475" s="344">
        <v>429.8</v>
      </c>
      <c r="S475" s="344">
        <v>407.4</v>
      </c>
      <c r="T475" s="344">
        <v>368.9</v>
      </c>
      <c r="U475" s="344">
        <v>381.26666666666699</v>
      </c>
      <c r="V475" s="344">
        <v>393.16666666666703</v>
      </c>
      <c r="W475" s="344">
        <v>412.53333333333302</v>
      </c>
      <c r="X475" s="344">
        <v>450.1</v>
      </c>
      <c r="Y475" s="344">
        <v>450.8</v>
      </c>
      <c r="Z475" s="344">
        <v>439.13333333333298</v>
      </c>
      <c r="AA475" s="344">
        <v>423.73333333333301</v>
      </c>
      <c r="AB475" s="344">
        <v>423.5</v>
      </c>
      <c r="AC475" s="344">
        <v>421.16666666666703</v>
      </c>
      <c r="AD475" s="344">
        <f t="shared" si="56"/>
        <v>-2.3333333333329733</v>
      </c>
      <c r="AE475" s="344">
        <v>6</v>
      </c>
      <c r="AF475" s="344">
        <v>8</v>
      </c>
      <c r="AG475" s="346">
        <v>6</v>
      </c>
      <c r="AH475" s="346">
        <v>8</v>
      </c>
      <c r="AI475" s="346">
        <v>4</v>
      </c>
      <c r="AJ475" s="346">
        <v>4</v>
      </c>
      <c r="AK475" s="346">
        <v>3</v>
      </c>
      <c r="AL475" s="346">
        <v>4</v>
      </c>
      <c r="AM475" s="346">
        <v>1</v>
      </c>
      <c r="AN475" s="346">
        <v>3</v>
      </c>
      <c r="AO475" s="346">
        <v>3</v>
      </c>
      <c r="AP475" s="346">
        <v>3</v>
      </c>
      <c r="AQ475" s="357">
        <v>3</v>
      </c>
      <c r="AR475" s="357">
        <v>5</v>
      </c>
      <c r="AS475" s="357">
        <v>3</v>
      </c>
      <c r="AT475" s="357">
        <v>4</v>
      </c>
      <c r="AU475" s="357">
        <v>5</v>
      </c>
      <c r="AV475" s="357">
        <v>3</v>
      </c>
      <c r="AW475" s="357">
        <v>8</v>
      </c>
      <c r="AX475" s="357">
        <v>4</v>
      </c>
      <c r="AY475" s="357">
        <v>4</v>
      </c>
      <c r="AZ475" s="357">
        <v>5</v>
      </c>
      <c r="BA475" s="357">
        <v>10</v>
      </c>
      <c r="BB475" s="357">
        <v>8</v>
      </c>
      <c r="BC475" s="357">
        <v>3</v>
      </c>
    </row>
    <row r="476" spans="1:55" s="381" customFormat="1" ht="17.649999999999999" customHeight="1">
      <c r="A476" s="343">
        <v>44</v>
      </c>
      <c r="B476" s="211" t="s">
        <v>2122</v>
      </c>
      <c r="C476" s="211" t="s">
        <v>2055</v>
      </c>
      <c r="D476" s="211" t="s">
        <v>2090</v>
      </c>
      <c r="E476" s="344">
        <v>115</v>
      </c>
      <c r="F476" s="344">
        <v>117.833333333333</v>
      </c>
      <c r="G476" s="356">
        <v>110.6</v>
      </c>
      <c r="H476" s="344">
        <v>112</v>
      </c>
      <c r="I476" s="344">
        <v>115.966666666667</v>
      </c>
      <c r="J476" s="344">
        <v>130.9</v>
      </c>
      <c r="K476" s="344">
        <v>127.166666666667</v>
      </c>
      <c r="L476" s="344">
        <f t="shared" si="55"/>
        <v>27.058888888888966</v>
      </c>
      <c r="M476" s="344">
        <v>96.8333333333333</v>
      </c>
      <c r="N476" s="344">
        <v>94.033333333333303</v>
      </c>
      <c r="O476" s="344">
        <v>93.3333333333333</v>
      </c>
      <c r="P476" s="344">
        <v>101.966666666667</v>
      </c>
      <c r="Q476" s="344">
        <v>122.966666666667</v>
      </c>
      <c r="R476" s="344">
        <v>129.26666666666699</v>
      </c>
      <c r="S476" s="344">
        <v>137.9</v>
      </c>
      <c r="T476" s="344">
        <v>139.066666666667</v>
      </c>
      <c r="U476" s="344">
        <v>126</v>
      </c>
      <c r="V476" s="344">
        <v>139.30000000000001</v>
      </c>
      <c r="W476" s="344">
        <v>147</v>
      </c>
      <c r="X476" s="344">
        <v>191.1</v>
      </c>
      <c r="Y476" s="344">
        <v>223.76666666666699</v>
      </c>
      <c r="Z476" s="344">
        <v>217</v>
      </c>
      <c r="AA476" s="344">
        <v>209.3</v>
      </c>
      <c r="AB476" s="344">
        <v>197.86666666666699</v>
      </c>
      <c r="AC476" s="344">
        <v>188.066666666667</v>
      </c>
      <c r="AD476" s="344">
        <f t="shared" si="56"/>
        <v>-9.7999999999999829</v>
      </c>
      <c r="AE476" s="344">
        <v>48</v>
      </c>
      <c r="AF476" s="344">
        <v>0</v>
      </c>
      <c r="AG476" s="346">
        <v>51</v>
      </c>
      <c r="AH476" s="346">
        <v>23</v>
      </c>
      <c r="AI476" s="346">
        <v>40</v>
      </c>
      <c r="AJ476" s="346">
        <v>2</v>
      </c>
      <c r="AK476" s="346">
        <v>11</v>
      </c>
      <c r="AL476" s="346">
        <v>2</v>
      </c>
      <c r="AM476" s="346">
        <v>20</v>
      </c>
      <c r="AN476" s="346">
        <v>11</v>
      </c>
      <c r="AO476" s="346">
        <v>11</v>
      </c>
      <c r="AP476" s="346">
        <v>10</v>
      </c>
      <c r="AQ476" s="357">
        <v>8</v>
      </c>
      <c r="AR476" s="357">
        <v>14</v>
      </c>
      <c r="AS476" s="357">
        <v>7</v>
      </c>
      <c r="AT476" s="357">
        <v>2</v>
      </c>
      <c r="AU476" s="357">
        <v>14</v>
      </c>
      <c r="AV476" s="357">
        <v>9</v>
      </c>
      <c r="AW476" s="357">
        <v>9</v>
      </c>
      <c r="AX476" s="357">
        <v>10</v>
      </c>
      <c r="AY476" s="211">
        <v>51</v>
      </c>
      <c r="AZ476" s="357">
        <v>12</v>
      </c>
      <c r="BA476" s="357">
        <v>14</v>
      </c>
      <c r="BB476" s="357">
        <v>3</v>
      </c>
      <c r="BC476" s="357">
        <v>3</v>
      </c>
    </row>
    <row r="477" spans="1:55" s="381" customFormat="1" ht="17.649999999999999" customHeight="1">
      <c r="A477" s="343">
        <v>45</v>
      </c>
      <c r="B477" s="211" t="s">
        <v>2123</v>
      </c>
      <c r="C477" s="211" t="s">
        <v>2055</v>
      </c>
      <c r="D477" s="211" t="s">
        <v>2090</v>
      </c>
      <c r="E477" s="344">
        <v>13</v>
      </c>
      <c r="F477" s="344">
        <v>13.533333333333299</v>
      </c>
      <c r="G477" s="356">
        <v>15.1666666666667</v>
      </c>
      <c r="H477" s="344">
        <v>14.233333333333301</v>
      </c>
      <c r="I477" s="344">
        <v>14.233333333333301</v>
      </c>
      <c r="J477" s="344">
        <v>13.3</v>
      </c>
      <c r="K477" s="344">
        <v>11.2</v>
      </c>
      <c r="L477" s="344">
        <f t="shared" si="55"/>
        <v>3.3211111111111036</v>
      </c>
      <c r="M477" s="344">
        <v>11.9</v>
      </c>
      <c r="N477" s="344">
        <v>17.733333333333299</v>
      </c>
      <c r="O477" s="344">
        <v>20.766666666666701</v>
      </c>
      <c r="P477" s="344">
        <v>23.8</v>
      </c>
      <c r="Q477" s="344">
        <v>25.433333333333302</v>
      </c>
      <c r="R477" s="344">
        <v>24.5</v>
      </c>
      <c r="S477" s="344">
        <v>22.1666666666667</v>
      </c>
      <c r="T477" s="344">
        <v>22.1666666666667</v>
      </c>
      <c r="U477" s="344">
        <v>20.533333333333299</v>
      </c>
      <c r="V477" s="344">
        <v>20.533333333333299</v>
      </c>
      <c r="W477" s="344">
        <v>19.366666666666699</v>
      </c>
      <c r="X477" s="344">
        <v>19.8333333333333</v>
      </c>
      <c r="Y477" s="344">
        <v>19.600000000000001</v>
      </c>
      <c r="Z477" s="344">
        <v>18.899999999999999</v>
      </c>
      <c r="AA477" s="344">
        <v>21</v>
      </c>
      <c r="AB477" s="344">
        <v>23.1</v>
      </c>
      <c r="AC477" s="344">
        <v>21</v>
      </c>
      <c r="AD477" s="344">
        <f t="shared" si="56"/>
        <v>-2.1000000000000014</v>
      </c>
      <c r="AE477" s="344">
        <v>1</v>
      </c>
      <c r="AF477" s="344">
        <v>1</v>
      </c>
      <c r="AG477" s="346">
        <v>1</v>
      </c>
      <c r="AH477" s="346">
        <v>1</v>
      </c>
      <c r="AI477" s="346">
        <v>1</v>
      </c>
      <c r="AJ477" s="346">
        <v>1</v>
      </c>
      <c r="AK477" s="346">
        <v>1</v>
      </c>
      <c r="AL477" s="346">
        <v>1</v>
      </c>
      <c r="AM477" s="346">
        <v>1</v>
      </c>
      <c r="AN477" s="346">
        <v>1</v>
      </c>
      <c r="AO477" s="346">
        <v>1</v>
      </c>
      <c r="AP477" s="346">
        <v>1</v>
      </c>
      <c r="AQ477" s="357">
        <v>1</v>
      </c>
      <c r="AR477" s="357">
        <v>1</v>
      </c>
      <c r="AS477" s="357">
        <v>1</v>
      </c>
      <c r="AT477" s="357">
        <v>1</v>
      </c>
      <c r="AU477" s="357">
        <v>1</v>
      </c>
      <c r="AV477" s="357">
        <v>1</v>
      </c>
      <c r="AW477" s="357">
        <v>1</v>
      </c>
      <c r="AX477" s="357">
        <v>1</v>
      </c>
      <c r="AY477" s="357">
        <v>1</v>
      </c>
      <c r="AZ477" s="357">
        <v>1</v>
      </c>
      <c r="BA477" s="357">
        <v>1</v>
      </c>
      <c r="BB477" s="357">
        <v>5</v>
      </c>
      <c r="BC477" s="357">
        <v>1</v>
      </c>
    </row>
    <row r="478" spans="1:55" s="381" customFormat="1" ht="17.649999999999999" customHeight="1">
      <c r="A478" s="343">
        <v>46</v>
      </c>
      <c r="B478" s="211" t="s">
        <v>2124</v>
      </c>
      <c r="C478" s="211" t="s">
        <v>2055</v>
      </c>
      <c r="D478" s="211" t="s">
        <v>2125</v>
      </c>
      <c r="E478" s="344">
        <v>2</v>
      </c>
      <c r="F478" s="344">
        <v>0.233333333333333</v>
      </c>
      <c r="G478" s="356">
        <v>1.86666666666667</v>
      </c>
      <c r="H478" s="344">
        <v>1.86666666666667</v>
      </c>
      <c r="I478" s="344">
        <v>1.4</v>
      </c>
      <c r="J478" s="344">
        <v>1.4</v>
      </c>
      <c r="K478" s="344">
        <v>0.233333333333333</v>
      </c>
      <c r="L478" s="344">
        <f t="shared" si="55"/>
        <v>0.32666666666666666</v>
      </c>
      <c r="M478" s="344">
        <v>1.4</v>
      </c>
      <c r="N478" s="344">
        <v>2.3333333333333299</v>
      </c>
      <c r="O478" s="344">
        <v>3.2666666666666702</v>
      </c>
      <c r="P478" s="344">
        <v>5.3666666666666698</v>
      </c>
      <c r="Q478" s="344">
        <v>7.4666666666666703</v>
      </c>
      <c r="R478" s="344">
        <v>9.8000000000000007</v>
      </c>
      <c r="S478" s="344">
        <v>10.733333333333301</v>
      </c>
      <c r="T478" s="344">
        <v>10.966666666666701</v>
      </c>
      <c r="U478" s="344">
        <v>9.1</v>
      </c>
      <c r="V478" s="344">
        <v>7.4666666666666703</v>
      </c>
      <c r="W478" s="344">
        <v>5.3666666666666698</v>
      </c>
      <c r="X478" s="344">
        <v>5.8333333333333304</v>
      </c>
      <c r="Y478" s="344">
        <v>4.2</v>
      </c>
      <c r="Z478" s="344">
        <v>4.2</v>
      </c>
      <c r="AA478" s="344">
        <v>5.6</v>
      </c>
      <c r="AB478" s="344">
        <v>6.3</v>
      </c>
      <c r="AC478" s="344">
        <v>7.4666666666666703</v>
      </c>
      <c r="AD478" s="344">
        <f t="shared" si="56"/>
        <v>1.1666666666666705</v>
      </c>
      <c r="AE478" s="344">
        <v>8</v>
      </c>
      <c r="AF478" s="344">
        <v>12</v>
      </c>
      <c r="AG478" s="346">
        <v>11</v>
      </c>
      <c r="AH478" s="346">
        <v>9</v>
      </c>
      <c r="AI478" s="346">
        <v>10</v>
      </c>
      <c r="AJ478" s="346">
        <v>9</v>
      </c>
      <c r="AK478" s="346">
        <v>10</v>
      </c>
      <c r="AL478" s="346">
        <v>9</v>
      </c>
      <c r="AM478" s="346">
        <v>8</v>
      </c>
      <c r="AN478" s="346">
        <v>9</v>
      </c>
      <c r="AO478" s="346">
        <v>9</v>
      </c>
      <c r="AP478" s="346">
        <v>8</v>
      </c>
      <c r="AQ478" s="357">
        <v>8</v>
      </c>
      <c r="AR478" s="357">
        <v>3</v>
      </c>
      <c r="AS478" s="357">
        <v>6</v>
      </c>
      <c r="AT478" s="357">
        <v>9</v>
      </c>
      <c r="AU478" s="357">
        <v>8</v>
      </c>
      <c r="AV478" s="357">
        <v>9</v>
      </c>
      <c r="AW478" s="357">
        <v>10</v>
      </c>
      <c r="AX478" s="357">
        <v>5</v>
      </c>
      <c r="AY478" s="357">
        <v>11</v>
      </c>
      <c r="AZ478" s="357">
        <v>6</v>
      </c>
      <c r="BA478" s="357">
        <v>5</v>
      </c>
      <c r="BB478" s="357">
        <v>5</v>
      </c>
      <c r="BC478" s="357">
        <v>5</v>
      </c>
    </row>
    <row r="479" spans="1:55" s="381" customFormat="1" ht="17.649999999999999" customHeight="1">
      <c r="A479" s="343">
        <v>47</v>
      </c>
      <c r="B479" s="211" t="s">
        <v>2126</v>
      </c>
      <c r="C479" s="211" t="s">
        <v>2055</v>
      </c>
      <c r="D479" s="211" t="s">
        <v>2125</v>
      </c>
      <c r="E479" s="344">
        <v>55</v>
      </c>
      <c r="F479" s="344">
        <v>57.866666666666703</v>
      </c>
      <c r="G479" s="356">
        <v>58.3333333333333</v>
      </c>
      <c r="H479" s="344">
        <v>54.8333333333333</v>
      </c>
      <c r="I479" s="344">
        <v>51.3333333333333</v>
      </c>
      <c r="J479" s="344">
        <v>42.466666666666697</v>
      </c>
      <c r="K479" s="344">
        <v>36.4</v>
      </c>
      <c r="L479" s="344">
        <f t="shared" si="55"/>
        <v>11.977777777777769</v>
      </c>
      <c r="M479" s="344">
        <v>13.0666666666667</v>
      </c>
      <c r="N479" s="344">
        <v>14</v>
      </c>
      <c r="O479" s="344">
        <v>16.100000000000001</v>
      </c>
      <c r="P479" s="344">
        <v>18.433333333333302</v>
      </c>
      <c r="Q479" s="344">
        <v>23.1</v>
      </c>
      <c r="R479" s="344">
        <v>24.033333333333299</v>
      </c>
      <c r="S479" s="344">
        <v>21.933333333333302</v>
      </c>
      <c r="T479" s="344">
        <v>19.600000000000001</v>
      </c>
      <c r="U479" s="344">
        <v>18.899999999999999</v>
      </c>
      <c r="V479" s="344">
        <v>20.533333333333299</v>
      </c>
      <c r="W479" s="344">
        <v>23.1</v>
      </c>
      <c r="X479" s="344">
        <v>24.266666666666701</v>
      </c>
      <c r="Y479" s="344">
        <v>24.266666666666701</v>
      </c>
      <c r="Z479" s="344">
        <v>26.6</v>
      </c>
      <c r="AA479" s="344">
        <v>29.866666666666699</v>
      </c>
      <c r="AB479" s="344">
        <v>26.6</v>
      </c>
      <c r="AC479" s="344">
        <v>25.433333333333302</v>
      </c>
      <c r="AD479" s="344">
        <f t="shared" si="56"/>
        <v>-1.1666666666666998</v>
      </c>
      <c r="AE479" s="344">
        <v>5</v>
      </c>
      <c r="AF479" s="344">
        <v>12</v>
      </c>
      <c r="AG479" s="346">
        <v>7</v>
      </c>
      <c r="AH479" s="346">
        <v>6</v>
      </c>
      <c r="AI479" s="346">
        <v>8</v>
      </c>
      <c r="AJ479" s="346">
        <v>3</v>
      </c>
      <c r="AK479" s="346">
        <v>6</v>
      </c>
      <c r="AL479" s="346">
        <v>3</v>
      </c>
      <c r="AM479" s="346">
        <v>5</v>
      </c>
      <c r="AN479" s="346">
        <v>5</v>
      </c>
      <c r="AO479" s="346">
        <v>5</v>
      </c>
      <c r="AP479" s="346">
        <v>5</v>
      </c>
      <c r="AQ479" s="357">
        <v>6</v>
      </c>
      <c r="AR479" s="357">
        <v>3</v>
      </c>
      <c r="AS479" s="357">
        <v>10</v>
      </c>
      <c r="AT479" s="357">
        <v>8</v>
      </c>
      <c r="AU479" s="357">
        <v>10</v>
      </c>
      <c r="AV479" s="357">
        <v>7</v>
      </c>
      <c r="AW479" s="357">
        <v>3</v>
      </c>
      <c r="AX479" s="357">
        <v>6</v>
      </c>
      <c r="AY479" s="357">
        <v>7</v>
      </c>
      <c r="AZ479" s="357">
        <v>8</v>
      </c>
      <c r="BA479" s="357">
        <v>10</v>
      </c>
      <c r="BB479" s="357">
        <v>7</v>
      </c>
      <c r="BC479" s="357">
        <v>7</v>
      </c>
    </row>
    <row r="480" spans="1:55" s="381" customFormat="1" ht="17.649999999999999" customHeight="1">
      <c r="A480" s="343">
        <v>48</v>
      </c>
      <c r="B480" s="211" t="s">
        <v>2127</v>
      </c>
      <c r="C480" s="211" t="s">
        <v>2055</v>
      </c>
      <c r="D480" s="211" t="s">
        <v>2125</v>
      </c>
      <c r="E480" s="344">
        <v>10</v>
      </c>
      <c r="F480" s="344">
        <v>12.133333333333301</v>
      </c>
      <c r="G480" s="356">
        <v>10.966666666666701</v>
      </c>
      <c r="H480" s="344">
        <v>8.6333333333333293</v>
      </c>
      <c r="I480" s="344">
        <v>8.4</v>
      </c>
      <c r="J480" s="344">
        <v>7.4666666666666703</v>
      </c>
      <c r="K480" s="344">
        <v>3.5</v>
      </c>
      <c r="L480" s="344">
        <f t="shared" si="55"/>
        <v>1.9600000000000002</v>
      </c>
      <c r="M480" s="344">
        <v>5.3666666666666698</v>
      </c>
      <c r="N480" s="344">
        <v>5.8333333333333304</v>
      </c>
      <c r="O480" s="344">
        <v>5.8333333333333304</v>
      </c>
      <c r="P480" s="344">
        <v>6.3</v>
      </c>
      <c r="Q480" s="344">
        <v>6.3</v>
      </c>
      <c r="R480" s="344">
        <v>7.4666666666666703</v>
      </c>
      <c r="S480" s="344">
        <v>8.6333333333333293</v>
      </c>
      <c r="T480" s="344">
        <v>7.7</v>
      </c>
      <c r="U480" s="344">
        <v>8.4</v>
      </c>
      <c r="V480" s="344">
        <v>8.6333333333333293</v>
      </c>
      <c r="W480" s="344">
        <v>12.133333333333301</v>
      </c>
      <c r="X480" s="344">
        <v>12.366666666666699</v>
      </c>
      <c r="Y480" s="344">
        <v>12.366666666666699</v>
      </c>
      <c r="Z480" s="344">
        <v>10.733333333333301</v>
      </c>
      <c r="AA480" s="344">
        <v>8.4</v>
      </c>
      <c r="AB480" s="344">
        <v>9.8000000000000007</v>
      </c>
      <c r="AC480" s="344">
        <v>9.1</v>
      </c>
      <c r="AD480" s="344">
        <f t="shared" si="56"/>
        <v>-0.70000000000000107</v>
      </c>
      <c r="AE480" s="344">
        <v>7</v>
      </c>
      <c r="AF480" s="344">
        <v>8</v>
      </c>
      <c r="AG480" s="346">
        <v>5</v>
      </c>
      <c r="AH480" s="346">
        <v>8</v>
      </c>
      <c r="AI480" s="346">
        <v>10</v>
      </c>
      <c r="AJ480" s="346">
        <v>7</v>
      </c>
      <c r="AK480" s="346">
        <v>5</v>
      </c>
      <c r="AL480" s="346">
        <v>7</v>
      </c>
      <c r="AM480" s="346">
        <v>6</v>
      </c>
      <c r="AN480" s="346">
        <v>9</v>
      </c>
      <c r="AO480" s="346">
        <v>9</v>
      </c>
      <c r="AP480" s="357">
        <v>7</v>
      </c>
      <c r="AQ480" s="357">
        <v>8</v>
      </c>
      <c r="AR480" s="357">
        <v>3</v>
      </c>
      <c r="AS480" s="357">
        <v>8</v>
      </c>
      <c r="AT480" s="357">
        <v>9</v>
      </c>
      <c r="AU480" s="357">
        <v>9</v>
      </c>
      <c r="AV480" s="357">
        <v>8</v>
      </c>
      <c r="AW480" s="357">
        <v>3</v>
      </c>
      <c r="AX480" s="357">
        <v>6</v>
      </c>
      <c r="AY480" s="357">
        <v>6</v>
      </c>
      <c r="AZ480" s="357">
        <v>8</v>
      </c>
      <c r="BA480" s="357">
        <v>9</v>
      </c>
      <c r="BB480" s="357">
        <v>7</v>
      </c>
      <c r="BC480" s="357">
        <v>9</v>
      </c>
    </row>
    <row r="481" spans="1:55" s="381" customFormat="1" ht="17.649999999999999" customHeight="1">
      <c r="A481" s="343">
        <v>49</v>
      </c>
      <c r="B481" s="211" t="s">
        <v>2128</v>
      </c>
      <c r="C481" s="211" t="s">
        <v>2055</v>
      </c>
      <c r="D481" s="211" t="s">
        <v>2125</v>
      </c>
      <c r="E481" s="344">
        <v>11</v>
      </c>
      <c r="F481" s="344">
        <v>9.8000000000000007</v>
      </c>
      <c r="G481" s="356">
        <v>13.3</v>
      </c>
      <c r="H481" s="344">
        <v>14.233333333333301</v>
      </c>
      <c r="I481" s="344">
        <v>13.533333333333299</v>
      </c>
      <c r="J481" s="344">
        <v>15.1666666666667</v>
      </c>
      <c r="K481" s="344">
        <v>16.100000000000001</v>
      </c>
      <c r="L481" s="344">
        <f t="shared" si="55"/>
        <v>3.1577777777777696</v>
      </c>
      <c r="M481" s="344">
        <v>11.2</v>
      </c>
      <c r="N481" s="344">
        <v>9.8000000000000007</v>
      </c>
      <c r="O481" s="344">
        <v>10.733333333333301</v>
      </c>
      <c r="P481" s="344">
        <v>14.466666666666701</v>
      </c>
      <c r="Q481" s="344">
        <v>15.633333333333301</v>
      </c>
      <c r="R481" s="344">
        <v>16.566666666666698</v>
      </c>
      <c r="S481" s="344">
        <v>15.633333333333301</v>
      </c>
      <c r="T481" s="344">
        <v>10.966666666666701</v>
      </c>
      <c r="U481" s="344">
        <v>13.3</v>
      </c>
      <c r="V481" s="344">
        <v>13.3</v>
      </c>
      <c r="W481" s="344">
        <v>12.8333333333333</v>
      </c>
      <c r="X481" s="344">
        <v>11.2</v>
      </c>
      <c r="Y481" s="344">
        <v>17.966666666666701</v>
      </c>
      <c r="Z481" s="344">
        <v>39.433333333333302</v>
      </c>
      <c r="AA481" s="344">
        <v>67.900000000000006</v>
      </c>
      <c r="AB481" s="344">
        <v>95.6666666666667</v>
      </c>
      <c r="AC481" s="344">
        <v>108.5</v>
      </c>
      <c r="AD481" s="344">
        <f t="shared" si="56"/>
        <v>12.8333333333333</v>
      </c>
      <c r="AE481" s="344">
        <v>5</v>
      </c>
      <c r="AF481" s="344">
        <v>12</v>
      </c>
      <c r="AG481" s="346">
        <v>9</v>
      </c>
      <c r="AH481" s="346">
        <v>13</v>
      </c>
      <c r="AI481" s="346">
        <v>4</v>
      </c>
      <c r="AJ481" s="346">
        <v>5</v>
      </c>
      <c r="AK481" s="346">
        <v>6</v>
      </c>
      <c r="AL481" s="346">
        <v>5</v>
      </c>
      <c r="AM481" s="346">
        <v>8</v>
      </c>
      <c r="AN481" s="346">
        <v>9</v>
      </c>
      <c r="AO481" s="346">
        <v>9</v>
      </c>
      <c r="AP481" s="357">
        <v>4</v>
      </c>
      <c r="AQ481" s="357">
        <v>8</v>
      </c>
      <c r="AR481" s="357">
        <v>5</v>
      </c>
      <c r="AS481" s="357">
        <v>12</v>
      </c>
      <c r="AT481" s="357">
        <v>8</v>
      </c>
      <c r="AU481" s="357">
        <v>7</v>
      </c>
      <c r="AV481" s="357">
        <v>4</v>
      </c>
      <c r="AW481" s="357">
        <v>5</v>
      </c>
      <c r="AX481" s="357">
        <v>5</v>
      </c>
      <c r="AY481" s="357">
        <v>18</v>
      </c>
      <c r="AZ481" s="357">
        <v>4</v>
      </c>
      <c r="BA481" s="357">
        <v>4</v>
      </c>
      <c r="BB481" s="357">
        <v>8</v>
      </c>
      <c r="BC481" s="357">
        <v>9</v>
      </c>
    </row>
    <row r="482" spans="1:55" s="381" customFormat="1" ht="17.649999999999999" customHeight="1">
      <c r="A482" s="343">
        <v>50</v>
      </c>
      <c r="B482" s="211" t="s">
        <v>2129</v>
      </c>
      <c r="C482" s="211" t="s">
        <v>2055</v>
      </c>
      <c r="D482" s="211" t="s">
        <v>2063</v>
      </c>
      <c r="E482" s="344">
        <v>273</v>
      </c>
      <c r="F482" s="344">
        <v>275.566666666667</v>
      </c>
      <c r="G482" s="356">
        <v>271.83333333333297</v>
      </c>
      <c r="H482" s="344">
        <v>255.96666666666701</v>
      </c>
      <c r="I482" s="344">
        <v>251.53333333333299</v>
      </c>
      <c r="J482" s="344">
        <v>241.5</v>
      </c>
      <c r="K482" s="344">
        <v>235.666666666667</v>
      </c>
      <c r="L482" s="344">
        <f t="shared" si="55"/>
        <v>58.691111111111034</v>
      </c>
      <c r="M482" s="344">
        <v>230.76666666666699</v>
      </c>
      <c r="N482" s="344">
        <v>241.73333333333301</v>
      </c>
      <c r="O482" s="344">
        <v>237.066666666667</v>
      </c>
      <c r="P482" s="344">
        <v>238</v>
      </c>
      <c r="Q482" s="344">
        <v>214.2</v>
      </c>
      <c r="R482" s="344">
        <v>182.933333333333</v>
      </c>
      <c r="S482" s="344">
        <v>158.9</v>
      </c>
      <c r="T482" s="344">
        <v>143.73333333333301</v>
      </c>
      <c r="U482" s="344">
        <v>134.86666666666699</v>
      </c>
      <c r="V482" s="344">
        <v>133.46666666666701</v>
      </c>
      <c r="W482" s="344">
        <v>132.76666666666699</v>
      </c>
      <c r="X482" s="344">
        <v>139.30000000000001</v>
      </c>
      <c r="Y482" s="344">
        <v>148.86666666666699</v>
      </c>
      <c r="Z482" s="344">
        <v>150.03333333333299</v>
      </c>
      <c r="AA482" s="344">
        <v>159.833333333333</v>
      </c>
      <c r="AB482" s="344">
        <v>281.16666666666703</v>
      </c>
      <c r="AC482" s="344">
        <v>360.96666666666698</v>
      </c>
      <c r="AD482" s="344">
        <f t="shared" si="56"/>
        <v>79.799999999999955</v>
      </c>
      <c r="AE482" s="344">
        <v>4</v>
      </c>
      <c r="AF482" s="344">
        <v>7</v>
      </c>
      <c r="AG482" s="346">
        <v>7</v>
      </c>
      <c r="AH482" s="346">
        <v>3</v>
      </c>
      <c r="AI482" s="346">
        <v>3</v>
      </c>
      <c r="AJ482" s="346">
        <v>3</v>
      </c>
      <c r="AK482" s="346">
        <v>2</v>
      </c>
      <c r="AL482" s="346">
        <v>3</v>
      </c>
      <c r="AM482" s="346">
        <v>4</v>
      </c>
      <c r="AN482" s="346">
        <v>8</v>
      </c>
      <c r="AO482" s="346">
        <v>8</v>
      </c>
      <c r="AP482" s="346">
        <v>9</v>
      </c>
      <c r="AQ482" s="357">
        <v>4</v>
      </c>
      <c r="AR482" s="357">
        <v>7</v>
      </c>
      <c r="AS482" s="357">
        <v>4</v>
      </c>
      <c r="AT482" s="357">
        <v>4</v>
      </c>
      <c r="AU482" s="357">
        <v>9</v>
      </c>
      <c r="AV482" s="357">
        <v>3</v>
      </c>
      <c r="AW482" s="357">
        <v>1</v>
      </c>
      <c r="AX482" s="357">
        <v>7</v>
      </c>
      <c r="AY482" s="357">
        <v>4</v>
      </c>
      <c r="AZ482" s="357">
        <v>6</v>
      </c>
      <c r="BA482" s="357">
        <v>7</v>
      </c>
      <c r="BB482" s="357">
        <v>8</v>
      </c>
      <c r="BC482" s="357">
        <v>9</v>
      </c>
    </row>
    <row r="483" spans="1:55" s="381" customFormat="1" ht="17.649999999999999" customHeight="1">
      <c r="A483" s="343">
        <v>51</v>
      </c>
      <c r="B483" s="211" t="s">
        <v>2130</v>
      </c>
      <c r="C483" s="211" t="s">
        <v>2055</v>
      </c>
      <c r="D483" s="211" t="s">
        <v>2125</v>
      </c>
      <c r="E483" s="344">
        <v>39</v>
      </c>
      <c r="F483" s="344">
        <v>42</v>
      </c>
      <c r="G483" s="356">
        <v>45.033333333333303</v>
      </c>
      <c r="H483" s="344">
        <v>48.3</v>
      </c>
      <c r="I483" s="344">
        <v>53.6666666666667</v>
      </c>
      <c r="J483" s="344">
        <v>63.933333333333302</v>
      </c>
      <c r="K483" s="344">
        <v>69.3</v>
      </c>
      <c r="L483" s="344">
        <f t="shared" si="55"/>
        <v>12.522222222222231</v>
      </c>
      <c r="M483" s="344">
        <v>56.233333333333299</v>
      </c>
      <c r="N483" s="344">
        <v>56</v>
      </c>
      <c r="O483" s="344">
        <v>60.2</v>
      </c>
      <c r="P483" s="344">
        <v>63.933333333333302</v>
      </c>
      <c r="Q483" s="344">
        <v>68.133333333333297</v>
      </c>
      <c r="R483" s="344">
        <v>68.133333333333297</v>
      </c>
      <c r="S483" s="344">
        <v>65.566666666666706</v>
      </c>
      <c r="T483" s="344">
        <v>68.366666666666703</v>
      </c>
      <c r="U483" s="344">
        <v>66.733333333333306</v>
      </c>
      <c r="V483" s="344">
        <v>66.266666666666694</v>
      </c>
      <c r="W483" s="344">
        <v>62.3</v>
      </c>
      <c r="X483" s="344">
        <v>60.2</v>
      </c>
      <c r="Y483" s="344">
        <v>66.966666666666697</v>
      </c>
      <c r="Z483" s="344">
        <v>62.3</v>
      </c>
      <c r="AA483" s="344">
        <v>63.233333333333299</v>
      </c>
      <c r="AB483" s="344">
        <v>59.5</v>
      </c>
      <c r="AC483" s="344">
        <v>52.5</v>
      </c>
      <c r="AD483" s="344">
        <f t="shared" si="56"/>
        <v>-7</v>
      </c>
      <c r="AE483" s="344">
        <v>7</v>
      </c>
      <c r="AF483" s="344">
        <v>5</v>
      </c>
      <c r="AG483" s="346">
        <v>4</v>
      </c>
      <c r="AH483" s="346">
        <v>4</v>
      </c>
      <c r="AI483" s="346">
        <v>9</v>
      </c>
      <c r="AJ483" s="346">
        <v>5</v>
      </c>
      <c r="AK483" s="346">
        <v>7</v>
      </c>
      <c r="AL483" s="346">
        <v>5</v>
      </c>
      <c r="AM483" s="346">
        <v>4</v>
      </c>
      <c r="AN483" s="346">
        <v>2</v>
      </c>
      <c r="AO483" s="346">
        <v>2</v>
      </c>
      <c r="AP483" s="346">
        <v>5</v>
      </c>
      <c r="AQ483" s="357">
        <v>5</v>
      </c>
      <c r="AR483" s="357">
        <v>5</v>
      </c>
      <c r="AS483" s="357">
        <v>4</v>
      </c>
      <c r="AT483" s="357">
        <v>4</v>
      </c>
      <c r="AU483" s="357">
        <v>2</v>
      </c>
      <c r="AV483" s="357">
        <v>7</v>
      </c>
      <c r="AW483" s="357">
        <v>5</v>
      </c>
      <c r="AX483" s="357">
        <v>7</v>
      </c>
      <c r="AY483" s="357">
        <v>4</v>
      </c>
      <c r="AZ483" s="357">
        <v>6</v>
      </c>
      <c r="BA483" s="357">
        <v>6</v>
      </c>
      <c r="BB483" s="357">
        <v>4</v>
      </c>
      <c r="BC483" s="357">
        <v>3</v>
      </c>
    </row>
    <row r="484" spans="1:55" s="381" customFormat="1" ht="17.649999999999999" customHeight="1">
      <c r="A484" s="343">
        <v>52</v>
      </c>
      <c r="B484" s="211" t="s">
        <v>2131</v>
      </c>
      <c r="C484" s="211" t="s">
        <v>2055</v>
      </c>
      <c r="D484" s="211" t="s">
        <v>2125</v>
      </c>
      <c r="E484" s="344">
        <v>0</v>
      </c>
      <c r="F484" s="344">
        <v>0.233333333333333</v>
      </c>
      <c r="G484" s="356">
        <v>0.233333333333333</v>
      </c>
      <c r="H484" s="344">
        <v>0.233333333333333</v>
      </c>
      <c r="I484" s="344">
        <v>4.2</v>
      </c>
      <c r="J484" s="344">
        <v>4.2</v>
      </c>
      <c r="K484" s="344">
        <v>3.9666666666666699</v>
      </c>
      <c r="L484" s="344">
        <f t="shared" si="55"/>
        <v>0.98000000000000009</v>
      </c>
      <c r="M484" s="344">
        <v>3.0333333333333301</v>
      </c>
      <c r="N484" s="344">
        <v>3.9666666666666699</v>
      </c>
      <c r="O484" s="344">
        <v>5.3666666666666698</v>
      </c>
      <c r="P484" s="344">
        <v>5.6</v>
      </c>
      <c r="Q484" s="344">
        <v>5.1333333333333302</v>
      </c>
      <c r="R484" s="344">
        <v>5.1333333333333302</v>
      </c>
      <c r="S484" s="344">
        <v>5.8333333333333304</v>
      </c>
      <c r="T484" s="344">
        <v>5.1333333333333302</v>
      </c>
      <c r="U484" s="344">
        <v>5.1333333333333302</v>
      </c>
      <c r="V484" s="344">
        <v>4.2</v>
      </c>
      <c r="W484" s="344">
        <v>3.5</v>
      </c>
      <c r="X484" s="344">
        <v>5.1333333333333302</v>
      </c>
      <c r="Y484" s="344">
        <v>5.1333333333333302</v>
      </c>
      <c r="Z484" s="344">
        <v>5.8333333333333304</v>
      </c>
      <c r="AA484" s="344">
        <v>5.1333333333333302</v>
      </c>
      <c r="AB484" s="344">
        <v>6.3</v>
      </c>
      <c r="AC484" s="344">
        <v>9.1</v>
      </c>
      <c r="AD484" s="344">
        <f t="shared" si="56"/>
        <v>2.8</v>
      </c>
      <c r="AE484" s="344">
        <v>5</v>
      </c>
      <c r="AF484" s="344">
        <v>10</v>
      </c>
      <c r="AG484" s="346">
        <v>5</v>
      </c>
      <c r="AH484" s="346">
        <v>2</v>
      </c>
      <c r="AI484" s="346">
        <v>5</v>
      </c>
      <c r="AJ484" s="346">
        <v>3</v>
      </c>
      <c r="AK484" s="346">
        <v>5</v>
      </c>
      <c r="AL484" s="346">
        <v>3</v>
      </c>
      <c r="AM484" s="346">
        <v>9</v>
      </c>
      <c r="AN484" s="346">
        <v>6</v>
      </c>
      <c r="AO484" s="346">
        <v>6</v>
      </c>
      <c r="AP484" s="346">
        <v>5</v>
      </c>
      <c r="AQ484" s="357">
        <v>5</v>
      </c>
      <c r="AR484" s="357">
        <v>5</v>
      </c>
      <c r="AS484" s="357">
        <v>5</v>
      </c>
      <c r="AT484" s="357">
        <v>8</v>
      </c>
      <c r="AU484" s="357">
        <v>6</v>
      </c>
      <c r="AV484" s="357">
        <v>6</v>
      </c>
      <c r="AW484" s="357">
        <v>4</v>
      </c>
      <c r="AX484" s="357">
        <v>4</v>
      </c>
      <c r="AY484" s="357">
        <v>6</v>
      </c>
      <c r="AZ484" s="357">
        <v>8</v>
      </c>
      <c r="BA484" s="357">
        <v>3</v>
      </c>
      <c r="BB484" s="357">
        <v>4</v>
      </c>
      <c r="BC484" s="357">
        <v>6</v>
      </c>
    </row>
    <row r="485" spans="1:55" s="381" customFormat="1" ht="17.649999999999999" customHeight="1">
      <c r="A485" s="343">
        <v>53</v>
      </c>
      <c r="B485" s="211" t="s">
        <v>2132</v>
      </c>
      <c r="C485" s="211" t="s">
        <v>2055</v>
      </c>
      <c r="D485" s="211" t="s">
        <v>2125</v>
      </c>
      <c r="E485" s="344">
        <v>5</v>
      </c>
      <c r="F485" s="344">
        <v>3.9666666666666699</v>
      </c>
      <c r="G485" s="356">
        <v>3.5</v>
      </c>
      <c r="H485" s="344">
        <v>3.9666666666666699</v>
      </c>
      <c r="I485" s="344">
        <v>5.3666666666666698</v>
      </c>
      <c r="J485" s="344">
        <v>6.3</v>
      </c>
      <c r="K485" s="344">
        <v>6.7666666666666702</v>
      </c>
      <c r="L485" s="344">
        <f t="shared" si="55"/>
        <v>1.252222222222223</v>
      </c>
      <c r="M485" s="344">
        <v>10.266666666666699</v>
      </c>
      <c r="N485" s="344">
        <v>11.9</v>
      </c>
      <c r="O485" s="344">
        <v>11.9</v>
      </c>
      <c r="P485" s="344">
        <v>12.133333333333301</v>
      </c>
      <c r="Q485" s="344">
        <v>11.2</v>
      </c>
      <c r="R485" s="344">
        <v>10.733333333333301</v>
      </c>
      <c r="S485" s="344">
        <v>10.966666666666701</v>
      </c>
      <c r="T485" s="344">
        <v>9.1</v>
      </c>
      <c r="U485" s="344">
        <v>9.56666666666667</v>
      </c>
      <c r="V485" s="344">
        <v>8.8666666666666707</v>
      </c>
      <c r="W485" s="344">
        <v>10.266666666666699</v>
      </c>
      <c r="X485" s="344">
        <v>9.8000000000000007</v>
      </c>
      <c r="Y485" s="344">
        <v>8.4</v>
      </c>
      <c r="Z485" s="344">
        <v>5.8333333333333304</v>
      </c>
      <c r="AA485" s="344">
        <v>6.5333333333333297</v>
      </c>
      <c r="AB485" s="344">
        <v>2.3333333333333299</v>
      </c>
      <c r="AC485" s="344">
        <v>5.1333333333333302</v>
      </c>
      <c r="AD485" s="344">
        <f t="shared" si="56"/>
        <v>2.8000000000000003</v>
      </c>
      <c r="AE485" s="344">
        <v>1</v>
      </c>
      <c r="AF485" s="344">
        <v>2</v>
      </c>
      <c r="AG485" s="346">
        <v>1</v>
      </c>
      <c r="AH485" s="346">
        <v>1</v>
      </c>
      <c r="AI485" s="346">
        <v>1</v>
      </c>
      <c r="AJ485" s="346">
        <v>1</v>
      </c>
      <c r="AK485" s="346">
        <v>1</v>
      </c>
      <c r="AL485" s="346">
        <v>1</v>
      </c>
      <c r="AM485" s="346">
        <v>1</v>
      </c>
      <c r="AN485" s="346">
        <v>1</v>
      </c>
      <c r="AO485" s="346">
        <v>1</v>
      </c>
      <c r="AP485" s="346">
        <v>2</v>
      </c>
      <c r="AQ485" s="357">
        <v>2</v>
      </c>
      <c r="AR485" s="357">
        <v>2</v>
      </c>
      <c r="AS485" s="357">
        <v>9</v>
      </c>
      <c r="AT485" s="357">
        <v>2</v>
      </c>
      <c r="AU485" s="357">
        <v>2</v>
      </c>
      <c r="AV485" s="357">
        <v>1</v>
      </c>
      <c r="AW485" s="357">
        <v>1</v>
      </c>
      <c r="AX485" s="357">
        <v>1</v>
      </c>
      <c r="AY485" s="357">
        <v>1</v>
      </c>
      <c r="AZ485" s="357">
        <v>1</v>
      </c>
      <c r="BA485" s="357">
        <v>1</v>
      </c>
      <c r="BB485" s="357">
        <v>1</v>
      </c>
      <c r="BC485" s="357">
        <v>3</v>
      </c>
    </row>
    <row r="486" spans="1:55" s="381" customFormat="1" ht="17.649999999999999" customHeight="1">
      <c r="A486" s="343">
        <v>54</v>
      </c>
      <c r="B486" s="211" t="s">
        <v>2133</v>
      </c>
      <c r="C486" s="211" t="s">
        <v>2055</v>
      </c>
      <c r="D486" s="211" t="s">
        <v>2125</v>
      </c>
      <c r="E486" s="344">
        <v>0</v>
      </c>
      <c r="F486" s="344">
        <v>1.4</v>
      </c>
      <c r="G486" s="356">
        <v>1.4</v>
      </c>
      <c r="H486" s="344">
        <v>2.3333333333333299</v>
      </c>
      <c r="I486" s="344">
        <v>2.3333333333333299</v>
      </c>
      <c r="J486" s="344">
        <v>2.1</v>
      </c>
      <c r="K486" s="344">
        <v>1.1666666666666701</v>
      </c>
      <c r="L486" s="344">
        <f t="shared" si="55"/>
        <v>0.54444444444444362</v>
      </c>
      <c r="M486" s="344">
        <v>3.0333333333333301</v>
      </c>
      <c r="N486" s="344">
        <v>5.1333333333333302</v>
      </c>
      <c r="O486" s="344">
        <v>7.7</v>
      </c>
      <c r="P486" s="344">
        <v>10.033333333333299</v>
      </c>
      <c r="Q486" s="344">
        <v>10.033333333333299</v>
      </c>
      <c r="R486" s="344">
        <v>9.1</v>
      </c>
      <c r="S486" s="344">
        <v>8.6333333333333293</v>
      </c>
      <c r="T486" s="344">
        <v>6.3</v>
      </c>
      <c r="U486" s="344">
        <v>7</v>
      </c>
      <c r="V486" s="344">
        <v>7.4666666666666703</v>
      </c>
      <c r="W486" s="344">
        <v>7.4666666666666703</v>
      </c>
      <c r="X486" s="344">
        <v>6.3</v>
      </c>
      <c r="Y486" s="344">
        <v>7.4666666666666703</v>
      </c>
      <c r="Z486" s="344">
        <v>7.7</v>
      </c>
      <c r="AA486" s="344">
        <v>6.5333333333333297</v>
      </c>
      <c r="AB486" s="344">
        <v>7.7</v>
      </c>
      <c r="AC486" s="344">
        <v>7.4666666666666703</v>
      </c>
      <c r="AD486" s="344">
        <f t="shared" si="56"/>
        <v>-0.23333333333332984</v>
      </c>
      <c r="AE486" s="344">
        <v>3</v>
      </c>
      <c r="AF486" s="344">
        <v>7</v>
      </c>
      <c r="AG486" s="346">
        <v>14</v>
      </c>
      <c r="AH486" s="346">
        <v>2</v>
      </c>
      <c r="AI486" s="346">
        <v>3</v>
      </c>
      <c r="AJ486" s="346">
        <v>3</v>
      </c>
      <c r="AK486" s="346">
        <v>2</v>
      </c>
      <c r="AL486" s="346">
        <v>3</v>
      </c>
      <c r="AM486" s="346">
        <v>9</v>
      </c>
      <c r="AN486" s="346">
        <v>1</v>
      </c>
      <c r="AO486" s="346">
        <v>1</v>
      </c>
      <c r="AP486" s="346">
        <v>6</v>
      </c>
      <c r="AQ486" s="357">
        <v>3</v>
      </c>
      <c r="AR486" s="357">
        <v>3</v>
      </c>
      <c r="AS486" s="357">
        <v>2</v>
      </c>
      <c r="AT486" s="357">
        <v>3</v>
      </c>
      <c r="AU486" s="357">
        <v>1</v>
      </c>
      <c r="AV486" s="357">
        <v>2</v>
      </c>
      <c r="AW486" s="357">
        <v>9</v>
      </c>
      <c r="AX486" s="357">
        <v>9</v>
      </c>
      <c r="AY486" s="357">
        <v>1</v>
      </c>
      <c r="AZ486" s="357">
        <v>1</v>
      </c>
      <c r="BA486" s="357">
        <v>1</v>
      </c>
      <c r="BB486" s="357">
        <v>1</v>
      </c>
      <c r="BC486" s="357">
        <v>1</v>
      </c>
    </row>
    <row r="487" spans="1:55" s="381" customFormat="1" ht="17.649999999999999" customHeight="1">
      <c r="A487" s="343">
        <v>55</v>
      </c>
      <c r="B487" s="211" t="s">
        <v>2134</v>
      </c>
      <c r="C487" s="211" t="s">
        <v>2055</v>
      </c>
      <c r="D487" s="211" t="s">
        <v>2125</v>
      </c>
      <c r="E487" s="344">
        <v>0</v>
      </c>
      <c r="F487" s="344">
        <v>1.1666666666666701</v>
      </c>
      <c r="G487" s="356">
        <v>0.233333333333333</v>
      </c>
      <c r="H487" s="344">
        <v>1.1666666666666701</v>
      </c>
      <c r="I487" s="344">
        <v>1.4</v>
      </c>
      <c r="J487" s="344">
        <v>1.4</v>
      </c>
      <c r="K487" s="344">
        <v>0.233333333333333</v>
      </c>
      <c r="L487" s="344">
        <f t="shared" si="55"/>
        <v>0.32666666666666666</v>
      </c>
      <c r="M487" s="344">
        <v>2.3333333333333299</v>
      </c>
      <c r="N487" s="344">
        <v>4.2</v>
      </c>
      <c r="O487" s="344">
        <v>4.43333333333333</v>
      </c>
      <c r="P487" s="344">
        <v>5.3666666666666698</v>
      </c>
      <c r="Q487" s="344">
        <v>5.8333333333333304</v>
      </c>
      <c r="R487" s="344">
        <v>4.43333333333333</v>
      </c>
      <c r="S487" s="344">
        <v>5.6</v>
      </c>
      <c r="T487" s="344">
        <v>4.2</v>
      </c>
      <c r="U487" s="344">
        <v>4.43333333333333</v>
      </c>
      <c r="V487" s="344">
        <v>5.6</v>
      </c>
      <c r="W487" s="344">
        <v>6.3</v>
      </c>
      <c r="X487" s="344">
        <v>7.4666666666666703</v>
      </c>
      <c r="Y487" s="344">
        <v>7.93333333333333</v>
      </c>
      <c r="Z487" s="344">
        <v>7.93333333333333</v>
      </c>
      <c r="AA487" s="344">
        <v>7</v>
      </c>
      <c r="AB487" s="344">
        <v>6.7666666666666702</v>
      </c>
      <c r="AC487" s="344">
        <v>8.8666666666666707</v>
      </c>
      <c r="AD487" s="344">
        <f t="shared" si="56"/>
        <v>2.1000000000000005</v>
      </c>
      <c r="AE487" s="344">
        <v>3</v>
      </c>
      <c r="AF487" s="344">
        <v>2</v>
      </c>
      <c r="AG487" s="346">
        <v>2</v>
      </c>
      <c r="AH487" s="346">
        <v>2</v>
      </c>
      <c r="AI487" s="346">
        <v>3</v>
      </c>
      <c r="AJ487" s="346">
        <v>9</v>
      </c>
      <c r="AK487" s="346">
        <v>2</v>
      </c>
      <c r="AL487" s="346">
        <v>9</v>
      </c>
      <c r="AM487" s="346">
        <v>2</v>
      </c>
      <c r="AN487" s="346">
        <v>2</v>
      </c>
      <c r="AO487" s="346">
        <v>2</v>
      </c>
      <c r="AP487" s="346">
        <v>3</v>
      </c>
      <c r="AQ487" s="357">
        <v>1</v>
      </c>
      <c r="AR487" s="357">
        <v>3</v>
      </c>
      <c r="AS487" s="357">
        <v>2</v>
      </c>
      <c r="AT487" s="357">
        <v>4</v>
      </c>
      <c r="AU487" s="357">
        <v>3</v>
      </c>
      <c r="AV487" s="357">
        <v>1</v>
      </c>
      <c r="AW487" s="357">
        <v>3</v>
      </c>
      <c r="AX487" s="357">
        <v>4</v>
      </c>
      <c r="AY487" s="357">
        <v>4</v>
      </c>
      <c r="AZ487" s="357">
        <v>2</v>
      </c>
      <c r="BA487" s="357">
        <v>2</v>
      </c>
      <c r="BB487" s="357">
        <v>2</v>
      </c>
      <c r="BC487" s="357">
        <v>2</v>
      </c>
    </row>
    <row r="488" spans="1:55" s="381" customFormat="1" ht="17.649999999999999" customHeight="1">
      <c r="A488" s="343">
        <v>56</v>
      </c>
      <c r="B488" s="211" t="s">
        <v>2135</v>
      </c>
      <c r="C488" s="211" t="s">
        <v>2055</v>
      </c>
      <c r="D488" s="211" t="s">
        <v>2125</v>
      </c>
      <c r="E488" s="344">
        <v>11</v>
      </c>
      <c r="F488" s="344">
        <v>12.8333333333333</v>
      </c>
      <c r="G488" s="356">
        <v>13.0666666666667</v>
      </c>
      <c r="H488" s="344">
        <v>15.1666666666667</v>
      </c>
      <c r="I488" s="344">
        <v>16.566666666666698</v>
      </c>
      <c r="J488" s="344">
        <v>12.8333333333333</v>
      </c>
      <c r="K488" s="344">
        <v>15.4</v>
      </c>
      <c r="L488" s="344">
        <f t="shared" si="55"/>
        <v>3.865555555555563</v>
      </c>
      <c r="M488" s="344">
        <v>14.233333333333301</v>
      </c>
      <c r="N488" s="344">
        <v>15.4</v>
      </c>
      <c r="O488" s="344">
        <v>15.4</v>
      </c>
      <c r="P488" s="344">
        <v>14.233333333333301</v>
      </c>
      <c r="Q488" s="344">
        <v>16.566666666666698</v>
      </c>
      <c r="R488" s="344">
        <v>16.100000000000001</v>
      </c>
      <c r="S488" s="344">
        <v>16.100000000000001</v>
      </c>
      <c r="T488" s="344">
        <v>13.533333333333299</v>
      </c>
      <c r="U488" s="344">
        <v>11.6666666666667</v>
      </c>
      <c r="V488" s="344">
        <v>11.6666666666667</v>
      </c>
      <c r="W488" s="344">
        <v>10.733333333333301</v>
      </c>
      <c r="X488" s="344">
        <v>9.56666666666667</v>
      </c>
      <c r="Y488" s="344">
        <v>8.4</v>
      </c>
      <c r="Z488" s="344">
        <v>7.7</v>
      </c>
      <c r="AA488" s="344">
        <v>7.7</v>
      </c>
      <c r="AB488" s="344">
        <v>7.93333333333333</v>
      </c>
      <c r="AC488" s="344">
        <v>7.7</v>
      </c>
      <c r="AD488" s="344">
        <f t="shared" si="56"/>
        <v>-0.23333333333332984</v>
      </c>
      <c r="AE488" s="344">
        <v>7</v>
      </c>
      <c r="AF488" s="344">
        <v>7</v>
      </c>
      <c r="AG488" s="346">
        <v>13</v>
      </c>
      <c r="AH488" s="346">
        <v>12</v>
      </c>
      <c r="AI488" s="346">
        <v>6</v>
      </c>
      <c r="AJ488" s="346">
        <v>7</v>
      </c>
      <c r="AK488" s="346">
        <v>7</v>
      </c>
      <c r="AL488" s="346">
        <v>7</v>
      </c>
      <c r="AM488" s="346">
        <v>6</v>
      </c>
      <c r="AN488" s="346">
        <v>12</v>
      </c>
      <c r="AO488" s="346">
        <v>12</v>
      </c>
      <c r="AP488" s="346">
        <v>10</v>
      </c>
      <c r="AQ488" s="357">
        <v>3</v>
      </c>
      <c r="AR488" s="357">
        <v>3</v>
      </c>
      <c r="AS488" s="357">
        <v>3</v>
      </c>
      <c r="AT488" s="357">
        <v>2</v>
      </c>
      <c r="AU488" s="357">
        <v>5</v>
      </c>
      <c r="AV488" s="357">
        <v>2</v>
      </c>
      <c r="AW488" s="357">
        <v>15</v>
      </c>
      <c r="AX488" s="357">
        <v>12</v>
      </c>
      <c r="AY488" s="357">
        <v>7</v>
      </c>
      <c r="AZ488" s="357">
        <v>4</v>
      </c>
      <c r="BA488" s="357">
        <v>5</v>
      </c>
      <c r="BB488" s="357">
        <v>2</v>
      </c>
      <c r="BC488" s="357">
        <v>8</v>
      </c>
    </row>
    <row r="489" spans="1:55" s="381" customFormat="1" ht="17.649999999999999" customHeight="1">
      <c r="A489" s="343">
        <v>57</v>
      </c>
      <c r="B489" s="211" t="s">
        <v>2136</v>
      </c>
      <c r="C489" s="211" t="s">
        <v>2055</v>
      </c>
      <c r="D489" s="211" t="s">
        <v>2125</v>
      </c>
      <c r="E489" s="344">
        <v>7</v>
      </c>
      <c r="F489" s="344">
        <v>5.8333333333333304</v>
      </c>
      <c r="G489" s="356">
        <v>6.3</v>
      </c>
      <c r="H489" s="344">
        <v>4.6666666666666696</v>
      </c>
      <c r="I489" s="344">
        <v>5.6</v>
      </c>
      <c r="J489" s="344">
        <v>3.2666666666666702</v>
      </c>
      <c r="K489" s="344">
        <v>3.2666666666666702</v>
      </c>
      <c r="L489" s="344">
        <f t="shared" si="55"/>
        <v>1.3066666666666666</v>
      </c>
      <c r="M489" s="344">
        <v>5.1333333333333302</v>
      </c>
      <c r="N489" s="344">
        <v>7.4666666666666703</v>
      </c>
      <c r="O489" s="344">
        <v>10.966666666666701</v>
      </c>
      <c r="P489" s="344">
        <v>9.8000000000000007</v>
      </c>
      <c r="Q489" s="344">
        <v>9.56666666666667</v>
      </c>
      <c r="R489" s="344">
        <v>8.6333333333333293</v>
      </c>
      <c r="S489" s="344">
        <v>5.8333333333333304</v>
      </c>
      <c r="T489" s="344">
        <v>10.033333333333299</v>
      </c>
      <c r="U489" s="344">
        <v>11.2</v>
      </c>
      <c r="V489" s="344">
        <v>11.9</v>
      </c>
      <c r="W489" s="344">
        <v>12.133333333333301</v>
      </c>
      <c r="X489" s="344">
        <v>10.033333333333299</v>
      </c>
      <c r="Y489" s="344">
        <v>9.1</v>
      </c>
      <c r="Z489" s="344">
        <v>7</v>
      </c>
      <c r="AA489" s="344">
        <v>4.43333333333333</v>
      </c>
      <c r="AB489" s="344">
        <v>5.1333333333333302</v>
      </c>
      <c r="AC489" s="344">
        <v>3.5</v>
      </c>
      <c r="AD489" s="344">
        <f t="shared" si="56"/>
        <v>-1.6333333333333302</v>
      </c>
      <c r="AE489" s="344">
        <v>2</v>
      </c>
      <c r="AF489" s="344">
        <v>2</v>
      </c>
      <c r="AG489" s="346">
        <v>1</v>
      </c>
      <c r="AH489" s="346">
        <v>3</v>
      </c>
      <c r="AI489" s="346">
        <v>5</v>
      </c>
      <c r="AJ489" s="346">
        <v>3</v>
      </c>
      <c r="AK489" s="346">
        <v>2</v>
      </c>
      <c r="AL489" s="346">
        <v>3</v>
      </c>
      <c r="AM489" s="346">
        <v>1</v>
      </c>
      <c r="AN489" s="346">
        <v>1</v>
      </c>
      <c r="AO489" s="346">
        <v>1</v>
      </c>
      <c r="AP489" s="346">
        <v>2</v>
      </c>
      <c r="AQ489" s="357">
        <v>1</v>
      </c>
      <c r="AR489" s="357">
        <v>1</v>
      </c>
      <c r="AS489" s="357">
        <v>11</v>
      </c>
      <c r="AT489" s="357">
        <v>4</v>
      </c>
      <c r="AU489" s="357">
        <v>2</v>
      </c>
      <c r="AV489" s="357">
        <v>2</v>
      </c>
      <c r="AW489" s="357">
        <v>2</v>
      </c>
      <c r="AX489" s="357">
        <v>1</v>
      </c>
      <c r="AY489" s="357">
        <v>2</v>
      </c>
      <c r="AZ489" s="357">
        <v>1</v>
      </c>
      <c r="BA489" s="357">
        <v>1</v>
      </c>
      <c r="BB489" s="357">
        <v>1</v>
      </c>
      <c r="BC489" s="357">
        <v>1</v>
      </c>
    </row>
    <row r="490" spans="1:55" s="381" customFormat="1" ht="17.649999999999999" customHeight="1">
      <c r="A490" s="343">
        <v>58</v>
      </c>
      <c r="B490" s="211" t="s">
        <v>2137</v>
      </c>
      <c r="C490" s="211" t="s">
        <v>2055</v>
      </c>
      <c r="D490" s="211" t="s">
        <v>2125</v>
      </c>
      <c r="E490" s="344">
        <v>118</v>
      </c>
      <c r="F490" s="344">
        <v>91.466666666666697</v>
      </c>
      <c r="G490" s="356">
        <v>67.2</v>
      </c>
      <c r="H490" s="344">
        <v>66.266666666666694</v>
      </c>
      <c r="I490" s="344">
        <v>62.533333333333303</v>
      </c>
      <c r="J490" s="344">
        <v>79.099999999999994</v>
      </c>
      <c r="K490" s="344">
        <v>69.3</v>
      </c>
      <c r="L490" s="344">
        <f t="shared" si="55"/>
        <v>14.591111111111104</v>
      </c>
      <c r="M490" s="344">
        <v>62.3</v>
      </c>
      <c r="N490" s="344">
        <v>51.566666666666698</v>
      </c>
      <c r="O490" s="344">
        <v>60.6666666666667</v>
      </c>
      <c r="P490" s="344">
        <v>69.533333333333303</v>
      </c>
      <c r="Q490" s="344">
        <v>75.599999999999994</v>
      </c>
      <c r="R490" s="344">
        <v>66.033333333333303</v>
      </c>
      <c r="S490" s="344">
        <v>61.133333333333297</v>
      </c>
      <c r="T490" s="344">
        <v>54.8333333333333</v>
      </c>
      <c r="U490" s="344">
        <v>58.3333333333333</v>
      </c>
      <c r="V490" s="344">
        <v>56.933333333333302</v>
      </c>
      <c r="W490" s="344">
        <v>55.766666666666701</v>
      </c>
      <c r="X490" s="344">
        <v>55.766666666666701</v>
      </c>
      <c r="Y490" s="344">
        <v>56</v>
      </c>
      <c r="Z490" s="344">
        <v>70.466666666666697</v>
      </c>
      <c r="AA490" s="344">
        <v>88.9</v>
      </c>
      <c r="AB490" s="344">
        <v>92.1666666666667</v>
      </c>
      <c r="AC490" s="344">
        <v>95.9</v>
      </c>
      <c r="AD490" s="344">
        <f t="shared" si="56"/>
        <v>3.7333333333333059</v>
      </c>
      <c r="AE490" s="344">
        <v>19</v>
      </c>
      <c r="AF490" s="344">
        <v>13</v>
      </c>
      <c r="AG490" s="346">
        <v>13</v>
      </c>
      <c r="AH490" s="346">
        <v>8</v>
      </c>
      <c r="AI490" s="346">
        <v>21</v>
      </c>
      <c r="AJ490" s="346">
        <v>7</v>
      </c>
      <c r="AK490" s="346">
        <v>8</v>
      </c>
      <c r="AL490" s="346">
        <v>7</v>
      </c>
      <c r="AM490" s="346">
        <v>5</v>
      </c>
      <c r="AN490" s="346">
        <v>8</v>
      </c>
      <c r="AO490" s="346">
        <v>8</v>
      </c>
      <c r="AP490" s="357">
        <v>11</v>
      </c>
      <c r="AQ490" s="357">
        <v>10</v>
      </c>
      <c r="AR490" s="357">
        <v>8</v>
      </c>
      <c r="AS490" s="357">
        <v>8</v>
      </c>
      <c r="AT490" s="357">
        <v>10</v>
      </c>
      <c r="AU490" s="357">
        <v>10</v>
      </c>
      <c r="AV490" s="357">
        <v>1</v>
      </c>
      <c r="AW490" s="357">
        <v>9</v>
      </c>
      <c r="AX490" s="357">
        <v>9</v>
      </c>
      <c r="AY490" s="357">
        <v>10</v>
      </c>
      <c r="AZ490" s="357">
        <v>12</v>
      </c>
      <c r="BA490" s="357">
        <v>10</v>
      </c>
      <c r="BB490" s="357">
        <v>9</v>
      </c>
      <c r="BC490" s="357">
        <v>9</v>
      </c>
    </row>
    <row r="491" spans="1:55" s="381" customFormat="1" ht="17.649999999999999" customHeight="1">
      <c r="A491" s="343">
        <v>59</v>
      </c>
      <c r="B491" s="211" t="s">
        <v>2138</v>
      </c>
      <c r="C491" s="211" t="s">
        <v>2055</v>
      </c>
      <c r="D491" s="211" t="s">
        <v>2125</v>
      </c>
      <c r="E491" s="344">
        <v>4</v>
      </c>
      <c r="F491" s="344">
        <v>4.6666666666666696</v>
      </c>
      <c r="G491" s="356">
        <v>3.5</v>
      </c>
      <c r="H491" s="344">
        <v>3.5</v>
      </c>
      <c r="I491" s="344">
        <v>3.2666666666666702</v>
      </c>
      <c r="J491" s="344">
        <v>1.86666666666667</v>
      </c>
      <c r="K491" s="344">
        <v>0.233333333333333</v>
      </c>
      <c r="L491" s="344">
        <f t="shared" si="55"/>
        <v>0.76222222222222302</v>
      </c>
      <c r="M491" s="344">
        <v>4.6666666666666696</v>
      </c>
      <c r="N491" s="344">
        <v>8.4</v>
      </c>
      <c r="O491" s="344">
        <v>8.6333333333333293</v>
      </c>
      <c r="P491" s="344">
        <v>7.4666666666666703</v>
      </c>
      <c r="Q491" s="344">
        <v>8.6333333333333293</v>
      </c>
      <c r="R491" s="344">
        <v>8.8666666666666707</v>
      </c>
      <c r="S491" s="344">
        <v>7</v>
      </c>
      <c r="T491" s="344">
        <v>7.93333333333333</v>
      </c>
      <c r="U491" s="344">
        <v>8.8666666666666707</v>
      </c>
      <c r="V491" s="344">
        <v>7.93333333333333</v>
      </c>
      <c r="W491" s="344">
        <v>9.8000000000000007</v>
      </c>
      <c r="X491" s="344">
        <v>9.1</v>
      </c>
      <c r="Y491" s="344">
        <v>10.733333333333301</v>
      </c>
      <c r="Z491" s="344">
        <v>9.8000000000000007</v>
      </c>
      <c r="AA491" s="344">
        <v>8.8666666666666707</v>
      </c>
      <c r="AB491" s="344">
        <v>7.93333333333333</v>
      </c>
      <c r="AC491" s="344">
        <v>8.8666666666666707</v>
      </c>
      <c r="AD491" s="344">
        <f t="shared" si="56"/>
        <v>0.93333333333334068</v>
      </c>
      <c r="AE491" s="344">
        <v>3</v>
      </c>
      <c r="AF491" s="344">
        <v>14</v>
      </c>
      <c r="AG491" s="346">
        <v>7</v>
      </c>
      <c r="AH491" s="346">
        <v>5</v>
      </c>
      <c r="AI491" s="346">
        <v>10</v>
      </c>
      <c r="AJ491" s="346">
        <v>7</v>
      </c>
      <c r="AK491" s="346">
        <v>5</v>
      </c>
      <c r="AL491" s="346">
        <v>7</v>
      </c>
      <c r="AM491" s="346">
        <v>5</v>
      </c>
      <c r="AN491" s="346">
        <v>5</v>
      </c>
      <c r="AO491" s="346">
        <v>5</v>
      </c>
      <c r="AP491" s="346">
        <v>5</v>
      </c>
      <c r="AQ491" s="357">
        <v>4</v>
      </c>
      <c r="AR491" s="357">
        <v>7</v>
      </c>
      <c r="AS491" s="357">
        <v>7</v>
      </c>
      <c r="AT491" s="357">
        <v>7</v>
      </c>
      <c r="AU491" s="357">
        <v>9</v>
      </c>
      <c r="AV491" s="357">
        <v>5</v>
      </c>
      <c r="AW491" s="357">
        <v>3</v>
      </c>
      <c r="AX491" s="357">
        <v>1</v>
      </c>
      <c r="AY491" s="357">
        <v>8</v>
      </c>
      <c r="AZ491" s="357">
        <v>2</v>
      </c>
      <c r="BA491" s="357">
        <v>13</v>
      </c>
      <c r="BB491" s="357">
        <v>5</v>
      </c>
      <c r="BC491" s="357">
        <v>10</v>
      </c>
    </row>
    <row r="492" spans="1:55" s="381" customFormat="1" ht="17.649999999999999" customHeight="1">
      <c r="A492" s="343">
        <v>60</v>
      </c>
      <c r="B492" s="211" t="s">
        <v>2139</v>
      </c>
      <c r="C492" s="211" t="s">
        <v>2055</v>
      </c>
      <c r="D492" s="211" t="s">
        <v>2125</v>
      </c>
      <c r="E492" s="344">
        <v>12</v>
      </c>
      <c r="F492" s="344">
        <v>10.266666666666699</v>
      </c>
      <c r="G492" s="356">
        <v>10.733333333333301</v>
      </c>
      <c r="H492" s="344">
        <v>10.033333333333299</v>
      </c>
      <c r="I492" s="344">
        <v>8.6333333333333293</v>
      </c>
      <c r="J492" s="344">
        <v>6.5333333333333297</v>
      </c>
      <c r="K492" s="344">
        <v>4.43333333333333</v>
      </c>
      <c r="L492" s="344">
        <f t="shared" si="55"/>
        <v>2.0144444444444436</v>
      </c>
      <c r="M492" s="344">
        <v>6.5333333333333297</v>
      </c>
      <c r="N492" s="344">
        <v>6.7666666666666702</v>
      </c>
      <c r="O492" s="344">
        <v>5.1333333333333302</v>
      </c>
      <c r="P492" s="344">
        <v>4.43333333333333</v>
      </c>
      <c r="Q492" s="344">
        <v>6.3</v>
      </c>
      <c r="R492" s="344">
        <v>6.3</v>
      </c>
      <c r="S492" s="344">
        <v>6.3</v>
      </c>
      <c r="T492" s="344">
        <v>7.4666666666666703</v>
      </c>
      <c r="U492" s="344">
        <v>5.8333333333333304</v>
      </c>
      <c r="V492" s="344">
        <v>4.6666666666666696</v>
      </c>
      <c r="W492" s="344">
        <v>5.1333333333333302</v>
      </c>
      <c r="X492" s="344">
        <v>7.4666666666666703</v>
      </c>
      <c r="Y492" s="344">
        <v>5.6</v>
      </c>
      <c r="Z492" s="344">
        <v>5.1333333333333302</v>
      </c>
      <c r="AA492" s="344">
        <v>4.2</v>
      </c>
      <c r="AB492" s="344">
        <v>3.0333333333333301</v>
      </c>
      <c r="AC492" s="344">
        <v>1.4</v>
      </c>
      <c r="AD492" s="344">
        <f t="shared" si="56"/>
        <v>-1.6333333333333302</v>
      </c>
      <c r="AE492" s="344">
        <v>2</v>
      </c>
      <c r="AF492" s="344">
        <v>5</v>
      </c>
      <c r="AG492" s="346">
        <v>10</v>
      </c>
      <c r="AH492" s="346">
        <v>2</v>
      </c>
      <c r="AI492" s="346">
        <v>10</v>
      </c>
      <c r="AJ492" s="346">
        <v>3</v>
      </c>
      <c r="AK492" s="346">
        <v>2</v>
      </c>
      <c r="AL492" s="346">
        <v>3</v>
      </c>
      <c r="AM492" s="346">
        <v>7</v>
      </c>
      <c r="AN492" s="346">
        <v>7</v>
      </c>
      <c r="AO492" s="346">
        <v>7</v>
      </c>
      <c r="AP492" s="346">
        <v>3</v>
      </c>
      <c r="AQ492" s="357">
        <v>3</v>
      </c>
      <c r="AR492" s="357">
        <v>2</v>
      </c>
      <c r="AS492" s="357">
        <v>2</v>
      </c>
      <c r="AT492" s="357">
        <v>3</v>
      </c>
      <c r="AU492" s="357">
        <v>2</v>
      </c>
      <c r="AV492" s="357">
        <v>2</v>
      </c>
      <c r="AW492" s="357">
        <v>2</v>
      </c>
      <c r="AX492" s="357">
        <v>9</v>
      </c>
      <c r="AY492" s="357">
        <v>2</v>
      </c>
      <c r="AZ492" s="357">
        <v>8</v>
      </c>
      <c r="BA492" s="357">
        <v>8</v>
      </c>
      <c r="BB492" s="357">
        <v>3</v>
      </c>
      <c r="BC492" s="357">
        <v>3</v>
      </c>
    </row>
    <row r="493" spans="1:55" s="381" customFormat="1" ht="17.649999999999999" customHeight="1">
      <c r="A493" s="343">
        <v>61</v>
      </c>
      <c r="B493" s="211" t="s">
        <v>2140</v>
      </c>
      <c r="C493" s="211" t="s">
        <v>2055</v>
      </c>
      <c r="D493" s="211" t="s">
        <v>2125</v>
      </c>
      <c r="E493" s="344">
        <v>3</v>
      </c>
      <c r="F493" s="344">
        <v>3.0333333333333301</v>
      </c>
      <c r="G493" s="356">
        <v>3.9666666666666699</v>
      </c>
      <c r="H493" s="344">
        <v>3.5</v>
      </c>
      <c r="I493" s="344">
        <v>3.5</v>
      </c>
      <c r="J493" s="344">
        <v>3.2666666666666702</v>
      </c>
      <c r="K493" s="344">
        <v>2.3333333333333299</v>
      </c>
      <c r="L493" s="344">
        <f t="shared" si="55"/>
        <v>0.81666666666666665</v>
      </c>
      <c r="M493" s="344">
        <v>5.3666666666666698</v>
      </c>
      <c r="N493" s="344">
        <v>5.8333333333333304</v>
      </c>
      <c r="O493" s="344">
        <v>5.3666666666666698</v>
      </c>
      <c r="P493" s="344">
        <v>3.9666666666666699</v>
      </c>
      <c r="Q493" s="344">
        <v>5.3666666666666698</v>
      </c>
      <c r="R493" s="344">
        <v>7</v>
      </c>
      <c r="S493" s="344">
        <v>11.6666666666667</v>
      </c>
      <c r="T493" s="344">
        <v>11.9</v>
      </c>
      <c r="U493" s="344">
        <v>9.56666666666667</v>
      </c>
      <c r="V493" s="344">
        <v>8.8666666666666707</v>
      </c>
      <c r="W493" s="344">
        <v>3.0333333333333301</v>
      </c>
      <c r="X493" s="344">
        <v>3.5</v>
      </c>
      <c r="Y493" s="344">
        <v>6.3</v>
      </c>
      <c r="Z493" s="344">
        <v>6.7666666666666702</v>
      </c>
      <c r="AA493" s="344">
        <v>9.1</v>
      </c>
      <c r="AB493" s="344">
        <v>10.033333333333299</v>
      </c>
      <c r="AC493" s="344">
        <v>8.4</v>
      </c>
      <c r="AD493" s="344">
        <f t="shared" si="56"/>
        <v>-1.6333333333332991</v>
      </c>
      <c r="AE493" s="344">
        <v>3</v>
      </c>
      <c r="AF493" s="344">
        <v>12</v>
      </c>
      <c r="AG493" s="346">
        <v>7</v>
      </c>
      <c r="AH493" s="346">
        <v>3</v>
      </c>
      <c r="AI493" s="346">
        <v>13</v>
      </c>
      <c r="AJ493" s="346">
        <v>16</v>
      </c>
      <c r="AK493" s="346">
        <v>3</v>
      </c>
      <c r="AL493" s="346">
        <v>16</v>
      </c>
      <c r="AM493" s="346">
        <v>5</v>
      </c>
      <c r="AN493" s="346">
        <v>7</v>
      </c>
      <c r="AO493" s="346">
        <v>7</v>
      </c>
      <c r="AP493" s="346">
        <v>6</v>
      </c>
      <c r="AQ493" s="357">
        <v>8</v>
      </c>
      <c r="AR493" s="357">
        <v>6</v>
      </c>
      <c r="AS493" s="357">
        <v>6</v>
      </c>
      <c r="AT493" s="357">
        <v>4</v>
      </c>
      <c r="AU493" s="357">
        <v>2</v>
      </c>
      <c r="AV493" s="357">
        <v>3</v>
      </c>
      <c r="AW493" s="357">
        <v>5</v>
      </c>
      <c r="AX493" s="357">
        <v>10</v>
      </c>
      <c r="AY493" s="357">
        <v>12</v>
      </c>
      <c r="AZ493" s="357">
        <v>3</v>
      </c>
      <c r="BA493" s="357">
        <v>4</v>
      </c>
      <c r="BB493" s="357">
        <v>4</v>
      </c>
      <c r="BC493" s="357">
        <v>4</v>
      </c>
    </row>
    <row r="494" spans="1:55" s="381" customFormat="1" ht="17.649999999999999" customHeight="1">
      <c r="A494" s="343">
        <v>62</v>
      </c>
      <c r="B494" s="211" t="s">
        <v>2141</v>
      </c>
      <c r="C494" s="211" t="s">
        <v>2055</v>
      </c>
      <c r="D494" s="211" t="s">
        <v>2125</v>
      </c>
      <c r="E494" s="344">
        <v>11</v>
      </c>
      <c r="F494" s="344">
        <v>12.8333333333333</v>
      </c>
      <c r="G494" s="356">
        <v>22.1666666666667</v>
      </c>
      <c r="H494" s="344">
        <v>28.466666666666701</v>
      </c>
      <c r="I494" s="344">
        <v>28.933333333333302</v>
      </c>
      <c r="J494" s="344">
        <v>28.933333333333302</v>
      </c>
      <c r="K494" s="344">
        <v>29.633333333333301</v>
      </c>
      <c r="L494" s="344">
        <f t="shared" si="55"/>
        <v>6.7511111111111042</v>
      </c>
      <c r="M494" s="344">
        <v>9.8000000000000007</v>
      </c>
      <c r="N494" s="344">
        <v>10.033333333333299</v>
      </c>
      <c r="O494" s="344">
        <v>10.033333333333299</v>
      </c>
      <c r="P494" s="344">
        <v>12.133333333333301</v>
      </c>
      <c r="Q494" s="344">
        <v>12.8333333333333</v>
      </c>
      <c r="R494" s="344">
        <v>14.9333333333333</v>
      </c>
      <c r="S494" s="344">
        <v>14.9333333333333</v>
      </c>
      <c r="T494" s="344">
        <v>13.3</v>
      </c>
      <c r="U494" s="344">
        <v>11.9</v>
      </c>
      <c r="V494" s="344">
        <v>10.266666666666699</v>
      </c>
      <c r="W494" s="344">
        <v>8.6333333333333293</v>
      </c>
      <c r="X494" s="344">
        <v>10.266666666666699</v>
      </c>
      <c r="Y494" s="344">
        <v>10.033333333333299</v>
      </c>
      <c r="Z494" s="344">
        <v>14.466666666666701</v>
      </c>
      <c r="AA494" s="344">
        <v>14</v>
      </c>
      <c r="AB494" s="344">
        <v>10.966666666666701</v>
      </c>
      <c r="AC494" s="344">
        <v>10.966666666666701</v>
      </c>
      <c r="AD494" s="344">
        <f t="shared" si="56"/>
        <v>0</v>
      </c>
      <c r="AE494" s="344">
        <v>2</v>
      </c>
      <c r="AF494" s="344">
        <v>4</v>
      </c>
      <c r="AG494" s="346">
        <v>3</v>
      </c>
      <c r="AH494" s="346">
        <v>10</v>
      </c>
      <c r="AI494" s="346">
        <v>10</v>
      </c>
      <c r="AJ494" s="346">
        <v>9</v>
      </c>
      <c r="AK494" s="346">
        <v>2</v>
      </c>
      <c r="AL494" s="346">
        <v>9</v>
      </c>
      <c r="AM494" s="346">
        <v>2</v>
      </c>
      <c r="AN494" s="346">
        <v>3</v>
      </c>
      <c r="AO494" s="346">
        <v>3</v>
      </c>
      <c r="AP494" s="346">
        <v>2</v>
      </c>
      <c r="AQ494" s="357">
        <v>12</v>
      </c>
      <c r="AR494" s="357">
        <v>2</v>
      </c>
      <c r="AS494" s="357">
        <v>5</v>
      </c>
      <c r="AT494" s="357">
        <v>3</v>
      </c>
      <c r="AU494" s="357">
        <v>7</v>
      </c>
      <c r="AV494" s="357">
        <v>1</v>
      </c>
      <c r="AW494" s="357">
        <v>10</v>
      </c>
      <c r="AX494" s="357">
        <v>1</v>
      </c>
      <c r="AY494" s="357">
        <v>4</v>
      </c>
      <c r="AZ494" s="357">
        <v>2</v>
      </c>
      <c r="BA494" s="357">
        <v>8</v>
      </c>
      <c r="BB494" s="357">
        <v>2</v>
      </c>
      <c r="BC494" s="357">
        <v>2</v>
      </c>
    </row>
    <row r="495" spans="1:55" s="381" customFormat="1" ht="17.649999999999999" customHeight="1">
      <c r="A495" s="343">
        <v>63</v>
      </c>
      <c r="B495" s="211" t="s">
        <v>2142</v>
      </c>
      <c r="C495" s="211" t="s">
        <v>2055</v>
      </c>
      <c r="D495" s="211" t="s">
        <v>2125</v>
      </c>
      <c r="E495" s="344">
        <v>0</v>
      </c>
      <c r="F495" s="344">
        <v>0.233333333333333</v>
      </c>
      <c r="G495" s="356">
        <v>0.233333333333333</v>
      </c>
      <c r="H495" s="344">
        <v>1.1666666666666701</v>
      </c>
      <c r="I495" s="344">
        <v>1.1666666666666701</v>
      </c>
      <c r="J495" s="344">
        <v>0.233333333333333</v>
      </c>
      <c r="K495" s="344">
        <v>0.233333333333333</v>
      </c>
      <c r="L495" s="344">
        <f t="shared" si="55"/>
        <v>0.27222222222222303</v>
      </c>
      <c r="M495" s="344">
        <v>3.5</v>
      </c>
      <c r="N495" s="344">
        <v>5.1333333333333302</v>
      </c>
      <c r="O495" s="344">
        <v>5.3666666666666698</v>
      </c>
      <c r="P495" s="344">
        <v>5.1333333333333302</v>
      </c>
      <c r="Q495" s="344">
        <v>3.5</v>
      </c>
      <c r="R495" s="344">
        <v>5.1333333333333302</v>
      </c>
      <c r="S495" s="344">
        <v>5.3666666666666698</v>
      </c>
      <c r="T495" s="344">
        <v>4.6666666666666696</v>
      </c>
      <c r="U495" s="344">
        <v>6.7666666666666702</v>
      </c>
      <c r="V495" s="344">
        <v>5.8333333333333304</v>
      </c>
      <c r="W495" s="344">
        <v>6.7666666666666702</v>
      </c>
      <c r="X495" s="344">
        <v>7.4666666666666703</v>
      </c>
      <c r="Y495" s="344">
        <v>9.1</v>
      </c>
      <c r="Z495" s="344">
        <v>7.4666666666666703</v>
      </c>
      <c r="AA495" s="344">
        <v>5.8333333333333304</v>
      </c>
      <c r="AB495" s="344">
        <v>5.3666666666666698</v>
      </c>
      <c r="AC495" s="344">
        <v>3.9666666666666699</v>
      </c>
      <c r="AD495" s="344">
        <f t="shared" si="56"/>
        <v>-1.4</v>
      </c>
      <c r="AE495" s="344">
        <v>1</v>
      </c>
      <c r="AF495" s="344">
        <v>1</v>
      </c>
      <c r="AG495" s="346">
        <v>2</v>
      </c>
      <c r="AH495" s="346">
        <v>12</v>
      </c>
      <c r="AI495" s="346">
        <v>1</v>
      </c>
      <c r="AJ495" s="346">
        <v>9</v>
      </c>
      <c r="AK495" s="346">
        <v>2</v>
      </c>
      <c r="AL495" s="346">
        <v>9</v>
      </c>
      <c r="AM495" s="346">
        <v>1</v>
      </c>
      <c r="AN495" s="346">
        <v>1</v>
      </c>
      <c r="AO495" s="346">
        <v>1</v>
      </c>
      <c r="AP495" s="346">
        <v>1</v>
      </c>
      <c r="AQ495" s="357">
        <v>1</v>
      </c>
      <c r="AR495" s="357">
        <v>1</v>
      </c>
      <c r="AS495" s="357">
        <v>1</v>
      </c>
      <c r="AT495" s="357">
        <v>1</v>
      </c>
      <c r="AU495" s="357">
        <v>1</v>
      </c>
      <c r="AV495" s="357">
        <v>1</v>
      </c>
      <c r="AW495" s="357">
        <v>1</v>
      </c>
      <c r="AX495" s="357">
        <v>1</v>
      </c>
      <c r="AY495" s="357">
        <v>2</v>
      </c>
      <c r="AZ495" s="357">
        <v>1</v>
      </c>
      <c r="BA495" s="357">
        <v>8</v>
      </c>
      <c r="BB495" s="357">
        <v>1</v>
      </c>
      <c r="BC495" s="357">
        <v>2</v>
      </c>
    </row>
    <row r="496" spans="1:55" s="381" customFormat="1" ht="17.649999999999999" customHeight="1">
      <c r="A496" s="343">
        <v>64</v>
      </c>
      <c r="B496" s="211" t="s">
        <v>2143</v>
      </c>
      <c r="C496" s="211" t="s">
        <v>2055</v>
      </c>
      <c r="D496" s="211" t="s">
        <v>2125</v>
      </c>
      <c r="E496" s="344">
        <v>1</v>
      </c>
      <c r="F496" s="344">
        <v>1.86666666666667</v>
      </c>
      <c r="G496" s="356">
        <v>1.86666666666667</v>
      </c>
      <c r="H496" s="344">
        <v>1.86666666666667</v>
      </c>
      <c r="I496" s="344">
        <v>1.86666666666667</v>
      </c>
      <c r="J496" s="344">
        <v>0.233333333333333</v>
      </c>
      <c r="K496" s="344">
        <v>0.233333333333333</v>
      </c>
      <c r="L496" s="344">
        <f t="shared" si="55"/>
        <v>0.43555555555555631</v>
      </c>
      <c r="M496" s="344">
        <v>5.6</v>
      </c>
      <c r="N496" s="344">
        <v>6.5333333333333297</v>
      </c>
      <c r="O496" s="344">
        <v>7.4666666666666703</v>
      </c>
      <c r="P496" s="344">
        <v>7.4666666666666703</v>
      </c>
      <c r="Q496" s="344">
        <v>5.6</v>
      </c>
      <c r="R496" s="344">
        <v>6.5333333333333297</v>
      </c>
      <c r="S496" s="344">
        <v>4.6666666666666696</v>
      </c>
      <c r="T496" s="344">
        <v>4.43333333333333</v>
      </c>
      <c r="U496" s="344">
        <v>4.43333333333333</v>
      </c>
      <c r="V496" s="344">
        <v>3.2666666666666702</v>
      </c>
      <c r="W496" s="344">
        <v>4.2</v>
      </c>
      <c r="X496" s="344">
        <v>4.2</v>
      </c>
      <c r="Y496" s="344">
        <v>4.6666666666666696</v>
      </c>
      <c r="Z496" s="344">
        <v>6.3</v>
      </c>
      <c r="AA496" s="344">
        <v>6.7666666666666702</v>
      </c>
      <c r="AB496" s="344">
        <v>6.3</v>
      </c>
      <c r="AC496" s="344">
        <v>3.9666666666666699</v>
      </c>
      <c r="AD496" s="344">
        <f t="shared" si="56"/>
        <v>-2.3333333333333299</v>
      </c>
      <c r="AE496" s="344">
        <v>4</v>
      </c>
      <c r="AF496" s="344">
        <v>7</v>
      </c>
      <c r="AG496" s="346">
        <v>1</v>
      </c>
      <c r="AH496" s="346">
        <v>4</v>
      </c>
      <c r="AI496" s="346">
        <v>4</v>
      </c>
      <c r="AJ496" s="346">
        <v>1</v>
      </c>
      <c r="AK496" s="346">
        <v>3</v>
      </c>
      <c r="AL496" s="346">
        <v>1</v>
      </c>
      <c r="AM496" s="346">
        <v>3</v>
      </c>
      <c r="AN496" s="346">
        <v>4</v>
      </c>
      <c r="AO496" s="346">
        <v>4</v>
      </c>
      <c r="AP496" s="346">
        <v>4</v>
      </c>
      <c r="AQ496" s="357">
        <v>4</v>
      </c>
      <c r="AR496" s="357">
        <v>4</v>
      </c>
      <c r="AS496" s="357">
        <v>1</v>
      </c>
      <c r="AT496" s="357">
        <v>4</v>
      </c>
      <c r="AU496" s="357">
        <v>4</v>
      </c>
      <c r="AV496" s="357">
        <v>3</v>
      </c>
      <c r="AW496" s="357">
        <v>1</v>
      </c>
      <c r="AX496" s="357">
        <v>1</v>
      </c>
      <c r="AY496" s="357">
        <v>1</v>
      </c>
      <c r="AZ496" s="357">
        <v>1</v>
      </c>
      <c r="BA496" s="357">
        <v>3</v>
      </c>
      <c r="BB496" s="357">
        <v>3</v>
      </c>
      <c r="BC496" s="357">
        <v>6</v>
      </c>
    </row>
    <row r="497" spans="1:55" s="381" customFormat="1" ht="17.649999999999999" customHeight="1">
      <c r="A497" s="343">
        <v>65</v>
      </c>
      <c r="B497" s="211" t="s">
        <v>2144</v>
      </c>
      <c r="C497" s="211" t="s">
        <v>2055</v>
      </c>
      <c r="D497" s="211" t="s">
        <v>2125</v>
      </c>
      <c r="E497" s="344">
        <v>8</v>
      </c>
      <c r="F497" s="344">
        <v>7.93333333333333</v>
      </c>
      <c r="G497" s="356">
        <v>6.5333333333333297</v>
      </c>
      <c r="H497" s="344">
        <v>6.3</v>
      </c>
      <c r="I497" s="344">
        <v>4.43333333333333</v>
      </c>
      <c r="J497" s="344">
        <v>5.8333333333333304</v>
      </c>
      <c r="K497" s="344">
        <v>6.3</v>
      </c>
      <c r="L497" s="344">
        <f t="shared" ref="L497:L560" si="57">I497/30*7</f>
        <v>1.0344444444444436</v>
      </c>
      <c r="M497" s="344">
        <v>6.7666666666666702</v>
      </c>
      <c r="N497" s="344">
        <v>5.3666666666666698</v>
      </c>
      <c r="O497" s="344">
        <v>7.93333333333333</v>
      </c>
      <c r="P497" s="344">
        <v>8.4</v>
      </c>
      <c r="Q497" s="344">
        <v>9.56666666666667</v>
      </c>
      <c r="R497" s="344">
        <v>11.9</v>
      </c>
      <c r="S497" s="344">
        <v>11.6666666666667</v>
      </c>
      <c r="T497" s="344">
        <v>10.266666666666699</v>
      </c>
      <c r="U497" s="344">
        <v>13.0666666666667</v>
      </c>
      <c r="V497" s="344">
        <v>10.966666666666701</v>
      </c>
      <c r="W497" s="344">
        <v>10.033333333333299</v>
      </c>
      <c r="X497" s="344">
        <v>10.033333333333299</v>
      </c>
      <c r="Y497" s="344">
        <v>11.2</v>
      </c>
      <c r="Z497" s="344">
        <v>9.56666666666667</v>
      </c>
      <c r="AA497" s="344">
        <v>10.966666666666701</v>
      </c>
      <c r="AB497" s="344">
        <v>10.033333333333299</v>
      </c>
      <c r="AC497" s="344">
        <v>9.1</v>
      </c>
      <c r="AD497" s="344">
        <f t="shared" ref="AD497:AD560" si="58">AC497-AB497</f>
        <v>-0.93333333333329982</v>
      </c>
      <c r="AE497" s="344">
        <v>7</v>
      </c>
      <c r="AF497" s="344">
        <v>13</v>
      </c>
      <c r="AG497" s="346">
        <v>8</v>
      </c>
      <c r="AH497" s="346">
        <v>9</v>
      </c>
      <c r="AI497" s="346">
        <v>9</v>
      </c>
      <c r="AJ497" s="346">
        <v>8</v>
      </c>
      <c r="AK497" s="346">
        <v>9</v>
      </c>
      <c r="AL497" s="346">
        <v>8</v>
      </c>
      <c r="AM497" s="346">
        <v>6</v>
      </c>
      <c r="AN497" s="346">
        <v>7</v>
      </c>
      <c r="AO497" s="346">
        <v>7</v>
      </c>
      <c r="AP497" s="346">
        <v>2</v>
      </c>
      <c r="AQ497" s="357">
        <v>8</v>
      </c>
      <c r="AR497" s="357">
        <v>6</v>
      </c>
      <c r="AS497" s="357">
        <v>5</v>
      </c>
      <c r="AT497" s="357">
        <v>6</v>
      </c>
      <c r="AU497" s="357">
        <v>6</v>
      </c>
      <c r="AV497" s="357">
        <v>4</v>
      </c>
      <c r="AW497" s="357">
        <v>2</v>
      </c>
      <c r="AX497" s="357">
        <v>4</v>
      </c>
      <c r="AY497" s="357">
        <v>7</v>
      </c>
      <c r="AZ497" s="357">
        <v>5</v>
      </c>
      <c r="BA497" s="357">
        <v>8</v>
      </c>
      <c r="BB497" s="357">
        <v>5</v>
      </c>
      <c r="BC497" s="357">
        <v>7</v>
      </c>
    </row>
    <row r="498" spans="1:55" s="381" customFormat="1" ht="17.649999999999999" customHeight="1">
      <c r="A498" s="343">
        <v>66</v>
      </c>
      <c r="B498" s="211" t="s">
        <v>2145</v>
      </c>
      <c r="C498" s="211" t="s">
        <v>2055</v>
      </c>
      <c r="D498" s="211" t="s">
        <v>2125</v>
      </c>
      <c r="E498" s="344">
        <v>2</v>
      </c>
      <c r="F498" s="344">
        <v>2.3333333333333299</v>
      </c>
      <c r="G498" s="356">
        <v>1.1666666666666701</v>
      </c>
      <c r="H498" s="344">
        <v>1.1666666666666701</v>
      </c>
      <c r="I498" s="344">
        <v>0.233333333333333</v>
      </c>
      <c r="J498" s="344">
        <v>0.233333333333333</v>
      </c>
      <c r="K498" s="344">
        <v>0.233333333333333</v>
      </c>
      <c r="L498" s="344">
        <f t="shared" si="57"/>
        <v>5.4444444444444372E-2</v>
      </c>
      <c r="M498" s="344">
        <v>2.56666666666667</v>
      </c>
      <c r="N498" s="344">
        <v>3.2666666666666702</v>
      </c>
      <c r="O498" s="344">
        <v>3.9666666666666699</v>
      </c>
      <c r="P498" s="344">
        <v>4.43333333333333</v>
      </c>
      <c r="Q498" s="344">
        <v>5.3666666666666698</v>
      </c>
      <c r="R498" s="344">
        <v>6.3</v>
      </c>
      <c r="S498" s="344">
        <v>6.5333333333333297</v>
      </c>
      <c r="T498" s="344">
        <v>5.6</v>
      </c>
      <c r="U498" s="344">
        <v>6.5333333333333297</v>
      </c>
      <c r="V498" s="344">
        <v>6.7666666666666702</v>
      </c>
      <c r="W498" s="344">
        <v>6.7666666666666702</v>
      </c>
      <c r="X498" s="344">
        <v>8.4</v>
      </c>
      <c r="Y498" s="344">
        <v>8.4</v>
      </c>
      <c r="Z498" s="344">
        <v>6.5333333333333297</v>
      </c>
      <c r="AA498" s="344">
        <v>7</v>
      </c>
      <c r="AB498" s="344">
        <v>7.7</v>
      </c>
      <c r="AC498" s="344">
        <v>8.4</v>
      </c>
      <c r="AD498" s="344">
        <f t="shared" si="58"/>
        <v>0.70000000000000018</v>
      </c>
      <c r="AE498" s="344">
        <v>4</v>
      </c>
      <c r="AF498" s="344">
        <v>4</v>
      </c>
      <c r="AG498" s="346">
        <v>2</v>
      </c>
      <c r="AH498" s="346">
        <v>12</v>
      </c>
      <c r="AI498" s="346">
        <v>4</v>
      </c>
      <c r="AJ498" s="346">
        <v>2</v>
      </c>
      <c r="AK498" s="346">
        <v>2</v>
      </c>
      <c r="AL498" s="346">
        <v>2</v>
      </c>
      <c r="AM498" s="346">
        <v>2</v>
      </c>
      <c r="AN498" s="346">
        <v>1</v>
      </c>
      <c r="AO498" s="346">
        <v>1</v>
      </c>
      <c r="AP498" s="346">
        <v>1</v>
      </c>
      <c r="AQ498" s="357">
        <v>1</v>
      </c>
      <c r="AR498" s="357">
        <v>1</v>
      </c>
      <c r="AS498" s="357">
        <v>10</v>
      </c>
      <c r="AT498" s="357">
        <v>9</v>
      </c>
      <c r="AU498" s="357">
        <v>10</v>
      </c>
      <c r="AV498" s="357">
        <v>2</v>
      </c>
      <c r="AW498" s="357">
        <v>1</v>
      </c>
      <c r="AX498" s="357">
        <v>2</v>
      </c>
      <c r="AY498" s="357">
        <v>2</v>
      </c>
      <c r="AZ498" s="357">
        <v>1</v>
      </c>
      <c r="BA498" s="357">
        <v>7</v>
      </c>
      <c r="BB498" s="357">
        <v>3</v>
      </c>
      <c r="BC498" s="357">
        <v>2</v>
      </c>
    </row>
    <row r="499" spans="1:55" s="381" customFormat="1" ht="17.649999999999999" customHeight="1">
      <c r="A499" s="343">
        <v>67</v>
      </c>
      <c r="B499" s="211" t="s">
        <v>2146</v>
      </c>
      <c r="C499" s="211" t="s">
        <v>2055</v>
      </c>
      <c r="D499" s="211" t="s">
        <v>2063</v>
      </c>
      <c r="E499" s="344">
        <v>403</v>
      </c>
      <c r="F499" s="344">
        <v>427.933333333333</v>
      </c>
      <c r="G499" s="356">
        <v>476.46666666666698</v>
      </c>
      <c r="H499" s="344">
        <v>469.933333333333</v>
      </c>
      <c r="I499" s="344">
        <v>471.8</v>
      </c>
      <c r="J499" s="344">
        <v>452.433333333333</v>
      </c>
      <c r="K499" s="344">
        <v>405.76666666666699</v>
      </c>
      <c r="L499" s="344">
        <f t="shared" si="57"/>
        <v>110.08666666666667</v>
      </c>
      <c r="M499" s="344">
        <v>261.566666666667</v>
      </c>
      <c r="N499" s="344">
        <v>233.1</v>
      </c>
      <c r="O499" s="344">
        <v>198.566666666667</v>
      </c>
      <c r="P499" s="344">
        <v>157.03333333333299</v>
      </c>
      <c r="Q499" s="344">
        <v>161.69999999999999</v>
      </c>
      <c r="R499" s="344">
        <v>165.666666666667</v>
      </c>
      <c r="S499" s="344">
        <v>160.066666666667</v>
      </c>
      <c r="T499" s="344">
        <v>160.53333333333299</v>
      </c>
      <c r="U499" s="344">
        <v>129.73333333333301</v>
      </c>
      <c r="V499" s="344">
        <v>140.69999999999999</v>
      </c>
      <c r="W499" s="344">
        <v>162.166666666667</v>
      </c>
      <c r="X499" s="344">
        <v>171.5</v>
      </c>
      <c r="Y499" s="344">
        <v>175.933333333333</v>
      </c>
      <c r="Z499" s="344">
        <v>196.7</v>
      </c>
      <c r="AA499" s="344">
        <v>170.8</v>
      </c>
      <c r="AB499" s="344">
        <v>169.166666666667</v>
      </c>
      <c r="AC499" s="344">
        <v>181.76666666666699</v>
      </c>
      <c r="AD499" s="344">
        <f t="shared" si="58"/>
        <v>12.599999999999994</v>
      </c>
      <c r="AE499" s="344">
        <v>3</v>
      </c>
      <c r="AF499" s="344">
        <v>2</v>
      </c>
      <c r="AG499" s="346">
        <v>2</v>
      </c>
      <c r="AH499" s="346">
        <v>2</v>
      </c>
      <c r="AI499" s="346">
        <v>3</v>
      </c>
      <c r="AJ499" s="346">
        <v>3</v>
      </c>
      <c r="AK499" s="346">
        <v>3</v>
      </c>
      <c r="AL499" s="346">
        <v>3</v>
      </c>
      <c r="AM499" s="346">
        <v>3</v>
      </c>
      <c r="AN499" s="346">
        <v>3</v>
      </c>
      <c r="AO499" s="346">
        <v>3</v>
      </c>
      <c r="AP499" s="346">
        <v>4</v>
      </c>
      <c r="AQ499" s="357">
        <v>2</v>
      </c>
      <c r="AR499" s="357">
        <v>3</v>
      </c>
      <c r="AS499" s="357">
        <v>3</v>
      </c>
      <c r="AT499" s="357">
        <v>6</v>
      </c>
      <c r="AU499" s="357">
        <v>3</v>
      </c>
      <c r="AV499" s="357">
        <v>1</v>
      </c>
      <c r="AW499" s="357">
        <v>8</v>
      </c>
      <c r="AX499" s="357">
        <v>3</v>
      </c>
      <c r="AY499" s="357">
        <v>3</v>
      </c>
      <c r="AZ499" s="357">
        <v>6</v>
      </c>
      <c r="BA499" s="357">
        <v>2</v>
      </c>
      <c r="BB499" s="357">
        <v>6</v>
      </c>
      <c r="BC499" s="357">
        <v>5</v>
      </c>
    </row>
    <row r="500" spans="1:55" s="381" customFormat="1" ht="17.649999999999999" customHeight="1">
      <c r="A500" s="343">
        <v>68</v>
      </c>
      <c r="B500" s="211" t="s">
        <v>2147</v>
      </c>
      <c r="C500" s="211" t="s">
        <v>2055</v>
      </c>
      <c r="D500" s="211" t="s">
        <v>2125</v>
      </c>
      <c r="E500" s="344">
        <v>6</v>
      </c>
      <c r="F500" s="344">
        <v>5.3666666666666698</v>
      </c>
      <c r="G500" s="356">
        <v>5.1333333333333302</v>
      </c>
      <c r="H500" s="344">
        <v>3.9666666666666699</v>
      </c>
      <c r="I500" s="344">
        <v>5.3666666666666698</v>
      </c>
      <c r="J500" s="344">
        <v>4.6666666666666696</v>
      </c>
      <c r="K500" s="344">
        <v>4.6666666666666696</v>
      </c>
      <c r="L500" s="344">
        <f t="shared" si="57"/>
        <v>1.252222222222223</v>
      </c>
      <c r="M500" s="344">
        <v>4.43333333333333</v>
      </c>
      <c r="N500" s="344">
        <v>5.6</v>
      </c>
      <c r="O500" s="344">
        <v>6.5333333333333297</v>
      </c>
      <c r="P500" s="344">
        <v>8.6333333333333293</v>
      </c>
      <c r="Q500" s="344">
        <v>10.966666666666701</v>
      </c>
      <c r="R500" s="344">
        <v>11.9</v>
      </c>
      <c r="S500" s="344">
        <v>12.133333333333301</v>
      </c>
      <c r="T500" s="344">
        <v>10.966666666666701</v>
      </c>
      <c r="U500" s="344">
        <v>9.56666666666667</v>
      </c>
      <c r="V500" s="344">
        <v>10.733333333333301</v>
      </c>
      <c r="W500" s="344">
        <v>10.033333333333299</v>
      </c>
      <c r="X500" s="344">
        <v>10.733333333333301</v>
      </c>
      <c r="Y500" s="344">
        <v>8.4</v>
      </c>
      <c r="Z500" s="344">
        <v>7</v>
      </c>
      <c r="AA500" s="344">
        <v>8.4</v>
      </c>
      <c r="AB500" s="344">
        <v>8.6333333333333293</v>
      </c>
      <c r="AC500" s="344">
        <v>9.56666666666667</v>
      </c>
      <c r="AD500" s="344">
        <f t="shared" si="58"/>
        <v>0.93333333333334068</v>
      </c>
      <c r="AE500" s="344">
        <v>1</v>
      </c>
      <c r="AF500" s="344">
        <v>1</v>
      </c>
      <c r="AG500" s="346">
        <v>1</v>
      </c>
      <c r="AH500" s="346">
        <v>1</v>
      </c>
      <c r="AI500" s="346">
        <v>7</v>
      </c>
      <c r="AJ500" s="346">
        <v>7</v>
      </c>
      <c r="AK500" s="346">
        <v>1</v>
      </c>
      <c r="AL500" s="346">
        <v>7</v>
      </c>
      <c r="AM500" s="346">
        <v>1</v>
      </c>
      <c r="AN500" s="346">
        <v>1</v>
      </c>
      <c r="AO500" s="346">
        <v>1</v>
      </c>
      <c r="AP500" s="346">
        <v>1</v>
      </c>
      <c r="AQ500" s="357">
        <v>4</v>
      </c>
      <c r="AR500" s="357">
        <v>1</v>
      </c>
      <c r="AS500" s="357">
        <v>1</v>
      </c>
      <c r="AT500" s="357">
        <v>1</v>
      </c>
      <c r="AU500" s="357">
        <v>1</v>
      </c>
      <c r="AV500" s="357">
        <v>1</v>
      </c>
      <c r="AW500" s="357">
        <v>1</v>
      </c>
      <c r="AX500" s="357">
        <v>11</v>
      </c>
      <c r="AY500" s="357">
        <v>1</v>
      </c>
      <c r="AZ500" s="357">
        <v>1</v>
      </c>
      <c r="BA500" s="357">
        <v>1</v>
      </c>
      <c r="BB500" s="357">
        <v>8</v>
      </c>
      <c r="BC500" s="357">
        <v>1</v>
      </c>
    </row>
    <row r="501" spans="1:55" s="381" customFormat="1" ht="17.649999999999999" customHeight="1">
      <c r="A501" s="343">
        <v>69</v>
      </c>
      <c r="B501" s="211" t="s">
        <v>2148</v>
      </c>
      <c r="C501" s="211" t="s">
        <v>2055</v>
      </c>
      <c r="D501" s="211" t="s">
        <v>2125</v>
      </c>
      <c r="E501" s="344">
        <v>1</v>
      </c>
      <c r="F501" s="344">
        <v>1.86666666666667</v>
      </c>
      <c r="G501" s="356">
        <v>1.4</v>
      </c>
      <c r="H501" s="344">
        <v>1.1666666666666701</v>
      </c>
      <c r="I501" s="344">
        <v>1.86666666666667</v>
      </c>
      <c r="J501" s="344">
        <v>1.86666666666667</v>
      </c>
      <c r="K501" s="344">
        <v>1.86666666666667</v>
      </c>
      <c r="L501" s="344">
        <f t="shared" si="57"/>
        <v>0.43555555555555631</v>
      </c>
      <c r="M501" s="344">
        <v>4.6666666666666696</v>
      </c>
      <c r="N501" s="344">
        <v>5.3666666666666698</v>
      </c>
      <c r="O501" s="344">
        <v>5.3666666666666698</v>
      </c>
      <c r="P501" s="344">
        <v>3.9666666666666699</v>
      </c>
      <c r="Q501" s="344">
        <v>4.2</v>
      </c>
      <c r="R501" s="344">
        <v>7</v>
      </c>
      <c r="S501" s="344">
        <v>12.8333333333333</v>
      </c>
      <c r="T501" s="344">
        <v>13.0666666666667</v>
      </c>
      <c r="U501" s="344">
        <v>11.2</v>
      </c>
      <c r="V501" s="344">
        <v>11.2</v>
      </c>
      <c r="W501" s="344">
        <v>5.1333333333333302</v>
      </c>
      <c r="X501" s="344">
        <v>3.5</v>
      </c>
      <c r="Y501" s="344">
        <v>4.6666666666666696</v>
      </c>
      <c r="Z501" s="344">
        <v>4.43333333333333</v>
      </c>
      <c r="AA501" s="344">
        <v>7.7</v>
      </c>
      <c r="AB501" s="344">
        <v>9.1</v>
      </c>
      <c r="AC501" s="344">
        <v>7.93333333333333</v>
      </c>
      <c r="AD501" s="344">
        <f t="shared" si="58"/>
        <v>-1.1666666666666696</v>
      </c>
      <c r="AE501" s="344">
        <v>11</v>
      </c>
      <c r="AF501" s="344">
        <v>13</v>
      </c>
      <c r="AG501" s="346">
        <v>10</v>
      </c>
      <c r="AH501" s="346">
        <v>9</v>
      </c>
      <c r="AI501" s="346">
        <v>13</v>
      </c>
      <c r="AJ501" s="346">
        <v>5</v>
      </c>
      <c r="AK501" s="346">
        <v>10</v>
      </c>
      <c r="AL501" s="346">
        <v>5</v>
      </c>
      <c r="AM501" s="346">
        <v>7</v>
      </c>
      <c r="AN501" s="346">
        <v>7</v>
      </c>
      <c r="AO501" s="346">
        <v>7</v>
      </c>
      <c r="AP501" s="346">
        <v>10</v>
      </c>
      <c r="AQ501" s="357">
        <v>9</v>
      </c>
      <c r="AR501" s="357">
        <v>6</v>
      </c>
      <c r="AS501" s="357">
        <v>8</v>
      </c>
      <c r="AT501" s="357">
        <v>7</v>
      </c>
      <c r="AU501" s="211">
        <v>10</v>
      </c>
      <c r="AV501" s="357">
        <v>10</v>
      </c>
      <c r="AW501" s="357">
        <v>3</v>
      </c>
      <c r="AX501" s="357">
        <v>12</v>
      </c>
      <c r="AY501" s="357">
        <v>14</v>
      </c>
      <c r="AZ501" s="357">
        <v>9</v>
      </c>
      <c r="BA501" s="357">
        <v>9</v>
      </c>
      <c r="BB501" s="357">
        <v>10</v>
      </c>
      <c r="BC501" s="357">
        <v>10</v>
      </c>
    </row>
    <row r="502" spans="1:55" s="381" customFormat="1" ht="17.649999999999999" customHeight="1">
      <c r="A502" s="343">
        <v>70</v>
      </c>
      <c r="B502" s="211" t="s">
        <v>2149</v>
      </c>
      <c r="C502" s="211" t="s">
        <v>2055</v>
      </c>
      <c r="D502" s="211" t="s">
        <v>2125</v>
      </c>
      <c r="E502" s="344">
        <v>160</v>
      </c>
      <c r="F502" s="344">
        <v>148.4</v>
      </c>
      <c r="G502" s="356">
        <v>97.533333333333303</v>
      </c>
      <c r="H502" s="344">
        <v>86.3333333333333</v>
      </c>
      <c r="I502" s="344">
        <v>98.7</v>
      </c>
      <c r="J502" s="344">
        <v>195.3</v>
      </c>
      <c r="K502" s="344">
        <v>186.2</v>
      </c>
      <c r="L502" s="344">
        <f t="shared" si="57"/>
        <v>23.03</v>
      </c>
      <c r="M502" s="344">
        <v>156.566666666667</v>
      </c>
      <c r="N502" s="344">
        <v>96.366666666666703</v>
      </c>
      <c r="O502" s="344">
        <v>42.933333333333302</v>
      </c>
      <c r="P502" s="344">
        <v>51.8</v>
      </c>
      <c r="Q502" s="344">
        <v>53.433333333333302</v>
      </c>
      <c r="R502" s="344">
        <v>54.8333333333333</v>
      </c>
      <c r="S502" s="344">
        <v>45.733333333333299</v>
      </c>
      <c r="T502" s="344">
        <v>41.3</v>
      </c>
      <c r="U502" s="344">
        <v>39.9</v>
      </c>
      <c r="V502" s="344">
        <v>45.033333333333303</v>
      </c>
      <c r="W502" s="344">
        <v>48.533333333333303</v>
      </c>
      <c r="X502" s="344">
        <v>51.566666666666698</v>
      </c>
      <c r="Y502" s="344">
        <v>56</v>
      </c>
      <c r="Z502" s="344">
        <v>50.4</v>
      </c>
      <c r="AA502" s="344">
        <v>66.266666666666694</v>
      </c>
      <c r="AB502" s="344">
        <v>60.6666666666667</v>
      </c>
      <c r="AC502" s="344">
        <v>61.366666666666703</v>
      </c>
      <c r="AD502" s="344">
        <f t="shared" si="58"/>
        <v>0.70000000000000284</v>
      </c>
      <c r="AE502" s="344">
        <v>3</v>
      </c>
      <c r="AF502" s="344">
        <v>9</v>
      </c>
      <c r="AG502" s="346">
        <v>4</v>
      </c>
      <c r="AH502" s="346">
        <v>3</v>
      </c>
      <c r="AI502" s="346">
        <v>10</v>
      </c>
      <c r="AJ502" s="346">
        <v>10</v>
      </c>
      <c r="AK502" s="346">
        <v>10</v>
      </c>
      <c r="AL502" s="346">
        <v>10</v>
      </c>
      <c r="AM502" s="346">
        <v>6</v>
      </c>
      <c r="AN502" s="346">
        <v>4</v>
      </c>
      <c r="AO502" s="346">
        <v>4</v>
      </c>
      <c r="AP502" s="357">
        <v>16</v>
      </c>
      <c r="AQ502" s="357">
        <v>6</v>
      </c>
      <c r="AR502" s="357">
        <v>9</v>
      </c>
      <c r="AS502" s="357">
        <v>12</v>
      </c>
      <c r="AT502" s="357">
        <v>19</v>
      </c>
      <c r="AU502" s="357">
        <v>6</v>
      </c>
      <c r="AV502" s="357">
        <v>7</v>
      </c>
      <c r="AW502" s="357">
        <v>3</v>
      </c>
      <c r="AX502" s="357">
        <v>2</v>
      </c>
      <c r="AY502" s="211">
        <v>51</v>
      </c>
      <c r="AZ502" s="357">
        <v>14</v>
      </c>
      <c r="BA502" s="357">
        <v>11</v>
      </c>
      <c r="BB502" s="357">
        <v>25</v>
      </c>
      <c r="BC502" s="357">
        <v>26</v>
      </c>
    </row>
    <row r="503" spans="1:55" s="381" customFormat="1" ht="17.649999999999999" customHeight="1">
      <c r="A503" s="343">
        <v>71</v>
      </c>
      <c r="B503" s="211" t="s">
        <v>2150</v>
      </c>
      <c r="C503" s="211" t="s">
        <v>2055</v>
      </c>
      <c r="D503" s="211" t="s">
        <v>2125</v>
      </c>
      <c r="E503" s="344">
        <v>4</v>
      </c>
      <c r="F503" s="344">
        <v>2.56666666666667</v>
      </c>
      <c r="G503" s="356">
        <v>4.2</v>
      </c>
      <c r="H503" s="344">
        <v>4.2</v>
      </c>
      <c r="I503" s="344">
        <v>5.1333333333333302</v>
      </c>
      <c r="J503" s="344">
        <v>8.4</v>
      </c>
      <c r="K503" s="344">
        <v>9.56666666666667</v>
      </c>
      <c r="L503" s="344">
        <f t="shared" si="57"/>
        <v>1.1977777777777772</v>
      </c>
      <c r="M503" s="344">
        <v>20.066666666666698</v>
      </c>
      <c r="N503" s="344">
        <v>22.1666666666667</v>
      </c>
      <c r="O503" s="344">
        <v>22.866666666666699</v>
      </c>
      <c r="P503" s="344">
        <v>28.233333333333299</v>
      </c>
      <c r="Q503" s="344">
        <v>25.2</v>
      </c>
      <c r="R503" s="344">
        <v>24.033333333333299</v>
      </c>
      <c r="S503" s="344">
        <v>22.866666666666699</v>
      </c>
      <c r="T503" s="344">
        <v>15.633333333333301</v>
      </c>
      <c r="U503" s="344">
        <v>13.3</v>
      </c>
      <c r="V503" s="344">
        <v>12.366666666666699</v>
      </c>
      <c r="W503" s="344">
        <v>8.6333333333333293</v>
      </c>
      <c r="X503" s="344">
        <v>5.1333333333333302</v>
      </c>
      <c r="Y503" s="344">
        <v>5.6</v>
      </c>
      <c r="Z503" s="344">
        <v>5.6</v>
      </c>
      <c r="AA503" s="344">
        <v>5.8333333333333304</v>
      </c>
      <c r="AB503" s="344">
        <v>6.7666666666666702</v>
      </c>
      <c r="AC503" s="344">
        <v>6.7666666666666702</v>
      </c>
      <c r="AD503" s="344">
        <f t="shared" si="58"/>
        <v>0</v>
      </c>
      <c r="AE503" s="344">
        <v>1</v>
      </c>
      <c r="AF503" s="344">
        <v>3</v>
      </c>
      <c r="AG503" s="346">
        <v>10</v>
      </c>
      <c r="AH503" s="346">
        <v>1</v>
      </c>
      <c r="AI503" s="346">
        <v>6</v>
      </c>
      <c r="AJ503" s="346">
        <v>1</v>
      </c>
      <c r="AK503" s="346">
        <v>1</v>
      </c>
      <c r="AL503" s="346">
        <v>1</v>
      </c>
      <c r="AM503" s="346">
        <v>9</v>
      </c>
      <c r="AN503" s="346">
        <v>1</v>
      </c>
      <c r="AO503" s="346">
        <v>1</v>
      </c>
      <c r="AP503" s="211">
        <v>1</v>
      </c>
      <c r="AQ503" s="357">
        <v>1</v>
      </c>
      <c r="AR503" s="357">
        <v>1</v>
      </c>
      <c r="AS503" s="357">
        <v>1</v>
      </c>
      <c r="AT503" s="357">
        <v>1</v>
      </c>
      <c r="AU503" s="357">
        <v>1</v>
      </c>
      <c r="AV503" s="357">
        <v>1</v>
      </c>
      <c r="AW503" s="357">
        <v>1</v>
      </c>
      <c r="AX503" s="357">
        <v>7</v>
      </c>
      <c r="AY503" s="357">
        <v>1</v>
      </c>
      <c r="AZ503" s="357">
        <v>2</v>
      </c>
      <c r="BA503" s="357">
        <v>3</v>
      </c>
      <c r="BB503" s="357">
        <v>10</v>
      </c>
      <c r="BC503" s="357">
        <v>2</v>
      </c>
    </row>
    <row r="504" spans="1:55" s="381" customFormat="1" ht="17.649999999999999" customHeight="1">
      <c r="A504" s="343">
        <v>72</v>
      </c>
      <c r="B504" s="211" t="s">
        <v>2151</v>
      </c>
      <c r="C504" s="211" t="s">
        <v>2055</v>
      </c>
      <c r="D504" s="211" t="s">
        <v>2063</v>
      </c>
      <c r="E504" s="344">
        <v>731</v>
      </c>
      <c r="F504" s="344">
        <v>732.43333333333305</v>
      </c>
      <c r="G504" s="356">
        <v>698.83333333333303</v>
      </c>
      <c r="H504" s="344">
        <v>675.73333333333301</v>
      </c>
      <c r="I504" s="344">
        <v>640.03333333333296</v>
      </c>
      <c r="J504" s="344">
        <v>583.79999999999995</v>
      </c>
      <c r="K504" s="344">
        <v>524.76666666666699</v>
      </c>
      <c r="L504" s="344">
        <f t="shared" si="57"/>
        <v>149.34111111111102</v>
      </c>
      <c r="M504" s="344">
        <v>286.76666666666699</v>
      </c>
      <c r="N504" s="344">
        <v>303.33333333333297</v>
      </c>
      <c r="O504" s="344">
        <v>354.9</v>
      </c>
      <c r="P504" s="344">
        <v>523.36666666666702</v>
      </c>
      <c r="Q504" s="344">
        <v>579.13333333333298</v>
      </c>
      <c r="R504" s="344">
        <v>681.33333333333303</v>
      </c>
      <c r="S504" s="344">
        <v>749.46666666666704</v>
      </c>
      <c r="T504" s="344">
        <v>762.06666666666695</v>
      </c>
      <c r="U504" s="344">
        <v>844.9</v>
      </c>
      <c r="V504" s="344">
        <v>860.76666666666699</v>
      </c>
      <c r="W504" s="344">
        <v>778.86666666666702</v>
      </c>
      <c r="X504" s="344">
        <v>747.83333333333303</v>
      </c>
      <c r="Y504" s="344">
        <v>704.9</v>
      </c>
      <c r="Z504" s="344">
        <v>613.66666666666697</v>
      </c>
      <c r="AA504" s="344">
        <v>554.63333333333298</v>
      </c>
      <c r="AB504" s="344">
        <v>509.36666666666702</v>
      </c>
      <c r="AC504" s="344">
        <v>473.2</v>
      </c>
      <c r="AD504" s="344">
        <f t="shared" si="58"/>
        <v>-36.166666666667027</v>
      </c>
      <c r="AE504" s="344">
        <v>4</v>
      </c>
      <c r="AF504" s="344">
        <v>4</v>
      </c>
      <c r="AG504" s="346">
        <v>3</v>
      </c>
      <c r="AH504" s="346">
        <v>3</v>
      </c>
      <c r="AI504" s="346">
        <v>9</v>
      </c>
      <c r="AJ504" s="346">
        <v>9</v>
      </c>
      <c r="AK504" s="346">
        <v>3</v>
      </c>
      <c r="AL504" s="346">
        <v>9</v>
      </c>
      <c r="AM504" s="346">
        <v>2</v>
      </c>
      <c r="AN504" s="346">
        <v>3</v>
      </c>
      <c r="AO504" s="346">
        <v>3</v>
      </c>
      <c r="AP504" s="346">
        <v>3</v>
      </c>
      <c r="AQ504" s="357">
        <v>7</v>
      </c>
      <c r="AR504" s="357">
        <v>1</v>
      </c>
      <c r="AS504" s="357">
        <v>2</v>
      </c>
      <c r="AT504" s="357">
        <v>4</v>
      </c>
      <c r="AU504" s="357">
        <v>3</v>
      </c>
      <c r="AV504" s="357">
        <v>2</v>
      </c>
      <c r="AW504" s="357">
        <v>6</v>
      </c>
      <c r="AX504" s="357">
        <v>7</v>
      </c>
      <c r="AY504" s="357">
        <v>4</v>
      </c>
      <c r="AZ504" s="357">
        <v>8</v>
      </c>
      <c r="BA504" s="357">
        <v>7</v>
      </c>
      <c r="BB504" s="357">
        <v>10</v>
      </c>
      <c r="BC504" s="357">
        <v>10</v>
      </c>
    </row>
    <row r="505" spans="1:55" s="381" customFormat="1" ht="17.649999999999999" customHeight="1">
      <c r="A505" s="343">
        <v>73</v>
      </c>
      <c r="B505" s="211" t="s">
        <v>2152</v>
      </c>
      <c r="C505" s="211" t="s">
        <v>2055</v>
      </c>
      <c r="D505" s="211" t="s">
        <v>2125</v>
      </c>
      <c r="E505" s="344">
        <v>5</v>
      </c>
      <c r="F505" s="344">
        <v>4.6666666666666696</v>
      </c>
      <c r="G505" s="356">
        <v>4.2</v>
      </c>
      <c r="H505" s="344">
        <v>3.5</v>
      </c>
      <c r="I505" s="344">
        <v>4.2</v>
      </c>
      <c r="J505" s="344">
        <v>3.2666666666666702</v>
      </c>
      <c r="K505" s="344">
        <v>2.56666666666667</v>
      </c>
      <c r="L505" s="344">
        <f t="shared" si="57"/>
        <v>0.98000000000000009</v>
      </c>
      <c r="M505" s="344">
        <v>4.6666666666666696</v>
      </c>
      <c r="N505" s="344">
        <v>6.7666666666666702</v>
      </c>
      <c r="O505" s="344">
        <v>9.56666666666667</v>
      </c>
      <c r="P505" s="344">
        <v>10.266666666666699</v>
      </c>
      <c r="Q505" s="344">
        <v>13.3</v>
      </c>
      <c r="R505" s="344">
        <v>15.4</v>
      </c>
      <c r="S505" s="344">
        <v>13.533333333333299</v>
      </c>
      <c r="T505" s="344">
        <v>13.3</v>
      </c>
      <c r="U505" s="344">
        <v>12.8333333333333</v>
      </c>
      <c r="V505" s="344">
        <v>9.56666666666667</v>
      </c>
      <c r="W505" s="344">
        <v>10.266666666666699</v>
      </c>
      <c r="X505" s="344">
        <v>14.233333333333301</v>
      </c>
      <c r="Y505" s="344">
        <v>11.2</v>
      </c>
      <c r="Z505" s="344">
        <v>11.2</v>
      </c>
      <c r="AA505" s="344">
        <v>8.8666666666666707</v>
      </c>
      <c r="AB505" s="344">
        <v>7</v>
      </c>
      <c r="AC505" s="344">
        <v>4.43333333333333</v>
      </c>
      <c r="AD505" s="344">
        <f t="shared" si="58"/>
        <v>-2.56666666666667</v>
      </c>
      <c r="AE505" s="344">
        <v>7</v>
      </c>
      <c r="AF505" s="344">
        <v>9</v>
      </c>
      <c r="AG505" s="346">
        <v>8</v>
      </c>
      <c r="AH505" s="346">
        <v>9</v>
      </c>
      <c r="AI505" s="346">
        <v>9</v>
      </c>
      <c r="AJ505" s="346">
        <v>1</v>
      </c>
      <c r="AK505" s="346">
        <v>10</v>
      </c>
      <c r="AL505" s="346">
        <v>1</v>
      </c>
      <c r="AM505" s="346">
        <v>8</v>
      </c>
      <c r="AN505" s="346">
        <v>5</v>
      </c>
      <c r="AO505" s="346">
        <v>5</v>
      </c>
      <c r="AP505" s="346">
        <v>9</v>
      </c>
      <c r="AQ505" s="357">
        <v>4</v>
      </c>
      <c r="AR505" s="357">
        <v>4</v>
      </c>
      <c r="AS505" s="357">
        <v>4</v>
      </c>
      <c r="AT505" s="357">
        <v>7</v>
      </c>
      <c r="AU505" s="357">
        <v>7</v>
      </c>
      <c r="AV505" s="357">
        <v>7</v>
      </c>
      <c r="AW505" s="357">
        <v>4</v>
      </c>
      <c r="AX505" s="357">
        <v>7</v>
      </c>
      <c r="AY505" s="357">
        <v>1</v>
      </c>
      <c r="AZ505" s="357">
        <v>6</v>
      </c>
      <c r="BA505" s="357">
        <v>7</v>
      </c>
      <c r="BB505" s="357">
        <v>7</v>
      </c>
      <c r="BC505" s="357">
        <v>7</v>
      </c>
    </row>
    <row r="506" spans="1:55" s="381" customFormat="1" ht="17.649999999999999" customHeight="1">
      <c r="A506" s="343">
        <v>74</v>
      </c>
      <c r="B506" s="211" t="s">
        <v>2153</v>
      </c>
      <c r="C506" s="211" t="s">
        <v>2055</v>
      </c>
      <c r="D506" s="211" t="s">
        <v>2125</v>
      </c>
      <c r="E506" s="344">
        <v>14</v>
      </c>
      <c r="F506" s="344">
        <v>13.533333333333299</v>
      </c>
      <c r="G506" s="356">
        <v>12.8333333333333</v>
      </c>
      <c r="H506" s="344">
        <v>12.133333333333301</v>
      </c>
      <c r="I506" s="344">
        <v>9.8000000000000007</v>
      </c>
      <c r="J506" s="344">
        <v>7</v>
      </c>
      <c r="K506" s="344">
        <v>6.5333333333333297</v>
      </c>
      <c r="L506" s="344">
        <f t="shared" si="57"/>
        <v>2.2866666666666671</v>
      </c>
      <c r="M506" s="344">
        <v>7.93333333333333</v>
      </c>
      <c r="N506" s="344">
        <v>10.266666666666699</v>
      </c>
      <c r="O506" s="344">
        <v>10.266666666666699</v>
      </c>
      <c r="P506" s="344">
        <v>10.033333333333299</v>
      </c>
      <c r="Q506" s="344">
        <v>9.56666666666667</v>
      </c>
      <c r="R506" s="344">
        <v>7.7</v>
      </c>
      <c r="S506" s="344">
        <v>5.8333333333333304</v>
      </c>
      <c r="T506" s="344">
        <v>7.93333333333333</v>
      </c>
      <c r="U506" s="344">
        <v>7.7</v>
      </c>
      <c r="V506" s="344">
        <v>8.8666666666666707</v>
      </c>
      <c r="W506" s="344">
        <v>7.7</v>
      </c>
      <c r="X506" s="344">
        <v>8.4</v>
      </c>
      <c r="Y506" s="344">
        <v>7.4666666666666703</v>
      </c>
      <c r="Z506" s="344">
        <v>6.7666666666666702</v>
      </c>
      <c r="AA506" s="344">
        <v>6.3</v>
      </c>
      <c r="AB506" s="344">
        <v>8.6333333333333293</v>
      </c>
      <c r="AC506" s="344">
        <v>7.7</v>
      </c>
      <c r="AD506" s="344">
        <f t="shared" si="58"/>
        <v>-0.93333333333332913</v>
      </c>
      <c r="AE506" s="344">
        <v>10</v>
      </c>
      <c r="AF506" s="344">
        <v>7</v>
      </c>
      <c r="AG506" s="346">
        <v>7</v>
      </c>
      <c r="AH506" s="346">
        <v>4</v>
      </c>
      <c r="AI506" s="346">
        <v>5</v>
      </c>
      <c r="AJ506" s="346">
        <v>3</v>
      </c>
      <c r="AK506" s="346">
        <v>4</v>
      </c>
      <c r="AL506" s="346">
        <v>3</v>
      </c>
      <c r="AM506" s="346">
        <v>9</v>
      </c>
      <c r="AN506" s="346">
        <v>8</v>
      </c>
      <c r="AO506" s="346">
        <v>8</v>
      </c>
      <c r="AP506" s="346">
        <v>4</v>
      </c>
      <c r="AQ506" s="357">
        <v>4</v>
      </c>
      <c r="AR506" s="357">
        <v>4</v>
      </c>
      <c r="AS506" s="357">
        <v>9</v>
      </c>
      <c r="AT506" s="357">
        <v>9</v>
      </c>
      <c r="AU506" s="357">
        <v>9</v>
      </c>
      <c r="AV506" s="357">
        <v>4</v>
      </c>
      <c r="AW506" s="357">
        <v>6</v>
      </c>
      <c r="AX506" s="357">
        <v>8</v>
      </c>
      <c r="AY506" s="357">
        <v>8</v>
      </c>
      <c r="AZ506" s="357">
        <v>5</v>
      </c>
      <c r="BA506" s="357">
        <v>8</v>
      </c>
      <c r="BB506" s="357">
        <v>4</v>
      </c>
      <c r="BC506" s="357">
        <v>3</v>
      </c>
    </row>
    <row r="507" spans="1:55" s="381" customFormat="1" ht="17.649999999999999" customHeight="1">
      <c r="A507" s="343">
        <v>75</v>
      </c>
      <c r="B507" s="211" t="s">
        <v>2154</v>
      </c>
      <c r="C507" s="211" t="s">
        <v>2055</v>
      </c>
      <c r="D507" s="211" t="s">
        <v>2125</v>
      </c>
      <c r="E507" s="344">
        <v>7</v>
      </c>
      <c r="F507" s="344">
        <v>3.2666666666666702</v>
      </c>
      <c r="G507" s="356">
        <v>3.2666666666666702</v>
      </c>
      <c r="H507" s="344">
        <v>3.2666666666666702</v>
      </c>
      <c r="I507" s="344">
        <v>3.5</v>
      </c>
      <c r="J507" s="344">
        <v>4.6666666666666696</v>
      </c>
      <c r="K507" s="344">
        <v>3.5</v>
      </c>
      <c r="L507" s="344">
        <f t="shared" si="57"/>
        <v>0.81666666666666665</v>
      </c>
      <c r="M507" s="344">
        <v>7.4666666666666703</v>
      </c>
      <c r="N507" s="344">
        <v>7</v>
      </c>
      <c r="O507" s="344">
        <v>6.5333333333333297</v>
      </c>
      <c r="P507" s="344">
        <v>7.93333333333333</v>
      </c>
      <c r="Q507" s="344">
        <v>7.7</v>
      </c>
      <c r="R507" s="344">
        <v>6.7666666666666702</v>
      </c>
      <c r="S507" s="344">
        <v>9.8000000000000007</v>
      </c>
      <c r="T507" s="344">
        <v>10.033333333333299</v>
      </c>
      <c r="U507" s="344">
        <v>9.8000000000000007</v>
      </c>
      <c r="V507" s="344">
        <v>10.733333333333301</v>
      </c>
      <c r="W507" s="344">
        <v>8.4</v>
      </c>
      <c r="X507" s="344">
        <v>5.6</v>
      </c>
      <c r="Y507" s="344">
        <v>7.4666666666666703</v>
      </c>
      <c r="Z507" s="344">
        <v>7</v>
      </c>
      <c r="AA507" s="344">
        <v>6.7666666666666702</v>
      </c>
      <c r="AB507" s="344">
        <v>11.2</v>
      </c>
      <c r="AC507" s="344">
        <v>10.266666666666699</v>
      </c>
      <c r="AD507" s="344">
        <f t="shared" si="58"/>
        <v>-0.93333333333329982</v>
      </c>
      <c r="AE507" s="344">
        <v>51</v>
      </c>
      <c r="AF507" s="344">
        <v>3</v>
      </c>
      <c r="AG507" s="346">
        <v>4</v>
      </c>
      <c r="AH507" s="346">
        <v>35</v>
      </c>
      <c r="AI507" s="346">
        <v>41</v>
      </c>
      <c r="AJ507" s="346">
        <v>51</v>
      </c>
      <c r="AK507" s="346">
        <v>51</v>
      </c>
      <c r="AL507" s="346">
        <v>51</v>
      </c>
      <c r="AM507" s="346">
        <v>15</v>
      </c>
      <c r="AN507" s="346">
        <v>42</v>
      </c>
      <c r="AO507" s="346">
        <v>42</v>
      </c>
      <c r="AP507" s="346">
        <v>7</v>
      </c>
      <c r="AQ507" s="357">
        <v>16</v>
      </c>
      <c r="AR507" s="357">
        <v>14</v>
      </c>
      <c r="AS507" s="357">
        <v>10</v>
      </c>
      <c r="AT507" s="357">
        <v>7</v>
      </c>
      <c r="AU507" s="357">
        <v>3</v>
      </c>
      <c r="AV507" s="357">
        <v>3</v>
      </c>
      <c r="AW507" s="357">
        <v>4</v>
      </c>
      <c r="AX507" s="357">
        <v>14</v>
      </c>
      <c r="AY507" s="357">
        <v>3</v>
      </c>
      <c r="AZ507" s="357">
        <v>15</v>
      </c>
      <c r="BA507" s="357">
        <v>28</v>
      </c>
      <c r="BB507" s="357">
        <v>13</v>
      </c>
      <c r="BC507" s="357">
        <v>14</v>
      </c>
    </row>
    <row r="508" spans="1:55" s="381" customFormat="1" ht="17.649999999999999" customHeight="1">
      <c r="A508" s="343">
        <v>76</v>
      </c>
      <c r="B508" s="211" t="s">
        <v>2155</v>
      </c>
      <c r="C508" s="211" t="s">
        <v>2055</v>
      </c>
      <c r="D508" s="211" t="s">
        <v>2125</v>
      </c>
      <c r="E508" s="344">
        <v>3</v>
      </c>
      <c r="F508" s="344">
        <v>3.5</v>
      </c>
      <c r="G508" s="356">
        <v>3.5</v>
      </c>
      <c r="H508" s="344">
        <v>3.2666666666666702</v>
      </c>
      <c r="I508" s="344">
        <v>4.6666666666666696</v>
      </c>
      <c r="J508" s="344">
        <v>4.6666666666666696</v>
      </c>
      <c r="K508" s="344">
        <v>4.2</v>
      </c>
      <c r="L508" s="344">
        <f t="shared" si="57"/>
        <v>1.0888888888888895</v>
      </c>
      <c r="M508" s="344">
        <v>3.9666666666666699</v>
      </c>
      <c r="N508" s="344">
        <v>4.6666666666666696</v>
      </c>
      <c r="O508" s="344">
        <v>6.5333333333333297</v>
      </c>
      <c r="P508" s="344">
        <v>9.56666666666667</v>
      </c>
      <c r="Q508" s="344">
        <v>12.133333333333301</v>
      </c>
      <c r="R508" s="344">
        <v>13.533333333333299</v>
      </c>
      <c r="S508" s="344">
        <v>14.9333333333333</v>
      </c>
      <c r="T508" s="344">
        <v>13.533333333333299</v>
      </c>
      <c r="U508" s="344">
        <v>12.8333333333333</v>
      </c>
      <c r="V508" s="344">
        <v>13.533333333333299</v>
      </c>
      <c r="W508" s="344">
        <v>11.6666666666667</v>
      </c>
      <c r="X508" s="344">
        <v>11.2</v>
      </c>
      <c r="Y508" s="344">
        <v>9.56666666666667</v>
      </c>
      <c r="Z508" s="344">
        <v>5.8333333333333304</v>
      </c>
      <c r="AA508" s="344">
        <v>7.4666666666666703</v>
      </c>
      <c r="AB508" s="344">
        <v>8.6333333333333293</v>
      </c>
      <c r="AC508" s="344">
        <v>7.7</v>
      </c>
      <c r="AD508" s="344">
        <f t="shared" si="58"/>
        <v>-0.93333333333332913</v>
      </c>
      <c r="AE508" s="344">
        <v>7</v>
      </c>
      <c r="AF508" s="344">
        <v>10</v>
      </c>
      <c r="AG508" s="346">
        <v>4</v>
      </c>
      <c r="AH508" s="346">
        <v>10</v>
      </c>
      <c r="AI508" s="346">
        <v>14</v>
      </c>
      <c r="AJ508" s="346">
        <v>9</v>
      </c>
      <c r="AK508" s="346">
        <v>8</v>
      </c>
      <c r="AL508" s="346">
        <v>9</v>
      </c>
      <c r="AM508" s="346">
        <v>7</v>
      </c>
      <c r="AN508" s="346">
        <v>12</v>
      </c>
      <c r="AO508" s="346">
        <v>12</v>
      </c>
      <c r="AP508" s="357">
        <v>1</v>
      </c>
      <c r="AQ508" s="357">
        <v>10</v>
      </c>
      <c r="AR508" s="357">
        <v>11</v>
      </c>
      <c r="AS508" s="357">
        <v>13</v>
      </c>
      <c r="AT508" s="357">
        <v>3</v>
      </c>
      <c r="AU508" s="357">
        <v>12</v>
      </c>
      <c r="AV508" s="357">
        <v>2</v>
      </c>
      <c r="AW508" s="357">
        <v>10</v>
      </c>
      <c r="AX508" s="357">
        <v>9</v>
      </c>
      <c r="AY508" s="357">
        <v>10</v>
      </c>
      <c r="AZ508" s="357">
        <v>10</v>
      </c>
      <c r="BA508" s="357">
        <v>8</v>
      </c>
      <c r="BB508" s="357">
        <v>10</v>
      </c>
      <c r="BC508" s="357">
        <v>8</v>
      </c>
    </row>
    <row r="509" spans="1:55" s="381" customFormat="1" ht="17.649999999999999" customHeight="1">
      <c r="A509" s="343">
        <v>77</v>
      </c>
      <c r="B509" s="211" t="s">
        <v>2156</v>
      </c>
      <c r="C509" s="211" t="s">
        <v>2055</v>
      </c>
      <c r="D509" s="211" t="s">
        <v>2125</v>
      </c>
      <c r="E509" s="344">
        <v>14</v>
      </c>
      <c r="F509" s="344">
        <v>11.9</v>
      </c>
      <c r="G509" s="356">
        <v>8.6333333333333293</v>
      </c>
      <c r="H509" s="344">
        <v>7.4666666666666703</v>
      </c>
      <c r="I509" s="344">
        <v>7.93333333333333</v>
      </c>
      <c r="J509" s="344">
        <v>8.4</v>
      </c>
      <c r="K509" s="344">
        <v>9.1</v>
      </c>
      <c r="L509" s="344">
        <f t="shared" si="57"/>
        <v>1.8511111111111103</v>
      </c>
      <c r="M509" s="344">
        <v>7.7</v>
      </c>
      <c r="N509" s="344">
        <v>8.6333333333333293</v>
      </c>
      <c r="O509" s="344">
        <v>8.6333333333333293</v>
      </c>
      <c r="P509" s="344">
        <v>8.8666666666666707</v>
      </c>
      <c r="Q509" s="344">
        <v>9.1</v>
      </c>
      <c r="R509" s="344">
        <v>10.733333333333301</v>
      </c>
      <c r="S509" s="344">
        <v>9.1</v>
      </c>
      <c r="T509" s="344">
        <v>8.8666666666666707</v>
      </c>
      <c r="U509" s="344">
        <v>9.56666666666667</v>
      </c>
      <c r="V509" s="344">
        <v>9.56666666666667</v>
      </c>
      <c r="W509" s="344">
        <v>6.7666666666666702</v>
      </c>
      <c r="X509" s="344">
        <v>5.8333333333333304</v>
      </c>
      <c r="Y509" s="344">
        <v>6.5333333333333297</v>
      </c>
      <c r="Z509" s="344">
        <v>5.1333333333333302</v>
      </c>
      <c r="AA509" s="344">
        <v>5.8333333333333304</v>
      </c>
      <c r="AB509" s="344">
        <v>6.5333333333333297</v>
      </c>
      <c r="AC509" s="344">
        <v>6.7666666666666702</v>
      </c>
      <c r="AD509" s="344">
        <f t="shared" si="58"/>
        <v>0.2333333333333405</v>
      </c>
      <c r="AE509" s="344">
        <v>2</v>
      </c>
      <c r="AF509" s="344">
        <v>9</v>
      </c>
      <c r="AG509" s="346">
        <v>2</v>
      </c>
      <c r="AH509" s="346">
        <v>1</v>
      </c>
      <c r="AI509" s="346">
        <v>2</v>
      </c>
      <c r="AJ509" s="346">
        <v>5</v>
      </c>
      <c r="AK509" s="346">
        <v>2</v>
      </c>
      <c r="AL509" s="346">
        <v>5</v>
      </c>
      <c r="AM509" s="346">
        <v>6</v>
      </c>
      <c r="AN509" s="346">
        <v>3</v>
      </c>
      <c r="AO509" s="346">
        <v>3</v>
      </c>
      <c r="AP509" s="346">
        <v>2</v>
      </c>
      <c r="AQ509" s="357">
        <v>2</v>
      </c>
      <c r="AR509" s="357">
        <v>14</v>
      </c>
      <c r="AS509" s="357">
        <v>12</v>
      </c>
      <c r="AT509" s="357">
        <v>2</v>
      </c>
      <c r="AU509" s="357">
        <v>2</v>
      </c>
      <c r="AV509" s="357">
        <v>2</v>
      </c>
      <c r="AW509" s="357">
        <v>10</v>
      </c>
      <c r="AX509" s="357">
        <v>9</v>
      </c>
      <c r="AY509" s="357">
        <v>8</v>
      </c>
      <c r="AZ509" s="357">
        <v>3</v>
      </c>
      <c r="BA509" s="357">
        <v>1</v>
      </c>
      <c r="BB509" s="357">
        <v>1</v>
      </c>
      <c r="BC509" s="357">
        <v>4</v>
      </c>
    </row>
    <row r="510" spans="1:55" s="381" customFormat="1" ht="17.649999999999999" customHeight="1">
      <c r="A510" s="343">
        <v>78</v>
      </c>
      <c r="B510" s="211" t="s">
        <v>2157</v>
      </c>
      <c r="C510" s="211" t="s">
        <v>2055</v>
      </c>
      <c r="D510" s="211" t="s">
        <v>2125</v>
      </c>
      <c r="E510" s="344">
        <v>173</v>
      </c>
      <c r="F510" s="344">
        <v>170.1</v>
      </c>
      <c r="G510" s="356">
        <v>143.03333333333299</v>
      </c>
      <c r="H510" s="344">
        <v>122.73333333333299</v>
      </c>
      <c r="I510" s="344">
        <v>98</v>
      </c>
      <c r="J510" s="344">
        <v>104.066666666667</v>
      </c>
      <c r="K510" s="344">
        <v>92.866666666666703</v>
      </c>
      <c r="L510" s="344">
        <f t="shared" si="57"/>
        <v>22.866666666666667</v>
      </c>
      <c r="M510" s="344">
        <v>86.566666666666706</v>
      </c>
      <c r="N510" s="344">
        <v>81.2</v>
      </c>
      <c r="O510" s="344">
        <v>83.533333333333303</v>
      </c>
      <c r="P510" s="344">
        <v>90.3</v>
      </c>
      <c r="Q510" s="344">
        <v>92.1666666666667</v>
      </c>
      <c r="R510" s="344">
        <v>95.433333333333294</v>
      </c>
      <c r="S510" s="344">
        <v>90.3</v>
      </c>
      <c r="T510" s="344">
        <v>94.266666666666694</v>
      </c>
      <c r="U510" s="344">
        <v>94.033333333333303</v>
      </c>
      <c r="V510" s="344">
        <v>94.5</v>
      </c>
      <c r="W510" s="344">
        <v>100.1</v>
      </c>
      <c r="X510" s="344">
        <v>106.166666666667</v>
      </c>
      <c r="Y510" s="344">
        <v>102.2</v>
      </c>
      <c r="Z510" s="344">
        <v>97.533333333333303</v>
      </c>
      <c r="AA510" s="344">
        <v>100.8</v>
      </c>
      <c r="AB510" s="344">
        <v>97.3</v>
      </c>
      <c r="AC510" s="344">
        <v>99.866666666666703</v>
      </c>
      <c r="AD510" s="344">
        <f t="shared" si="58"/>
        <v>2.5666666666667055</v>
      </c>
      <c r="AE510" s="344">
        <v>7</v>
      </c>
      <c r="AF510" s="344">
        <v>16</v>
      </c>
      <c r="AG510" s="346">
        <v>7</v>
      </c>
      <c r="AH510" s="346">
        <v>51</v>
      </c>
      <c r="AI510" s="346">
        <v>9</v>
      </c>
      <c r="AJ510" s="346">
        <v>40</v>
      </c>
      <c r="AK510" s="346">
        <v>12</v>
      </c>
      <c r="AL510" s="346">
        <v>40</v>
      </c>
      <c r="AM510" s="346">
        <v>20</v>
      </c>
      <c r="AN510" s="346">
        <v>15</v>
      </c>
      <c r="AO510" s="346">
        <v>15</v>
      </c>
      <c r="AP510" s="211">
        <v>51</v>
      </c>
      <c r="AQ510" s="357">
        <v>43</v>
      </c>
      <c r="AR510" s="211">
        <v>51</v>
      </c>
      <c r="AS510" s="357">
        <v>19</v>
      </c>
      <c r="AT510" s="357">
        <v>49</v>
      </c>
      <c r="AU510" s="211">
        <v>51</v>
      </c>
      <c r="AV510" s="357">
        <v>3</v>
      </c>
      <c r="AW510" s="211">
        <v>51</v>
      </c>
      <c r="AX510" s="211">
        <v>51</v>
      </c>
      <c r="AY510" s="357">
        <v>35</v>
      </c>
      <c r="AZ510" s="357">
        <v>15</v>
      </c>
      <c r="BA510" s="357">
        <v>8</v>
      </c>
      <c r="BB510" s="357">
        <v>15</v>
      </c>
      <c r="BC510" s="357">
        <v>14</v>
      </c>
    </row>
    <row r="511" spans="1:55" s="381" customFormat="1" ht="17.649999999999999" customHeight="1">
      <c r="A511" s="343">
        <v>79</v>
      </c>
      <c r="B511" s="211" t="s">
        <v>2158</v>
      </c>
      <c r="C511" s="211" t="s">
        <v>2055</v>
      </c>
      <c r="D511" s="211" t="s">
        <v>2125</v>
      </c>
      <c r="E511" s="344">
        <v>39</v>
      </c>
      <c r="F511" s="344">
        <v>32.200000000000003</v>
      </c>
      <c r="G511" s="356">
        <v>26.6</v>
      </c>
      <c r="H511" s="344">
        <v>23.8</v>
      </c>
      <c r="I511" s="344">
        <v>19.8333333333333</v>
      </c>
      <c r="J511" s="344">
        <v>18.899999999999999</v>
      </c>
      <c r="K511" s="344">
        <v>19.600000000000001</v>
      </c>
      <c r="L511" s="344">
        <f t="shared" si="57"/>
        <v>4.6277777777777702</v>
      </c>
      <c r="M511" s="344">
        <v>31.033333333333299</v>
      </c>
      <c r="N511" s="344">
        <v>40.366666666666703</v>
      </c>
      <c r="O511" s="344">
        <v>52.966666666666697</v>
      </c>
      <c r="P511" s="344">
        <v>56</v>
      </c>
      <c r="Q511" s="344">
        <v>54.8333333333333</v>
      </c>
      <c r="R511" s="344">
        <v>56.233333333333299</v>
      </c>
      <c r="S511" s="344">
        <v>49</v>
      </c>
      <c r="T511" s="344">
        <v>50.633333333333297</v>
      </c>
      <c r="U511" s="344">
        <v>54.6</v>
      </c>
      <c r="V511" s="344">
        <v>54.8333333333333</v>
      </c>
      <c r="W511" s="344">
        <v>51.8</v>
      </c>
      <c r="X511" s="344">
        <v>51.3333333333333</v>
      </c>
      <c r="Y511" s="344">
        <v>47.366666666666703</v>
      </c>
      <c r="Z511" s="344">
        <v>44.566666666666698</v>
      </c>
      <c r="AA511" s="344">
        <v>37.566666666666698</v>
      </c>
      <c r="AB511" s="344">
        <v>36.1666666666667</v>
      </c>
      <c r="AC511" s="344">
        <v>36.4</v>
      </c>
      <c r="AD511" s="344">
        <f t="shared" si="58"/>
        <v>0.23333333333329875</v>
      </c>
      <c r="AE511" s="344">
        <v>1</v>
      </c>
      <c r="AF511" s="344">
        <v>1</v>
      </c>
      <c r="AG511" s="346">
        <v>1</v>
      </c>
      <c r="AH511" s="346">
        <v>5</v>
      </c>
      <c r="AI511" s="346">
        <v>2</v>
      </c>
      <c r="AJ511" s="346">
        <v>2</v>
      </c>
      <c r="AK511" s="346">
        <v>2</v>
      </c>
      <c r="AL511" s="346">
        <v>2</v>
      </c>
      <c r="AM511" s="346">
        <v>2</v>
      </c>
      <c r="AN511" s="346">
        <v>2</v>
      </c>
      <c r="AO511" s="346">
        <v>2</v>
      </c>
      <c r="AP511" s="346">
        <v>2</v>
      </c>
      <c r="AQ511" s="357">
        <v>11</v>
      </c>
      <c r="AR511" s="357">
        <v>1</v>
      </c>
      <c r="AS511" s="357">
        <v>14</v>
      </c>
      <c r="AT511" s="357">
        <v>13</v>
      </c>
      <c r="AU511" s="357">
        <v>19</v>
      </c>
      <c r="AV511" s="357">
        <v>14</v>
      </c>
      <c r="AW511" s="357">
        <v>13</v>
      </c>
      <c r="AX511" s="357">
        <v>12</v>
      </c>
      <c r="AY511" s="357">
        <v>13</v>
      </c>
      <c r="AZ511" s="357">
        <v>8</v>
      </c>
      <c r="BA511" s="357">
        <v>9</v>
      </c>
      <c r="BB511" s="357">
        <v>9</v>
      </c>
      <c r="BC511" s="357">
        <v>5</v>
      </c>
    </row>
    <row r="512" spans="1:55" s="381" customFormat="1" ht="17.649999999999999" customHeight="1">
      <c r="A512" s="343">
        <v>80</v>
      </c>
      <c r="B512" s="211" t="s">
        <v>2159</v>
      </c>
      <c r="C512" s="211" t="s">
        <v>2055</v>
      </c>
      <c r="D512" s="211" t="s">
        <v>2125</v>
      </c>
      <c r="E512" s="344">
        <v>62</v>
      </c>
      <c r="F512" s="344">
        <v>67.2</v>
      </c>
      <c r="G512" s="356">
        <v>74.900000000000006</v>
      </c>
      <c r="H512" s="344">
        <v>77.933333333333294</v>
      </c>
      <c r="I512" s="344">
        <v>72.099999999999994</v>
      </c>
      <c r="J512" s="344">
        <v>53.6666666666667</v>
      </c>
      <c r="K512" s="344">
        <v>45.266666666666701</v>
      </c>
      <c r="L512" s="344">
        <f t="shared" si="57"/>
        <v>16.823333333333334</v>
      </c>
      <c r="M512" s="344">
        <v>28.466666666666701</v>
      </c>
      <c r="N512" s="344">
        <v>35.933333333333302</v>
      </c>
      <c r="O512" s="344">
        <v>45.266666666666701</v>
      </c>
      <c r="P512" s="344">
        <v>59.266666666666701</v>
      </c>
      <c r="Q512" s="344">
        <v>61.133333333333297</v>
      </c>
      <c r="R512" s="344">
        <v>54.6</v>
      </c>
      <c r="S512" s="344">
        <v>39.9</v>
      </c>
      <c r="T512" s="344">
        <v>28.7</v>
      </c>
      <c r="U512" s="344">
        <v>25.6666666666667</v>
      </c>
      <c r="V512" s="344">
        <v>23.1</v>
      </c>
      <c r="W512" s="344">
        <v>19.8333333333333</v>
      </c>
      <c r="X512" s="344">
        <v>20.766666666666701</v>
      </c>
      <c r="Y512" s="344">
        <v>14</v>
      </c>
      <c r="Z512" s="344">
        <v>15.1666666666667</v>
      </c>
      <c r="AA512" s="344">
        <v>13.533333333333299</v>
      </c>
      <c r="AB512" s="344">
        <v>14</v>
      </c>
      <c r="AC512" s="344">
        <v>12.133333333333301</v>
      </c>
      <c r="AD512" s="344">
        <f t="shared" si="58"/>
        <v>-1.8666666666666991</v>
      </c>
      <c r="AE512" s="344">
        <v>8</v>
      </c>
      <c r="AF512" s="344">
        <v>6</v>
      </c>
      <c r="AG512" s="346">
        <v>9</v>
      </c>
      <c r="AH512" s="346">
        <v>4</v>
      </c>
      <c r="AI512" s="346">
        <v>8</v>
      </c>
      <c r="AJ512" s="346">
        <v>4</v>
      </c>
      <c r="AK512" s="346">
        <v>5</v>
      </c>
      <c r="AL512" s="346">
        <v>4</v>
      </c>
      <c r="AM512" s="346">
        <v>3</v>
      </c>
      <c r="AN512" s="346">
        <v>2</v>
      </c>
      <c r="AO512" s="346">
        <v>2</v>
      </c>
      <c r="AP512" s="346">
        <v>1</v>
      </c>
      <c r="AQ512" s="357">
        <v>2</v>
      </c>
      <c r="AR512" s="357">
        <v>1</v>
      </c>
      <c r="AS512" s="357">
        <v>2</v>
      </c>
      <c r="AT512" s="357">
        <v>6</v>
      </c>
      <c r="AU512" s="357">
        <v>8</v>
      </c>
      <c r="AV512" s="357">
        <v>8</v>
      </c>
      <c r="AW512" s="357">
        <v>8</v>
      </c>
      <c r="AX512" s="357">
        <v>6</v>
      </c>
      <c r="AY512" s="357">
        <v>3</v>
      </c>
      <c r="AZ512" s="357">
        <v>3</v>
      </c>
      <c r="BA512" s="357">
        <v>4</v>
      </c>
      <c r="BB512" s="357">
        <v>3</v>
      </c>
      <c r="BC512" s="357">
        <v>5</v>
      </c>
    </row>
    <row r="513" spans="1:55" s="381" customFormat="1" ht="17.649999999999999" customHeight="1">
      <c r="A513" s="343">
        <v>81</v>
      </c>
      <c r="B513" s="211" t="s">
        <v>2160</v>
      </c>
      <c r="C513" s="211" t="s">
        <v>2055</v>
      </c>
      <c r="D513" s="211" t="s">
        <v>2125</v>
      </c>
      <c r="E513" s="344">
        <v>6</v>
      </c>
      <c r="F513" s="344">
        <v>6.7666666666666702</v>
      </c>
      <c r="G513" s="356">
        <v>5.6</v>
      </c>
      <c r="H513" s="344">
        <v>4.6666666666666696</v>
      </c>
      <c r="I513" s="344">
        <v>3.0333333333333301</v>
      </c>
      <c r="J513" s="344">
        <v>2.56666666666667</v>
      </c>
      <c r="K513" s="344">
        <v>1.86666666666667</v>
      </c>
      <c r="L513" s="344">
        <f t="shared" si="57"/>
        <v>0.70777777777777695</v>
      </c>
      <c r="M513" s="344">
        <v>7.93333333333333</v>
      </c>
      <c r="N513" s="344">
        <v>9.8000000000000007</v>
      </c>
      <c r="O513" s="344">
        <v>10.266666666666699</v>
      </c>
      <c r="P513" s="344">
        <v>8.6333333333333293</v>
      </c>
      <c r="Q513" s="344">
        <v>6.7666666666666702</v>
      </c>
      <c r="R513" s="344">
        <v>7</v>
      </c>
      <c r="S513" s="344">
        <v>7.7</v>
      </c>
      <c r="T513" s="344">
        <v>10.733333333333301</v>
      </c>
      <c r="U513" s="344">
        <v>14</v>
      </c>
      <c r="V513" s="344">
        <v>14.233333333333301</v>
      </c>
      <c r="W513" s="344">
        <v>15.1666666666667</v>
      </c>
      <c r="X513" s="344">
        <v>11.9</v>
      </c>
      <c r="Y513" s="344">
        <v>14</v>
      </c>
      <c r="Z513" s="344">
        <v>9.8000000000000007</v>
      </c>
      <c r="AA513" s="344">
        <v>10.966666666666701</v>
      </c>
      <c r="AB513" s="344">
        <v>9.8000000000000007</v>
      </c>
      <c r="AC513" s="344">
        <v>8.8666666666666707</v>
      </c>
      <c r="AD513" s="344">
        <f t="shared" si="58"/>
        <v>-0.93333333333333002</v>
      </c>
      <c r="AE513" s="344">
        <v>2</v>
      </c>
      <c r="AF513" s="344">
        <v>3</v>
      </c>
      <c r="AG513" s="346">
        <v>12</v>
      </c>
      <c r="AH513" s="346">
        <v>6</v>
      </c>
      <c r="AI513" s="346">
        <v>10</v>
      </c>
      <c r="AJ513" s="346">
        <v>1</v>
      </c>
      <c r="AK513" s="346">
        <v>1</v>
      </c>
      <c r="AL513" s="346">
        <v>1</v>
      </c>
      <c r="AM513" s="346">
        <v>10</v>
      </c>
      <c r="AN513" s="346">
        <v>1</v>
      </c>
      <c r="AO513" s="346">
        <v>1</v>
      </c>
      <c r="AP513" s="346">
        <v>1</v>
      </c>
      <c r="AQ513" s="357">
        <v>1</v>
      </c>
      <c r="AR513" s="357">
        <v>1</v>
      </c>
      <c r="AS513" s="357">
        <v>1</v>
      </c>
      <c r="AT513" s="357">
        <v>8</v>
      </c>
      <c r="AU513" s="357">
        <v>1</v>
      </c>
      <c r="AV513" s="357">
        <v>1</v>
      </c>
      <c r="AW513" s="357">
        <v>9</v>
      </c>
      <c r="AX513" s="357">
        <v>1</v>
      </c>
      <c r="AY513" s="357">
        <v>2</v>
      </c>
      <c r="AZ513" s="357">
        <v>1</v>
      </c>
      <c r="BA513" s="357">
        <v>5</v>
      </c>
      <c r="BB513" s="357">
        <v>1</v>
      </c>
      <c r="BC513" s="357">
        <v>1</v>
      </c>
    </row>
    <row r="514" spans="1:55" s="381" customFormat="1" ht="17.649999999999999" customHeight="1">
      <c r="A514" s="343">
        <v>82</v>
      </c>
      <c r="B514" s="211" t="s">
        <v>2161</v>
      </c>
      <c r="C514" s="211" t="s">
        <v>2055</v>
      </c>
      <c r="D514" s="211" t="s">
        <v>2125</v>
      </c>
      <c r="E514" s="344">
        <v>1</v>
      </c>
      <c r="F514" s="344">
        <v>1.86666666666667</v>
      </c>
      <c r="G514" s="356">
        <v>1.4</v>
      </c>
      <c r="H514" s="344">
        <v>0.233333333333333</v>
      </c>
      <c r="I514" s="344">
        <v>0.233333333333333</v>
      </c>
      <c r="J514" s="344">
        <v>0.233333333333333</v>
      </c>
      <c r="K514" s="344">
        <v>0.233333333333333</v>
      </c>
      <c r="L514" s="344">
        <f t="shared" si="57"/>
        <v>5.4444444444444372E-2</v>
      </c>
      <c r="M514" s="344">
        <v>3.2666666666666702</v>
      </c>
      <c r="N514" s="344">
        <v>5.8333333333333304</v>
      </c>
      <c r="O514" s="344">
        <v>6.3</v>
      </c>
      <c r="P514" s="344">
        <v>5.1333333333333302</v>
      </c>
      <c r="Q514" s="344">
        <v>8.8666666666666707</v>
      </c>
      <c r="R514" s="344">
        <v>9.1</v>
      </c>
      <c r="S514" s="344">
        <v>9.1</v>
      </c>
      <c r="T514" s="344">
        <v>12.366666666666699</v>
      </c>
      <c r="U514" s="344">
        <v>11.9</v>
      </c>
      <c r="V514" s="344">
        <v>10.733333333333301</v>
      </c>
      <c r="W514" s="344">
        <v>9.1</v>
      </c>
      <c r="X514" s="344">
        <v>6.5333333333333297</v>
      </c>
      <c r="Y514" s="344">
        <v>6.3</v>
      </c>
      <c r="Z514" s="344">
        <v>4.2</v>
      </c>
      <c r="AA514" s="344">
        <v>4.2</v>
      </c>
      <c r="AB514" s="344">
        <v>3.2666666666666702</v>
      </c>
      <c r="AC514" s="344">
        <v>3.2666666666666702</v>
      </c>
      <c r="AD514" s="344">
        <f t="shared" si="58"/>
        <v>0</v>
      </c>
      <c r="AE514" s="344">
        <v>2</v>
      </c>
      <c r="AF514" s="344">
        <v>2</v>
      </c>
      <c r="AG514" s="346">
        <v>3</v>
      </c>
      <c r="AH514" s="346">
        <v>7</v>
      </c>
      <c r="AI514" s="346">
        <v>7</v>
      </c>
      <c r="AJ514" s="346">
        <v>4</v>
      </c>
      <c r="AK514" s="346">
        <v>3</v>
      </c>
      <c r="AL514" s="346">
        <v>4</v>
      </c>
      <c r="AM514" s="346">
        <v>3</v>
      </c>
      <c r="AN514" s="346">
        <v>2</v>
      </c>
      <c r="AO514" s="346">
        <v>2</v>
      </c>
      <c r="AP514" s="346">
        <v>2</v>
      </c>
      <c r="AQ514" s="357">
        <v>2</v>
      </c>
      <c r="AR514" s="357">
        <v>2</v>
      </c>
      <c r="AS514" s="357">
        <v>2</v>
      </c>
      <c r="AT514" s="357">
        <v>10</v>
      </c>
      <c r="AU514" s="357">
        <v>2</v>
      </c>
      <c r="AV514" s="357">
        <v>2</v>
      </c>
      <c r="AW514" s="357">
        <v>9</v>
      </c>
      <c r="AX514" s="357">
        <v>10</v>
      </c>
      <c r="AY514" s="357">
        <v>8</v>
      </c>
      <c r="AZ514" s="357">
        <v>1</v>
      </c>
      <c r="BA514" s="357">
        <v>9</v>
      </c>
      <c r="BB514" s="357">
        <v>2</v>
      </c>
      <c r="BC514" s="357">
        <v>3</v>
      </c>
    </row>
    <row r="515" spans="1:55" s="381" customFormat="1" ht="17.649999999999999" customHeight="1">
      <c r="A515" s="343">
        <v>83</v>
      </c>
      <c r="B515" s="211" t="s">
        <v>2162</v>
      </c>
      <c r="C515" s="211" t="s">
        <v>2055</v>
      </c>
      <c r="D515" s="211" t="s">
        <v>2125</v>
      </c>
      <c r="E515" s="344">
        <v>0</v>
      </c>
      <c r="F515" s="344">
        <v>1.1666666666666701</v>
      </c>
      <c r="G515" s="356">
        <v>1.4</v>
      </c>
      <c r="H515" s="344">
        <v>1.4</v>
      </c>
      <c r="I515" s="344">
        <v>1.86666666666667</v>
      </c>
      <c r="J515" s="344">
        <v>1.86666666666667</v>
      </c>
      <c r="K515" s="344">
        <v>1.1666666666666701</v>
      </c>
      <c r="L515" s="344">
        <f t="shared" si="57"/>
        <v>0.43555555555555631</v>
      </c>
      <c r="M515" s="344">
        <v>2.1</v>
      </c>
      <c r="N515" s="344">
        <v>2.56666666666667</v>
      </c>
      <c r="O515" s="344">
        <v>2.56666666666667</v>
      </c>
      <c r="P515" s="344">
        <v>2.56666666666667</v>
      </c>
      <c r="Q515" s="344">
        <v>1.1666666666666701</v>
      </c>
      <c r="R515" s="344">
        <v>1.4</v>
      </c>
      <c r="S515" s="344">
        <v>2.56666666666667</v>
      </c>
      <c r="T515" s="344">
        <v>2.3333333333333299</v>
      </c>
      <c r="U515" s="344">
        <v>5.6</v>
      </c>
      <c r="V515" s="344">
        <v>5.1333333333333302</v>
      </c>
      <c r="W515" s="344">
        <v>4.2</v>
      </c>
      <c r="X515" s="344">
        <v>5.1333333333333302</v>
      </c>
      <c r="Y515" s="344">
        <v>5.1333333333333302</v>
      </c>
      <c r="Z515" s="344">
        <v>6.3</v>
      </c>
      <c r="AA515" s="344">
        <v>7</v>
      </c>
      <c r="AB515" s="344">
        <v>6.5333333333333297</v>
      </c>
      <c r="AC515" s="344">
        <v>6.7666666666666702</v>
      </c>
      <c r="AD515" s="344">
        <f t="shared" si="58"/>
        <v>0.2333333333333405</v>
      </c>
      <c r="AE515" s="344">
        <v>1</v>
      </c>
      <c r="AF515" s="344">
        <v>3</v>
      </c>
      <c r="AG515" s="346">
        <v>4</v>
      </c>
      <c r="AH515" s="346">
        <v>18</v>
      </c>
      <c r="AI515" s="346">
        <v>12</v>
      </c>
      <c r="AJ515" s="346">
        <v>12</v>
      </c>
      <c r="AK515" s="346">
        <v>2</v>
      </c>
      <c r="AL515" s="346">
        <v>12</v>
      </c>
      <c r="AM515" s="346">
        <v>19</v>
      </c>
      <c r="AN515" s="346">
        <v>4</v>
      </c>
      <c r="AO515" s="346">
        <v>4</v>
      </c>
      <c r="AP515" s="357">
        <v>2</v>
      </c>
      <c r="AQ515" s="357">
        <v>4</v>
      </c>
      <c r="AR515" s="357">
        <v>4</v>
      </c>
      <c r="AS515" s="357">
        <v>22</v>
      </c>
      <c r="AT515" s="357">
        <v>11</v>
      </c>
      <c r="AU515" s="357">
        <v>1</v>
      </c>
      <c r="AV515" s="357">
        <v>1</v>
      </c>
      <c r="AW515" s="357">
        <v>6</v>
      </c>
      <c r="AX515" s="357">
        <v>1</v>
      </c>
      <c r="AY515" s="357">
        <v>1</v>
      </c>
      <c r="AZ515" s="357">
        <v>7</v>
      </c>
      <c r="BA515" s="357">
        <v>6</v>
      </c>
      <c r="BB515" s="357">
        <v>1</v>
      </c>
      <c r="BC515" s="357">
        <v>1</v>
      </c>
    </row>
    <row r="516" spans="1:55" s="381" customFormat="1" ht="17.649999999999999" customHeight="1">
      <c r="A516" s="343">
        <v>84</v>
      </c>
      <c r="B516" s="211" t="s">
        <v>2163</v>
      </c>
      <c r="C516" s="211" t="s">
        <v>2055</v>
      </c>
      <c r="D516" s="211" t="s">
        <v>2125</v>
      </c>
      <c r="E516" s="344">
        <v>0</v>
      </c>
      <c r="F516" s="344">
        <v>0.233333333333333</v>
      </c>
      <c r="G516" s="356">
        <v>1.4</v>
      </c>
      <c r="H516" s="344">
        <v>1.4</v>
      </c>
      <c r="I516" s="344">
        <v>3.5</v>
      </c>
      <c r="J516" s="344">
        <v>3.5</v>
      </c>
      <c r="K516" s="344">
        <v>2.3333333333333299</v>
      </c>
      <c r="L516" s="344">
        <f t="shared" si="57"/>
        <v>0.81666666666666665</v>
      </c>
      <c r="M516" s="344">
        <v>3.9666666666666699</v>
      </c>
      <c r="N516" s="344">
        <v>5.3666666666666698</v>
      </c>
      <c r="O516" s="344">
        <v>6.3</v>
      </c>
      <c r="P516" s="344">
        <v>6.3</v>
      </c>
      <c r="Q516" s="344">
        <v>5.8333333333333304</v>
      </c>
      <c r="R516" s="344">
        <v>5.3666666666666698</v>
      </c>
      <c r="S516" s="344">
        <v>4.6666666666666696</v>
      </c>
      <c r="T516" s="344">
        <v>3.5</v>
      </c>
      <c r="U516" s="344">
        <v>5.3666666666666698</v>
      </c>
      <c r="V516" s="344">
        <v>7</v>
      </c>
      <c r="W516" s="344">
        <v>7.4666666666666703</v>
      </c>
      <c r="X516" s="344">
        <v>7.7</v>
      </c>
      <c r="Y516" s="344">
        <v>8.6333333333333293</v>
      </c>
      <c r="Z516" s="344">
        <v>4.2</v>
      </c>
      <c r="AA516" s="344">
        <v>3.9666666666666699</v>
      </c>
      <c r="AB516" s="344">
        <v>3.9666666666666699</v>
      </c>
      <c r="AC516" s="344">
        <v>3.9666666666666699</v>
      </c>
      <c r="AD516" s="344">
        <f t="shared" si="58"/>
        <v>0</v>
      </c>
      <c r="AE516" s="344">
        <v>8</v>
      </c>
      <c r="AF516" s="344">
        <v>33</v>
      </c>
      <c r="AG516" s="346">
        <v>11</v>
      </c>
      <c r="AH516" s="346">
        <v>10</v>
      </c>
      <c r="AI516" s="346">
        <v>3</v>
      </c>
      <c r="AJ516" s="346">
        <v>2</v>
      </c>
      <c r="AK516" s="346">
        <v>10</v>
      </c>
      <c r="AL516" s="346">
        <v>2</v>
      </c>
      <c r="AM516" s="346">
        <v>20</v>
      </c>
      <c r="AN516" s="346">
        <v>10</v>
      </c>
      <c r="AO516" s="346">
        <v>10</v>
      </c>
      <c r="AP516" s="346">
        <v>1</v>
      </c>
      <c r="AQ516" s="357">
        <v>9</v>
      </c>
      <c r="AR516" s="357">
        <v>6</v>
      </c>
      <c r="AS516" s="357">
        <v>8</v>
      </c>
      <c r="AT516" s="357">
        <v>10</v>
      </c>
      <c r="AU516" s="357">
        <v>10</v>
      </c>
      <c r="AV516" s="357">
        <v>8</v>
      </c>
      <c r="AW516" s="357">
        <v>9</v>
      </c>
      <c r="AX516" s="357">
        <v>4</v>
      </c>
      <c r="AY516" s="357">
        <v>8</v>
      </c>
      <c r="AZ516" s="357">
        <v>8</v>
      </c>
      <c r="BA516" s="357">
        <v>7</v>
      </c>
      <c r="BB516" s="357">
        <v>10</v>
      </c>
      <c r="BC516" s="357">
        <v>9</v>
      </c>
    </row>
    <row r="517" spans="1:55" s="381" customFormat="1" ht="17.649999999999999" customHeight="1">
      <c r="A517" s="343">
        <v>85</v>
      </c>
      <c r="B517" s="211" t="s">
        <v>2164</v>
      </c>
      <c r="C517" s="211" t="s">
        <v>2055</v>
      </c>
      <c r="D517" s="211" t="s">
        <v>2125</v>
      </c>
      <c r="E517" s="344">
        <v>3</v>
      </c>
      <c r="F517" s="344">
        <v>2.1</v>
      </c>
      <c r="G517" s="356">
        <v>2.56666666666667</v>
      </c>
      <c r="H517" s="344">
        <v>2.1</v>
      </c>
      <c r="I517" s="344">
        <v>3.0333333333333301</v>
      </c>
      <c r="J517" s="344">
        <v>2.56666666666667</v>
      </c>
      <c r="K517" s="344">
        <v>3.2666666666666702</v>
      </c>
      <c r="L517" s="344">
        <f t="shared" si="57"/>
        <v>0.70777777777777695</v>
      </c>
      <c r="M517" s="344">
        <v>5.8333333333333304</v>
      </c>
      <c r="N517" s="344">
        <v>8.6333333333333293</v>
      </c>
      <c r="O517" s="344">
        <v>9.8000000000000007</v>
      </c>
      <c r="P517" s="344">
        <v>7.7</v>
      </c>
      <c r="Q517" s="344">
        <v>9.1</v>
      </c>
      <c r="R517" s="344">
        <v>7.93333333333333</v>
      </c>
      <c r="S517" s="344">
        <v>7.93333333333333</v>
      </c>
      <c r="T517" s="344">
        <v>8.8666666666666707</v>
      </c>
      <c r="U517" s="344">
        <v>6.3</v>
      </c>
      <c r="V517" s="344">
        <v>7.4666666666666703</v>
      </c>
      <c r="W517" s="344">
        <v>7.7</v>
      </c>
      <c r="X517" s="344">
        <v>8.8666666666666707</v>
      </c>
      <c r="Y517" s="344">
        <v>7.93333333333333</v>
      </c>
      <c r="Z517" s="344">
        <v>6.7666666666666702</v>
      </c>
      <c r="AA517" s="344">
        <v>5.8333333333333304</v>
      </c>
      <c r="AB517" s="344">
        <v>5.8333333333333304</v>
      </c>
      <c r="AC517" s="344">
        <v>5.6</v>
      </c>
      <c r="AD517" s="344">
        <f t="shared" si="58"/>
        <v>-0.23333333333333073</v>
      </c>
      <c r="AE517" s="344">
        <v>1</v>
      </c>
      <c r="AF517" s="344">
        <v>3</v>
      </c>
      <c r="AG517" s="346">
        <v>1</v>
      </c>
      <c r="AH517" s="346">
        <v>12</v>
      </c>
      <c r="AI517" s="346">
        <v>10</v>
      </c>
      <c r="AJ517" s="346">
        <v>10</v>
      </c>
      <c r="AK517" s="346">
        <v>1</v>
      </c>
      <c r="AL517" s="346">
        <v>10</v>
      </c>
      <c r="AM517" s="346">
        <v>1</v>
      </c>
      <c r="AN517" s="346">
        <v>1</v>
      </c>
      <c r="AO517" s="346">
        <v>1</v>
      </c>
      <c r="AP517" s="346">
        <v>1</v>
      </c>
      <c r="AQ517" s="357">
        <v>1</v>
      </c>
      <c r="AR517" s="357">
        <v>1</v>
      </c>
      <c r="AS517" s="357">
        <v>1</v>
      </c>
      <c r="AT517" s="357">
        <v>1</v>
      </c>
      <c r="AU517" s="357">
        <v>1</v>
      </c>
      <c r="AV517" s="357">
        <v>1</v>
      </c>
      <c r="AW517" s="357">
        <v>1</v>
      </c>
      <c r="AX517" s="357">
        <v>1</v>
      </c>
      <c r="AY517" s="357">
        <v>1</v>
      </c>
      <c r="AZ517" s="357">
        <v>3</v>
      </c>
      <c r="BA517" s="357">
        <v>1</v>
      </c>
      <c r="BB517" s="357">
        <v>1</v>
      </c>
      <c r="BC517" s="357">
        <v>1</v>
      </c>
    </row>
    <row r="518" spans="1:55" s="381" customFormat="1" ht="17.649999999999999" customHeight="1">
      <c r="A518" s="343">
        <v>86</v>
      </c>
      <c r="B518" s="211" t="s">
        <v>2165</v>
      </c>
      <c r="C518" s="211" t="s">
        <v>2055</v>
      </c>
      <c r="D518" s="211" t="s">
        <v>2125</v>
      </c>
      <c r="E518" s="344">
        <v>25</v>
      </c>
      <c r="F518" s="344">
        <v>18.6666666666667</v>
      </c>
      <c r="G518" s="356">
        <v>14</v>
      </c>
      <c r="H518" s="344">
        <v>12.8333333333333</v>
      </c>
      <c r="I518" s="344">
        <v>10.966666666666701</v>
      </c>
      <c r="J518" s="344">
        <v>10.033333333333299</v>
      </c>
      <c r="K518" s="344">
        <v>7.93333333333333</v>
      </c>
      <c r="L518" s="344">
        <f t="shared" si="57"/>
        <v>2.5588888888888968</v>
      </c>
      <c r="M518" s="344">
        <v>10.266666666666699</v>
      </c>
      <c r="N518" s="344">
        <v>8.8666666666666707</v>
      </c>
      <c r="O518" s="344">
        <v>10.966666666666701</v>
      </c>
      <c r="P518" s="344">
        <v>10.966666666666701</v>
      </c>
      <c r="Q518" s="344">
        <v>8.6333333333333293</v>
      </c>
      <c r="R518" s="344">
        <v>10.033333333333299</v>
      </c>
      <c r="S518" s="344">
        <v>10.033333333333299</v>
      </c>
      <c r="T518" s="344">
        <v>6.5333333333333297</v>
      </c>
      <c r="U518" s="344">
        <v>6.5333333333333297</v>
      </c>
      <c r="V518" s="344">
        <v>4.6666666666666696</v>
      </c>
      <c r="W518" s="344">
        <v>4.43333333333333</v>
      </c>
      <c r="X518" s="344">
        <v>7</v>
      </c>
      <c r="Y518" s="344">
        <v>6.5333333333333297</v>
      </c>
      <c r="Z518" s="344">
        <v>10.966666666666701</v>
      </c>
      <c r="AA518" s="344">
        <v>9.56666666666667</v>
      </c>
      <c r="AB518" s="344">
        <v>6.7666666666666702</v>
      </c>
      <c r="AC518" s="344">
        <v>7.93333333333333</v>
      </c>
      <c r="AD518" s="344">
        <f t="shared" si="58"/>
        <v>1.1666666666666599</v>
      </c>
      <c r="AE518" s="344">
        <v>4</v>
      </c>
      <c r="AF518" s="344">
        <v>2</v>
      </c>
      <c r="AG518" s="346">
        <v>4</v>
      </c>
      <c r="AH518" s="346">
        <v>4</v>
      </c>
      <c r="AI518" s="346">
        <v>1</v>
      </c>
      <c r="AJ518" s="346">
        <v>3</v>
      </c>
      <c r="AK518" s="346">
        <v>4</v>
      </c>
      <c r="AL518" s="346">
        <v>3</v>
      </c>
      <c r="AM518" s="346">
        <v>3</v>
      </c>
      <c r="AN518" s="346">
        <v>3</v>
      </c>
      <c r="AO518" s="346">
        <v>3</v>
      </c>
      <c r="AP518" s="346">
        <v>4</v>
      </c>
      <c r="AQ518" s="357">
        <v>1</v>
      </c>
      <c r="AR518" s="357">
        <v>4</v>
      </c>
      <c r="AS518" s="357">
        <v>4</v>
      </c>
      <c r="AT518" s="357">
        <v>4</v>
      </c>
      <c r="AU518" s="357">
        <v>3</v>
      </c>
      <c r="AV518" s="357">
        <v>6</v>
      </c>
      <c r="AW518" s="357">
        <v>4</v>
      </c>
      <c r="AX518" s="357">
        <v>4</v>
      </c>
      <c r="AY518" s="357">
        <v>4</v>
      </c>
      <c r="AZ518" s="357">
        <v>5</v>
      </c>
      <c r="BA518" s="357">
        <v>5</v>
      </c>
      <c r="BB518" s="357">
        <v>5</v>
      </c>
      <c r="BC518" s="357">
        <v>7</v>
      </c>
    </row>
    <row r="519" spans="1:55" s="381" customFormat="1" ht="17.649999999999999" customHeight="1">
      <c r="A519" s="343">
        <v>87</v>
      </c>
      <c r="B519" s="211" t="s">
        <v>2166</v>
      </c>
      <c r="C519" s="211" t="s">
        <v>2055</v>
      </c>
      <c r="D519" s="211" t="s">
        <v>2125</v>
      </c>
      <c r="E519" s="344">
        <v>2</v>
      </c>
      <c r="F519" s="344">
        <v>2.1</v>
      </c>
      <c r="G519" s="356">
        <v>2.3333333333333299</v>
      </c>
      <c r="H519" s="344">
        <v>2.56666666666667</v>
      </c>
      <c r="I519" s="344">
        <v>2.56666666666667</v>
      </c>
      <c r="J519" s="344">
        <v>2.1</v>
      </c>
      <c r="K519" s="344">
        <v>1.1666666666666701</v>
      </c>
      <c r="L519" s="344">
        <f t="shared" si="57"/>
        <v>0.59888888888888969</v>
      </c>
      <c r="M519" s="344">
        <v>2.56666666666667</v>
      </c>
      <c r="N519" s="344">
        <v>6.5333333333333297</v>
      </c>
      <c r="O519" s="344">
        <v>10.266666666666699</v>
      </c>
      <c r="P519" s="344">
        <v>12.8333333333333</v>
      </c>
      <c r="Q519" s="344">
        <v>12.366666666666699</v>
      </c>
      <c r="R519" s="344">
        <v>11.6666666666667</v>
      </c>
      <c r="S519" s="344">
        <v>9.8000000000000007</v>
      </c>
      <c r="T519" s="344">
        <v>7</v>
      </c>
      <c r="U519" s="344">
        <v>6.7666666666666702</v>
      </c>
      <c r="V519" s="344">
        <v>6.7666666666666702</v>
      </c>
      <c r="W519" s="344">
        <v>5.3666666666666698</v>
      </c>
      <c r="X519" s="344">
        <v>7.7</v>
      </c>
      <c r="Y519" s="344">
        <v>8.6333333333333293</v>
      </c>
      <c r="Z519" s="344">
        <v>7</v>
      </c>
      <c r="AA519" s="344">
        <v>7.93333333333333</v>
      </c>
      <c r="AB519" s="344">
        <v>5.8333333333333304</v>
      </c>
      <c r="AC519" s="344">
        <v>5.3666666666666698</v>
      </c>
      <c r="AD519" s="344">
        <f t="shared" si="58"/>
        <v>-0.46666666666666057</v>
      </c>
      <c r="AE519" s="344">
        <v>10</v>
      </c>
      <c r="AF519" s="344">
        <v>3</v>
      </c>
      <c r="AG519" s="346">
        <v>1</v>
      </c>
      <c r="AH519" s="346">
        <v>1</v>
      </c>
      <c r="AI519" s="346">
        <v>1</v>
      </c>
      <c r="AJ519" s="346">
        <v>1</v>
      </c>
      <c r="AK519" s="346">
        <v>1</v>
      </c>
      <c r="AL519" s="346">
        <v>1</v>
      </c>
      <c r="AM519" s="346">
        <v>1</v>
      </c>
      <c r="AN519" s="346">
        <v>1</v>
      </c>
      <c r="AO519" s="346">
        <v>1</v>
      </c>
      <c r="AP519" s="346">
        <v>10</v>
      </c>
      <c r="AQ519" s="357">
        <v>8</v>
      </c>
      <c r="AR519" s="357">
        <v>1</v>
      </c>
      <c r="AS519" s="357">
        <v>1</v>
      </c>
      <c r="AT519" s="357">
        <v>11</v>
      </c>
      <c r="AU519" s="357">
        <v>2</v>
      </c>
      <c r="AV519" s="357">
        <v>1</v>
      </c>
      <c r="AW519" s="357">
        <v>1</v>
      </c>
      <c r="AX519" s="357">
        <v>1</v>
      </c>
      <c r="AY519" s="357">
        <v>1</v>
      </c>
      <c r="AZ519" s="357">
        <v>1</v>
      </c>
      <c r="BA519" s="357">
        <v>1</v>
      </c>
      <c r="BB519" s="357">
        <v>9</v>
      </c>
      <c r="BC519" s="357">
        <v>2</v>
      </c>
    </row>
    <row r="520" spans="1:55" s="381" customFormat="1" ht="17.649999999999999" customHeight="1">
      <c r="A520" s="343">
        <v>88</v>
      </c>
      <c r="B520" s="211" t="s">
        <v>2167</v>
      </c>
      <c r="C520" s="211" t="s">
        <v>2055</v>
      </c>
      <c r="D520" s="211" t="s">
        <v>2125</v>
      </c>
      <c r="E520" s="344">
        <v>2</v>
      </c>
      <c r="F520" s="344">
        <v>3.0333333333333301</v>
      </c>
      <c r="G520" s="356">
        <v>3.0333333333333301</v>
      </c>
      <c r="H520" s="344">
        <v>2.3333333333333299</v>
      </c>
      <c r="I520" s="344">
        <v>1.1666666666666701</v>
      </c>
      <c r="J520" s="344">
        <v>0.233333333333333</v>
      </c>
      <c r="K520" s="344">
        <v>0.233333333333333</v>
      </c>
      <c r="L520" s="344">
        <f t="shared" si="57"/>
        <v>0.27222222222222303</v>
      </c>
      <c r="M520" s="344">
        <v>3.9666666666666699</v>
      </c>
      <c r="N520" s="344">
        <v>5.8333333333333304</v>
      </c>
      <c r="O520" s="344">
        <v>5.8333333333333304</v>
      </c>
      <c r="P520" s="344">
        <v>4.2</v>
      </c>
      <c r="Q520" s="344">
        <v>3.9666666666666699</v>
      </c>
      <c r="R520" s="344">
        <v>3.9666666666666699</v>
      </c>
      <c r="S520" s="344">
        <v>8.4</v>
      </c>
      <c r="T520" s="344">
        <v>7.93333333333333</v>
      </c>
      <c r="U520" s="344">
        <v>7.7</v>
      </c>
      <c r="V520" s="344">
        <v>7.4666666666666703</v>
      </c>
      <c r="W520" s="344">
        <v>4.6666666666666696</v>
      </c>
      <c r="X520" s="344">
        <v>5.8333333333333304</v>
      </c>
      <c r="Y520" s="344">
        <v>6.5333333333333297</v>
      </c>
      <c r="Z520" s="344">
        <v>6.5333333333333297</v>
      </c>
      <c r="AA520" s="344">
        <v>7.93333333333333</v>
      </c>
      <c r="AB520" s="344">
        <v>6.5333333333333297</v>
      </c>
      <c r="AC520" s="344">
        <v>6.7666666666666702</v>
      </c>
      <c r="AD520" s="344">
        <f t="shared" si="58"/>
        <v>0.2333333333333405</v>
      </c>
      <c r="AE520" s="344">
        <v>1</v>
      </c>
      <c r="AF520" s="344">
        <v>3</v>
      </c>
      <c r="AG520" s="346">
        <v>20</v>
      </c>
      <c r="AH520" s="346">
        <v>1</v>
      </c>
      <c r="AI520" s="346">
        <v>1</v>
      </c>
      <c r="AJ520" s="346">
        <v>1</v>
      </c>
      <c r="AK520" s="346">
        <v>1</v>
      </c>
      <c r="AL520" s="346">
        <v>1</v>
      </c>
      <c r="AM520" s="346">
        <v>1</v>
      </c>
      <c r="AN520" s="346">
        <v>1</v>
      </c>
      <c r="AO520" s="346">
        <v>1</v>
      </c>
      <c r="AP520" s="346">
        <v>1</v>
      </c>
      <c r="AQ520" s="357">
        <v>1</v>
      </c>
      <c r="AR520" s="357">
        <v>1</v>
      </c>
      <c r="AS520" s="357">
        <v>1</v>
      </c>
      <c r="AT520" s="357">
        <v>1</v>
      </c>
      <c r="AU520" s="357">
        <v>1</v>
      </c>
      <c r="AV520" s="357">
        <v>3</v>
      </c>
      <c r="AW520" s="357">
        <v>1</v>
      </c>
      <c r="AX520" s="357">
        <v>2</v>
      </c>
      <c r="AY520" s="357">
        <v>1</v>
      </c>
      <c r="AZ520" s="357">
        <v>4</v>
      </c>
      <c r="BA520" s="357">
        <v>2</v>
      </c>
      <c r="BB520" s="357">
        <v>3</v>
      </c>
      <c r="BC520" s="357">
        <v>3</v>
      </c>
    </row>
    <row r="521" spans="1:55" s="381" customFormat="1" ht="17.649999999999999" customHeight="1">
      <c r="A521" s="343">
        <v>89</v>
      </c>
      <c r="B521" s="211" t="s">
        <v>2168</v>
      </c>
      <c r="C521" s="211" t="s">
        <v>2055</v>
      </c>
      <c r="D521" s="211" t="s">
        <v>2125</v>
      </c>
      <c r="E521" s="344">
        <v>57</v>
      </c>
      <c r="F521" s="344">
        <v>54.6</v>
      </c>
      <c r="G521" s="356">
        <v>51.8</v>
      </c>
      <c r="H521" s="344">
        <v>50.1666666666667</v>
      </c>
      <c r="I521" s="344">
        <v>46.2</v>
      </c>
      <c r="J521" s="344">
        <v>49</v>
      </c>
      <c r="K521" s="344">
        <v>48.066666666666698</v>
      </c>
      <c r="L521" s="344">
        <f t="shared" si="57"/>
        <v>10.780000000000001</v>
      </c>
      <c r="M521" s="344">
        <v>37.566666666666698</v>
      </c>
      <c r="N521" s="344">
        <v>42</v>
      </c>
      <c r="O521" s="344">
        <v>43.866666666666703</v>
      </c>
      <c r="P521" s="344">
        <v>52.5</v>
      </c>
      <c r="Q521" s="344">
        <v>55.3</v>
      </c>
      <c r="R521" s="344">
        <v>56.7</v>
      </c>
      <c r="S521" s="344">
        <v>50.1666666666667</v>
      </c>
      <c r="T521" s="344">
        <v>50.866666666666703</v>
      </c>
      <c r="U521" s="344">
        <v>51.8</v>
      </c>
      <c r="V521" s="344">
        <v>52.5</v>
      </c>
      <c r="W521" s="344">
        <v>57.4</v>
      </c>
      <c r="X521" s="344">
        <v>54.6</v>
      </c>
      <c r="Y521" s="344">
        <v>49.7</v>
      </c>
      <c r="Z521" s="344">
        <v>47.133333333333297</v>
      </c>
      <c r="AA521" s="344">
        <v>39.200000000000003</v>
      </c>
      <c r="AB521" s="344">
        <v>37.566666666666698</v>
      </c>
      <c r="AC521" s="344">
        <v>36.633333333333297</v>
      </c>
      <c r="AD521" s="344">
        <f t="shared" si="58"/>
        <v>-0.93333333333340107</v>
      </c>
      <c r="AE521" s="344">
        <v>11</v>
      </c>
      <c r="AF521" s="344">
        <v>5</v>
      </c>
      <c r="AG521" s="346">
        <v>4</v>
      </c>
      <c r="AH521" s="346">
        <v>11</v>
      </c>
      <c r="AI521" s="346">
        <v>11</v>
      </c>
      <c r="AJ521" s="346">
        <v>3</v>
      </c>
      <c r="AK521" s="346">
        <v>2</v>
      </c>
      <c r="AL521" s="346">
        <v>3</v>
      </c>
      <c r="AM521" s="346">
        <v>9</v>
      </c>
      <c r="AN521" s="346">
        <v>10</v>
      </c>
      <c r="AO521" s="346">
        <v>10</v>
      </c>
      <c r="AP521" s="346">
        <v>3</v>
      </c>
      <c r="AQ521" s="357">
        <v>9</v>
      </c>
      <c r="AR521" s="357">
        <v>6</v>
      </c>
      <c r="AS521" s="357">
        <v>4</v>
      </c>
      <c r="AT521" s="357">
        <v>8</v>
      </c>
      <c r="AU521" s="357">
        <v>8</v>
      </c>
      <c r="AV521" s="357">
        <v>4</v>
      </c>
      <c r="AW521" s="357">
        <v>2</v>
      </c>
      <c r="AX521" s="357">
        <v>2</v>
      </c>
      <c r="AY521" s="357">
        <v>2</v>
      </c>
      <c r="AZ521" s="357">
        <v>3</v>
      </c>
      <c r="BA521" s="357">
        <v>9</v>
      </c>
      <c r="BB521" s="357">
        <v>1</v>
      </c>
      <c r="BC521" s="357">
        <v>1</v>
      </c>
    </row>
    <row r="522" spans="1:55" s="381" customFormat="1" ht="17.649999999999999" customHeight="1">
      <c r="A522" s="343">
        <v>90</v>
      </c>
      <c r="B522" s="211" t="s">
        <v>2169</v>
      </c>
      <c r="C522" s="211" t="s">
        <v>2055</v>
      </c>
      <c r="D522" s="211" t="s">
        <v>2125</v>
      </c>
      <c r="E522" s="344">
        <v>0</v>
      </c>
      <c r="F522" s="344">
        <v>1.86666666666667</v>
      </c>
      <c r="G522" s="356">
        <v>1.86666666666667</v>
      </c>
      <c r="H522" s="344">
        <v>1.86666666666667</v>
      </c>
      <c r="I522" s="344">
        <v>3.0333333333333301</v>
      </c>
      <c r="J522" s="344">
        <v>3.0333333333333301</v>
      </c>
      <c r="K522" s="344">
        <v>2.1</v>
      </c>
      <c r="L522" s="344">
        <f t="shared" si="57"/>
        <v>0.70777777777777695</v>
      </c>
      <c r="M522" s="344">
        <v>3.0333333333333301</v>
      </c>
      <c r="N522" s="344">
        <v>5.1333333333333302</v>
      </c>
      <c r="O522" s="344">
        <v>5.3666666666666698</v>
      </c>
      <c r="P522" s="344">
        <v>5.8333333333333304</v>
      </c>
      <c r="Q522" s="344">
        <v>7.93333333333333</v>
      </c>
      <c r="R522" s="344">
        <v>6.3</v>
      </c>
      <c r="S522" s="344">
        <v>9.1</v>
      </c>
      <c r="T522" s="344">
        <v>8.8666666666666707</v>
      </c>
      <c r="U522" s="344">
        <v>7</v>
      </c>
      <c r="V522" s="344">
        <v>7</v>
      </c>
      <c r="W522" s="344">
        <v>5.1333333333333302</v>
      </c>
      <c r="X522" s="344">
        <v>5.1333333333333302</v>
      </c>
      <c r="Y522" s="344">
        <v>5.1333333333333302</v>
      </c>
      <c r="Z522" s="344">
        <v>7.4666666666666703</v>
      </c>
      <c r="AA522" s="344">
        <v>7.4666666666666703</v>
      </c>
      <c r="AB522" s="344">
        <v>8.4</v>
      </c>
      <c r="AC522" s="344">
        <v>9.8000000000000007</v>
      </c>
      <c r="AD522" s="344">
        <f t="shared" si="58"/>
        <v>1.4000000000000004</v>
      </c>
      <c r="AE522" s="344">
        <v>1</v>
      </c>
      <c r="AF522" s="344">
        <v>1</v>
      </c>
      <c r="AG522" s="346">
        <v>12</v>
      </c>
      <c r="AH522" s="346">
        <v>1</v>
      </c>
      <c r="AI522" s="346">
        <v>1</v>
      </c>
      <c r="AJ522" s="346">
        <v>3</v>
      </c>
      <c r="AK522" s="346">
        <v>1</v>
      </c>
      <c r="AL522" s="346">
        <v>3</v>
      </c>
      <c r="AM522" s="346">
        <v>1</v>
      </c>
      <c r="AN522" s="346">
        <v>1</v>
      </c>
      <c r="AO522" s="346">
        <v>1</v>
      </c>
      <c r="AP522" s="346">
        <v>1</v>
      </c>
      <c r="AQ522" s="357">
        <v>1</v>
      </c>
      <c r="AR522" s="357">
        <v>1</v>
      </c>
      <c r="AS522" s="357">
        <v>1</v>
      </c>
      <c r="AT522" s="357">
        <v>10</v>
      </c>
      <c r="AU522" s="357">
        <v>1</v>
      </c>
      <c r="AV522" s="357">
        <v>1</v>
      </c>
      <c r="AW522" s="357">
        <v>1</v>
      </c>
      <c r="AX522" s="357">
        <v>1</v>
      </c>
      <c r="AY522" s="357">
        <v>1</v>
      </c>
      <c r="AZ522" s="357">
        <v>3</v>
      </c>
      <c r="BA522" s="357">
        <v>11</v>
      </c>
      <c r="BB522" s="357">
        <v>1</v>
      </c>
      <c r="BC522" s="357">
        <v>3</v>
      </c>
    </row>
    <row r="523" spans="1:55" s="381" customFormat="1" ht="17.649999999999999" customHeight="1">
      <c r="A523" s="343">
        <v>91</v>
      </c>
      <c r="B523" s="211" t="s">
        <v>2170</v>
      </c>
      <c r="C523" s="211" t="s">
        <v>2055</v>
      </c>
      <c r="D523" s="211" t="s">
        <v>2125</v>
      </c>
      <c r="E523" s="344">
        <v>35</v>
      </c>
      <c r="F523" s="344">
        <v>35.933333333333302</v>
      </c>
      <c r="G523" s="356">
        <v>31.733333333333299</v>
      </c>
      <c r="H523" s="344">
        <v>28.933333333333302</v>
      </c>
      <c r="I523" s="344">
        <v>24.966666666666701</v>
      </c>
      <c r="J523" s="344">
        <v>22.1666666666667</v>
      </c>
      <c r="K523" s="344">
        <v>17.733333333333299</v>
      </c>
      <c r="L523" s="344">
        <f t="shared" si="57"/>
        <v>5.8255555555555629</v>
      </c>
      <c r="M523" s="344">
        <v>22.633333333333301</v>
      </c>
      <c r="N523" s="344">
        <v>22.633333333333301</v>
      </c>
      <c r="O523" s="344">
        <v>26.366666666666699</v>
      </c>
      <c r="P523" s="344">
        <v>26.6</v>
      </c>
      <c r="Q523" s="344">
        <v>24.033333333333299</v>
      </c>
      <c r="R523" s="344">
        <v>19.8333333333333</v>
      </c>
      <c r="S523" s="344">
        <v>23.8</v>
      </c>
      <c r="T523" s="344">
        <v>23.3333333333333</v>
      </c>
      <c r="U523" s="344">
        <v>25.433333333333302</v>
      </c>
      <c r="V523" s="344">
        <v>25.433333333333302</v>
      </c>
      <c r="W523" s="344">
        <v>23.1</v>
      </c>
      <c r="X523" s="344">
        <v>21.233333333333299</v>
      </c>
      <c r="Y523" s="344">
        <v>18.433333333333302</v>
      </c>
      <c r="Z523" s="344">
        <v>20.066666666666698</v>
      </c>
      <c r="AA523" s="344">
        <v>18.899999999999999</v>
      </c>
      <c r="AB523" s="344">
        <v>18.899999999999999</v>
      </c>
      <c r="AC523" s="344">
        <v>18.6666666666667</v>
      </c>
      <c r="AD523" s="344">
        <f t="shared" si="58"/>
        <v>-0.23333333333329875</v>
      </c>
      <c r="AE523" s="344">
        <v>1</v>
      </c>
      <c r="AF523" s="344">
        <v>4</v>
      </c>
      <c r="AG523" s="346">
        <v>3</v>
      </c>
      <c r="AH523" s="346">
        <v>1</v>
      </c>
      <c r="AI523" s="346">
        <v>3</v>
      </c>
      <c r="AJ523" s="346">
        <v>5</v>
      </c>
      <c r="AK523" s="346">
        <v>6</v>
      </c>
      <c r="AL523" s="346">
        <v>5</v>
      </c>
      <c r="AM523" s="346">
        <v>4</v>
      </c>
      <c r="AN523" s="346">
        <v>3</v>
      </c>
      <c r="AO523" s="346">
        <v>3</v>
      </c>
      <c r="AP523" s="346">
        <v>3</v>
      </c>
      <c r="AQ523" s="357">
        <v>3</v>
      </c>
      <c r="AR523" s="357">
        <v>3</v>
      </c>
      <c r="AS523" s="357">
        <v>3</v>
      </c>
      <c r="AT523" s="357">
        <v>4</v>
      </c>
      <c r="AU523" s="357">
        <v>4</v>
      </c>
      <c r="AV523" s="357">
        <v>3</v>
      </c>
      <c r="AW523" s="357">
        <v>3</v>
      </c>
      <c r="AX523" s="357">
        <v>3</v>
      </c>
      <c r="AY523" s="357">
        <v>3</v>
      </c>
      <c r="AZ523" s="357">
        <v>4</v>
      </c>
      <c r="BA523" s="357">
        <v>3</v>
      </c>
      <c r="BB523" s="357">
        <v>3</v>
      </c>
      <c r="BC523" s="357">
        <v>6</v>
      </c>
    </row>
    <row r="524" spans="1:55" s="381" customFormat="1" ht="17.649999999999999" customHeight="1">
      <c r="A524" s="343">
        <v>92</v>
      </c>
      <c r="B524" s="211" t="s">
        <v>2171</v>
      </c>
      <c r="C524" s="211" t="s">
        <v>2055</v>
      </c>
      <c r="D524" s="211" t="s">
        <v>2125</v>
      </c>
      <c r="E524" s="344">
        <v>0</v>
      </c>
      <c r="F524" s="344">
        <v>1.1666666666666701</v>
      </c>
      <c r="G524" s="356">
        <v>1.4</v>
      </c>
      <c r="H524" s="344">
        <v>1.4</v>
      </c>
      <c r="I524" s="344">
        <v>1.86666666666667</v>
      </c>
      <c r="J524" s="344">
        <v>1.4</v>
      </c>
      <c r="K524" s="344">
        <v>0.233333333333333</v>
      </c>
      <c r="L524" s="344">
        <f t="shared" si="57"/>
        <v>0.43555555555555631</v>
      </c>
      <c r="M524" s="344">
        <v>2.3333333333333299</v>
      </c>
      <c r="N524" s="344">
        <v>4.6666666666666696</v>
      </c>
      <c r="O524" s="344">
        <v>6.7666666666666702</v>
      </c>
      <c r="P524" s="344">
        <v>6.3</v>
      </c>
      <c r="Q524" s="344">
        <v>7.4666666666666703</v>
      </c>
      <c r="R524" s="344">
        <v>8.4</v>
      </c>
      <c r="S524" s="344">
        <v>5.8333333333333304</v>
      </c>
      <c r="T524" s="344">
        <v>5.3666666666666698</v>
      </c>
      <c r="U524" s="344">
        <v>4.43333333333333</v>
      </c>
      <c r="V524" s="344">
        <v>5.6</v>
      </c>
      <c r="W524" s="344">
        <v>5.6</v>
      </c>
      <c r="X524" s="344">
        <v>5.1333333333333302</v>
      </c>
      <c r="Y524" s="344">
        <v>4.43333333333333</v>
      </c>
      <c r="Z524" s="344">
        <v>1.86666666666667</v>
      </c>
      <c r="AA524" s="344">
        <v>3.0333333333333301</v>
      </c>
      <c r="AB524" s="344">
        <v>5.8333333333333304</v>
      </c>
      <c r="AC524" s="344">
        <v>9.1</v>
      </c>
      <c r="AD524" s="344">
        <f t="shared" si="58"/>
        <v>3.2666666666666693</v>
      </c>
      <c r="AE524" s="344">
        <v>5</v>
      </c>
      <c r="AF524" s="344">
        <v>5</v>
      </c>
      <c r="AG524" s="346">
        <v>9</v>
      </c>
      <c r="AH524" s="346">
        <v>6</v>
      </c>
      <c r="AI524" s="346">
        <v>3</v>
      </c>
      <c r="AJ524" s="346">
        <v>2</v>
      </c>
      <c r="AK524" s="346">
        <v>9</v>
      </c>
      <c r="AL524" s="346">
        <v>2</v>
      </c>
      <c r="AM524" s="346">
        <v>8</v>
      </c>
      <c r="AN524" s="346">
        <v>7</v>
      </c>
      <c r="AO524" s="346">
        <v>7</v>
      </c>
      <c r="AP524" s="346">
        <v>8</v>
      </c>
      <c r="AQ524" s="357">
        <v>7</v>
      </c>
      <c r="AR524" s="357">
        <v>8</v>
      </c>
      <c r="AS524" s="357">
        <v>7</v>
      </c>
      <c r="AT524" s="357">
        <v>9</v>
      </c>
      <c r="AU524" s="357">
        <v>11</v>
      </c>
      <c r="AV524" s="357">
        <v>10</v>
      </c>
      <c r="AW524" s="357">
        <v>9</v>
      </c>
      <c r="AX524" s="357">
        <v>9</v>
      </c>
      <c r="AY524" s="357">
        <v>7</v>
      </c>
      <c r="AZ524" s="357">
        <v>8</v>
      </c>
      <c r="BA524" s="357">
        <v>8</v>
      </c>
      <c r="BB524" s="357">
        <v>5</v>
      </c>
      <c r="BC524" s="357">
        <v>8</v>
      </c>
    </row>
    <row r="525" spans="1:55" s="381" customFormat="1" ht="17.649999999999999" customHeight="1">
      <c r="A525" s="343">
        <v>93</v>
      </c>
      <c r="B525" s="211" t="s">
        <v>2172</v>
      </c>
      <c r="C525" s="211" t="s">
        <v>2055</v>
      </c>
      <c r="D525" s="211" t="s">
        <v>2125</v>
      </c>
      <c r="E525" s="344">
        <v>2</v>
      </c>
      <c r="F525" s="344">
        <v>2.56666666666667</v>
      </c>
      <c r="G525" s="356">
        <v>3.0333333333333301</v>
      </c>
      <c r="H525" s="344">
        <v>3.2666666666666702</v>
      </c>
      <c r="I525" s="344">
        <v>3.2666666666666702</v>
      </c>
      <c r="J525" s="344">
        <v>3.9666666666666699</v>
      </c>
      <c r="K525" s="344">
        <v>3.5</v>
      </c>
      <c r="L525" s="344">
        <f t="shared" si="57"/>
        <v>0.76222222222222302</v>
      </c>
      <c r="M525" s="344">
        <v>5.8333333333333304</v>
      </c>
      <c r="N525" s="344">
        <v>8.6333333333333293</v>
      </c>
      <c r="O525" s="344">
        <v>8.6333333333333293</v>
      </c>
      <c r="P525" s="344">
        <v>12.366666666666699</v>
      </c>
      <c r="Q525" s="344">
        <v>14.9333333333333</v>
      </c>
      <c r="R525" s="344">
        <v>14.233333333333301</v>
      </c>
      <c r="S525" s="344">
        <v>14</v>
      </c>
      <c r="T525" s="344">
        <v>10.033333333333299</v>
      </c>
      <c r="U525" s="344">
        <v>7</v>
      </c>
      <c r="V525" s="344">
        <v>5.3666666666666698</v>
      </c>
      <c r="W525" s="344">
        <v>5.6</v>
      </c>
      <c r="X525" s="344">
        <v>7.93333333333333</v>
      </c>
      <c r="Y525" s="344">
        <v>9.56666666666667</v>
      </c>
      <c r="Z525" s="344">
        <v>10.266666666666699</v>
      </c>
      <c r="AA525" s="344">
        <v>10.966666666666701</v>
      </c>
      <c r="AB525" s="344">
        <v>11.9</v>
      </c>
      <c r="AC525" s="344">
        <v>12.133333333333301</v>
      </c>
      <c r="AD525" s="344">
        <f t="shared" si="58"/>
        <v>0.23333333333330053</v>
      </c>
      <c r="AE525" s="344">
        <v>2</v>
      </c>
      <c r="AF525" s="344">
        <v>4</v>
      </c>
      <c r="AG525" s="346">
        <v>4</v>
      </c>
      <c r="AH525" s="346">
        <v>3</v>
      </c>
      <c r="AI525" s="346">
        <v>4</v>
      </c>
      <c r="AJ525" s="346">
        <v>2</v>
      </c>
      <c r="AK525" s="346">
        <v>2</v>
      </c>
      <c r="AL525" s="346">
        <v>2</v>
      </c>
      <c r="AM525" s="346">
        <v>2</v>
      </c>
      <c r="AN525" s="346">
        <v>2</v>
      </c>
      <c r="AO525" s="346">
        <v>2</v>
      </c>
      <c r="AP525" s="346">
        <v>8</v>
      </c>
      <c r="AQ525" s="357">
        <v>2</v>
      </c>
      <c r="AR525" s="357">
        <v>2</v>
      </c>
      <c r="AS525" s="357">
        <v>2</v>
      </c>
      <c r="AT525" s="357">
        <v>4</v>
      </c>
      <c r="AU525" s="357">
        <v>8</v>
      </c>
      <c r="AV525" s="357">
        <v>1</v>
      </c>
      <c r="AW525" s="357">
        <v>2</v>
      </c>
      <c r="AX525" s="357">
        <v>8</v>
      </c>
      <c r="AY525" s="357">
        <v>9</v>
      </c>
      <c r="AZ525" s="357">
        <v>10</v>
      </c>
      <c r="BA525" s="357">
        <v>4</v>
      </c>
      <c r="BB525" s="357">
        <v>2</v>
      </c>
      <c r="BC525" s="357">
        <v>1</v>
      </c>
    </row>
    <row r="526" spans="1:55" s="381" customFormat="1" ht="17.649999999999999" customHeight="1">
      <c r="A526" s="343">
        <v>94</v>
      </c>
      <c r="B526" s="211" t="s">
        <v>2173</v>
      </c>
      <c r="C526" s="211" t="s">
        <v>2055</v>
      </c>
      <c r="D526" s="211" t="s">
        <v>2125</v>
      </c>
      <c r="E526" s="344">
        <v>0</v>
      </c>
      <c r="F526" s="344">
        <v>0.233333333333333</v>
      </c>
      <c r="G526" s="356">
        <v>0.233333333333333</v>
      </c>
      <c r="H526" s="344">
        <v>0.233333333333333</v>
      </c>
      <c r="I526" s="344">
        <v>0.233333333333333</v>
      </c>
      <c r="J526" s="344">
        <v>1.1666666666666701</v>
      </c>
      <c r="K526" s="344">
        <v>0.233333333333333</v>
      </c>
      <c r="L526" s="344">
        <f t="shared" si="57"/>
        <v>5.4444444444444372E-2</v>
      </c>
      <c r="M526" s="344">
        <v>3.2666666666666702</v>
      </c>
      <c r="N526" s="344">
        <v>4.43333333333333</v>
      </c>
      <c r="O526" s="344">
        <v>6.5333333333333297</v>
      </c>
      <c r="P526" s="344">
        <v>7.4666666666666703</v>
      </c>
      <c r="Q526" s="344">
        <v>8.8666666666666707</v>
      </c>
      <c r="R526" s="344">
        <v>9.56666666666667</v>
      </c>
      <c r="S526" s="344">
        <v>7.4666666666666703</v>
      </c>
      <c r="T526" s="344">
        <v>5.3666666666666698</v>
      </c>
      <c r="U526" s="344">
        <v>4.2</v>
      </c>
      <c r="V526" s="344">
        <v>4.6666666666666696</v>
      </c>
      <c r="W526" s="344">
        <v>3.0333333333333301</v>
      </c>
      <c r="X526" s="344">
        <v>3.0333333333333301</v>
      </c>
      <c r="Y526" s="344">
        <v>4.43333333333333</v>
      </c>
      <c r="Z526" s="344">
        <v>5.1333333333333302</v>
      </c>
      <c r="AA526" s="344">
        <v>5.6</v>
      </c>
      <c r="AB526" s="344">
        <v>5.8333333333333304</v>
      </c>
      <c r="AC526" s="344">
        <v>4.43333333333333</v>
      </c>
      <c r="AD526" s="344">
        <f t="shared" si="58"/>
        <v>-1.4000000000000004</v>
      </c>
      <c r="AE526" s="344">
        <v>1</v>
      </c>
      <c r="AF526" s="344">
        <v>3</v>
      </c>
      <c r="AG526" s="346">
        <v>11</v>
      </c>
      <c r="AH526" s="346">
        <v>1</v>
      </c>
      <c r="AI526" s="346">
        <v>1</v>
      </c>
      <c r="AJ526" s="346">
        <v>2</v>
      </c>
      <c r="AK526" s="346">
        <v>1</v>
      </c>
      <c r="AL526" s="346">
        <v>2</v>
      </c>
      <c r="AM526" s="346">
        <v>1</v>
      </c>
      <c r="AN526" s="346">
        <v>1</v>
      </c>
      <c r="AO526" s="346">
        <v>1</v>
      </c>
      <c r="AP526" s="346">
        <v>1</v>
      </c>
      <c r="AQ526" s="357">
        <v>1</v>
      </c>
      <c r="AR526" s="357">
        <v>1</v>
      </c>
      <c r="AS526" s="357">
        <v>1</v>
      </c>
      <c r="AT526" s="357">
        <v>1</v>
      </c>
      <c r="AU526" s="357">
        <v>10</v>
      </c>
      <c r="AV526" s="357">
        <v>1</v>
      </c>
      <c r="AW526" s="357">
        <v>1</v>
      </c>
      <c r="AX526" s="357">
        <v>1</v>
      </c>
      <c r="AY526" s="357">
        <v>1</v>
      </c>
      <c r="AZ526" s="357">
        <v>1</v>
      </c>
      <c r="BA526" s="357">
        <v>1</v>
      </c>
      <c r="BB526" s="357">
        <v>1</v>
      </c>
      <c r="BC526" s="357">
        <v>1</v>
      </c>
    </row>
    <row r="527" spans="1:55" s="381" customFormat="1" ht="17.649999999999999" customHeight="1">
      <c r="A527" s="343">
        <v>95</v>
      </c>
      <c r="B527" s="211" t="s">
        <v>2174</v>
      </c>
      <c r="C527" s="211" t="s">
        <v>2055</v>
      </c>
      <c r="D527" s="211" t="s">
        <v>2125</v>
      </c>
      <c r="E527" s="344">
        <v>47</v>
      </c>
      <c r="F527" s="344">
        <v>45.033333333333303</v>
      </c>
      <c r="G527" s="356">
        <v>41.3</v>
      </c>
      <c r="H527" s="344">
        <v>39.433333333333302</v>
      </c>
      <c r="I527" s="344">
        <v>34.766666666666701</v>
      </c>
      <c r="J527" s="344">
        <v>31.033333333333299</v>
      </c>
      <c r="K527" s="344">
        <v>27.533333333333299</v>
      </c>
      <c r="L527" s="344">
        <f t="shared" si="57"/>
        <v>8.1122222222222291</v>
      </c>
      <c r="M527" s="344">
        <v>24.5</v>
      </c>
      <c r="N527" s="344">
        <v>36.4</v>
      </c>
      <c r="O527" s="344">
        <v>41.766666666666701</v>
      </c>
      <c r="P527" s="344">
        <v>54.6</v>
      </c>
      <c r="Q527" s="344">
        <v>65.099999999999994</v>
      </c>
      <c r="R527" s="344">
        <v>67.2</v>
      </c>
      <c r="S527" s="344">
        <v>71.400000000000006</v>
      </c>
      <c r="T527" s="344">
        <v>64.866666666666703</v>
      </c>
      <c r="U527" s="344">
        <v>70.233333333333306</v>
      </c>
      <c r="V527" s="344">
        <v>65.566666666666706</v>
      </c>
      <c r="W527" s="344">
        <v>60.6666666666667</v>
      </c>
      <c r="X527" s="344">
        <v>61.8333333333333</v>
      </c>
      <c r="Y527" s="344">
        <v>59.966666666666697</v>
      </c>
      <c r="Z527" s="344">
        <v>50.633333333333297</v>
      </c>
      <c r="AA527" s="344">
        <v>52.5</v>
      </c>
      <c r="AB527" s="344">
        <v>42.7</v>
      </c>
      <c r="AC527" s="344">
        <v>41.533333333333303</v>
      </c>
      <c r="AD527" s="344">
        <f t="shared" si="58"/>
        <v>-1.1666666666666998</v>
      </c>
      <c r="AE527" s="344">
        <v>1</v>
      </c>
      <c r="AF527" s="344">
        <v>1</v>
      </c>
      <c r="AG527" s="346">
        <v>1</v>
      </c>
      <c r="AH527" s="346">
        <v>4</v>
      </c>
      <c r="AI527" s="346">
        <v>7</v>
      </c>
      <c r="AJ527" s="346">
        <v>4</v>
      </c>
      <c r="AK527" s="346">
        <v>4</v>
      </c>
      <c r="AL527" s="346">
        <v>4</v>
      </c>
      <c r="AM527" s="346">
        <v>5</v>
      </c>
      <c r="AN527" s="346">
        <v>5</v>
      </c>
      <c r="AO527" s="346">
        <v>5</v>
      </c>
      <c r="AP527" s="346">
        <v>8</v>
      </c>
      <c r="AQ527" s="357">
        <v>6</v>
      </c>
      <c r="AR527" s="357">
        <v>1</v>
      </c>
      <c r="AS527" s="357">
        <v>7</v>
      </c>
      <c r="AT527" s="357">
        <v>4</v>
      </c>
      <c r="AU527" s="357">
        <v>13</v>
      </c>
      <c r="AV527" s="357">
        <v>19</v>
      </c>
      <c r="AW527" s="357">
        <v>4</v>
      </c>
      <c r="AX527" s="357">
        <v>8</v>
      </c>
      <c r="AY527" s="357">
        <v>5</v>
      </c>
      <c r="AZ527" s="357">
        <v>3</v>
      </c>
      <c r="BA527" s="357">
        <v>2</v>
      </c>
      <c r="BB527" s="357">
        <v>3</v>
      </c>
      <c r="BC527" s="357">
        <v>5</v>
      </c>
    </row>
    <row r="528" spans="1:55" s="381" customFormat="1" ht="17.649999999999999" customHeight="1">
      <c r="A528" s="343">
        <v>96</v>
      </c>
      <c r="B528" s="211" t="s">
        <v>2175</v>
      </c>
      <c r="C528" s="211" t="s">
        <v>2055</v>
      </c>
      <c r="D528" s="211" t="s">
        <v>2125</v>
      </c>
      <c r="E528" s="344">
        <v>7</v>
      </c>
      <c r="F528" s="344">
        <v>7.4666666666666703</v>
      </c>
      <c r="G528" s="356">
        <v>6.7666666666666702</v>
      </c>
      <c r="H528" s="344">
        <v>6.5333333333333297</v>
      </c>
      <c r="I528" s="344">
        <v>4.6666666666666696</v>
      </c>
      <c r="J528" s="344">
        <v>5.3666666666666698</v>
      </c>
      <c r="K528" s="344">
        <v>4.43333333333333</v>
      </c>
      <c r="L528" s="344">
        <f t="shared" si="57"/>
        <v>1.0888888888888895</v>
      </c>
      <c r="M528" s="344">
        <v>7</v>
      </c>
      <c r="N528" s="344">
        <v>8.8666666666666707</v>
      </c>
      <c r="O528" s="344">
        <v>10.733333333333301</v>
      </c>
      <c r="P528" s="344">
        <v>12.8333333333333</v>
      </c>
      <c r="Q528" s="344">
        <v>12.8333333333333</v>
      </c>
      <c r="R528" s="344">
        <v>12.366666666666699</v>
      </c>
      <c r="S528" s="344">
        <v>13.3</v>
      </c>
      <c r="T528" s="344">
        <v>10.966666666666701</v>
      </c>
      <c r="U528" s="344">
        <v>10.733333333333301</v>
      </c>
      <c r="V528" s="344">
        <v>11.6666666666667</v>
      </c>
      <c r="W528" s="344">
        <v>10.033333333333299</v>
      </c>
      <c r="X528" s="344">
        <v>8.8666666666666707</v>
      </c>
      <c r="Y528" s="344">
        <v>10.266666666666699</v>
      </c>
      <c r="Z528" s="344">
        <v>10.266666666666699</v>
      </c>
      <c r="AA528" s="344">
        <v>11.9</v>
      </c>
      <c r="AB528" s="344">
        <v>9.8000000000000007</v>
      </c>
      <c r="AC528" s="344">
        <v>8.4</v>
      </c>
      <c r="AD528" s="344">
        <f t="shared" si="58"/>
        <v>-1.4000000000000004</v>
      </c>
      <c r="AE528" s="344">
        <v>20</v>
      </c>
      <c r="AF528" s="344">
        <v>9</v>
      </c>
      <c r="AG528" s="346">
        <v>23</v>
      </c>
      <c r="AH528" s="346">
        <v>18</v>
      </c>
      <c r="AI528" s="346">
        <v>8</v>
      </c>
      <c r="AJ528" s="346">
        <v>5</v>
      </c>
      <c r="AK528" s="346">
        <v>3</v>
      </c>
      <c r="AL528" s="346">
        <v>5</v>
      </c>
      <c r="AM528" s="346">
        <v>8</v>
      </c>
      <c r="AN528" s="346">
        <v>9</v>
      </c>
      <c r="AO528" s="346">
        <v>9</v>
      </c>
      <c r="AP528" s="357">
        <v>20</v>
      </c>
      <c r="AQ528" s="357">
        <v>21</v>
      </c>
      <c r="AR528" s="357">
        <v>5</v>
      </c>
      <c r="AS528" s="357">
        <v>18</v>
      </c>
      <c r="AT528" s="357">
        <v>6</v>
      </c>
      <c r="AU528" s="211">
        <v>4</v>
      </c>
      <c r="AV528" s="357">
        <v>8</v>
      </c>
      <c r="AW528" s="357">
        <v>22</v>
      </c>
      <c r="AX528" s="357">
        <v>22</v>
      </c>
      <c r="AY528" s="357">
        <v>20</v>
      </c>
      <c r="AZ528" s="357">
        <v>13</v>
      </c>
      <c r="BA528" s="357">
        <v>8</v>
      </c>
      <c r="BB528" s="357">
        <v>15</v>
      </c>
      <c r="BC528" s="357">
        <v>6</v>
      </c>
    </row>
    <row r="529" spans="1:55" s="381" customFormat="1" ht="17.649999999999999" customHeight="1">
      <c r="A529" s="343">
        <v>97</v>
      </c>
      <c r="B529" s="211" t="s">
        <v>2176</v>
      </c>
      <c r="C529" s="211" t="s">
        <v>2055</v>
      </c>
      <c r="D529" s="211" t="s">
        <v>2125</v>
      </c>
      <c r="E529" s="344">
        <v>0</v>
      </c>
      <c r="F529" s="344">
        <v>1.1666666666666701</v>
      </c>
      <c r="G529" s="356">
        <v>0.233333333333333</v>
      </c>
      <c r="H529" s="344">
        <v>1.1666666666666701</v>
      </c>
      <c r="I529" s="344">
        <v>1.4</v>
      </c>
      <c r="J529" s="344">
        <v>1.4</v>
      </c>
      <c r="K529" s="344">
        <v>0.233333333333333</v>
      </c>
      <c r="L529" s="344">
        <f t="shared" si="57"/>
        <v>0.32666666666666666</v>
      </c>
      <c r="M529" s="344">
        <v>2.1</v>
      </c>
      <c r="N529" s="344">
        <v>4.43333333333333</v>
      </c>
      <c r="O529" s="344">
        <v>6.7666666666666702</v>
      </c>
      <c r="P529" s="344">
        <v>10.733333333333301</v>
      </c>
      <c r="Q529" s="344">
        <v>11.2</v>
      </c>
      <c r="R529" s="344">
        <v>11.6666666666667</v>
      </c>
      <c r="S529" s="344">
        <v>10.033333333333299</v>
      </c>
      <c r="T529" s="344">
        <v>8.4</v>
      </c>
      <c r="U529" s="344">
        <v>7.7</v>
      </c>
      <c r="V529" s="344">
        <v>8.8666666666666707</v>
      </c>
      <c r="W529" s="344">
        <v>7.7</v>
      </c>
      <c r="X529" s="344">
        <v>7.4666666666666703</v>
      </c>
      <c r="Y529" s="344">
        <v>7.4666666666666703</v>
      </c>
      <c r="Z529" s="344">
        <v>7</v>
      </c>
      <c r="AA529" s="344">
        <v>4.6666666666666696</v>
      </c>
      <c r="AB529" s="344">
        <v>4.2</v>
      </c>
      <c r="AC529" s="344">
        <v>4.6666666666666696</v>
      </c>
      <c r="AD529" s="344">
        <f t="shared" si="58"/>
        <v>0.46666666666666945</v>
      </c>
      <c r="AE529" s="344">
        <v>8</v>
      </c>
      <c r="AF529" s="344">
        <v>3</v>
      </c>
      <c r="AG529" s="346">
        <v>8</v>
      </c>
      <c r="AH529" s="346">
        <v>1</v>
      </c>
      <c r="AI529" s="346">
        <v>5</v>
      </c>
      <c r="AJ529" s="346">
        <v>3</v>
      </c>
      <c r="AK529" s="346">
        <v>1</v>
      </c>
      <c r="AL529" s="346">
        <v>3</v>
      </c>
      <c r="AM529" s="346">
        <v>1</v>
      </c>
      <c r="AN529" s="346">
        <v>1</v>
      </c>
      <c r="AO529" s="346">
        <v>1</v>
      </c>
      <c r="AP529" s="346">
        <v>10</v>
      </c>
      <c r="AQ529" s="357">
        <v>1</v>
      </c>
      <c r="AR529" s="357">
        <v>1</v>
      </c>
      <c r="AS529" s="357">
        <v>1</v>
      </c>
      <c r="AT529" s="357">
        <v>1</v>
      </c>
      <c r="AU529" s="357">
        <v>1</v>
      </c>
      <c r="AV529" s="357">
        <v>10</v>
      </c>
      <c r="AW529" s="357">
        <v>6</v>
      </c>
      <c r="AX529" s="357">
        <v>1</v>
      </c>
      <c r="AY529" s="357">
        <v>9</v>
      </c>
      <c r="AZ529" s="357">
        <v>1</v>
      </c>
      <c r="BA529" s="357">
        <v>2</v>
      </c>
      <c r="BB529" s="357">
        <v>1</v>
      </c>
      <c r="BC529" s="357">
        <v>1</v>
      </c>
    </row>
    <row r="530" spans="1:55" s="381" customFormat="1" ht="17.649999999999999" customHeight="1">
      <c r="A530" s="343">
        <v>98</v>
      </c>
      <c r="B530" s="211" t="s">
        <v>2177</v>
      </c>
      <c r="C530" s="211" t="s">
        <v>2055</v>
      </c>
      <c r="D530" s="211" t="s">
        <v>2125</v>
      </c>
      <c r="E530" s="344">
        <v>22</v>
      </c>
      <c r="F530" s="344">
        <v>20.766666666666701</v>
      </c>
      <c r="G530" s="356">
        <v>13.0666666666667</v>
      </c>
      <c r="H530" s="344">
        <v>12.8333333333333</v>
      </c>
      <c r="I530" s="344">
        <v>11.9</v>
      </c>
      <c r="J530" s="344">
        <v>11.6666666666667</v>
      </c>
      <c r="K530" s="344">
        <v>11.6666666666667</v>
      </c>
      <c r="L530" s="344">
        <f t="shared" si="57"/>
        <v>2.7766666666666668</v>
      </c>
      <c r="M530" s="344">
        <v>13.0666666666667</v>
      </c>
      <c r="N530" s="344">
        <v>14.466666666666701</v>
      </c>
      <c r="O530" s="344">
        <v>19.600000000000001</v>
      </c>
      <c r="P530" s="344">
        <v>22.866666666666699</v>
      </c>
      <c r="Q530" s="344">
        <v>24.5</v>
      </c>
      <c r="R530" s="344">
        <v>27.766666666666701</v>
      </c>
      <c r="S530" s="344">
        <v>26.366666666666699</v>
      </c>
      <c r="T530" s="344">
        <v>26.366666666666699</v>
      </c>
      <c r="U530" s="344">
        <v>24.966666666666701</v>
      </c>
      <c r="V530" s="344">
        <v>21.7</v>
      </c>
      <c r="W530" s="344">
        <v>16.8</v>
      </c>
      <c r="X530" s="344">
        <v>17.966666666666701</v>
      </c>
      <c r="Y530" s="344">
        <v>14.466666666666701</v>
      </c>
      <c r="Z530" s="344">
        <v>11.9</v>
      </c>
      <c r="AA530" s="344">
        <v>10.033333333333299</v>
      </c>
      <c r="AB530" s="344">
        <v>10.266666666666699</v>
      </c>
      <c r="AC530" s="344">
        <v>6.7666666666666702</v>
      </c>
      <c r="AD530" s="344">
        <f t="shared" si="58"/>
        <v>-3.5000000000000293</v>
      </c>
      <c r="AE530" s="344">
        <v>3</v>
      </c>
      <c r="AF530" s="344">
        <v>4</v>
      </c>
      <c r="AG530" s="346">
        <v>5</v>
      </c>
      <c r="AH530" s="346">
        <v>8</v>
      </c>
      <c r="AI530" s="346">
        <v>8</v>
      </c>
      <c r="AJ530" s="346">
        <v>6</v>
      </c>
      <c r="AK530" s="346">
        <v>3</v>
      </c>
      <c r="AL530" s="346">
        <v>6</v>
      </c>
      <c r="AM530" s="346">
        <v>3</v>
      </c>
      <c r="AN530" s="346">
        <v>4</v>
      </c>
      <c r="AO530" s="346">
        <v>4</v>
      </c>
      <c r="AP530" s="346">
        <v>10</v>
      </c>
      <c r="AQ530" s="357">
        <v>4</v>
      </c>
      <c r="AR530" s="357">
        <v>1</v>
      </c>
      <c r="AS530" s="357">
        <v>3</v>
      </c>
      <c r="AT530" s="357">
        <v>4</v>
      </c>
      <c r="AU530" s="357">
        <v>4</v>
      </c>
      <c r="AV530" s="357">
        <v>3</v>
      </c>
      <c r="AW530" s="357">
        <v>3</v>
      </c>
      <c r="AX530" s="357">
        <v>3</v>
      </c>
      <c r="AY530" s="357">
        <v>4</v>
      </c>
      <c r="AZ530" s="357">
        <v>9</v>
      </c>
      <c r="BA530" s="357">
        <v>9</v>
      </c>
      <c r="BB530" s="357">
        <v>5</v>
      </c>
      <c r="BC530" s="357">
        <v>9</v>
      </c>
    </row>
    <row r="531" spans="1:55" s="381" customFormat="1" ht="17.649999999999999" customHeight="1">
      <c r="A531" s="343">
        <v>99</v>
      </c>
      <c r="B531" s="211" t="s">
        <v>2178</v>
      </c>
      <c r="C531" s="211" t="s">
        <v>2055</v>
      </c>
      <c r="D531" s="211" t="s">
        <v>2125</v>
      </c>
      <c r="E531" s="344">
        <v>0</v>
      </c>
      <c r="F531" s="344">
        <v>0.233333333333333</v>
      </c>
      <c r="G531" s="356">
        <v>0.233333333333333</v>
      </c>
      <c r="H531" s="344">
        <v>1.86666666666667</v>
      </c>
      <c r="I531" s="344">
        <v>2.1</v>
      </c>
      <c r="J531" s="344">
        <v>2.3333333333333299</v>
      </c>
      <c r="K531" s="344">
        <v>1.4</v>
      </c>
      <c r="L531" s="344">
        <f t="shared" si="57"/>
        <v>0.49000000000000005</v>
      </c>
      <c r="M531" s="344">
        <v>3.0333333333333301</v>
      </c>
      <c r="N531" s="344">
        <v>3.2666666666666702</v>
      </c>
      <c r="O531" s="344">
        <v>5.1333333333333302</v>
      </c>
      <c r="P531" s="344">
        <v>5.8333333333333304</v>
      </c>
      <c r="Q531" s="344">
        <v>6.7666666666666702</v>
      </c>
      <c r="R531" s="344">
        <v>6.7666666666666702</v>
      </c>
      <c r="S531" s="344">
        <v>7.7</v>
      </c>
      <c r="T531" s="344">
        <v>5.8333333333333304</v>
      </c>
      <c r="U531" s="344">
        <v>5.8333333333333304</v>
      </c>
      <c r="V531" s="344">
        <v>4.6666666666666696</v>
      </c>
      <c r="W531" s="344">
        <v>5.1333333333333302</v>
      </c>
      <c r="X531" s="344">
        <v>5.8333333333333304</v>
      </c>
      <c r="Y531" s="344">
        <v>5.1333333333333302</v>
      </c>
      <c r="Z531" s="344">
        <v>6.5333333333333297</v>
      </c>
      <c r="AA531" s="344">
        <v>5.1333333333333302</v>
      </c>
      <c r="AB531" s="344">
        <v>5.6</v>
      </c>
      <c r="AC531" s="344">
        <v>5.3666666666666698</v>
      </c>
      <c r="AD531" s="344">
        <f t="shared" si="58"/>
        <v>-0.23333333333332984</v>
      </c>
      <c r="AE531" s="344">
        <v>51</v>
      </c>
      <c r="AF531" s="344">
        <v>9</v>
      </c>
      <c r="AG531" s="346">
        <v>4</v>
      </c>
      <c r="AH531" s="346">
        <v>5</v>
      </c>
      <c r="AI531" s="346">
        <v>4</v>
      </c>
      <c r="AJ531" s="346">
        <v>4</v>
      </c>
      <c r="AK531" s="346">
        <v>5</v>
      </c>
      <c r="AL531" s="346">
        <v>4</v>
      </c>
      <c r="AM531" s="346">
        <v>4</v>
      </c>
      <c r="AN531" s="346">
        <v>3</v>
      </c>
      <c r="AO531" s="346">
        <v>3</v>
      </c>
      <c r="AP531" s="346">
        <v>3</v>
      </c>
      <c r="AQ531" s="357">
        <v>10</v>
      </c>
      <c r="AR531" s="357">
        <v>8</v>
      </c>
      <c r="AS531" s="357">
        <v>3</v>
      </c>
      <c r="AT531" s="357">
        <v>3</v>
      </c>
      <c r="AU531" s="357">
        <v>3</v>
      </c>
      <c r="AV531" s="357">
        <v>1</v>
      </c>
      <c r="AW531" s="357">
        <v>4</v>
      </c>
      <c r="AX531" s="357">
        <v>1</v>
      </c>
      <c r="AY531" s="357">
        <v>3</v>
      </c>
      <c r="AZ531" s="357">
        <v>11</v>
      </c>
      <c r="BA531" s="357">
        <v>1</v>
      </c>
      <c r="BB531" s="357">
        <v>10</v>
      </c>
      <c r="BC531" s="357">
        <v>3</v>
      </c>
    </row>
    <row r="532" spans="1:55" s="381" customFormat="1" ht="17.649999999999999" customHeight="1">
      <c r="A532" s="343">
        <v>100</v>
      </c>
      <c r="B532" s="211" t="s">
        <v>2179</v>
      </c>
      <c r="C532" s="211" t="s">
        <v>2055</v>
      </c>
      <c r="D532" s="211" t="s">
        <v>2125</v>
      </c>
      <c r="E532" s="344">
        <v>7</v>
      </c>
      <c r="F532" s="344">
        <v>5.8333333333333304</v>
      </c>
      <c r="G532" s="356">
        <v>1.86666666666667</v>
      </c>
      <c r="H532" s="344">
        <v>3.0333333333333301</v>
      </c>
      <c r="I532" s="344">
        <v>3.9666666666666699</v>
      </c>
      <c r="J532" s="344">
        <v>4.43333333333333</v>
      </c>
      <c r="K532" s="344">
        <v>4.2</v>
      </c>
      <c r="L532" s="344">
        <f t="shared" si="57"/>
        <v>0.92555555555555624</v>
      </c>
      <c r="M532" s="344">
        <v>4.6666666666666696</v>
      </c>
      <c r="N532" s="344">
        <v>5.8333333333333304</v>
      </c>
      <c r="O532" s="344">
        <v>6.3</v>
      </c>
      <c r="P532" s="344">
        <v>7</v>
      </c>
      <c r="Q532" s="344">
        <v>9.1</v>
      </c>
      <c r="R532" s="344">
        <v>11.9</v>
      </c>
      <c r="S532" s="344">
        <v>13.3</v>
      </c>
      <c r="T532" s="344">
        <v>15.633333333333301</v>
      </c>
      <c r="U532" s="344">
        <v>15.633333333333301</v>
      </c>
      <c r="V532" s="344">
        <v>14.9333333333333</v>
      </c>
      <c r="W532" s="344">
        <v>14.466666666666701</v>
      </c>
      <c r="X532" s="344">
        <v>17.5</v>
      </c>
      <c r="Y532" s="344">
        <v>19.366666666666699</v>
      </c>
      <c r="Z532" s="344">
        <v>17.5</v>
      </c>
      <c r="AA532" s="344">
        <v>19.366666666666699</v>
      </c>
      <c r="AB532" s="344">
        <v>16.566666666666698</v>
      </c>
      <c r="AC532" s="344">
        <v>14.9333333333333</v>
      </c>
      <c r="AD532" s="344">
        <f t="shared" si="58"/>
        <v>-1.6333333333333986</v>
      </c>
      <c r="AE532" s="344">
        <v>8</v>
      </c>
      <c r="AF532" s="344">
        <v>2</v>
      </c>
      <c r="AG532" s="346">
        <v>3</v>
      </c>
      <c r="AH532" s="346">
        <v>4</v>
      </c>
      <c r="AI532" s="346">
        <v>3</v>
      </c>
      <c r="AJ532" s="346">
        <v>2</v>
      </c>
      <c r="AK532" s="346">
        <v>3</v>
      </c>
      <c r="AL532" s="346">
        <v>2</v>
      </c>
      <c r="AM532" s="346">
        <v>2</v>
      </c>
      <c r="AN532" s="346">
        <v>2</v>
      </c>
      <c r="AO532" s="346">
        <v>2</v>
      </c>
      <c r="AP532" s="346">
        <v>3</v>
      </c>
      <c r="AQ532" s="357">
        <v>7</v>
      </c>
      <c r="AR532" s="357">
        <v>3</v>
      </c>
      <c r="AS532" s="357">
        <v>3</v>
      </c>
      <c r="AT532" s="357">
        <v>2</v>
      </c>
      <c r="AU532" s="357">
        <v>3</v>
      </c>
      <c r="AV532" s="357">
        <v>2</v>
      </c>
      <c r="AW532" s="357">
        <v>8</v>
      </c>
      <c r="AX532" s="357">
        <v>2</v>
      </c>
      <c r="AY532" s="357">
        <v>3</v>
      </c>
      <c r="AZ532" s="357">
        <v>2</v>
      </c>
      <c r="BA532" s="357">
        <v>10</v>
      </c>
      <c r="BB532" s="357">
        <v>3</v>
      </c>
      <c r="BC532" s="357">
        <v>3</v>
      </c>
    </row>
    <row r="533" spans="1:55" s="381" customFormat="1" ht="17.649999999999999" customHeight="1">
      <c r="A533" s="343">
        <v>101</v>
      </c>
      <c r="B533" s="211" t="s">
        <v>2180</v>
      </c>
      <c r="C533" s="211" t="s">
        <v>2055</v>
      </c>
      <c r="D533" s="211" t="s">
        <v>2125</v>
      </c>
      <c r="E533" s="344">
        <v>9</v>
      </c>
      <c r="F533" s="344">
        <v>8.4</v>
      </c>
      <c r="G533" s="356">
        <v>6.3</v>
      </c>
      <c r="H533" s="344">
        <v>6.3</v>
      </c>
      <c r="I533" s="344">
        <v>5.6</v>
      </c>
      <c r="J533" s="344">
        <v>7.4666666666666703</v>
      </c>
      <c r="K533" s="344">
        <v>5.1333333333333302</v>
      </c>
      <c r="L533" s="344">
        <f t="shared" si="57"/>
        <v>1.3066666666666666</v>
      </c>
      <c r="M533" s="344">
        <v>7.93333333333333</v>
      </c>
      <c r="N533" s="344">
        <v>7.7</v>
      </c>
      <c r="O533" s="344">
        <v>10.966666666666701</v>
      </c>
      <c r="P533" s="344">
        <v>10.966666666666701</v>
      </c>
      <c r="Q533" s="344">
        <v>10.733333333333301</v>
      </c>
      <c r="R533" s="344">
        <v>10.033333333333299</v>
      </c>
      <c r="S533" s="344">
        <v>6.5333333333333297</v>
      </c>
      <c r="T533" s="344">
        <v>6.3</v>
      </c>
      <c r="U533" s="344">
        <v>8.6333333333333293</v>
      </c>
      <c r="V533" s="344">
        <v>7.93333333333333</v>
      </c>
      <c r="W533" s="344">
        <v>5.8333333333333304</v>
      </c>
      <c r="X533" s="344">
        <v>6.5333333333333297</v>
      </c>
      <c r="Y533" s="344">
        <v>9.56666666666667</v>
      </c>
      <c r="Z533" s="344">
        <v>5.8333333333333304</v>
      </c>
      <c r="AA533" s="344">
        <v>6.5333333333333297</v>
      </c>
      <c r="AB533" s="344">
        <v>5.8333333333333304</v>
      </c>
      <c r="AC533" s="344">
        <v>4.6666666666666696</v>
      </c>
      <c r="AD533" s="344">
        <f t="shared" si="58"/>
        <v>-1.1666666666666607</v>
      </c>
      <c r="AE533" s="344">
        <v>1</v>
      </c>
      <c r="AF533" s="344">
        <v>1</v>
      </c>
      <c r="AG533" s="346">
        <v>1</v>
      </c>
      <c r="AH533" s="346">
        <v>1</v>
      </c>
      <c r="AI533" s="346">
        <v>1</v>
      </c>
      <c r="AJ533" s="346">
        <v>1</v>
      </c>
      <c r="AK533" s="346">
        <v>1</v>
      </c>
      <c r="AL533" s="346">
        <v>1</v>
      </c>
      <c r="AM533" s="346">
        <v>1</v>
      </c>
      <c r="AN533" s="346">
        <v>1</v>
      </c>
      <c r="AO533" s="346">
        <v>1</v>
      </c>
      <c r="AP533" s="346">
        <v>1</v>
      </c>
      <c r="AQ533" s="357">
        <v>1</v>
      </c>
      <c r="AR533" s="357">
        <v>1</v>
      </c>
      <c r="AS533" s="357">
        <v>1</v>
      </c>
      <c r="AT533" s="357">
        <v>1</v>
      </c>
      <c r="AU533" s="357">
        <v>1</v>
      </c>
      <c r="AV533" s="357">
        <v>1</v>
      </c>
      <c r="AW533" s="357">
        <v>1</v>
      </c>
      <c r="AX533" s="357">
        <v>1</v>
      </c>
      <c r="AY533" s="357">
        <v>1</v>
      </c>
      <c r="AZ533" s="357">
        <v>1</v>
      </c>
      <c r="BA533" s="357">
        <v>1</v>
      </c>
      <c r="BB533" s="357">
        <v>1</v>
      </c>
      <c r="BC533" s="357">
        <v>1</v>
      </c>
    </row>
    <row r="534" spans="1:55" s="381" customFormat="1" ht="17.649999999999999" customHeight="1">
      <c r="A534" s="343">
        <v>102</v>
      </c>
      <c r="B534" s="211" t="s">
        <v>2181</v>
      </c>
      <c r="C534" s="211" t="s">
        <v>2055</v>
      </c>
      <c r="D534" s="211" t="s">
        <v>2125</v>
      </c>
      <c r="E534" s="344">
        <v>148</v>
      </c>
      <c r="F534" s="344">
        <v>160.066666666667</v>
      </c>
      <c r="G534" s="356">
        <v>197.86666666666699</v>
      </c>
      <c r="H534" s="344">
        <v>238.933333333333</v>
      </c>
      <c r="I534" s="344">
        <v>281.16666666666703</v>
      </c>
      <c r="J534" s="344">
        <v>294</v>
      </c>
      <c r="K534" s="344">
        <v>285.60000000000002</v>
      </c>
      <c r="L534" s="344">
        <f t="shared" si="57"/>
        <v>65.60555555555564</v>
      </c>
      <c r="M534" s="344">
        <v>203</v>
      </c>
      <c r="N534" s="344">
        <v>197.63333333333301</v>
      </c>
      <c r="O534" s="344">
        <v>198.8</v>
      </c>
      <c r="P534" s="344">
        <v>211.86666666666699</v>
      </c>
      <c r="Q534" s="344">
        <v>221.433333333333</v>
      </c>
      <c r="R534" s="344">
        <v>212.1</v>
      </c>
      <c r="S534" s="344">
        <v>281.63333333333298</v>
      </c>
      <c r="T534" s="344">
        <v>345.566666666667</v>
      </c>
      <c r="U534" s="344">
        <v>402.03333333333302</v>
      </c>
      <c r="V534" s="344">
        <v>462.23333333333301</v>
      </c>
      <c r="W534" s="344">
        <v>501.433333333333</v>
      </c>
      <c r="X534" s="344">
        <v>491.4</v>
      </c>
      <c r="Y534" s="344">
        <v>551.13333333333298</v>
      </c>
      <c r="Z534" s="344">
        <v>536.66666666666697</v>
      </c>
      <c r="AA534" s="344">
        <v>615.76666666666699</v>
      </c>
      <c r="AB534" s="344">
        <v>681.56666666666695</v>
      </c>
      <c r="AC534" s="344">
        <v>696.03333333333296</v>
      </c>
      <c r="AD534" s="344">
        <f t="shared" si="58"/>
        <v>14.466666666666015</v>
      </c>
      <c r="AE534" s="344">
        <v>8</v>
      </c>
      <c r="AF534" s="344">
        <v>10</v>
      </c>
      <c r="AG534" s="346">
        <v>3</v>
      </c>
      <c r="AH534" s="346">
        <v>6</v>
      </c>
      <c r="AI534" s="346">
        <v>7</v>
      </c>
      <c r="AJ534" s="346">
        <v>8</v>
      </c>
      <c r="AK534" s="346">
        <v>9</v>
      </c>
      <c r="AL534" s="346">
        <v>8</v>
      </c>
      <c r="AM534" s="346">
        <v>11</v>
      </c>
      <c r="AN534" s="346">
        <v>12</v>
      </c>
      <c r="AO534" s="346">
        <v>12</v>
      </c>
      <c r="AP534" s="357">
        <v>9</v>
      </c>
      <c r="AQ534" s="357">
        <v>4</v>
      </c>
      <c r="AR534" s="357">
        <v>6</v>
      </c>
      <c r="AS534" s="357">
        <v>10</v>
      </c>
      <c r="AT534" s="357">
        <v>11</v>
      </c>
      <c r="AU534" s="357">
        <v>4</v>
      </c>
      <c r="AV534" s="357">
        <v>8</v>
      </c>
      <c r="AW534" s="357">
        <v>1</v>
      </c>
      <c r="AX534" s="357">
        <v>4</v>
      </c>
      <c r="AY534" s="357">
        <v>9</v>
      </c>
      <c r="AZ534" s="357">
        <v>8</v>
      </c>
      <c r="BA534" s="357">
        <v>8</v>
      </c>
      <c r="BB534" s="357">
        <v>10</v>
      </c>
      <c r="BC534" s="357">
        <v>4</v>
      </c>
    </row>
    <row r="535" spans="1:55" s="381" customFormat="1" ht="17.649999999999999" customHeight="1">
      <c r="A535" s="343">
        <v>103</v>
      </c>
      <c r="B535" s="211" t="s">
        <v>2182</v>
      </c>
      <c r="C535" s="211" t="s">
        <v>2055</v>
      </c>
      <c r="D535" s="211" t="s">
        <v>2125</v>
      </c>
      <c r="E535" s="344">
        <v>25</v>
      </c>
      <c r="F535" s="344">
        <v>23.1</v>
      </c>
      <c r="G535" s="356">
        <v>28.466666666666701</v>
      </c>
      <c r="H535" s="344">
        <v>30.8</v>
      </c>
      <c r="I535" s="344">
        <v>30.8</v>
      </c>
      <c r="J535" s="344">
        <v>29.4</v>
      </c>
      <c r="K535" s="344">
        <v>35.466666666666697</v>
      </c>
      <c r="L535" s="344">
        <f t="shared" si="57"/>
        <v>7.1866666666666665</v>
      </c>
      <c r="M535" s="344">
        <v>29.633333333333301</v>
      </c>
      <c r="N535" s="344">
        <v>25.433333333333302</v>
      </c>
      <c r="O535" s="344">
        <v>24.5</v>
      </c>
      <c r="P535" s="344">
        <v>22.633333333333301</v>
      </c>
      <c r="Q535" s="344">
        <v>28.7</v>
      </c>
      <c r="R535" s="344">
        <v>28.7</v>
      </c>
      <c r="S535" s="344">
        <v>32.200000000000003</v>
      </c>
      <c r="T535" s="344">
        <v>32.6666666666667</v>
      </c>
      <c r="U535" s="344">
        <v>28.233333333333299</v>
      </c>
      <c r="V535" s="344">
        <v>27.766666666666701</v>
      </c>
      <c r="W535" s="344">
        <v>24.033333333333299</v>
      </c>
      <c r="X535" s="344">
        <v>19.600000000000001</v>
      </c>
      <c r="Y535" s="344">
        <v>16.3333333333333</v>
      </c>
      <c r="Z535" s="344">
        <v>26.366666666666699</v>
      </c>
      <c r="AA535" s="344">
        <v>27.3</v>
      </c>
      <c r="AB535" s="344">
        <v>26.366666666666699</v>
      </c>
      <c r="AC535" s="344">
        <v>24.966666666666701</v>
      </c>
      <c r="AD535" s="344">
        <f t="shared" si="58"/>
        <v>-1.3999999999999986</v>
      </c>
      <c r="AE535" s="344">
        <v>1</v>
      </c>
      <c r="AF535" s="344">
        <v>3</v>
      </c>
      <c r="AG535" s="346">
        <v>1</v>
      </c>
      <c r="AH535" s="346">
        <v>16</v>
      </c>
      <c r="AI535" s="346">
        <v>3</v>
      </c>
      <c r="AJ535" s="346">
        <v>2</v>
      </c>
      <c r="AK535" s="346">
        <v>2</v>
      </c>
      <c r="AL535" s="346">
        <v>2</v>
      </c>
      <c r="AM535" s="346">
        <v>3</v>
      </c>
      <c r="AN535" s="346">
        <v>5</v>
      </c>
      <c r="AO535" s="346">
        <v>5</v>
      </c>
      <c r="AP535" s="346">
        <v>10</v>
      </c>
      <c r="AQ535" s="357">
        <v>10</v>
      </c>
      <c r="AR535" s="357">
        <v>9</v>
      </c>
      <c r="AS535" s="357">
        <v>1</v>
      </c>
      <c r="AT535" s="357">
        <v>1</v>
      </c>
      <c r="AU535" s="357">
        <v>3</v>
      </c>
      <c r="AV535" s="357">
        <v>1</v>
      </c>
      <c r="AW535" s="357">
        <v>9</v>
      </c>
      <c r="AX535" s="357">
        <v>8</v>
      </c>
      <c r="AY535" s="357">
        <v>1</v>
      </c>
      <c r="AZ535" s="357">
        <v>1</v>
      </c>
      <c r="BA535" s="357">
        <v>10</v>
      </c>
      <c r="BB535" s="357">
        <v>1</v>
      </c>
      <c r="BC535" s="357">
        <v>1</v>
      </c>
    </row>
    <row r="536" spans="1:55" s="381" customFormat="1" ht="17.649999999999999" customHeight="1">
      <c r="A536" s="343">
        <v>104</v>
      </c>
      <c r="B536" s="211" t="s">
        <v>2183</v>
      </c>
      <c r="C536" s="211" t="s">
        <v>2055</v>
      </c>
      <c r="D536" s="211" t="s">
        <v>2125</v>
      </c>
      <c r="E536" s="344">
        <v>41</v>
      </c>
      <c r="F536" s="344">
        <v>42.7</v>
      </c>
      <c r="G536" s="356">
        <v>38.5</v>
      </c>
      <c r="H536" s="344">
        <v>34.066666666666698</v>
      </c>
      <c r="I536" s="344">
        <v>27.766666666666701</v>
      </c>
      <c r="J536" s="344">
        <v>24.5</v>
      </c>
      <c r="K536" s="344">
        <v>22.866666666666699</v>
      </c>
      <c r="L536" s="344">
        <f t="shared" si="57"/>
        <v>6.4788888888888971</v>
      </c>
      <c r="M536" s="344">
        <v>25.433333333333302</v>
      </c>
      <c r="N536" s="344">
        <v>25.6666666666667</v>
      </c>
      <c r="O536" s="344">
        <v>27.3</v>
      </c>
      <c r="P536" s="344">
        <v>27.066666666666698</v>
      </c>
      <c r="Q536" s="344">
        <v>25.433333333333302</v>
      </c>
      <c r="R536" s="344">
        <v>27.066666666666698</v>
      </c>
      <c r="S536" s="344">
        <v>22.866666666666699</v>
      </c>
      <c r="T536" s="344">
        <v>22.633333333333301</v>
      </c>
      <c r="U536" s="344">
        <v>24.966666666666701</v>
      </c>
      <c r="V536" s="344">
        <v>23.3333333333333</v>
      </c>
      <c r="W536" s="344">
        <v>20.066666666666698</v>
      </c>
      <c r="X536" s="344">
        <v>17.5</v>
      </c>
      <c r="Y536" s="344">
        <v>16.3333333333333</v>
      </c>
      <c r="Z536" s="344">
        <v>17.966666666666701</v>
      </c>
      <c r="AA536" s="344">
        <v>22.633333333333301</v>
      </c>
      <c r="AB536" s="344">
        <v>25.433333333333302</v>
      </c>
      <c r="AC536" s="344">
        <v>23.8</v>
      </c>
      <c r="AD536" s="344">
        <f t="shared" si="58"/>
        <v>-1.6333333333333009</v>
      </c>
      <c r="AE536" s="344">
        <v>12</v>
      </c>
      <c r="AF536" s="344">
        <v>4</v>
      </c>
      <c r="AG536" s="346">
        <v>13</v>
      </c>
      <c r="AH536" s="346">
        <v>3</v>
      </c>
      <c r="AI536" s="346">
        <v>10</v>
      </c>
      <c r="AJ536" s="346">
        <v>1</v>
      </c>
      <c r="AK536" s="346">
        <v>3</v>
      </c>
      <c r="AL536" s="346">
        <v>1</v>
      </c>
      <c r="AM536" s="346">
        <v>4</v>
      </c>
      <c r="AN536" s="346">
        <v>3</v>
      </c>
      <c r="AO536" s="346">
        <v>3</v>
      </c>
      <c r="AP536" s="346">
        <v>3</v>
      </c>
      <c r="AQ536" s="357">
        <v>2</v>
      </c>
      <c r="AR536" s="357">
        <v>2</v>
      </c>
      <c r="AS536" s="357">
        <v>2</v>
      </c>
      <c r="AT536" s="357">
        <v>2</v>
      </c>
      <c r="AU536" s="357">
        <v>4</v>
      </c>
      <c r="AV536" s="357">
        <v>8</v>
      </c>
      <c r="AW536" s="357">
        <v>2</v>
      </c>
      <c r="AX536" s="357">
        <v>2</v>
      </c>
      <c r="AY536" s="357">
        <v>7</v>
      </c>
      <c r="AZ536" s="357">
        <v>6</v>
      </c>
      <c r="BA536" s="357">
        <v>4</v>
      </c>
      <c r="BB536" s="357">
        <v>3</v>
      </c>
      <c r="BC536" s="357">
        <v>10</v>
      </c>
    </row>
    <row r="537" spans="1:55" s="381" customFormat="1" ht="17.649999999999999" customHeight="1">
      <c r="A537" s="343">
        <v>105</v>
      </c>
      <c r="B537" s="211" t="s">
        <v>2184</v>
      </c>
      <c r="C537" s="211" t="s">
        <v>2055</v>
      </c>
      <c r="D537" s="211" t="s">
        <v>2125</v>
      </c>
      <c r="E537" s="344">
        <v>0</v>
      </c>
      <c r="F537" s="344">
        <v>1.4</v>
      </c>
      <c r="G537" s="356">
        <v>0.233333333333333</v>
      </c>
      <c r="H537" s="344">
        <v>0.233333333333333</v>
      </c>
      <c r="I537" s="344">
        <v>1.4</v>
      </c>
      <c r="J537" s="344">
        <v>1.4</v>
      </c>
      <c r="K537" s="344">
        <v>0.233333333333333</v>
      </c>
      <c r="L537" s="344">
        <f t="shared" si="57"/>
        <v>0.32666666666666666</v>
      </c>
      <c r="M537" s="344">
        <v>1.86666666666667</v>
      </c>
      <c r="N537" s="344">
        <v>4.43333333333333</v>
      </c>
      <c r="O537" s="344">
        <v>6.5333333333333297</v>
      </c>
      <c r="P537" s="344">
        <v>7.4666666666666703</v>
      </c>
      <c r="Q537" s="344">
        <v>6.7666666666666702</v>
      </c>
      <c r="R537" s="344">
        <v>5.3666666666666698</v>
      </c>
      <c r="S537" s="344">
        <v>3.9666666666666699</v>
      </c>
      <c r="T537" s="344">
        <v>4.2</v>
      </c>
      <c r="U537" s="344">
        <v>4.2</v>
      </c>
      <c r="V537" s="344">
        <v>7</v>
      </c>
      <c r="W537" s="344">
        <v>7.4666666666666703</v>
      </c>
      <c r="X537" s="344">
        <v>7</v>
      </c>
      <c r="Y537" s="344">
        <v>7.7</v>
      </c>
      <c r="Z537" s="344">
        <v>7</v>
      </c>
      <c r="AA537" s="344">
        <v>7.7</v>
      </c>
      <c r="AB537" s="344">
        <v>6.7666666666666702</v>
      </c>
      <c r="AC537" s="344">
        <v>5.1333333333333302</v>
      </c>
      <c r="AD537" s="344">
        <f t="shared" si="58"/>
        <v>-1.63333333333334</v>
      </c>
      <c r="AE537" s="344">
        <v>1</v>
      </c>
      <c r="AF537" s="344">
        <v>4</v>
      </c>
      <c r="AG537" s="346">
        <v>8</v>
      </c>
      <c r="AH537" s="346">
        <v>1</v>
      </c>
      <c r="AI537" s="346">
        <v>1</v>
      </c>
      <c r="AJ537" s="346">
        <v>10</v>
      </c>
      <c r="AK537" s="346">
        <v>1</v>
      </c>
      <c r="AL537" s="346">
        <v>10</v>
      </c>
      <c r="AM537" s="346">
        <v>10</v>
      </c>
      <c r="AN537" s="346">
        <v>10</v>
      </c>
      <c r="AO537" s="346">
        <v>10</v>
      </c>
      <c r="AP537" s="346">
        <v>10</v>
      </c>
      <c r="AQ537" s="357">
        <v>1</v>
      </c>
      <c r="AR537" s="357">
        <v>3</v>
      </c>
      <c r="AS537" s="357">
        <v>10</v>
      </c>
      <c r="AT537" s="357">
        <v>1</v>
      </c>
      <c r="AU537" s="357">
        <v>1</v>
      </c>
      <c r="AV537" s="357">
        <v>1</v>
      </c>
      <c r="AW537" s="357">
        <v>1</v>
      </c>
      <c r="AX537" s="357">
        <v>1</v>
      </c>
      <c r="AY537" s="357">
        <v>1</v>
      </c>
      <c r="AZ537" s="357">
        <v>1</v>
      </c>
      <c r="BA537" s="357">
        <v>1</v>
      </c>
      <c r="BB537" s="357">
        <v>1</v>
      </c>
      <c r="BC537" s="357">
        <v>1</v>
      </c>
    </row>
    <row r="538" spans="1:55" s="381" customFormat="1" ht="17.649999999999999" customHeight="1">
      <c r="A538" s="343">
        <v>106</v>
      </c>
      <c r="B538" s="211" t="s">
        <v>2185</v>
      </c>
      <c r="C538" s="211" t="s">
        <v>2055</v>
      </c>
      <c r="D538" s="211" t="s">
        <v>2125</v>
      </c>
      <c r="E538" s="344">
        <v>83</v>
      </c>
      <c r="F538" s="344">
        <v>89.8333333333333</v>
      </c>
      <c r="G538" s="356">
        <v>98</v>
      </c>
      <c r="H538" s="344">
        <v>103.833333333333</v>
      </c>
      <c r="I538" s="344">
        <v>105.23333333333299</v>
      </c>
      <c r="J538" s="344">
        <v>86.3333333333333</v>
      </c>
      <c r="K538" s="344">
        <v>74.900000000000006</v>
      </c>
      <c r="L538" s="344">
        <f t="shared" si="57"/>
        <v>24.554444444444364</v>
      </c>
      <c r="M538" s="344">
        <v>64.633333333333297</v>
      </c>
      <c r="N538" s="344">
        <v>74.900000000000006</v>
      </c>
      <c r="O538" s="344">
        <v>81.2</v>
      </c>
      <c r="P538" s="344">
        <v>87.733333333333306</v>
      </c>
      <c r="Q538" s="344">
        <v>87.033333333333303</v>
      </c>
      <c r="R538" s="344">
        <v>84.466666666666697</v>
      </c>
      <c r="S538" s="344">
        <v>91.466666666666697</v>
      </c>
      <c r="T538" s="344">
        <v>91.933333333333294</v>
      </c>
      <c r="U538" s="344">
        <v>90.766666666666694</v>
      </c>
      <c r="V538" s="344">
        <v>85.4</v>
      </c>
      <c r="W538" s="344">
        <v>77</v>
      </c>
      <c r="X538" s="344">
        <v>69.066666666666706</v>
      </c>
      <c r="Y538" s="344">
        <v>66.266666666666694</v>
      </c>
      <c r="Z538" s="344">
        <v>65.566666666666706</v>
      </c>
      <c r="AA538" s="344">
        <v>57.866666666666703</v>
      </c>
      <c r="AB538" s="344">
        <v>61.366666666666703</v>
      </c>
      <c r="AC538" s="344">
        <v>59.966666666666697</v>
      </c>
      <c r="AD538" s="344">
        <f t="shared" si="58"/>
        <v>-1.4000000000000057</v>
      </c>
      <c r="AE538" s="344">
        <v>3</v>
      </c>
      <c r="AF538" s="344">
        <v>7</v>
      </c>
      <c r="AG538" s="346">
        <v>10</v>
      </c>
      <c r="AH538" s="346">
        <v>3</v>
      </c>
      <c r="AI538" s="346">
        <v>4</v>
      </c>
      <c r="AJ538" s="346">
        <v>3</v>
      </c>
      <c r="AK538" s="346">
        <v>4</v>
      </c>
      <c r="AL538" s="346">
        <v>3</v>
      </c>
      <c r="AM538" s="346">
        <v>4</v>
      </c>
      <c r="AN538" s="346">
        <v>7</v>
      </c>
      <c r="AO538" s="346">
        <v>7</v>
      </c>
      <c r="AP538" s="357">
        <v>7</v>
      </c>
      <c r="AQ538" s="357">
        <v>4</v>
      </c>
      <c r="AR538" s="357">
        <v>4</v>
      </c>
      <c r="AS538" s="357">
        <v>3</v>
      </c>
      <c r="AT538" s="357">
        <v>3</v>
      </c>
      <c r="AU538" s="357">
        <v>3</v>
      </c>
      <c r="AV538" s="357">
        <v>4</v>
      </c>
      <c r="AW538" s="357">
        <v>4</v>
      </c>
      <c r="AX538" s="357">
        <v>10</v>
      </c>
      <c r="AY538" s="357">
        <v>5</v>
      </c>
      <c r="AZ538" s="357">
        <v>4</v>
      </c>
      <c r="BA538" s="357">
        <v>3</v>
      </c>
      <c r="BB538" s="357">
        <v>10</v>
      </c>
      <c r="BC538" s="357">
        <v>10</v>
      </c>
    </row>
    <row r="539" spans="1:55" s="381" customFormat="1" ht="17.649999999999999" customHeight="1">
      <c r="A539" s="343">
        <v>107</v>
      </c>
      <c r="B539" s="211" t="s">
        <v>2186</v>
      </c>
      <c r="C539" s="211" t="s">
        <v>2055</v>
      </c>
      <c r="D539" s="211" t="s">
        <v>2125</v>
      </c>
      <c r="E539" s="344">
        <v>194</v>
      </c>
      <c r="F539" s="344">
        <v>192.73333333333301</v>
      </c>
      <c r="G539" s="356">
        <v>186.433333333333</v>
      </c>
      <c r="H539" s="344">
        <v>187.6</v>
      </c>
      <c r="I539" s="344">
        <v>198.8</v>
      </c>
      <c r="J539" s="344">
        <v>204.4</v>
      </c>
      <c r="K539" s="344">
        <v>213.26666666666699</v>
      </c>
      <c r="L539" s="344">
        <f t="shared" si="57"/>
        <v>46.38666666666667</v>
      </c>
      <c r="M539" s="344">
        <v>206.73333333333301</v>
      </c>
      <c r="N539" s="344">
        <v>179.9</v>
      </c>
      <c r="O539" s="344">
        <v>178.5</v>
      </c>
      <c r="P539" s="344">
        <v>175.46666666666701</v>
      </c>
      <c r="Q539" s="344">
        <v>177.8</v>
      </c>
      <c r="R539" s="344">
        <v>181.066666666667</v>
      </c>
      <c r="S539" s="344">
        <v>187.6</v>
      </c>
      <c r="T539" s="344">
        <v>191.8</v>
      </c>
      <c r="U539" s="344">
        <v>187.6</v>
      </c>
      <c r="V539" s="344">
        <v>177.566666666667</v>
      </c>
      <c r="W539" s="344">
        <v>169.86666666666699</v>
      </c>
      <c r="X539" s="344">
        <v>171.96666666666701</v>
      </c>
      <c r="Y539" s="344">
        <v>188.066666666667</v>
      </c>
      <c r="Z539" s="344">
        <v>195.53333333333299</v>
      </c>
      <c r="AA539" s="344">
        <v>202.066666666667</v>
      </c>
      <c r="AB539" s="344">
        <v>201.6</v>
      </c>
      <c r="AC539" s="344">
        <v>199.5</v>
      </c>
      <c r="AD539" s="344">
        <f t="shared" si="58"/>
        <v>-2.0999999999999943</v>
      </c>
      <c r="AE539" s="344">
        <v>2</v>
      </c>
      <c r="AF539" s="344">
        <v>2</v>
      </c>
      <c r="AG539" s="346">
        <v>2</v>
      </c>
      <c r="AH539" s="346">
        <v>10</v>
      </c>
      <c r="AI539" s="346">
        <v>2</v>
      </c>
      <c r="AJ539" s="346">
        <v>2</v>
      </c>
      <c r="AK539" s="346">
        <v>2</v>
      </c>
      <c r="AL539" s="346">
        <v>2</v>
      </c>
      <c r="AM539" s="346">
        <v>2</v>
      </c>
      <c r="AN539" s="346">
        <v>2</v>
      </c>
      <c r="AO539" s="346">
        <v>2</v>
      </c>
      <c r="AP539" s="346">
        <v>2</v>
      </c>
      <c r="AQ539" s="357">
        <v>2</v>
      </c>
      <c r="AR539" s="357">
        <v>7</v>
      </c>
      <c r="AS539" s="357">
        <v>3</v>
      </c>
      <c r="AT539" s="357">
        <v>6</v>
      </c>
      <c r="AU539" s="357">
        <v>2</v>
      </c>
      <c r="AV539" s="357">
        <v>2</v>
      </c>
      <c r="AW539" s="357">
        <v>9</v>
      </c>
      <c r="AX539" s="357">
        <v>5</v>
      </c>
      <c r="AY539" s="357">
        <v>1</v>
      </c>
      <c r="AZ539" s="357">
        <v>6</v>
      </c>
      <c r="BA539" s="357">
        <v>7</v>
      </c>
      <c r="BB539" s="357">
        <v>3</v>
      </c>
      <c r="BC539" s="357">
        <v>3</v>
      </c>
    </row>
    <row r="540" spans="1:55" s="381" customFormat="1" ht="17.649999999999999" customHeight="1">
      <c r="A540" s="343">
        <v>108</v>
      </c>
      <c r="B540" s="211" t="s">
        <v>2187</v>
      </c>
      <c r="C540" s="211" t="s">
        <v>2055</v>
      </c>
      <c r="D540" s="211" t="s">
        <v>2125</v>
      </c>
      <c r="E540" s="344">
        <v>1</v>
      </c>
      <c r="F540" s="344">
        <v>1.86666666666667</v>
      </c>
      <c r="G540" s="356">
        <v>1.86666666666667</v>
      </c>
      <c r="H540" s="344">
        <v>2.1</v>
      </c>
      <c r="I540" s="344">
        <v>2.3333333333333299</v>
      </c>
      <c r="J540" s="344">
        <v>2.56666666666667</v>
      </c>
      <c r="K540" s="344">
        <v>2.3333333333333299</v>
      </c>
      <c r="L540" s="344">
        <f t="shared" si="57"/>
        <v>0.54444444444444362</v>
      </c>
      <c r="M540" s="344">
        <v>1.86666666666667</v>
      </c>
      <c r="N540" s="344">
        <v>3.5</v>
      </c>
      <c r="O540" s="344">
        <v>4.2</v>
      </c>
      <c r="P540" s="344">
        <v>5.8333333333333304</v>
      </c>
      <c r="Q540" s="344">
        <v>8.6333333333333293</v>
      </c>
      <c r="R540" s="344">
        <v>7.4666666666666703</v>
      </c>
      <c r="S540" s="344">
        <v>8.8666666666666707</v>
      </c>
      <c r="T540" s="344">
        <v>8.4</v>
      </c>
      <c r="U540" s="344">
        <v>8.4</v>
      </c>
      <c r="V540" s="344">
        <v>7.93333333333333</v>
      </c>
      <c r="W540" s="344">
        <v>6.3</v>
      </c>
      <c r="X540" s="344">
        <v>6.3</v>
      </c>
      <c r="Y540" s="344">
        <v>5.8333333333333304</v>
      </c>
      <c r="Z540" s="344">
        <v>5.3666666666666698</v>
      </c>
      <c r="AA540" s="344">
        <v>4.2</v>
      </c>
      <c r="AB540" s="344">
        <v>5.3666666666666698</v>
      </c>
      <c r="AC540" s="344">
        <v>4.43333333333333</v>
      </c>
      <c r="AD540" s="344">
        <f t="shared" si="58"/>
        <v>-0.93333333333333979</v>
      </c>
      <c r="AE540" s="344">
        <v>1</v>
      </c>
      <c r="AF540" s="344">
        <v>3</v>
      </c>
      <c r="AG540" s="346">
        <v>1</v>
      </c>
      <c r="AH540" s="346">
        <v>1</v>
      </c>
      <c r="AI540" s="346">
        <v>3</v>
      </c>
      <c r="AJ540" s="346">
        <v>1</v>
      </c>
      <c r="AK540" s="346">
        <v>1</v>
      </c>
      <c r="AL540" s="346">
        <v>1</v>
      </c>
      <c r="AM540" s="346">
        <v>1</v>
      </c>
      <c r="AN540" s="346">
        <v>10</v>
      </c>
      <c r="AO540" s="346">
        <v>10</v>
      </c>
      <c r="AP540" s="346">
        <v>9</v>
      </c>
      <c r="AQ540" s="357">
        <v>1</v>
      </c>
      <c r="AR540" s="357">
        <v>1</v>
      </c>
      <c r="AS540" s="357">
        <v>1</v>
      </c>
      <c r="AT540" s="357">
        <v>1</v>
      </c>
      <c r="AU540" s="357">
        <v>9</v>
      </c>
      <c r="AV540" s="357">
        <v>1</v>
      </c>
      <c r="AW540" s="357">
        <v>1</v>
      </c>
      <c r="AX540" s="357">
        <v>10</v>
      </c>
      <c r="AY540" s="357">
        <v>1</v>
      </c>
      <c r="AZ540" s="357">
        <v>4</v>
      </c>
      <c r="BA540" s="357">
        <v>4</v>
      </c>
      <c r="BB540" s="357">
        <v>3</v>
      </c>
      <c r="BC540" s="357">
        <v>1</v>
      </c>
    </row>
    <row r="541" spans="1:55" s="381" customFormat="1" ht="17.649999999999999" customHeight="1">
      <c r="A541" s="343">
        <v>109</v>
      </c>
      <c r="B541" s="211" t="s">
        <v>2188</v>
      </c>
      <c r="C541" s="211" t="s">
        <v>2055</v>
      </c>
      <c r="D541" s="211" t="s">
        <v>2125</v>
      </c>
      <c r="E541" s="344">
        <v>1</v>
      </c>
      <c r="F541" s="344">
        <v>2.1</v>
      </c>
      <c r="G541" s="356">
        <v>2.1</v>
      </c>
      <c r="H541" s="344">
        <v>1.86666666666667</v>
      </c>
      <c r="I541" s="344">
        <v>2.1</v>
      </c>
      <c r="J541" s="344">
        <v>2.1</v>
      </c>
      <c r="K541" s="344">
        <v>1.4</v>
      </c>
      <c r="L541" s="344">
        <f t="shared" si="57"/>
        <v>0.49000000000000005</v>
      </c>
      <c r="M541" s="344">
        <v>1.86666666666667</v>
      </c>
      <c r="N541" s="344">
        <v>3.9666666666666699</v>
      </c>
      <c r="O541" s="344">
        <v>4.6666666666666696</v>
      </c>
      <c r="P541" s="344">
        <v>7.4666666666666703</v>
      </c>
      <c r="Q541" s="344">
        <v>7.4666666666666703</v>
      </c>
      <c r="R541" s="344">
        <v>9.1</v>
      </c>
      <c r="S541" s="344">
        <v>8.8666666666666707</v>
      </c>
      <c r="T541" s="344">
        <v>6.5333333333333297</v>
      </c>
      <c r="U541" s="344">
        <v>6.5333333333333297</v>
      </c>
      <c r="V541" s="344">
        <v>5.8333333333333304</v>
      </c>
      <c r="W541" s="344">
        <v>5.8333333333333304</v>
      </c>
      <c r="X541" s="344">
        <v>7.93333333333333</v>
      </c>
      <c r="Y541" s="344">
        <v>9.8000000000000007</v>
      </c>
      <c r="Z541" s="344">
        <v>8.6333333333333293</v>
      </c>
      <c r="AA541" s="344">
        <v>8.8666666666666707</v>
      </c>
      <c r="AB541" s="344">
        <v>9.8000000000000007</v>
      </c>
      <c r="AC541" s="344">
        <v>5.6</v>
      </c>
      <c r="AD541" s="344">
        <f t="shared" si="58"/>
        <v>-4.2000000000000011</v>
      </c>
      <c r="AE541" s="344">
        <v>3</v>
      </c>
      <c r="AF541" s="344">
        <v>10</v>
      </c>
      <c r="AG541" s="346">
        <v>3</v>
      </c>
      <c r="AH541" s="346">
        <v>7</v>
      </c>
      <c r="AI541" s="346">
        <v>7</v>
      </c>
      <c r="AJ541" s="346">
        <v>7</v>
      </c>
      <c r="AK541" s="346">
        <v>5</v>
      </c>
      <c r="AL541" s="346">
        <v>7</v>
      </c>
      <c r="AM541" s="346">
        <v>8</v>
      </c>
      <c r="AN541" s="346">
        <v>5</v>
      </c>
      <c r="AO541" s="346">
        <v>5</v>
      </c>
      <c r="AP541" s="346">
        <v>5</v>
      </c>
      <c r="AQ541" s="357">
        <v>5</v>
      </c>
      <c r="AR541" s="357">
        <v>8</v>
      </c>
      <c r="AS541" s="357">
        <v>5</v>
      </c>
      <c r="AT541" s="357">
        <v>7</v>
      </c>
      <c r="AU541" s="357">
        <v>4</v>
      </c>
      <c r="AV541" s="357">
        <v>5</v>
      </c>
      <c r="AW541" s="357">
        <v>5</v>
      </c>
      <c r="AX541" s="357">
        <v>4</v>
      </c>
      <c r="AY541" s="357">
        <v>4</v>
      </c>
      <c r="AZ541" s="357">
        <v>13</v>
      </c>
      <c r="BA541" s="357">
        <v>3</v>
      </c>
      <c r="BB541" s="357">
        <v>14</v>
      </c>
      <c r="BC541" s="357">
        <v>10</v>
      </c>
    </row>
    <row r="542" spans="1:55" s="381" customFormat="1" ht="17.649999999999999" customHeight="1">
      <c r="A542" s="343">
        <v>110</v>
      </c>
      <c r="B542" s="211" t="s">
        <v>2189</v>
      </c>
      <c r="C542" s="211" t="s">
        <v>2055</v>
      </c>
      <c r="D542" s="211" t="s">
        <v>2125</v>
      </c>
      <c r="E542" s="344">
        <v>9</v>
      </c>
      <c r="F542" s="344">
        <v>10.033333333333299</v>
      </c>
      <c r="G542" s="356">
        <v>5.8333333333333304</v>
      </c>
      <c r="H542" s="344">
        <v>5.3666666666666698</v>
      </c>
      <c r="I542" s="344">
        <v>4.6666666666666696</v>
      </c>
      <c r="J542" s="344">
        <v>4.43333333333333</v>
      </c>
      <c r="K542" s="344">
        <v>2.56666666666667</v>
      </c>
      <c r="L542" s="344">
        <f t="shared" si="57"/>
        <v>1.0888888888888895</v>
      </c>
      <c r="M542" s="344">
        <v>5.6</v>
      </c>
      <c r="N542" s="344">
        <v>6.5333333333333297</v>
      </c>
      <c r="O542" s="344">
        <v>7</v>
      </c>
      <c r="P542" s="344">
        <v>8.4</v>
      </c>
      <c r="Q542" s="344">
        <v>8.4</v>
      </c>
      <c r="R542" s="344">
        <v>11.2</v>
      </c>
      <c r="S542" s="344">
        <v>11.2</v>
      </c>
      <c r="T542" s="344">
        <v>11.6666666666667</v>
      </c>
      <c r="U542" s="344">
        <v>10.266666666666699</v>
      </c>
      <c r="V542" s="344">
        <v>12.366666666666699</v>
      </c>
      <c r="W542" s="344">
        <v>17.966666666666701</v>
      </c>
      <c r="X542" s="344">
        <v>23.3333333333333</v>
      </c>
      <c r="Y542" s="344">
        <v>28.933333333333302</v>
      </c>
      <c r="Z542" s="344">
        <v>27.3</v>
      </c>
      <c r="AA542" s="344">
        <v>23.3333333333333</v>
      </c>
      <c r="AB542" s="344">
        <v>17.266666666666701</v>
      </c>
      <c r="AC542" s="344">
        <v>16.3333333333333</v>
      </c>
      <c r="AD542" s="344">
        <f t="shared" si="58"/>
        <v>-0.93333333333340107</v>
      </c>
      <c r="AE542" s="344">
        <v>2</v>
      </c>
      <c r="AF542" s="344">
        <v>1</v>
      </c>
      <c r="AG542" s="346">
        <v>1</v>
      </c>
      <c r="AH542" s="346">
        <v>3</v>
      </c>
      <c r="AI542" s="346">
        <v>3</v>
      </c>
      <c r="AJ542" s="346">
        <v>6</v>
      </c>
      <c r="AK542" s="346">
        <v>5</v>
      </c>
      <c r="AL542" s="346">
        <v>6</v>
      </c>
      <c r="AM542" s="346">
        <v>3</v>
      </c>
      <c r="AN542" s="346">
        <v>10</v>
      </c>
      <c r="AO542" s="346">
        <v>10</v>
      </c>
      <c r="AP542" s="346">
        <v>2</v>
      </c>
      <c r="AQ542" s="357">
        <v>2</v>
      </c>
      <c r="AR542" s="357">
        <v>3</v>
      </c>
      <c r="AS542" s="357">
        <v>1</v>
      </c>
      <c r="AT542" s="357">
        <v>3</v>
      </c>
      <c r="AU542" s="357">
        <v>3</v>
      </c>
      <c r="AV542" s="357">
        <v>1</v>
      </c>
      <c r="AW542" s="357">
        <v>1</v>
      </c>
      <c r="AX542" s="357">
        <v>1</v>
      </c>
      <c r="AY542" s="357">
        <v>3</v>
      </c>
      <c r="AZ542" s="357">
        <v>1</v>
      </c>
      <c r="BA542" s="357">
        <v>6</v>
      </c>
      <c r="BB542" s="357">
        <v>10</v>
      </c>
      <c r="BC542" s="357">
        <v>6</v>
      </c>
    </row>
    <row r="543" spans="1:55" s="381" customFormat="1" ht="17.649999999999999" customHeight="1">
      <c r="A543" s="343">
        <v>111</v>
      </c>
      <c r="B543" s="211" t="s">
        <v>2190</v>
      </c>
      <c r="C543" s="211" t="s">
        <v>2055</v>
      </c>
      <c r="D543" s="211" t="s">
        <v>2056</v>
      </c>
      <c r="E543" s="344">
        <v>0</v>
      </c>
      <c r="F543" s="344">
        <v>1.1666666666666701</v>
      </c>
      <c r="G543" s="356">
        <v>1.4</v>
      </c>
      <c r="H543" s="344">
        <v>1.4</v>
      </c>
      <c r="I543" s="344">
        <v>1.4</v>
      </c>
      <c r="J543" s="344">
        <v>1.86666666666667</v>
      </c>
      <c r="K543" s="344">
        <v>0.233333333333333</v>
      </c>
      <c r="L543" s="344">
        <f t="shared" si="57"/>
        <v>0.32666666666666666</v>
      </c>
      <c r="M543" s="344">
        <v>3.5</v>
      </c>
      <c r="N543" s="344">
        <v>3.5</v>
      </c>
      <c r="O543" s="344">
        <v>3.5</v>
      </c>
      <c r="P543" s="344">
        <v>1.86666666666667</v>
      </c>
      <c r="Q543" s="344">
        <v>3.2666666666666702</v>
      </c>
      <c r="R543" s="344">
        <v>3.5</v>
      </c>
      <c r="S543" s="344">
        <v>5.1333333333333302</v>
      </c>
      <c r="T543" s="344">
        <v>4.43333333333333</v>
      </c>
      <c r="U543" s="344">
        <v>4.6666666666666696</v>
      </c>
      <c r="V543" s="344">
        <v>5.3666666666666698</v>
      </c>
      <c r="W543" s="344">
        <v>3.9666666666666699</v>
      </c>
      <c r="X543" s="344">
        <v>4.2</v>
      </c>
      <c r="Y543" s="344">
        <v>4.2</v>
      </c>
      <c r="Z543" s="344">
        <v>4.2</v>
      </c>
      <c r="AA543" s="344">
        <v>5.3666666666666698</v>
      </c>
      <c r="AB543" s="344">
        <v>5.6</v>
      </c>
      <c r="AC543" s="344">
        <v>5.1333333333333302</v>
      </c>
      <c r="AD543" s="344">
        <f t="shared" si="58"/>
        <v>-0.46666666666666945</v>
      </c>
      <c r="AE543" s="344">
        <v>4</v>
      </c>
      <c r="AF543" s="344">
        <v>4</v>
      </c>
      <c r="AG543" s="346">
        <v>4</v>
      </c>
      <c r="AH543" s="346">
        <v>5</v>
      </c>
      <c r="AI543" s="346">
        <v>1</v>
      </c>
      <c r="AJ543" s="346">
        <v>4</v>
      </c>
      <c r="AK543" s="346">
        <v>2</v>
      </c>
      <c r="AL543" s="346">
        <v>4</v>
      </c>
      <c r="AM543" s="346">
        <v>2</v>
      </c>
      <c r="AN543" s="346">
        <v>7</v>
      </c>
      <c r="AO543" s="346">
        <v>7</v>
      </c>
      <c r="AP543" s="346">
        <v>4</v>
      </c>
      <c r="AQ543" s="357">
        <v>3</v>
      </c>
      <c r="AR543" s="357">
        <v>3</v>
      </c>
      <c r="AS543" s="357">
        <v>3</v>
      </c>
      <c r="AT543" s="357">
        <v>7</v>
      </c>
      <c r="AU543" s="357">
        <v>10</v>
      </c>
      <c r="AV543" s="357">
        <v>10</v>
      </c>
      <c r="AW543" s="357">
        <v>4</v>
      </c>
      <c r="AX543" s="357">
        <v>3</v>
      </c>
      <c r="AY543" s="357">
        <v>2</v>
      </c>
      <c r="AZ543" s="357">
        <v>4</v>
      </c>
      <c r="BA543" s="357">
        <v>8</v>
      </c>
      <c r="BB543" s="357">
        <v>9</v>
      </c>
      <c r="BC543" s="357">
        <v>4</v>
      </c>
    </row>
    <row r="544" spans="1:55" s="381" customFormat="1" ht="17.649999999999999" customHeight="1">
      <c r="A544" s="343">
        <v>112</v>
      </c>
      <c r="B544" s="211" t="s">
        <v>2191</v>
      </c>
      <c r="C544" s="211" t="s">
        <v>2055</v>
      </c>
      <c r="D544" s="211" t="s">
        <v>2056</v>
      </c>
      <c r="E544" s="344">
        <v>0</v>
      </c>
      <c r="F544" s="344">
        <v>1.1666666666666701</v>
      </c>
      <c r="G544" s="356">
        <v>0.233333333333333</v>
      </c>
      <c r="H544" s="344">
        <v>0.233333333333333</v>
      </c>
      <c r="I544" s="344">
        <v>0.233333333333333</v>
      </c>
      <c r="J544" s="344">
        <v>0.233333333333333</v>
      </c>
      <c r="K544" s="344">
        <v>0.233333333333333</v>
      </c>
      <c r="L544" s="344">
        <f t="shared" si="57"/>
        <v>5.4444444444444372E-2</v>
      </c>
      <c r="M544" s="344">
        <v>3.0333333333333301</v>
      </c>
      <c r="N544" s="344">
        <v>3.0333333333333301</v>
      </c>
      <c r="O544" s="344">
        <v>3.0333333333333301</v>
      </c>
      <c r="P544" s="344">
        <v>2.3333333333333299</v>
      </c>
      <c r="Q544" s="344">
        <v>1.86666666666667</v>
      </c>
      <c r="R544" s="344">
        <v>3.9666666666666699</v>
      </c>
      <c r="S544" s="344">
        <v>7</v>
      </c>
      <c r="T544" s="344">
        <v>9.56666666666667</v>
      </c>
      <c r="U544" s="344">
        <v>9.56666666666667</v>
      </c>
      <c r="V544" s="344">
        <v>9.56666666666667</v>
      </c>
      <c r="W544" s="344">
        <v>5.3666666666666698</v>
      </c>
      <c r="X544" s="344">
        <v>3.9666666666666699</v>
      </c>
      <c r="Y544" s="344">
        <v>7</v>
      </c>
      <c r="Z544" s="344">
        <v>6.3</v>
      </c>
      <c r="AA544" s="344">
        <v>7</v>
      </c>
      <c r="AB544" s="344">
        <v>5.8333333333333304</v>
      </c>
      <c r="AC544" s="344">
        <v>7.4666666666666703</v>
      </c>
      <c r="AD544" s="344">
        <f t="shared" si="58"/>
        <v>1.63333333333334</v>
      </c>
      <c r="AE544" s="344">
        <v>1</v>
      </c>
      <c r="AF544" s="344">
        <v>1</v>
      </c>
      <c r="AG544" s="346">
        <v>1</v>
      </c>
      <c r="AH544" s="346">
        <v>1</v>
      </c>
      <c r="AI544" s="346">
        <v>1</v>
      </c>
      <c r="AJ544" s="346">
        <v>1</v>
      </c>
      <c r="AK544" s="346">
        <v>1</v>
      </c>
      <c r="AL544" s="346">
        <v>1</v>
      </c>
      <c r="AM544" s="346">
        <v>1</v>
      </c>
      <c r="AN544" s="346">
        <v>1</v>
      </c>
      <c r="AO544" s="346">
        <v>1</v>
      </c>
      <c r="AP544" s="346">
        <v>1</v>
      </c>
      <c r="AQ544" s="357">
        <v>1</v>
      </c>
      <c r="AR544" s="357">
        <v>1</v>
      </c>
      <c r="AS544" s="357">
        <v>3</v>
      </c>
      <c r="AT544" s="357">
        <v>1</v>
      </c>
      <c r="AU544" s="357">
        <v>1</v>
      </c>
      <c r="AV544" s="357">
        <v>1</v>
      </c>
      <c r="AW544" s="357">
        <v>2</v>
      </c>
      <c r="AX544" s="357">
        <v>1</v>
      </c>
      <c r="AY544" s="357">
        <v>1</v>
      </c>
      <c r="AZ544" s="357">
        <v>1</v>
      </c>
      <c r="BA544" s="357">
        <v>1</v>
      </c>
      <c r="BB544" s="357">
        <v>1</v>
      </c>
      <c r="BC544" s="357">
        <v>1</v>
      </c>
    </row>
    <row r="545" spans="1:55" s="381" customFormat="1" ht="17.649999999999999" customHeight="1">
      <c r="A545" s="343">
        <v>113</v>
      </c>
      <c r="B545" s="211" t="s">
        <v>2192</v>
      </c>
      <c r="C545" s="211" t="s">
        <v>2055</v>
      </c>
      <c r="D545" s="211" t="s">
        <v>2056</v>
      </c>
      <c r="E545" s="344">
        <v>1</v>
      </c>
      <c r="F545" s="344">
        <v>1.4</v>
      </c>
      <c r="G545" s="356">
        <v>1.4</v>
      </c>
      <c r="H545" s="344">
        <v>1.4</v>
      </c>
      <c r="I545" s="344">
        <v>0.233333333333333</v>
      </c>
      <c r="J545" s="344">
        <v>0.233333333333333</v>
      </c>
      <c r="K545" s="344">
        <v>0.233333333333333</v>
      </c>
      <c r="L545" s="344">
        <f t="shared" si="57"/>
        <v>5.4444444444444372E-2</v>
      </c>
      <c r="M545" s="344">
        <v>3.5</v>
      </c>
      <c r="N545" s="344">
        <v>5.6</v>
      </c>
      <c r="O545" s="344">
        <v>8.4</v>
      </c>
      <c r="P545" s="344">
        <v>7</v>
      </c>
      <c r="Q545" s="344">
        <v>7.93333333333333</v>
      </c>
      <c r="R545" s="344">
        <v>6.3</v>
      </c>
      <c r="S545" s="344">
        <v>3.2666666666666702</v>
      </c>
      <c r="T545" s="344">
        <v>2.3333333333333299</v>
      </c>
      <c r="U545" s="344">
        <v>2.1</v>
      </c>
      <c r="V545" s="344">
        <v>2.56666666666667</v>
      </c>
      <c r="W545" s="344">
        <v>2.56666666666667</v>
      </c>
      <c r="X545" s="344">
        <v>2.56666666666667</v>
      </c>
      <c r="Y545" s="344">
        <v>3.5</v>
      </c>
      <c r="Z545" s="344">
        <v>2.56666666666667</v>
      </c>
      <c r="AA545" s="344">
        <v>2.1</v>
      </c>
      <c r="AB545" s="344">
        <v>2.3333333333333299</v>
      </c>
      <c r="AC545" s="344">
        <v>1.86666666666667</v>
      </c>
      <c r="AD545" s="344">
        <f t="shared" si="58"/>
        <v>-0.4666666666666599</v>
      </c>
      <c r="AE545" s="344">
        <v>8</v>
      </c>
      <c r="AF545" s="344">
        <v>12</v>
      </c>
      <c r="AG545" s="346">
        <v>3</v>
      </c>
      <c r="AH545" s="346">
        <v>9</v>
      </c>
      <c r="AI545" s="346">
        <v>2</v>
      </c>
      <c r="AJ545" s="346">
        <v>6</v>
      </c>
      <c r="AK545" s="346">
        <v>12</v>
      </c>
      <c r="AL545" s="346">
        <v>6</v>
      </c>
      <c r="AM545" s="346">
        <v>2</v>
      </c>
      <c r="AN545" s="346">
        <v>10</v>
      </c>
      <c r="AO545" s="346">
        <v>10</v>
      </c>
      <c r="AP545" s="346">
        <v>6</v>
      </c>
      <c r="AQ545" s="357">
        <v>10</v>
      </c>
      <c r="AR545" s="357">
        <v>2</v>
      </c>
      <c r="AS545" s="357">
        <v>8</v>
      </c>
      <c r="AT545" s="357">
        <v>10</v>
      </c>
      <c r="AU545" s="357">
        <v>8</v>
      </c>
      <c r="AV545" s="357">
        <v>10</v>
      </c>
      <c r="AW545" s="357">
        <v>2</v>
      </c>
      <c r="AX545" s="357">
        <v>5</v>
      </c>
      <c r="AY545" s="357">
        <v>2</v>
      </c>
      <c r="AZ545" s="357">
        <v>11</v>
      </c>
      <c r="BA545" s="357">
        <v>2</v>
      </c>
      <c r="BB545" s="357">
        <v>3</v>
      </c>
      <c r="BC545" s="357">
        <v>3</v>
      </c>
    </row>
    <row r="546" spans="1:55" s="381" customFormat="1" ht="17.649999999999999" customHeight="1">
      <c r="A546" s="343">
        <v>114</v>
      </c>
      <c r="B546" s="211" t="s">
        <v>2193</v>
      </c>
      <c r="C546" s="211" t="s">
        <v>2055</v>
      </c>
      <c r="D546" s="211" t="s">
        <v>2056</v>
      </c>
      <c r="E546" s="344">
        <v>0</v>
      </c>
      <c r="F546" s="344">
        <v>0.233333333333333</v>
      </c>
      <c r="G546" s="356">
        <v>0.233333333333333</v>
      </c>
      <c r="H546" s="344">
        <v>0.233333333333333</v>
      </c>
      <c r="I546" s="344">
        <v>1.86666666666667</v>
      </c>
      <c r="J546" s="344">
        <v>1.86666666666667</v>
      </c>
      <c r="K546" s="344">
        <v>0.233333333333333</v>
      </c>
      <c r="L546" s="344">
        <f t="shared" si="57"/>
        <v>0.43555555555555631</v>
      </c>
      <c r="M546" s="344">
        <v>1.4</v>
      </c>
      <c r="N546" s="344">
        <v>1.86666666666667</v>
      </c>
      <c r="O546" s="344">
        <v>2.56666666666667</v>
      </c>
      <c r="P546" s="344">
        <v>1.4</v>
      </c>
      <c r="Q546" s="344">
        <v>3.2666666666666702</v>
      </c>
      <c r="R546" s="344">
        <v>4.2</v>
      </c>
      <c r="S546" s="344">
        <v>5.3666666666666698</v>
      </c>
      <c r="T546" s="344">
        <v>7.4666666666666703</v>
      </c>
      <c r="U546" s="344">
        <v>8.8666666666666707</v>
      </c>
      <c r="V546" s="344">
        <v>7.93333333333333</v>
      </c>
      <c r="W546" s="344">
        <v>8.6333333333333293</v>
      </c>
      <c r="X546" s="344">
        <v>9.8000000000000007</v>
      </c>
      <c r="Y546" s="344">
        <v>7</v>
      </c>
      <c r="Z546" s="344">
        <v>5.8333333333333304</v>
      </c>
      <c r="AA546" s="344">
        <v>6.5333333333333297</v>
      </c>
      <c r="AB546" s="344">
        <v>3.9666666666666699</v>
      </c>
      <c r="AC546" s="344">
        <v>6.7666666666666702</v>
      </c>
      <c r="AD546" s="344">
        <f t="shared" si="58"/>
        <v>2.8000000000000003</v>
      </c>
      <c r="AE546" s="344">
        <v>11</v>
      </c>
      <c r="AF546" s="344">
        <v>2</v>
      </c>
      <c r="AG546" s="346">
        <v>11</v>
      </c>
      <c r="AH546" s="346">
        <v>10</v>
      </c>
      <c r="AI546" s="346">
        <v>2</v>
      </c>
      <c r="AJ546" s="346">
        <v>9</v>
      </c>
      <c r="AK546" s="346">
        <v>2</v>
      </c>
      <c r="AL546" s="346">
        <v>9</v>
      </c>
      <c r="AM546" s="346">
        <v>4</v>
      </c>
      <c r="AN546" s="346">
        <v>2</v>
      </c>
      <c r="AO546" s="346">
        <v>2</v>
      </c>
      <c r="AP546" s="211">
        <v>2</v>
      </c>
      <c r="AQ546" s="357">
        <v>9</v>
      </c>
      <c r="AR546" s="357">
        <v>2</v>
      </c>
      <c r="AS546" s="357">
        <v>2</v>
      </c>
      <c r="AT546" s="357">
        <v>2</v>
      </c>
      <c r="AU546" s="357">
        <v>2</v>
      </c>
      <c r="AV546" s="357">
        <v>2</v>
      </c>
      <c r="AW546" s="357">
        <v>2</v>
      </c>
      <c r="AX546" s="357">
        <v>2</v>
      </c>
      <c r="AY546" s="357">
        <v>2</v>
      </c>
      <c r="AZ546" s="357">
        <v>2</v>
      </c>
      <c r="BA546" s="357">
        <v>2</v>
      </c>
      <c r="BB546" s="357">
        <v>2</v>
      </c>
      <c r="BC546" s="357">
        <v>10</v>
      </c>
    </row>
    <row r="547" spans="1:55" s="381" customFormat="1" ht="17.649999999999999" customHeight="1">
      <c r="A547" s="343">
        <v>115</v>
      </c>
      <c r="B547" s="211" t="s">
        <v>2194</v>
      </c>
      <c r="C547" s="211" t="s">
        <v>2055</v>
      </c>
      <c r="D547" s="211" t="s">
        <v>2056</v>
      </c>
      <c r="E547" s="344">
        <v>52</v>
      </c>
      <c r="F547" s="344">
        <v>47.133333333333297</v>
      </c>
      <c r="G547" s="356">
        <v>37.1</v>
      </c>
      <c r="H547" s="344">
        <v>36.1666666666667</v>
      </c>
      <c r="I547" s="344">
        <v>36.633333333333297</v>
      </c>
      <c r="J547" s="344">
        <v>35</v>
      </c>
      <c r="K547" s="344">
        <v>33.8333333333333</v>
      </c>
      <c r="L547" s="344">
        <f t="shared" si="57"/>
        <v>8.5477777777777693</v>
      </c>
      <c r="M547" s="344">
        <v>29.866666666666699</v>
      </c>
      <c r="N547" s="344">
        <v>32.9</v>
      </c>
      <c r="O547" s="344">
        <v>35</v>
      </c>
      <c r="P547" s="344">
        <v>34.766666666666701</v>
      </c>
      <c r="Q547" s="344">
        <v>35.233333333333299</v>
      </c>
      <c r="R547" s="344">
        <v>27.3</v>
      </c>
      <c r="S547" s="344">
        <v>23.3333333333333</v>
      </c>
      <c r="T547" s="344">
        <v>18.433333333333302</v>
      </c>
      <c r="U547" s="344">
        <v>16.8</v>
      </c>
      <c r="V547" s="344">
        <v>17.5</v>
      </c>
      <c r="W547" s="344">
        <v>15.4</v>
      </c>
      <c r="X547" s="344">
        <v>17.266666666666701</v>
      </c>
      <c r="Y547" s="344">
        <v>17.5</v>
      </c>
      <c r="Z547" s="344">
        <v>17.266666666666701</v>
      </c>
      <c r="AA547" s="344">
        <v>21</v>
      </c>
      <c r="AB547" s="344">
        <v>23.1</v>
      </c>
      <c r="AC547" s="344">
        <v>19.600000000000001</v>
      </c>
      <c r="AD547" s="344">
        <f t="shared" si="58"/>
        <v>-3.5</v>
      </c>
      <c r="AE547" s="344">
        <v>4</v>
      </c>
      <c r="AF547" s="344">
        <v>7</v>
      </c>
      <c r="AG547" s="346">
        <v>4</v>
      </c>
      <c r="AH547" s="346">
        <v>6</v>
      </c>
      <c r="AI547" s="346">
        <v>3</v>
      </c>
      <c r="AJ547" s="346">
        <v>7</v>
      </c>
      <c r="AK547" s="346">
        <v>4</v>
      </c>
      <c r="AL547" s="346">
        <v>7</v>
      </c>
      <c r="AM547" s="346">
        <v>5</v>
      </c>
      <c r="AN547" s="346">
        <v>6</v>
      </c>
      <c r="AO547" s="346">
        <v>6</v>
      </c>
      <c r="AP547" s="346">
        <v>7</v>
      </c>
      <c r="AQ547" s="357">
        <v>4</v>
      </c>
      <c r="AR547" s="357">
        <v>4</v>
      </c>
      <c r="AS547" s="357">
        <v>3</v>
      </c>
      <c r="AT547" s="357">
        <v>5</v>
      </c>
      <c r="AU547" s="357">
        <v>6</v>
      </c>
      <c r="AV547" s="357">
        <v>5</v>
      </c>
      <c r="AW547" s="357">
        <v>6</v>
      </c>
      <c r="AX547" s="357">
        <v>4</v>
      </c>
      <c r="AY547" s="357">
        <v>6</v>
      </c>
      <c r="AZ547" s="357">
        <v>4</v>
      </c>
      <c r="BA547" s="357">
        <v>8</v>
      </c>
      <c r="BB547" s="357">
        <v>6</v>
      </c>
      <c r="BC547" s="357">
        <v>6</v>
      </c>
    </row>
    <row r="548" spans="1:55" s="381" customFormat="1" ht="17.649999999999999" customHeight="1">
      <c r="A548" s="343">
        <v>116</v>
      </c>
      <c r="B548" s="211" t="s">
        <v>2195</v>
      </c>
      <c r="C548" s="211" t="s">
        <v>2055</v>
      </c>
      <c r="D548" s="211" t="s">
        <v>2056</v>
      </c>
      <c r="E548" s="344">
        <v>2</v>
      </c>
      <c r="F548" s="344">
        <v>1.86666666666667</v>
      </c>
      <c r="G548" s="356">
        <v>2.1</v>
      </c>
      <c r="H548" s="344">
        <v>1.86666666666667</v>
      </c>
      <c r="I548" s="344">
        <v>3.0333333333333301</v>
      </c>
      <c r="J548" s="344">
        <v>3.0333333333333301</v>
      </c>
      <c r="K548" s="344">
        <v>2.1</v>
      </c>
      <c r="L548" s="344">
        <f t="shared" si="57"/>
        <v>0.70777777777777695</v>
      </c>
      <c r="M548" s="344">
        <v>2.3333333333333299</v>
      </c>
      <c r="N548" s="344">
        <v>3.9666666666666699</v>
      </c>
      <c r="O548" s="344">
        <v>5.8333333333333304</v>
      </c>
      <c r="P548" s="344">
        <v>5.3666666666666698</v>
      </c>
      <c r="Q548" s="344">
        <v>5.6</v>
      </c>
      <c r="R548" s="344">
        <v>6.3</v>
      </c>
      <c r="S548" s="344">
        <v>6.7666666666666702</v>
      </c>
      <c r="T548" s="344">
        <v>6.7666666666666702</v>
      </c>
      <c r="U548" s="344">
        <v>6.3</v>
      </c>
      <c r="V548" s="344">
        <v>5.8333333333333304</v>
      </c>
      <c r="W548" s="344">
        <v>5.8333333333333304</v>
      </c>
      <c r="X548" s="344">
        <v>4.6666666666666696</v>
      </c>
      <c r="Y548" s="344">
        <v>4.6666666666666696</v>
      </c>
      <c r="Z548" s="344">
        <v>5.3666666666666698</v>
      </c>
      <c r="AA548" s="344">
        <v>3.9666666666666699</v>
      </c>
      <c r="AB548" s="344">
        <v>3.5</v>
      </c>
      <c r="AC548" s="344">
        <v>3.5</v>
      </c>
      <c r="AD548" s="344">
        <f t="shared" si="58"/>
        <v>0</v>
      </c>
      <c r="AE548" s="344">
        <v>4</v>
      </c>
      <c r="AF548" s="344">
        <v>2</v>
      </c>
      <c r="AG548" s="346">
        <v>3</v>
      </c>
      <c r="AH548" s="346">
        <v>12</v>
      </c>
      <c r="AI548" s="346">
        <v>11</v>
      </c>
      <c r="AJ548" s="346">
        <v>1</v>
      </c>
      <c r="AK548" s="346">
        <v>1</v>
      </c>
      <c r="AL548" s="346">
        <v>1</v>
      </c>
      <c r="AM548" s="346">
        <v>5</v>
      </c>
      <c r="AN548" s="346">
        <v>2</v>
      </c>
      <c r="AO548" s="346">
        <v>2</v>
      </c>
      <c r="AP548" s="346">
        <v>4</v>
      </c>
      <c r="AQ548" s="357">
        <v>5</v>
      </c>
      <c r="AR548" s="357">
        <v>8</v>
      </c>
      <c r="AS548" s="357">
        <v>3</v>
      </c>
      <c r="AT548" s="357">
        <v>3</v>
      </c>
      <c r="AU548" s="357">
        <v>4</v>
      </c>
      <c r="AV548" s="357">
        <v>7</v>
      </c>
      <c r="AW548" s="357">
        <v>10</v>
      </c>
      <c r="AX548" s="357">
        <v>3</v>
      </c>
      <c r="AY548" s="357">
        <v>3</v>
      </c>
      <c r="AZ548" s="357">
        <v>3</v>
      </c>
      <c r="BA548" s="357">
        <v>9</v>
      </c>
      <c r="BB548" s="357">
        <v>2</v>
      </c>
      <c r="BC548" s="357">
        <v>2</v>
      </c>
    </row>
    <row r="549" spans="1:55" s="381" customFormat="1" ht="17.649999999999999" customHeight="1">
      <c r="A549" s="343">
        <v>117</v>
      </c>
      <c r="B549" s="211" t="s">
        <v>2196</v>
      </c>
      <c r="C549" s="211" t="s">
        <v>2055</v>
      </c>
      <c r="D549" s="211" t="s">
        <v>2056</v>
      </c>
      <c r="E549" s="344">
        <v>95</v>
      </c>
      <c r="F549" s="344">
        <v>79.3333333333333</v>
      </c>
      <c r="G549" s="356">
        <v>73.266666666666694</v>
      </c>
      <c r="H549" s="344">
        <v>69.066666666666706</v>
      </c>
      <c r="I549" s="344">
        <v>72.3333333333333</v>
      </c>
      <c r="J549" s="344">
        <v>75.366666666666703</v>
      </c>
      <c r="K549" s="344">
        <v>67.900000000000006</v>
      </c>
      <c r="L549" s="344">
        <f t="shared" si="57"/>
        <v>16.877777777777769</v>
      </c>
      <c r="M549" s="344">
        <v>66.733333333333306</v>
      </c>
      <c r="N549" s="344">
        <v>87.966666666666697</v>
      </c>
      <c r="O549" s="344">
        <v>103.366666666667</v>
      </c>
      <c r="P549" s="344">
        <v>115.26666666666701</v>
      </c>
      <c r="Q549" s="344">
        <v>113.166666666667</v>
      </c>
      <c r="R549" s="344">
        <v>79.099999999999994</v>
      </c>
      <c r="S549" s="344">
        <v>87.733333333333306</v>
      </c>
      <c r="T549" s="344">
        <v>99.633333333333297</v>
      </c>
      <c r="U549" s="344">
        <v>116.2</v>
      </c>
      <c r="V549" s="344">
        <v>152.6</v>
      </c>
      <c r="W549" s="344">
        <v>169.166666666667</v>
      </c>
      <c r="X549" s="344">
        <v>157.96666666666701</v>
      </c>
      <c r="Y549" s="344">
        <v>155.86666666666699</v>
      </c>
      <c r="Z549" s="344">
        <v>140.46666666666701</v>
      </c>
      <c r="AA549" s="344">
        <v>123.666666666667</v>
      </c>
      <c r="AB549" s="344">
        <v>119.933333333333</v>
      </c>
      <c r="AC549" s="344">
        <v>108.26666666666701</v>
      </c>
      <c r="AD549" s="344">
        <f t="shared" si="58"/>
        <v>-11.666666666665989</v>
      </c>
      <c r="AE549" s="344">
        <v>1</v>
      </c>
      <c r="AF549" s="344">
        <v>1</v>
      </c>
      <c r="AG549" s="346">
        <v>1</v>
      </c>
      <c r="AH549" s="346">
        <v>1</v>
      </c>
      <c r="AI549" s="346">
        <v>1</v>
      </c>
      <c r="AJ549" s="346">
        <v>1</v>
      </c>
      <c r="AK549" s="346">
        <v>1</v>
      </c>
      <c r="AL549" s="346">
        <v>1</v>
      </c>
      <c r="AM549" s="346">
        <v>1</v>
      </c>
      <c r="AN549" s="346">
        <v>1</v>
      </c>
      <c r="AO549" s="346">
        <v>1</v>
      </c>
      <c r="AP549" s="346">
        <v>1</v>
      </c>
      <c r="AQ549" s="357">
        <v>1</v>
      </c>
      <c r="AR549" s="357">
        <v>1</v>
      </c>
      <c r="AS549" s="357">
        <v>1</v>
      </c>
      <c r="AT549" s="357">
        <v>1</v>
      </c>
      <c r="AU549" s="357">
        <v>1</v>
      </c>
      <c r="AV549" s="357">
        <v>1</v>
      </c>
      <c r="AW549" s="357">
        <v>1</v>
      </c>
      <c r="AX549" s="357">
        <v>1</v>
      </c>
      <c r="AY549" s="357">
        <v>1</v>
      </c>
      <c r="AZ549" s="357">
        <v>1</v>
      </c>
      <c r="BA549" s="357">
        <v>2</v>
      </c>
      <c r="BB549" s="357">
        <v>1</v>
      </c>
      <c r="BC549" s="357">
        <v>1</v>
      </c>
    </row>
    <row r="550" spans="1:55" s="381" customFormat="1" ht="17.649999999999999" customHeight="1">
      <c r="A550" s="343">
        <v>118</v>
      </c>
      <c r="B550" s="211" t="s">
        <v>2197</v>
      </c>
      <c r="C550" s="211" t="s">
        <v>2055</v>
      </c>
      <c r="D550" s="211" t="s">
        <v>2056</v>
      </c>
      <c r="E550" s="344">
        <v>1124</v>
      </c>
      <c r="F550" s="344">
        <v>981.86666666666702</v>
      </c>
      <c r="G550" s="356">
        <v>816.9</v>
      </c>
      <c r="H550" s="344">
        <v>845.36666666666702</v>
      </c>
      <c r="I550" s="344">
        <v>900.2</v>
      </c>
      <c r="J550" s="344">
        <v>1041.8333333333301</v>
      </c>
      <c r="K550" s="344">
        <v>1055.5999999999999</v>
      </c>
      <c r="L550" s="344">
        <f t="shared" si="57"/>
        <v>210.04666666666668</v>
      </c>
      <c r="M550" s="344">
        <v>533.63333333333298</v>
      </c>
      <c r="N550" s="344">
        <v>320.83333333333297</v>
      </c>
      <c r="O550" s="344">
        <v>1226.1666666666699</v>
      </c>
      <c r="P550" s="344">
        <v>6416.4333333333298</v>
      </c>
      <c r="Q550" s="344">
        <v>14272.0666666667</v>
      </c>
      <c r="R550" s="344">
        <v>15025.266666666699</v>
      </c>
      <c r="S550" s="344">
        <v>21087.9666666667</v>
      </c>
      <c r="T550" s="344">
        <v>18055.8</v>
      </c>
      <c r="U550" s="344">
        <v>12801.833333333299</v>
      </c>
      <c r="V550" s="344">
        <v>11344.4333333333</v>
      </c>
      <c r="W550" s="344">
        <v>8631.2333333333299</v>
      </c>
      <c r="X550" s="344">
        <v>10688.0666666667</v>
      </c>
      <c r="Y550" s="344">
        <v>11050.666666666701</v>
      </c>
      <c r="Z550" s="344">
        <v>16106.3</v>
      </c>
      <c r="AA550" s="344">
        <v>16457.4666666667</v>
      </c>
      <c r="AB550" s="344">
        <v>14429.1</v>
      </c>
      <c r="AC550" s="344">
        <v>12473.3</v>
      </c>
      <c r="AD550" s="344">
        <f t="shared" si="58"/>
        <v>-1955.8000000000011</v>
      </c>
      <c r="AE550" s="344">
        <v>20</v>
      </c>
      <c r="AF550" s="344">
        <v>19</v>
      </c>
      <c r="AG550" s="346">
        <v>11</v>
      </c>
      <c r="AH550" s="346">
        <v>10</v>
      </c>
      <c r="AI550" s="346">
        <v>17</v>
      </c>
      <c r="AJ550" s="346">
        <v>13</v>
      </c>
      <c r="AK550" s="346">
        <v>11</v>
      </c>
      <c r="AL550" s="346">
        <v>13</v>
      </c>
      <c r="AM550" s="346">
        <v>9</v>
      </c>
      <c r="AN550" s="346">
        <v>12</v>
      </c>
      <c r="AO550" s="346">
        <v>12</v>
      </c>
      <c r="AP550" s="357">
        <v>11</v>
      </c>
      <c r="AQ550" s="357">
        <v>10</v>
      </c>
      <c r="AR550" s="357">
        <v>7</v>
      </c>
      <c r="AS550" s="357">
        <v>2</v>
      </c>
      <c r="AT550" s="357">
        <v>10</v>
      </c>
      <c r="AU550" s="357">
        <v>10</v>
      </c>
      <c r="AV550" s="357">
        <v>8</v>
      </c>
      <c r="AW550" s="357">
        <v>3</v>
      </c>
      <c r="AX550" s="357">
        <v>6</v>
      </c>
      <c r="AY550" s="357">
        <v>9</v>
      </c>
      <c r="AZ550" s="357">
        <v>8</v>
      </c>
      <c r="BA550" s="357">
        <v>1</v>
      </c>
      <c r="BB550" s="357">
        <v>6</v>
      </c>
      <c r="BC550" s="357">
        <v>8</v>
      </c>
    </row>
    <row r="551" spans="1:55" s="381" customFormat="1" ht="17.649999999999999" customHeight="1">
      <c r="A551" s="343">
        <v>119</v>
      </c>
      <c r="B551" s="211" t="s">
        <v>2198</v>
      </c>
      <c r="C551" s="211" t="s">
        <v>2055</v>
      </c>
      <c r="D551" s="211" t="s">
        <v>2056</v>
      </c>
      <c r="E551" s="344">
        <v>0</v>
      </c>
      <c r="F551" s="344">
        <v>1.4</v>
      </c>
      <c r="G551" s="356">
        <v>1.1666666666666701</v>
      </c>
      <c r="H551" s="344">
        <v>1.1666666666666701</v>
      </c>
      <c r="I551" s="344">
        <v>2.3333333333333299</v>
      </c>
      <c r="J551" s="344">
        <v>2.1</v>
      </c>
      <c r="K551" s="344">
        <v>1.1666666666666701</v>
      </c>
      <c r="L551" s="344">
        <f t="shared" si="57"/>
        <v>0.54444444444444362</v>
      </c>
      <c r="M551" s="344">
        <v>3.0333333333333301</v>
      </c>
      <c r="N551" s="344">
        <v>4.6666666666666696</v>
      </c>
      <c r="O551" s="344">
        <v>7</v>
      </c>
      <c r="P551" s="344">
        <v>6.3</v>
      </c>
      <c r="Q551" s="344">
        <v>7</v>
      </c>
      <c r="R551" s="344">
        <v>5.6</v>
      </c>
      <c r="S551" s="344">
        <v>3.9666666666666699</v>
      </c>
      <c r="T551" s="344">
        <v>3.2666666666666702</v>
      </c>
      <c r="U551" s="344">
        <v>2.3333333333333299</v>
      </c>
      <c r="V551" s="344">
        <v>2.56666666666667</v>
      </c>
      <c r="W551" s="344">
        <v>2.1</v>
      </c>
      <c r="X551" s="344">
        <v>3.2666666666666702</v>
      </c>
      <c r="Y551" s="344">
        <v>4.2</v>
      </c>
      <c r="Z551" s="344">
        <v>4.43333333333333</v>
      </c>
      <c r="AA551" s="344">
        <v>4.2</v>
      </c>
      <c r="AB551" s="344">
        <v>3.0333333333333301</v>
      </c>
      <c r="AC551" s="344">
        <v>2.1</v>
      </c>
      <c r="AD551" s="344">
        <f t="shared" si="58"/>
        <v>-0.93333333333333002</v>
      </c>
      <c r="AE551" s="344">
        <v>4</v>
      </c>
      <c r="AF551" s="344">
        <v>7</v>
      </c>
      <c r="AG551" s="346">
        <v>5</v>
      </c>
      <c r="AH551" s="346">
        <v>3</v>
      </c>
      <c r="AI551" s="346">
        <v>3</v>
      </c>
      <c r="AJ551" s="346">
        <v>6</v>
      </c>
      <c r="AK551" s="346">
        <v>7</v>
      </c>
      <c r="AL551" s="346">
        <v>6</v>
      </c>
      <c r="AM551" s="346">
        <v>3</v>
      </c>
      <c r="AN551" s="346">
        <v>9</v>
      </c>
      <c r="AO551" s="346">
        <v>9</v>
      </c>
      <c r="AP551" s="346">
        <v>8</v>
      </c>
      <c r="AQ551" s="357">
        <v>9</v>
      </c>
      <c r="AR551" s="357">
        <v>6</v>
      </c>
      <c r="AS551" s="357">
        <v>4</v>
      </c>
      <c r="AT551" s="357">
        <v>1</v>
      </c>
      <c r="AU551" s="357">
        <v>7</v>
      </c>
      <c r="AV551" s="357">
        <v>8</v>
      </c>
      <c r="AW551" s="357">
        <v>8</v>
      </c>
      <c r="AX551" s="357">
        <v>8</v>
      </c>
      <c r="AY551" s="357">
        <v>8</v>
      </c>
      <c r="AZ551" s="357">
        <v>5</v>
      </c>
      <c r="BA551" s="357">
        <v>6</v>
      </c>
      <c r="BB551" s="357">
        <v>5</v>
      </c>
      <c r="BC551" s="357">
        <v>3</v>
      </c>
    </row>
    <row r="552" spans="1:55" s="381" customFormat="1" ht="17.649999999999999" customHeight="1">
      <c r="A552" s="343">
        <v>120</v>
      </c>
      <c r="B552" s="211" t="s">
        <v>2199</v>
      </c>
      <c r="C552" s="211" t="s">
        <v>2055</v>
      </c>
      <c r="D552" s="211" t="s">
        <v>2056</v>
      </c>
      <c r="E552" s="344">
        <v>4</v>
      </c>
      <c r="F552" s="344">
        <v>2.3333333333333299</v>
      </c>
      <c r="G552" s="356">
        <v>2.1</v>
      </c>
      <c r="H552" s="344">
        <v>2.3333333333333299</v>
      </c>
      <c r="I552" s="344">
        <v>2.56666666666667</v>
      </c>
      <c r="J552" s="344">
        <v>2.56666666666667</v>
      </c>
      <c r="K552" s="344">
        <v>2.56666666666667</v>
      </c>
      <c r="L552" s="344">
        <f t="shared" si="57"/>
        <v>0.59888888888888969</v>
      </c>
      <c r="M552" s="344">
        <v>3.0333333333333301</v>
      </c>
      <c r="N552" s="344">
        <v>4.43333333333333</v>
      </c>
      <c r="O552" s="344">
        <v>4.2</v>
      </c>
      <c r="P552" s="344">
        <v>9.8000000000000007</v>
      </c>
      <c r="Q552" s="344">
        <v>10.266666666666699</v>
      </c>
      <c r="R552" s="344">
        <v>9.8000000000000007</v>
      </c>
      <c r="S552" s="344">
        <v>10.733333333333301</v>
      </c>
      <c r="T552" s="344">
        <v>5.1333333333333302</v>
      </c>
      <c r="U552" s="344">
        <v>6.5333333333333297</v>
      </c>
      <c r="V552" s="344">
        <v>6.5333333333333297</v>
      </c>
      <c r="W552" s="344">
        <v>5.6</v>
      </c>
      <c r="X552" s="344">
        <v>5.8333333333333304</v>
      </c>
      <c r="Y552" s="344">
        <v>5.3666666666666698</v>
      </c>
      <c r="Z552" s="344">
        <v>5.8333333333333304</v>
      </c>
      <c r="AA552" s="344">
        <v>5.3666666666666698</v>
      </c>
      <c r="AB552" s="344">
        <v>5.8333333333333304</v>
      </c>
      <c r="AC552" s="344">
        <v>6.5333333333333297</v>
      </c>
      <c r="AD552" s="344">
        <f t="shared" si="58"/>
        <v>0.69999999999999929</v>
      </c>
      <c r="AE552" s="344">
        <v>1</v>
      </c>
      <c r="AF552" s="344">
        <v>1</v>
      </c>
      <c r="AG552" s="346">
        <v>1</v>
      </c>
      <c r="AH552" s="346">
        <v>1</v>
      </c>
      <c r="AI552" s="346">
        <v>1</v>
      </c>
      <c r="AJ552" s="346">
        <v>1</v>
      </c>
      <c r="AK552" s="346">
        <v>1</v>
      </c>
      <c r="AL552" s="346">
        <v>1</v>
      </c>
      <c r="AM552" s="346">
        <v>1</v>
      </c>
      <c r="AN552" s="346">
        <v>1</v>
      </c>
      <c r="AO552" s="346">
        <v>1</v>
      </c>
      <c r="AP552" s="357">
        <v>1</v>
      </c>
      <c r="AQ552" s="357">
        <v>1</v>
      </c>
      <c r="AR552" s="357">
        <v>1</v>
      </c>
      <c r="AS552" s="357">
        <v>1</v>
      </c>
      <c r="AT552" s="357">
        <v>9</v>
      </c>
      <c r="AU552" s="357">
        <v>1</v>
      </c>
      <c r="AV552" s="357">
        <v>1</v>
      </c>
      <c r="AW552" s="357">
        <v>9</v>
      </c>
      <c r="AX552" s="357">
        <v>10</v>
      </c>
      <c r="AY552" s="357">
        <v>1</v>
      </c>
      <c r="AZ552" s="357">
        <v>2</v>
      </c>
      <c r="BA552" s="357">
        <v>2</v>
      </c>
      <c r="BB552" s="357">
        <v>1</v>
      </c>
      <c r="BC552" s="357">
        <v>4</v>
      </c>
    </row>
    <row r="553" spans="1:55" s="381" customFormat="1" ht="17.649999999999999" customHeight="1">
      <c r="A553" s="343">
        <v>121</v>
      </c>
      <c r="B553" s="211" t="s">
        <v>2200</v>
      </c>
      <c r="C553" s="211" t="s">
        <v>2055</v>
      </c>
      <c r="D553" s="211" t="s">
        <v>2056</v>
      </c>
      <c r="E553" s="344">
        <v>0</v>
      </c>
      <c r="F553" s="344">
        <v>1.4</v>
      </c>
      <c r="G553" s="356">
        <v>1.4</v>
      </c>
      <c r="H553" s="344">
        <v>2.1</v>
      </c>
      <c r="I553" s="344">
        <v>3.5</v>
      </c>
      <c r="J553" s="344">
        <v>3.2666666666666702</v>
      </c>
      <c r="K553" s="344">
        <v>2.1</v>
      </c>
      <c r="L553" s="344">
        <f t="shared" si="57"/>
        <v>0.81666666666666665</v>
      </c>
      <c r="M553" s="344">
        <v>1.1666666666666701</v>
      </c>
      <c r="N553" s="344">
        <v>1.4</v>
      </c>
      <c r="O553" s="344">
        <v>2.56666666666667</v>
      </c>
      <c r="P553" s="344">
        <v>3.9666666666666699</v>
      </c>
      <c r="Q553" s="344">
        <v>3.9666666666666699</v>
      </c>
      <c r="R553" s="344">
        <v>6.3</v>
      </c>
      <c r="S553" s="344">
        <v>5.6</v>
      </c>
      <c r="T553" s="344">
        <v>5.8333333333333304</v>
      </c>
      <c r="U553" s="344">
        <v>6.3</v>
      </c>
      <c r="V553" s="344">
        <v>7</v>
      </c>
      <c r="W553" s="344">
        <v>5.3666666666666698</v>
      </c>
      <c r="X553" s="344">
        <v>5.6</v>
      </c>
      <c r="Y553" s="344">
        <v>7</v>
      </c>
      <c r="Z553" s="344">
        <v>7.7</v>
      </c>
      <c r="AA553" s="344">
        <v>7.4666666666666703</v>
      </c>
      <c r="AB553" s="344">
        <v>7.4666666666666703</v>
      </c>
      <c r="AC553" s="344">
        <v>6.7666666666666702</v>
      </c>
      <c r="AD553" s="344">
        <f t="shared" si="58"/>
        <v>-0.70000000000000018</v>
      </c>
      <c r="AE553" s="344">
        <v>1</v>
      </c>
      <c r="AF553" s="344">
        <v>1</v>
      </c>
      <c r="AG553" s="346">
        <v>1</v>
      </c>
      <c r="AH553" s="346">
        <v>1</v>
      </c>
      <c r="AI553" s="346">
        <v>8</v>
      </c>
      <c r="AJ553" s="346">
        <v>1</v>
      </c>
      <c r="AK553" s="346">
        <v>1</v>
      </c>
      <c r="AL553" s="346">
        <v>1</v>
      </c>
      <c r="AM553" s="346">
        <v>1</v>
      </c>
      <c r="AN553" s="346">
        <v>1</v>
      </c>
      <c r="AO553" s="346">
        <v>1</v>
      </c>
      <c r="AP553" s="346">
        <v>1</v>
      </c>
      <c r="AQ553" s="357">
        <v>1</v>
      </c>
      <c r="AR553" s="357">
        <v>1</v>
      </c>
      <c r="AS553" s="357">
        <v>1</v>
      </c>
      <c r="AT553" s="357">
        <v>1</v>
      </c>
      <c r="AU553" s="357">
        <v>1</v>
      </c>
      <c r="AV553" s="357">
        <v>1</v>
      </c>
      <c r="AW553" s="357">
        <v>1</v>
      </c>
      <c r="AX553" s="357">
        <v>1</v>
      </c>
      <c r="AY553" s="357">
        <v>1</v>
      </c>
      <c r="AZ553" s="357">
        <v>1</v>
      </c>
      <c r="BA553" s="357">
        <v>5</v>
      </c>
      <c r="BB553" s="357">
        <v>1</v>
      </c>
      <c r="BC553" s="357">
        <v>2</v>
      </c>
    </row>
    <row r="554" spans="1:55" s="381" customFormat="1" ht="17.649999999999999" customHeight="1">
      <c r="A554" s="343">
        <v>122</v>
      </c>
      <c r="B554" s="211" t="s">
        <v>2201</v>
      </c>
      <c r="C554" s="211" t="s">
        <v>2055</v>
      </c>
      <c r="D554" s="211" t="s">
        <v>2056</v>
      </c>
      <c r="E554" s="344">
        <v>2</v>
      </c>
      <c r="F554" s="344">
        <v>2.56666666666667</v>
      </c>
      <c r="G554" s="356">
        <v>3.2666666666666702</v>
      </c>
      <c r="H554" s="344">
        <v>3.0333333333333301</v>
      </c>
      <c r="I554" s="344">
        <v>2.3333333333333299</v>
      </c>
      <c r="J554" s="344">
        <v>3.2666666666666702</v>
      </c>
      <c r="K554" s="344">
        <v>2.1</v>
      </c>
      <c r="L554" s="344">
        <f t="shared" si="57"/>
        <v>0.54444444444444362</v>
      </c>
      <c r="M554" s="344">
        <v>4.2</v>
      </c>
      <c r="N554" s="344">
        <v>6.5333333333333297</v>
      </c>
      <c r="O554" s="344">
        <v>8.4</v>
      </c>
      <c r="P554" s="344">
        <v>7.4666666666666703</v>
      </c>
      <c r="Q554" s="344">
        <v>8.4</v>
      </c>
      <c r="R554" s="344">
        <v>9.8000000000000007</v>
      </c>
      <c r="S554" s="344">
        <v>9.8000000000000007</v>
      </c>
      <c r="T554" s="344">
        <v>10.733333333333301</v>
      </c>
      <c r="U554" s="344">
        <v>9.1</v>
      </c>
      <c r="V554" s="344">
        <v>7</v>
      </c>
      <c r="W554" s="344">
        <v>5.8333333333333304</v>
      </c>
      <c r="X554" s="344">
        <v>4.43333333333333</v>
      </c>
      <c r="Y554" s="344">
        <v>4.43333333333333</v>
      </c>
      <c r="Z554" s="344">
        <v>4.43333333333333</v>
      </c>
      <c r="AA554" s="344">
        <v>5.1333333333333302</v>
      </c>
      <c r="AB554" s="344">
        <v>5.6</v>
      </c>
      <c r="AC554" s="344">
        <v>7.4666666666666703</v>
      </c>
      <c r="AD554" s="344">
        <f t="shared" si="58"/>
        <v>1.8666666666666707</v>
      </c>
      <c r="AE554" s="344">
        <v>1</v>
      </c>
      <c r="AF554" s="344">
        <v>1</v>
      </c>
      <c r="AG554" s="346">
        <v>1</v>
      </c>
      <c r="AH554" s="346">
        <v>5</v>
      </c>
      <c r="AI554" s="346">
        <v>6</v>
      </c>
      <c r="AJ554" s="346">
        <v>7</v>
      </c>
      <c r="AK554" s="346">
        <v>7</v>
      </c>
      <c r="AL554" s="346">
        <v>7</v>
      </c>
      <c r="AM554" s="346">
        <v>5</v>
      </c>
      <c r="AN554" s="346">
        <v>8</v>
      </c>
      <c r="AO554" s="346">
        <v>8</v>
      </c>
      <c r="AP554" s="357">
        <v>5</v>
      </c>
      <c r="AQ554" s="357">
        <v>3</v>
      </c>
      <c r="AR554" s="357">
        <v>3</v>
      </c>
      <c r="AS554" s="357">
        <v>3</v>
      </c>
      <c r="AT554" s="357">
        <v>3</v>
      </c>
      <c r="AU554" s="357">
        <v>2</v>
      </c>
      <c r="AV554" s="357">
        <v>2</v>
      </c>
      <c r="AW554" s="357">
        <v>3</v>
      </c>
      <c r="AX554" s="357">
        <v>10</v>
      </c>
      <c r="AY554" s="357">
        <v>4</v>
      </c>
      <c r="AZ554" s="357">
        <v>3</v>
      </c>
      <c r="BA554" s="357">
        <v>9</v>
      </c>
      <c r="BB554" s="357">
        <v>3</v>
      </c>
      <c r="BC554" s="357">
        <v>3</v>
      </c>
    </row>
    <row r="555" spans="1:55" s="381" customFormat="1" ht="17.649999999999999" customHeight="1">
      <c r="A555" s="343">
        <v>123</v>
      </c>
      <c r="B555" s="211" t="s">
        <v>2202</v>
      </c>
      <c r="C555" s="211" t="s">
        <v>2055</v>
      </c>
      <c r="D555" s="211" t="s">
        <v>2056</v>
      </c>
      <c r="E555" s="344">
        <v>1</v>
      </c>
      <c r="F555" s="344">
        <v>2.1</v>
      </c>
      <c r="G555" s="356">
        <v>1.4</v>
      </c>
      <c r="H555" s="344">
        <v>1.1666666666666701</v>
      </c>
      <c r="I555" s="344">
        <v>2.3333333333333299</v>
      </c>
      <c r="J555" s="344">
        <v>2.1</v>
      </c>
      <c r="K555" s="344">
        <v>1.1666666666666701</v>
      </c>
      <c r="L555" s="344">
        <f t="shared" si="57"/>
        <v>0.54444444444444362</v>
      </c>
      <c r="M555" s="344">
        <v>2.1</v>
      </c>
      <c r="N555" s="344">
        <v>3.5</v>
      </c>
      <c r="O555" s="344">
        <v>4.6666666666666696</v>
      </c>
      <c r="P555" s="344">
        <v>5.1333333333333302</v>
      </c>
      <c r="Q555" s="344">
        <v>6.3</v>
      </c>
      <c r="R555" s="344">
        <v>8.4</v>
      </c>
      <c r="S555" s="344">
        <v>8.6333333333333293</v>
      </c>
      <c r="T555" s="344">
        <v>8.4</v>
      </c>
      <c r="U555" s="344">
        <v>9.8000000000000007</v>
      </c>
      <c r="V555" s="344">
        <v>9.56666666666667</v>
      </c>
      <c r="W555" s="344">
        <v>7</v>
      </c>
      <c r="X555" s="344">
        <v>6.5333333333333297</v>
      </c>
      <c r="Y555" s="344">
        <v>5.6</v>
      </c>
      <c r="Z555" s="344">
        <v>4.43333333333333</v>
      </c>
      <c r="AA555" s="344">
        <v>5.3666666666666698</v>
      </c>
      <c r="AB555" s="344">
        <v>5.1333333333333302</v>
      </c>
      <c r="AC555" s="344">
        <v>4.6666666666666696</v>
      </c>
      <c r="AD555" s="344">
        <f t="shared" si="58"/>
        <v>-0.46666666666666057</v>
      </c>
      <c r="AE555" s="344">
        <v>1</v>
      </c>
      <c r="AF555" s="344">
        <v>1</v>
      </c>
      <c r="AG555" s="346">
        <v>1</v>
      </c>
      <c r="AH555" s="346">
        <v>1</v>
      </c>
      <c r="AI555" s="346">
        <v>1</v>
      </c>
      <c r="AJ555" s="346">
        <v>1</v>
      </c>
      <c r="AK555" s="346">
        <v>1</v>
      </c>
      <c r="AL555" s="346">
        <v>1</v>
      </c>
      <c r="AM555" s="346">
        <v>1</v>
      </c>
      <c r="AN555" s="346">
        <v>1</v>
      </c>
      <c r="AO555" s="346">
        <v>1</v>
      </c>
      <c r="AP555" s="346">
        <v>10</v>
      </c>
      <c r="AQ555" s="357">
        <v>1</v>
      </c>
      <c r="AR555" s="357">
        <v>1</v>
      </c>
      <c r="AS555" s="357">
        <v>1</v>
      </c>
      <c r="AT555" s="357">
        <v>2</v>
      </c>
      <c r="AU555" s="357">
        <v>1</v>
      </c>
      <c r="AV555" s="357">
        <v>12</v>
      </c>
      <c r="AW555" s="357">
        <v>9</v>
      </c>
      <c r="AX555" s="357">
        <v>1</v>
      </c>
      <c r="AY555" s="357">
        <v>1</v>
      </c>
      <c r="AZ555" s="357">
        <v>2</v>
      </c>
      <c r="BA555" s="357">
        <v>1</v>
      </c>
      <c r="BB555" s="357">
        <v>1</v>
      </c>
      <c r="BC555" s="357">
        <v>1</v>
      </c>
    </row>
    <row r="556" spans="1:55" s="381" customFormat="1" ht="17.649999999999999" customHeight="1">
      <c r="A556" s="343">
        <v>124</v>
      </c>
      <c r="B556" s="211" t="s">
        <v>2203</v>
      </c>
      <c r="C556" s="211" t="s">
        <v>2055</v>
      </c>
      <c r="D556" s="211" t="s">
        <v>2056</v>
      </c>
      <c r="E556" s="344">
        <v>32</v>
      </c>
      <c r="F556" s="344">
        <v>31.033333333333299</v>
      </c>
      <c r="G556" s="356">
        <v>32.9</v>
      </c>
      <c r="H556" s="344">
        <v>28.466666666666701</v>
      </c>
      <c r="I556" s="344">
        <v>21.7</v>
      </c>
      <c r="J556" s="344">
        <v>17.266666666666701</v>
      </c>
      <c r="K556" s="344">
        <v>15.633333333333301</v>
      </c>
      <c r="L556" s="344">
        <f t="shared" si="57"/>
        <v>5.0633333333333326</v>
      </c>
      <c r="M556" s="344">
        <v>19.600000000000001</v>
      </c>
      <c r="N556" s="344">
        <v>20.533333333333299</v>
      </c>
      <c r="O556" s="344">
        <v>24.033333333333299</v>
      </c>
      <c r="P556" s="344">
        <v>24.033333333333299</v>
      </c>
      <c r="Q556" s="344">
        <v>27.066666666666698</v>
      </c>
      <c r="R556" s="344">
        <v>31.033333333333299</v>
      </c>
      <c r="S556" s="344">
        <v>27.766666666666701</v>
      </c>
      <c r="T556" s="344">
        <v>26.6</v>
      </c>
      <c r="U556" s="344">
        <v>21.7</v>
      </c>
      <c r="V556" s="344">
        <v>17.266666666666701</v>
      </c>
      <c r="W556" s="344">
        <v>15.633333333333301</v>
      </c>
      <c r="X556" s="344">
        <v>13.533333333333299</v>
      </c>
      <c r="Y556" s="344">
        <v>10.966666666666701</v>
      </c>
      <c r="Z556" s="344">
        <v>11.6666666666667</v>
      </c>
      <c r="AA556" s="344">
        <v>8.6333333333333293</v>
      </c>
      <c r="AB556" s="344">
        <v>11.9</v>
      </c>
      <c r="AC556" s="344">
        <v>13.0666666666667</v>
      </c>
      <c r="AD556" s="344">
        <f t="shared" si="58"/>
        <v>1.1666666666666998</v>
      </c>
      <c r="AE556" s="344">
        <v>4</v>
      </c>
      <c r="AF556" s="344">
        <v>19</v>
      </c>
      <c r="AG556" s="346">
        <v>7</v>
      </c>
      <c r="AH556" s="346">
        <v>6</v>
      </c>
      <c r="AI556" s="346">
        <v>7</v>
      </c>
      <c r="AJ556" s="346">
        <v>33</v>
      </c>
      <c r="AK556" s="346">
        <v>6</v>
      </c>
      <c r="AL556" s="346">
        <v>33</v>
      </c>
      <c r="AM556" s="346">
        <v>6</v>
      </c>
      <c r="AN556" s="346">
        <v>7</v>
      </c>
      <c r="AO556" s="346">
        <v>7</v>
      </c>
      <c r="AP556" s="346">
        <v>7</v>
      </c>
      <c r="AQ556" s="357">
        <v>5</v>
      </c>
      <c r="AR556" s="357">
        <v>5</v>
      </c>
      <c r="AS556" s="357">
        <v>3</v>
      </c>
      <c r="AT556" s="357">
        <v>6</v>
      </c>
      <c r="AU556" s="357">
        <v>8</v>
      </c>
      <c r="AV556" s="357">
        <v>18</v>
      </c>
      <c r="AW556" s="357">
        <v>19</v>
      </c>
      <c r="AX556" s="357">
        <v>6</v>
      </c>
      <c r="AY556" s="357">
        <v>6</v>
      </c>
      <c r="AZ556" s="357">
        <v>7</v>
      </c>
      <c r="BA556" s="357">
        <v>8</v>
      </c>
      <c r="BB556" s="357">
        <v>6</v>
      </c>
      <c r="BC556" s="357">
        <v>9</v>
      </c>
    </row>
    <row r="557" spans="1:55" s="381" customFormat="1" ht="17.649999999999999" customHeight="1">
      <c r="A557" s="343">
        <v>125</v>
      </c>
      <c r="B557" s="211" t="s">
        <v>2204</v>
      </c>
      <c r="C557" s="211" t="s">
        <v>2055</v>
      </c>
      <c r="D557" s="211" t="s">
        <v>2056</v>
      </c>
      <c r="E557" s="344">
        <v>0</v>
      </c>
      <c r="F557" s="344">
        <v>0.233333333333333</v>
      </c>
      <c r="G557" s="356">
        <v>0.233333333333333</v>
      </c>
      <c r="H557" s="344">
        <v>0.233333333333333</v>
      </c>
      <c r="I557" s="344">
        <v>1.1666666666666701</v>
      </c>
      <c r="J557" s="344">
        <v>1.1666666666666701</v>
      </c>
      <c r="K557" s="344">
        <v>0.233333333333333</v>
      </c>
      <c r="L557" s="344">
        <f t="shared" si="57"/>
        <v>0.27222222222222303</v>
      </c>
      <c r="M557" s="344">
        <v>1.4</v>
      </c>
      <c r="N557" s="344">
        <v>3.0333333333333301</v>
      </c>
      <c r="O557" s="344">
        <v>3.0333333333333301</v>
      </c>
      <c r="P557" s="344">
        <v>4.6666666666666696</v>
      </c>
      <c r="Q557" s="344">
        <v>5.8333333333333304</v>
      </c>
      <c r="R557" s="344">
        <v>6.7666666666666702</v>
      </c>
      <c r="S557" s="344">
        <v>7.7</v>
      </c>
      <c r="T557" s="344">
        <v>9.1</v>
      </c>
      <c r="U557" s="344">
        <v>7.4666666666666703</v>
      </c>
      <c r="V557" s="344">
        <v>6.3</v>
      </c>
      <c r="W557" s="344">
        <v>5.8333333333333304</v>
      </c>
      <c r="X557" s="344">
        <v>4.2</v>
      </c>
      <c r="Y557" s="344">
        <v>4.2</v>
      </c>
      <c r="Z557" s="344">
        <v>5.3666666666666698</v>
      </c>
      <c r="AA557" s="344">
        <v>7.4666666666666703</v>
      </c>
      <c r="AB557" s="344">
        <v>7.7</v>
      </c>
      <c r="AC557" s="344">
        <v>7</v>
      </c>
      <c r="AD557" s="344">
        <f t="shared" si="58"/>
        <v>-0.70000000000000018</v>
      </c>
      <c r="AE557" s="344">
        <v>1</v>
      </c>
      <c r="AF557" s="344">
        <v>1</v>
      </c>
      <c r="AG557" s="346">
        <v>22</v>
      </c>
      <c r="AH557" s="346">
        <v>3</v>
      </c>
      <c r="AI557" s="346">
        <v>3</v>
      </c>
      <c r="AJ557" s="346">
        <v>6</v>
      </c>
      <c r="AK557" s="346">
        <v>4</v>
      </c>
      <c r="AL557" s="346">
        <v>6</v>
      </c>
      <c r="AM557" s="346">
        <v>2</v>
      </c>
      <c r="AN557" s="346">
        <v>7</v>
      </c>
      <c r="AO557" s="346">
        <v>7</v>
      </c>
      <c r="AP557" s="346">
        <v>4</v>
      </c>
      <c r="AQ557" s="357">
        <v>4</v>
      </c>
      <c r="AR557" s="357">
        <v>9</v>
      </c>
      <c r="AS557" s="357">
        <v>5</v>
      </c>
      <c r="AT557" s="357">
        <v>3</v>
      </c>
      <c r="AU557" s="357">
        <v>4</v>
      </c>
      <c r="AV557" s="357">
        <v>3</v>
      </c>
      <c r="AW557" s="357">
        <v>10</v>
      </c>
      <c r="AX557" s="357">
        <v>7</v>
      </c>
      <c r="AY557" s="357">
        <v>3</v>
      </c>
      <c r="AZ557" s="357">
        <v>5</v>
      </c>
      <c r="BA557" s="357">
        <v>5</v>
      </c>
      <c r="BB557" s="357">
        <v>14</v>
      </c>
      <c r="BC557" s="357">
        <v>13</v>
      </c>
    </row>
    <row r="558" spans="1:55" s="381" customFormat="1" ht="17.649999999999999" customHeight="1">
      <c r="A558" s="343">
        <v>126</v>
      </c>
      <c r="B558" s="211" t="s">
        <v>2205</v>
      </c>
      <c r="C558" s="211" t="s">
        <v>2055</v>
      </c>
      <c r="D558" s="211" t="s">
        <v>2056</v>
      </c>
      <c r="E558" s="344">
        <v>0</v>
      </c>
      <c r="F558" s="344">
        <v>0.233333333333333</v>
      </c>
      <c r="G558" s="356">
        <v>0.233333333333333</v>
      </c>
      <c r="H558" s="344">
        <v>0.233333333333333</v>
      </c>
      <c r="I558" s="344">
        <v>2.3333333333333299</v>
      </c>
      <c r="J558" s="344">
        <v>2.3333333333333299</v>
      </c>
      <c r="K558" s="344">
        <v>2.1</v>
      </c>
      <c r="L558" s="344">
        <f t="shared" si="57"/>
        <v>0.54444444444444362</v>
      </c>
      <c r="M558" s="344">
        <v>2.56666666666667</v>
      </c>
      <c r="N558" s="344">
        <v>4.43333333333333</v>
      </c>
      <c r="O558" s="344">
        <v>5.1333333333333302</v>
      </c>
      <c r="P558" s="344">
        <v>4.6666666666666696</v>
      </c>
      <c r="Q558" s="344">
        <v>3.5</v>
      </c>
      <c r="R558" s="344">
        <v>5.3666666666666698</v>
      </c>
      <c r="S558" s="344">
        <v>4.2</v>
      </c>
      <c r="T558" s="344">
        <v>6.7666666666666702</v>
      </c>
      <c r="U558" s="344">
        <v>7.7</v>
      </c>
      <c r="V558" s="344">
        <v>6.3</v>
      </c>
      <c r="W558" s="344">
        <v>6.7666666666666702</v>
      </c>
      <c r="X558" s="344">
        <v>6.3</v>
      </c>
      <c r="Y558" s="344">
        <v>7.4666666666666703</v>
      </c>
      <c r="Z558" s="344">
        <v>6.5333333333333297</v>
      </c>
      <c r="AA558" s="344">
        <v>4.6666666666666696</v>
      </c>
      <c r="AB558" s="344">
        <v>5.6</v>
      </c>
      <c r="AC558" s="344">
        <v>3.5</v>
      </c>
      <c r="AD558" s="344">
        <f t="shared" si="58"/>
        <v>-2.0999999999999996</v>
      </c>
      <c r="AE558" s="344">
        <v>1</v>
      </c>
      <c r="AF558" s="344">
        <v>8</v>
      </c>
      <c r="AG558" s="346">
        <v>4</v>
      </c>
      <c r="AH558" s="346">
        <v>4</v>
      </c>
      <c r="AI558" s="346">
        <v>3</v>
      </c>
      <c r="AJ558" s="346">
        <v>1</v>
      </c>
      <c r="AK558" s="346">
        <v>4</v>
      </c>
      <c r="AL558" s="346">
        <v>1</v>
      </c>
      <c r="AM558" s="346">
        <v>5</v>
      </c>
      <c r="AN558" s="346">
        <v>6</v>
      </c>
      <c r="AO558" s="346">
        <v>6</v>
      </c>
      <c r="AP558" s="346">
        <v>4</v>
      </c>
      <c r="AQ558" s="357">
        <v>4</v>
      </c>
      <c r="AR558" s="357">
        <v>8</v>
      </c>
      <c r="AS558" s="357">
        <v>4</v>
      </c>
      <c r="AT558" s="357">
        <v>10</v>
      </c>
      <c r="AU558" s="357">
        <v>1</v>
      </c>
      <c r="AV558" s="357">
        <v>1</v>
      </c>
      <c r="AW558" s="357">
        <v>1</v>
      </c>
      <c r="AX558" s="357">
        <v>1</v>
      </c>
      <c r="AY558" s="357">
        <v>8</v>
      </c>
      <c r="AZ558" s="357">
        <v>2</v>
      </c>
      <c r="BA558" s="357">
        <v>1</v>
      </c>
      <c r="BB558" s="357">
        <v>2</v>
      </c>
      <c r="BC558" s="357">
        <v>1</v>
      </c>
    </row>
    <row r="559" spans="1:55" s="381" customFormat="1" ht="17.649999999999999" customHeight="1">
      <c r="A559" s="343">
        <v>127</v>
      </c>
      <c r="B559" s="211" t="s">
        <v>2206</v>
      </c>
      <c r="C559" s="211" t="s">
        <v>2055</v>
      </c>
      <c r="D559" s="211" t="s">
        <v>2056</v>
      </c>
      <c r="E559" s="344">
        <v>12</v>
      </c>
      <c r="F559" s="344">
        <v>12.8333333333333</v>
      </c>
      <c r="G559" s="356">
        <v>20.066666666666698</v>
      </c>
      <c r="H559" s="344">
        <v>23.1</v>
      </c>
      <c r="I559" s="344">
        <v>31.5</v>
      </c>
      <c r="J559" s="344">
        <v>33.133333333333297</v>
      </c>
      <c r="K559" s="344">
        <v>32.9</v>
      </c>
      <c r="L559" s="344">
        <f t="shared" si="57"/>
        <v>7.3500000000000005</v>
      </c>
      <c r="M559" s="344">
        <v>14</v>
      </c>
      <c r="N559" s="344">
        <v>13.533333333333299</v>
      </c>
      <c r="O559" s="344">
        <v>16.3333333333333</v>
      </c>
      <c r="P559" s="344">
        <v>17.733333333333299</v>
      </c>
      <c r="Q559" s="344">
        <v>21.7</v>
      </c>
      <c r="R559" s="344">
        <v>20.066666666666698</v>
      </c>
      <c r="S559" s="344">
        <v>16.8</v>
      </c>
      <c r="T559" s="344">
        <v>16.566666666666698</v>
      </c>
      <c r="U559" s="344">
        <v>13.533333333333299</v>
      </c>
      <c r="V559" s="344">
        <v>11.9</v>
      </c>
      <c r="W559" s="344">
        <v>10.966666666666701</v>
      </c>
      <c r="X559" s="344">
        <v>10.966666666666701</v>
      </c>
      <c r="Y559" s="344">
        <v>8.4</v>
      </c>
      <c r="Z559" s="344">
        <v>7</v>
      </c>
      <c r="AA559" s="344">
        <v>7.7</v>
      </c>
      <c r="AB559" s="344">
        <v>14.9333333333333</v>
      </c>
      <c r="AC559" s="344">
        <v>14.233333333333301</v>
      </c>
      <c r="AD559" s="344">
        <f t="shared" si="58"/>
        <v>-0.69999999999999929</v>
      </c>
      <c r="AE559" s="344">
        <v>1</v>
      </c>
      <c r="AF559" s="344">
        <v>11</v>
      </c>
      <c r="AG559" s="346">
        <v>2</v>
      </c>
      <c r="AH559" s="346">
        <v>2</v>
      </c>
      <c r="AI559" s="346">
        <v>1</v>
      </c>
      <c r="AJ559" s="346">
        <v>2</v>
      </c>
      <c r="AK559" s="346">
        <v>2</v>
      </c>
      <c r="AL559" s="346">
        <v>2</v>
      </c>
      <c r="AM559" s="346">
        <v>2</v>
      </c>
      <c r="AN559" s="346">
        <v>2</v>
      </c>
      <c r="AO559" s="346">
        <v>2</v>
      </c>
      <c r="AP559" s="346">
        <v>2</v>
      </c>
      <c r="AQ559" s="357">
        <v>2</v>
      </c>
      <c r="AR559" s="357">
        <v>2</v>
      </c>
      <c r="AS559" s="357">
        <v>2</v>
      </c>
      <c r="AT559" s="357">
        <v>2</v>
      </c>
      <c r="AU559" s="357">
        <v>2</v>
      </c>
      <c r="AV559" s="357">
        <v>2</v>
      </c>
      <c r="AW559" s="357">
        <v>2</v>
      </c>
      <c r="AX559" s="357">
        <v>2</v>
      </c>
      <c r="AY559" s="357">
        <v>2</v>
      </c>
      <c r="AZ559" s="357">
        <v>10</v>
      </c>
      <c r="BA559" s="357">
        <v>1</v>
      </c>
      <c r="BB559" s="357">
        <v>1</v>
      </c>
      <c r="BC559" s="357">
        <v>3</v>
      </c>
    </row>
    <row r="560" spans="1:55" s="381" customFormat="1" ht="17.649999999999999" customHeight="1">
      <c r="A560" s="343">
        <v>128</v>
      </c>
      <c r="B560" s="211" t="s">
        <v>2207</v>
      </c>
      <c r="C560" s="211" t="s">
        <v>2055</v>
      </c>
      <c r="D560" s="211" t="s">
        <v>2056</v>
      </c>
      <c r="E560" s="344">
        <v>0</v>
      </c>
      <c r="F560" s="344">
        <v>1.4</v>
      </c>
      <c r="G560" s="356">
        <v>1.86666666666667</v>
      </c>
      <c r="H560" s="344">
        <v>2.1</v>
      </c>
      <c r="I560" s="344">
        <v>3.9666666666666699</v>
      </c>
      <c r="J560" s="344">
        <v>4.2</v>
      </c>
      <c r="K560" s="344">
        <v>3.0333333333333301</v>
      </c>
      <c r="L560" s="344">
        <f t="shared" si="57"/>
        <v>0.92555555555555624</v>
      </c>
      <c r="M560" s="344">
        <v>2.56666666666667</v>
      </c>
      <c r="N560" s="344">
        <v>4.43333333333333</v>
      </c>
      <c r="O560" s="344">
        <v>5.8333333333333304</v>
      </c>
      <c r="P560" s="344">
        <v>7.93333333333333</v>
      </c>
      <c r="Q560" s="344">
        <v>9.56666666666667</v>
      </c>
      <c r="R560" s="344">
        <v>10.266666666666699</v>
      </c>
      <c r="S560" s="344">
        <v>9.8000000000000007</v>
      </c>
      <c r="T560" s="344">
        <v>7</v>
      </c>
      <c r="U560" s="344">
        <v>5.3666666666666698</v>
      </c>
      <c r="V560" s="344">
        <v>5.1333333333333302</v>
      </c>
      <c r="W560" s="344">
        <v>5.1333333333333302</v>
      </c>
      <c r="X560" s="344">
        <v>4.43333333333333</v>
      </c>
      <c r="Y560" s="344">
        <v>4.43333333333333</v>
      </c>
      <c r="Z560" s="344">
        <v>5.8333333333333304</v>
      </c>
      <c r="AA560" s="344">
        <v>4.43333333333333</v>
      </c>
      <c r="AB560" s="344">
        <v>3.9666666666666699</v>
      </c>
      <c r="AC560" s="344">
        <v>4.2</v>
      </c>
      <c r="AD560" s="344">
        <f t="shared" si="58"/>
        <v>0.23333333333333028</v>
      </c>
      <c r="AE560" s="344">
        <v>9</v>
      </c>
      <c r="AF560" s="344">
        <v>1</v>
      </c>
      <c r="AG560" s="346">
        <v>1</v>
      </c>
      <c r="AH560" s="346">
        <v>1</v>
      </c>
      <c r="AI560" s="346">
        <v>1</v>
      </c>
      <c r="AJ560" s="346">
        <v>1</v>
      </c>
      <c r="AK560" s="346">
        <v>1</v>
      </c>
      <c r="AL560" s="346">
        <v>1</v>
      </c>
      <c r="AM560" s="346">
        <v>1</v>
      </c>
      <c r="AN560" s="346">
        <v>9</v>
      </c>
      <c r="AO560" s="346">
        <v>9</v>
      </c>
      <c r="AP560" s="346">
        <v>1</v>
      </c>
      <c r="AQ560" s="357">
        <v>1</v>
      </c>
      <c r="AR560" s="357">
        <v>7</v>
      </c>
      <c r="AS560" s="357">
        <v>1</v>
      </c>
      <c r="AT560" s="357">
        <v>1</v>
      </c>
      <c r="AU560" s="357">
        <v>1</v>
      </c>
      <c r="AV560" s="357">
        <v>1</v>
      </c>
      <c r="AW560" s="357">
        <v>3</v>
      </c>
      <c r="AX560" s="357">
        <v>1</v>
      </c>
      <c r="AY560" s="357">
        <v>1</v>
      </c>
      <c r="AZ560" s="357">
        <v>1</v>
      </c>
      <c r="BA560" s="357">
        <v>1</v>
      </c>
      <c r="BB560" s="357">
        <v>3</v>
      </c>
      <c r="BC560" s="357">
        <v>1</v>
      </c>
    </row>
    <row r="561" spans="1:55" s="381" customFormat="1" ht="17.649999999999999" customHeight="1">
      <c r="A561" s="343">
        <v>129</v>
      </c>
      <c r="B561" s="211" t="s">
        <v>2208</v>
      </c>
      <c r="C561" s="211" t="s">
        <v>2055</v>
      </c>
      <c r="D561" s="211" t="s">
        <v>2056</v>
      </c>
      <c r="E561" s="344">
        <v>13</v>
      </c>
      <c r="F561" s="344">
        <v>11.6666666666667</v>
      </c>
      <c r="G561" s="356">
        <v>10.266666666666699</v>
      </c>
      <c r="H561" s="344">
        <v>10.033333333333299</v>
      </c>
      <c r="I561" s="344">
        <v>8.8666666666666707</v>
      </c>
      <c r="J561" s="344">
        <v>8.6333333333333293</v>
      </c>
      <c r="K561" s="344">
        <v>7.4666666666666703</v>
      </c>
      <c r="L561" s="344">
        <f t="shared" ref="L561:L624" si="59">I561/30*7</f>
        <v>2.0688888888888899</v>
      </c>
      <c r="M561" s="344">
        <v>10.966666666666701</v>
      </c>
      <c r="N561" s="344">
        <v>9.1</v>
      </c>
      <c r="O561" s="344">
        <v>9.1</v>
      </c>
      <c r="P561" s="344">
        <v>5.6</v>
      </c>
      <c r="Q561" s="344">
        <v>3.5</v>
      </c>
      <c r="R561" s="344">
        <v>2.56666666666667</v>
      </c>
      <c r="S561" s="344">
        <v>3.2666666666666702</v>
      </c>
      <c r="T561" s="344">
        <v>4.43333333333333</v>
      </c>
      <c r="U561" s="344">
        <v>5.3666666666666698</v>
      </c>
      <c r="V561" s="344">
        <v>5.6</v>
      </c>
      <c r="W561" s="344">
        <v>6.3</v>
      </c>
      <c r="X561" s="344">
        <v>5.1333333333333302</v>
      </c>
      <c r="Y561" s="344">
        <v>3.0333333333333301</v>
      </c>
      <c r="Z561" s="344">
        <v>3.0333333333333301</v>
      </c>
      <c r="AA561" s="344">
        <v>3.0333333333333301</v>
      </c>
      <c r="AB561" s="344">
        <v>3.5</v>
      </c>
      <c r="AC561" s="344">
        <v>4.43333333333333</v>
      </c>
      <c r="AD561" s="344">
        <f t="shared" ref="AD561:AD624" si="60">AC561-AB561</f>
        <v>0.93333333333333002</v>
      </c>
      <c r="AE561" s="344">
        <v>7</v>
      </c>
      <c r="AF561" s="344">
        <v>3</v>
      </c>
      <c r="AG561" s="346">
        <v>4</v>
      </c>
      <c r="AH561" s="346">
        <v>4</v>
      </c>
      <c r="AI561" s="346">
        <v>4</v>
      </c>
      <c r="AJ561" s="346">
        <v>2</v>
      </c>
      <c r="AK561" s="346">
        <v>3</v>
      </c>
      <c r="AL561" s="346">
        <v>2</v>
      </c>
      <c r="AM561" s="346">
        <v>2</v>
      </c>
      <c r="AN561" s="346">
        <v>6</v>
      </c>
      <c r="AO561" s="346">
        <v>6</v>
      </c>
      <c r="AP561" s="346">
        <v>4</v>
      </c>
      <c r="AQ561" s="357">
        <v>4</v>
      </c>
      <c r="AR561" s="357">
        <v>5</v>
      </c>
      <c r="AS561" s="357">
        <v>5</v>
      </c>
      <c r="AT561" s="357">
        <v>9</v>
      </c>
      <c r="AU561" s="357">
        <v>5</v>
      </c>
      <c r="AV561" s="357">
        <v>5</v>
      </c>
      <c r="AW561" s="357">
        <v>4</v>
      </c>
      <c r="AX561" s="357">
        <v>4</v>
      </c>
      <c r="AY561" s="357">
        <v>4</v>
      </c>
      <c r="AZ561" s="357">
        <v>1</v>
      </c>
      <c r="BA561" s="357">
        <v>10</v>
      </c>
      <c r="BB561" s="357">
        <v>5</v>
      </c>
      <c r="BC561" s="357">
        <v>7</v>
      </c>
    </row>
    <row r="562" spans="1:55" s="381" customFormat="1" ht="17.649999999999999" customHeight="1">
      <c r="A562" s="343">
        <v>130</v>
      </c>
      <c r="B562" s="211" t="s">
        <v>2209</v>
      </c>
      <c r="C562" s="211" t="s">
        <v>2055</v>
      </c>
      <c r="D562" s="211" t="s">
        <v>2056</v>
      </c>
      <c r="E562" s="344">
        <v>0</v>
      </c>
      <c r="F562" s="344">
        <v>0.233333333333333</v>
      </c>
      <c r="G562" s="356">
        <v>2.56666666666667</v>
      </c>
      <c r="H562" s="344">
        <v>2.56666666666667</v>
      </c>
      <c r="I562" s="344">
        <v>3.9666666666666699</v>
      </c>
      <c r="J562" s="344">
        <v>3.9666666666666699</v>
      </c>
      <c r="K562" s="344">
        <v>3.5</v>
      </c>
      <c r="L562" s="344">
        <f t="shared" si="59"/>
        <v>0.92555555555555624</v>
      </c>
      <c r="M562" s="344">
        <v>2.3333333333333299</v>
      </c>
      <c r="N562" s="344">
        <v>2.1</v>
      </c>
      <c r="O562" s="344">
        <v>2.56666666666667</v>
      </c>
      <c r="P562" s="344">
        <v>3.0333333333333301</v>
      </c>
      <c r="Q562" s="344">
        <v>3.5</v>
      </c>
      <c r="R562" s="344">
        <v>4.43333333333333</v>
      </c>
      <c r="S562" s="344">
        <v>4.6666666666666696</v>
      </c>
      <c r="T562" s="344">
        <v>4.2</v>
      </c>
      <c r="U562" s="344">
        <v>3.9666666666666699</v>
      </c>
      <c r="V562" s="344">
        <v>4.6666666666666696</v>
      </c>
      <c r="W562" s="344">
        <v>5.3666666666666698</v>
      </c>
      <c r="X562" s="344">
        <v>6.3</v>
      </c>
      <c r="Y562" s="344">
        <v>7.93333333333333</v>
      </c>
      <c r="Z562" s="344">
        <v>7.7</v>
      </c>
      <c r="AA562" s="344">
        <v>5.8333333333333304</v>
      </c>
      <c r="AB562" s="344">
        <v>6.7666666666666702</v>
      </c>
      <c r="AC562" s="344">
        <v>7.93333333333333</v>
      </c>
      <c r="AD562" s="344">
        <f t="shared" si="60"/>
        <v>1.1666666666666599</v>
      </c>
      <c r="AE562" s="344">
        <v>4</v>
      </c>
      <c r="AF562" s="344">
        <v>8</v>
      </c>
      <c r="AG562" s="346">
        <v>8</v>
      </c>
      <c r="AH562" s="346">
        <v>4</v>
      </c>
      <c r="AI562" s="346">
        <v>8</v>
      </c>
      <c r="AJ562" s="346">
        <v>5</v>
      </c>
      <c r="AK562" s="346">
        <v>5</v>
      </c>
      <c r="AL562" s="346">
        <v>5</v>
      </c>
      <c r="AM562" s="346">
        <v>3</v>
      </c>
      <c r="AN562" s="346">
        <v>4</v>
      </c>
      <c r="AO562" s="346">
        <v>4</v>
      </c>
      <c r="AP562" s="346">
        <v>4</v>
      </c>
      <c r="AQ562" s="357">
        <v>5</v>
      </c>
      <c r="AR562" s="357">
        <v>3</v>
      </c>
      <c r="AS562" s="357">
        <v>5</v>
      </c>
      <c r="AT562" s="357">
        <v>7</v>
      </c>
      <c r="AU562" s="357">
        <v>4</v>
      </c>
      <c r="AV562" s="357">
        <v>5</v>
      </c>
      <c r="AW562" s="357">
        <v>3</v>
      </c>
      <c r="AX562" s="357">
        <v>3</v>
      </c>
      <c r="AY562" s="357">
        <v>6</v>
      </c>
      <c r="AZ562" s="357">
        <v>7</v>
      </c>
      <c r="BA562" s="357">
        <v>4</v>
      </c>
      <c r="BB562" s="357">
        <v>6</v>
      </c>
      <c r="BC562" s="357">
        <v>9</v>
      </c>
    </row>
    <row r="563" spans="1:55" s="381" customFormat="1" ht="17.649999999999999" customHeight="1">
      <c r="A563" s="343">
        <v>131</v>
      </c>
      <c r="B563" s="211" t="s">
        <v>2210</v>
      </c>
      <c r="C563" s="211" t="s">
        <v>2055</v>
      </c>
      <c r="D563" s="211" t="s">
        <v>2056</v>
      </c>
      <c r="E563" s="344">
        <v>0</v>
      </c>
      <c r="F563" s="344">
        <v>1.4</v>
      </c>
      <c r="G563" s="356">
        <v>1.1666666666666701</v>
      </c>
      <c r="H563" s="344">
        <v>1.1666666666666701</v>
      </c>
      <c r="I563" s="344">
        <v>3.0333333333333301</v>
      </c>
      <c r="J563" s="344">
        <v>3.0333333333333301</v>
      </c>
      <c r="K563" s="344">
        <v>2.56666666666667</v>
      </c>
      <c r="L563" s="344">
        <f t="shared" si="59"/>
        <v>0.70777777777777695</v>
      </c>
      <c r="M563" s="344">
        <v>4.2</v>
      </c>
      <c r="N563" s="344">
        <v>4.43333333333333</v>
      </c>
      <c r="O563" s="344">
        <v>5.6</v>
      </c>
      <c r="P563" s="344">
        <v>7</v>
      </c>
      <c r="Q563" s="344">
        <v>8.6333333333333293</v>
      </c>
      <c r="R563" s="344">
        <v>9.1</v>
      </c>
      <c r="S563" s="344">
        <v>9.1</v>
      </c>
      <c r="T563" s="344">
        <v>6.7666666666666702</v>
      </c>
      <c r="U563" s="344">
        <v>4.6666666666666696</v>
      </c>
      <c r="V563" s="344">
        <v>5.3666666666666698</v>
      </c>
      <c r="W563" s="344">
        <v>4.6666666666666696</v>
      </c>
      <c r="X563" s="344">
        <v>6.3</v>
      </c>
      <c r="Y563" s="344">
        <v>6.3</v>
      </c>
      <c r="Z563" s="344">
        <v>3.9666666666666699</v>
      </c>
      <c r="AA563" s="344">
        <v>3.0333333333333301</v>
      </c>
      <c r="AB563" s="344">
        <v>1.1666666666666701</v>
      </c>
      <c r="AC563" s="344">
        <v>1.1666666666666701</v>
      </c>
      <c r="AD563" s="344">
        <f t="shared" si="60"/>
        <v>0</v>
      </c>
      <c r="AE563" s="344">
        <v>9</v>
      </c>
      <c r="AF563" s="344">
        <v>2</v>
      </c>
      <c r="AG563" s="346">
        <v>11</v>
      </c>
      <c r="AH563" s="346">
        <v>9</v>
      </c>
      <c r="AI563" s="346">
        <v>2</v>
      </c>
      <c r="AJ563" s="346">
        <v>2</v>
      </c>
      <c r="AK563" s="346">
        <v>2</v>
      </c>
      <c r="AL563" s="346">
        <v>2</v>
      </c>
      <c r="AM563" s="346">
        <v>2</v>
      </c>
      <c r="AN563" s="346">
        <v>1</v>
      </c>
      <c r="AO563" s="346">
        <v>1</v>
      </c>
      <c r="AP563" s="346">
        <v>2</v>
      </c>
      <c r="AQ563" s="357">
        <v>8</v>
      </c>
      <c r="AR563" s="357">
        <v>8</v>
      </c>
      <c r="AS563" s="357">
        <v>5</v>
      </c>
      <c r="AT563" s="357">
        <v>3</v>
      </c>
      <c r="AU563" s="357">
        <v>2</v>
      </c>
      <c r="AV563" s="357">
        <v>3</v>
      </c>
      <c r="AW563" s="357">
        <v>9</v>
      </c>
      <c r="AX563" s="357">
        <v>9</v>
      </c>
      <c r="AY563" s="357">
        <v>7</v>
      </c>
      <c r="AZ563" s="357">
        <v>2</v>
      </c>
      <c r="BA563" s="357">
        <v>10</v>
      </c>
      <c r="BB563" s="357">
        <v>2</v>
      </c>
      <c r="BC563" s="357">
        <v>3</v>
      </c>
    </row>
    <row r="564" spans="1:55" s="381" customFormat="1" ht="17.649999999999999" customHeight="1">
      <c r="A564" s="343">
        <v>132</v>
      </c>
      <c r="B564" s="211" t="s">
        <v>2211</v>
      </c>
      <c r="C564" s="211" t="s">
        <v>2055</v>
      </c>
      <c r="D564" s="211" t="s">
        <v>2056</v>
      </c>
      <c r="E564" s="344">
        <v>3</v>
      </c>
      <c r="F564" s="344">
        <v>1.86666666666667</v>
      </c>
      <c r="G564" s="356">
        <v>1.86666666666667</v>
      </c>
      <c r="H564" s="344">
        <v>1.4</v>
      </c>
      <c r="I564" s="344">
        <v>1.86666666666667</v>
      </c>
      <c r="J564" s="344">
        <v>1.86666666666667</v>
      </c>
      <c r="K564" s="344">
        <v>2.3333333333333299</v>
      </c>
      <c r="L564" s="344">
        <f t="shared" si="59"/>
        <v>0.43555555555555631</v>
      </c>
      <c r="M564" s="344">
        <v>4.2</v>
      </c>
      <c r="N564" s="344">
        <v>5.6</v>
      </c>
      <c r="O564" s="344">
        <v>10.266666666666699</v>
      </c>
      <c r="P564" s="344">
        <v>11.6666666666667</v>
      </c>
      <c r="Q564" s="344">
        <v>11.9</v>
      </c>
      <c r="R564" s="344">
        <v>12.8333333333333</v>
      </c>
      <c r="S564" s="344">
        <v>9.8000000000000007</v>
      </c>
      <c r="T564" s="344">
        <v>10.266666666666699</v>
      </c>
      <c r="U564" s="344">
        <v>7.4666666666666703</v>
      </c>
      <c r="V564" s="344">
        <v>7.4666666666666703</v>
      </c>
      <c r="W564" s="344">
        <v>7.4666666666666703</v>
      </c>
      <c r="X564" s="344">
        <v>6.5333333333333297</v>
      </c>
      <c r="Y564" s="344">
        <v>5.8333333333333304</v>
      </c>
      <c r="Z564" s="344">
        <v>5.6</v>
      </c>
      <c r="AA564" s="344">
        <v>6.3</v>
      </c>
      <c r="AB564" s="344">
        <v>6.3</v>
      </c>
      <c r="AC564" s="344">
        <v>6.3</v>
      </c>
      <c r="AD564" s="344">
        <f t="shared" si="60"/>
        <v>0</v>
      </c>
      <c r="AE564" s="344">
        <v>3</v>
      </c>
      <c r="AF564" s="344">
        <v>3</v>
      </c>
      <c r="AG564" s="346">
        <v>4</v>
      </c>
      <c r="AH564" s="346">
        <v>11</v>
      </c>
      <c r="AI564" s="346">
        <v>6</v>
      </c>
      <c r="AJ564" s="346">
        <v>7</v>
      </c>
      <c r="AK564" s="346">
        <v>3</v>
      </c>
      <c r="AL564" s="346">
        <v>7</v>
      </c>
      <c r="AM564" s="346">
        <v>8</v>
      </c>
      <c r="AN564" s="346">
        <v>4</v>
      </c>
      <c r="AO564" s="346">
        <v>4</v>
      </c>
      <c r="AP564" s="346">
        <v>4</v>
      </c>
      <c r="AQ564" s="357">
        <v>9</v>
      </c>
      <c r="AR564" s="357">
        <v>3</v>
      </c>
      <c r="AS564" s="357">
        <v>1</v>
      </c>
      <c r="AT564" s="357">
        <v>4</v>
      </c>
      <c r="AU564" s="357">
        <v>4</v>
      </c>
      <c r="AV564" s="357">
        <v>12</v>
      </c>
      <c r="AW564" s="357">
        <v>3</v>
      </c>
      <c r="AX564" s="357">
        <v>2</v>
      </c>
      <c r="AY564" s="357">
        <v>2</v>
      </c>
      <c r="AZ564" s="357">
        <v>2</v>
      </c>
      <c r="BA564" s="357">
        <v>10</v>
      </c>
      <c r="BB564" s="357">
        <v>3</v>
      </c>
      <c r="BC564" s="357">
        <v>3</v>
      </c>
    </row>
    <row r="565" spans="1:55" s="381" customFormat="1" ht="17.649999999999999" customHeight="1">
      <c r="A565" s="343">
        <v>133</v>
      </c>
      <c r="B565" s="211" t="s">
        <v>2212</v>
      </c>
      <c r="C565" s="211" t="s">
        <v>2055</v>
      </c>
      <c r="D565" s="211" t="s">
        <v>2056</v>
      </c>
      <c r="E565" s="344">
        <v>0</v>
      </c>
      <c r="F565" s="344">
        <v>1.1666666666666701</v>
      </c>
      <c r="G565" s="356">
        <v>1.4</v>
      </c>
      <c r="H565" s="344">
        <v>1.4</v>
      </c>
      <c r="I565" s="344">
        <v>2.1</v>
      </c>
      <c r="J565" s="344">
        <v>2.3333333333333299</v>
      </c>
      <c r="K565" s="344">
        <v>1.1666666666666701</v>
      </c>
      <c r="L565" s="344">
        <f t="shared" si="59"/>
        <v>0.49000000000000005</v>
      </c>
      <c r="M565" s="344">
        <v>6.7666666666666702</v>
      </c>
      <c r="N565" s="344">
        <v>7.4666666666666703</v>
      </c>
      <c r="O565" s="344">
        <v>7.93333333333333</v>
      </c>
      <c r="P565" s="344">
        <v>6.7666666666666702</v>
      </c>
      <c r="Q565" s="344">
        <v>7.4666666666666703</v>
      </c>
      <c r="R565" s="344">
        <v>7</v>
      </c>
      <c r="S565" s="344">
        <v>7.7</v>
      </c>
      <c r="T565" s="344">
        <v>4.6666666666666696</v>
      </c>
      <c r="U565" s="344">
        <v>3.5</v>
      </c>
      <c r="V565" s="344">
        <v>2.56666666666667</v>
      </c>
      <c r="W565" s="344">
        <v>4.2</v>
      </c>
      <c r="X565" s="344">
        <v>4.43333333333333</v>
      </c>
      <c r="Y565" s="344">
        <v>6.7666666666666702</v>
      </c>
      <c r="Z565" s="344">
        <v>7.4666666666666703</v>
      </c>
      <c r="AA565" s="344">
        <v>5.3666666666666698</v>
      </c>
      <c r="AB565" s="344">
        <v>5.8333333333333304</v>
      </c>
      <c r="AC565" s="344">
        <v>5.6</v>
      </c>
      <c r="AD565" s="344">
        <f t="shared" si="60"/>
        <v>-0.23333333333333073</v>
      </c>
      <c r="AE565" s="344">
        <v>2</v>
      </c>
      <c r="AF565" s="344">
        <v>3</v>
      </c>
      <c r="AG565" s="346">
        <v>2</v>
      </c>
      <c r="AH565" s="346">
        <v>3</v>
      </c>
      <c r="AI565" s="346">
        <v>4</v>
      </c>
      <c r="AJ565" s="346">
        <v>8</v>
      </c>
      <c r="AK565" s="346">
        <v>3</v>
      </c>
      <c r="AL565" s="346">
        <v>8</v>
      </c>
      <c r="AM565" s="346">
        <v>6</v>
      </c>
      <c r="AN565" s="346">
        <v>3</v>
      </c>
      <c r="AO565" s="346">
        <v>3</v>
      </c>
      <c r="AP565" s="346">
        <v>5</v>
      </c>
      <c r="AQ565" s="357">
        <v>6</v>
      </c>
      <c r="AR565" s="357">
        <v>9</v>
      </c>
      <c r="AS565" s="357">
        <v>2</v>
      </c>
      <c r="AT565" s="357">
        <v>3</v>
      </c>
      <c r="AU565" s="357">
        <v>3</v>
      </c>
      <c r="AV565" s="357">
        <v>4</v>
      </c>
      <c r="AW565" s="357">
        <v>2</v>
      </c>
      <c r="AX565" s="357">
        <v>2</v>
      </c>
      <c r="AY565" s="357">
        <v>3</v>
      </c>
      <c r="AZ565" s="357">
        <v>7</v>
      </c>
      <c r="BA565" s="357">
        <v>2</v>
      </c>
      <c r="BB565" s="357">
        <v>2</v>
      </c>
      <c r="BC565" s="357">
        <v>2</v>
      </c>
    </row>
    <row r="566" spans="1:55" s="381" customFormat="1" ht="17.649999999999999" customHeight="1">
      <c r="A566" s="343">
        <v>134</v>
      </c>
      <c r="B566" s="211" t="s">
        <v>2213</v>
      </c>
      <c r="C566" s="211" t="s">
        <v>2055</v>
      </c>
      <c r="D566" s="211" t="s">
        <v>2056</v>
      </c>
      <c r="E566" s="344">
        <v>0</v>
      </c>
      <c r="F566" s="344">
        <v>0.233333333333333</v>
      </c>
      <c r="G566" s="356">
        <v>0.233333333333333</v>
      </c>
      <c r="H566" s="344">
        <v>0.233333333333333</v>
      </c>
      <c r="I566" s="344">
        <v>0.233333333333333</v>
      </c>
      <c r="J566" s="344">
        <v>0.233333333333333</v>
      </c>
      <c r="K566" s="344">
        <v>0.233333333333333</v>
      </c>
      <c r="L566" s="344">
        <f t="shared" si="59"/>
        <v>5.4444444444444372E-2</v>
      </c>
      <c r="M566" s="344">
        <v>3.5</v>
      </c>
      <c r="N566" s="344">
        <v>6.3</v>
      </c>
      <c r="O566" s="344">
        <v>7.93333333333333</v>
      </c>
      <c r="P566" s="344">
        <v>7.93333333333333</v>
      </c>
      <c r="Q566" s="344">
        <v>9.8000000000000007</v>
      </c>
      <c r="R566" s="344">
        <v>10.966666666666701</v>
      </c>
      <c r="S566" s="344">
        <v>10.266666666666699</v>
      </c>
      <c r="T566" s="344">
        <v>10.733333333333301</v>
      </c>
      <c r="U566" s="344">
        <v>7.4666666666666703</v>
      </c>
      <c r="V566" s="344">
        <v>4.6666666666666696</v>
      </c>
      <c r="W566" s="344">
        <v>3.9666666666666699</v>
      </c>
      <c r="X566" s="344">
        <v>3.2666666666666702</v>
      </c>
      <c r="Y566" s="344">
        <v>3.5</v>
      </c>
      <c r="Z566" s="344">
        <v>4.43333333333333</v>
      </c>
      <c r="AA566" s="344">
        <v>7.4666666666666703</v>
      </c>
      <c r="AB566" s="344">
        <v>7</v>
      </c>
      <c r="AC566" s="344">
        <v>8.8666666666666707</v>
      </c>
      <c r="AD566" s="344">
        <f t="shared" si="60"/>
        <v>1.8666666666666707</v>
      </c>
      <c r="AE566" s="344">
        <v>6</v>
      </c>
      <c r="AF566" s="344">
        <v>9</v>
      </c>
      <c r="AG566" s="346">
        <v>9</v>
      </c>
      <c r="AH566" s="346">
        <v>4</v>
      </c>
      <c r="AI566" s="346">
        <v>9</v>
      </c>
      <c r="AJ566" s="346">
        <v>3</v>
      </c>
      <c r="AK566" s="346">
        <v>5</v>
      </c>
      <c r="AL566" s="346">
        <v>3</v>
      </c>
      <c r="AM566" s="346">
        <v>8</v>
      </c>
      <c r="AN566" s="346">
        <v>5</v>
      </c>
      <c r="AO566" s="346">
        <v>5</v>
      </c>
      <c r="AP566" s="346">
        <v>5</v>
      </c>
      <c r="AQ566" s="357">
        <v>1</v>
      </c>
      <c r="AR566" s="357">
        <v>4</v>
      </c>
      <c r="AS566" s="357">
        <v>4</v>
      </c>
      <c r="AT566" s="357">
        <v>1</v>
      </c>
      <c r="AU566" s="357">
        <v>4</v>
      </c>
      <c r="AV566" s="357">
        <v>1</v>
      </c>
      <c r="AW566" s="357">
        <v>2</v>
      </c>
      <c r="AX566" s="357">
        <v>11</v>
      </c>
      <c r="AY566" s="357">
        <v>1</v>
      </c>
      <c r="AZ566" s="357">
        <v>2</v>
      </c>
      <c r="BA566" s="357">
        <v>9</v>
      </c>
      <c r="BB566" s="357">
        <v>2</v>
      </c>
      <c r="BC566" s="357">
        <v>10</v>
      </c>
    </row>
    <row r="567" spans="1:55" s="381" customFormat="1" ht="17.649999999999999" customHeight="1">
      <c r="A567" s="343">
        <v>135</v>
      </c>
      <c r="B567" s="211" t="s">
        <v>2214</v>
      </c>
      <c r="C567" s="211" t="s">
        <v>2055</v>
      </c>
      <c r="D567" s="211" t="s">
        <v>2056</v>
      </c>
      <c r="E567" s="344">
        <v>1</v>
      </c>
      <c r="F567" s="344">
        <v>1.4</v>
      </c>
      <c r="G567" s="356">
        <v>2.56666666666667</v>
      </c>
      <c r="H567" s="344">
        <v>3.0333333333333301</v>
      </c>
      <c r="I567" s="344">
        <v>2.1</v>
      </c>
      <c r="J567" s="344">
        <v>1.86666666666667</v>
      </c>
      <c r="K567" s="344">
        <v>0.233333333333333</v>
      </c>
      <c r="L567" s="344">
        <f t="shared" si="59"/>
        <v>0.49000000000000005</v>
      </c>
      <c r="M567" s="344">
        <v>4.43333333333333</v>
      </c>
      <c r="N567" s="344">
        <v>5.6</v>
      </c>
      <c r="O567" s="344">
        <v>6.3</v>
      </c>
      <c r="P567" s="344">
        <v>5.3666666666666698</v>
      </c>
      <c r="Q567" s="344">
        <v>4.2</v>
      </c>
      <c r="R567" s="344">
        <v>5.6</v>
      </c>
      <c r="S567" s="344">
        <v>6.5333333333333297</v>
      </c>
      <c r="T567" s="344">
        <v>7.4666666666666703</v>
      </c>
      <c r="U567" s="344">
        <v>9.1</v>
      </c>
      <c r="V567" s="344">
        <v>8.8666666666666707</v>
      </c>
      <c r="W567" s="344">
        <v>7.7</v>
      </c>
      <c r="X567" s="344">
        <v>7.4666666666666703</v>
      </c>
      <c r="Y567" s="344">
        <v>7.7</v>
      </c>
      <c r="Z567" s="344">
        <v>6.3</v>
      </c>
      <c r="AA567" s="344">
        <v>4.6666666666666696</v>
      </c>
      <c r="AB567" s="344">
        <v>5.3666666666666698</v>
      </c>
      <c r="AC567" s="344">
        <v>3.9666666666666699</v>
      </c>
      <c r="AD567" s="344">
        <f t="shared" si="60"/>
        <v>-1.4</v>
      </c>
      <c r="AE567" s="344">
        <v>27</v>
      </c>
      <c r="AF567" s="344">
        <v>0</v>
      </c>
      <c r="AG567" s="346">
        <v>18</v>
      </c>
      <c r="AH567" s="346">
        <v>17</v>
      </c>
      <c r="AI567" s="346">
        <v>51</v>
      </c>
      <c r="AJ567" s="346">
        <v>51</v>
      </c>
      <c r="AK567" s="346">
        <v>20</v>
      </c>
      <c r="AL567" s="346">
        <v>51</v>
      </c>
      <c r="AM567" s="346">
        <v>33</v>
      </c>
      <c r="AN567" s="346">
        <v>46</v>
      </c>
      <c r="AO567" s="346">
        <v>46</v>
      </c>
      <c r="AP567" s="357">
        <v>18</v>
      </c>
      <c r="AQ567" s="357">
        <v>30</v>
      </c>
      <c r="AR567" s="357">
        <v>21</v>
      </c>
      <c r="AS567" s="357">
        <v>19</v>
      </c>
      <c r="AT567" s="357">
        <v>21</v>
      </c>
      <c r="AU567" s="357">
        <v>17</v>
      </c>
      <c r="AV567" s="357">
        <v>4</v>
      </c>
      <c r="AW567" s="357">
        <v>4</v>
      </c>
      <c r="AX567" s="357">
        <v>4</v>
      </c>
      <c r="AY567" s="357">
        <v>3</v>
      </c>
      <c r="AZ567" s="357">
        <v>9</v>
      </c>
      <c r="BA567" s="357">
        <v>2</v>
      </c>
      <c r="BB567" s="357">
        <v>2</v>
      </c>
      <c r="BC567" s="357">
        <v>10</v>
      </c>
    </row>
    <row r="568" spans="1:55" s="381" customFormat="1" ht="17.649999999999999" customHeight="1">
      <c r="A568" s="343">
        <v>136</v>
      </c>
      <c r="B568" s="211" t="s">
        <v>2215</v>
      </c>
      <c r="C568" s="211" t="s">
        <v>2055</v>
      </c>
      <c r="D568" s="211" t="s">
        <v>2056</v>
      </c>
      <c r="E568" s="344">
        <v>0</v>
      </c>
      <c r="F568" s="344">
        <v>1.1666666666666701</v>
      </c>
      <c r="G568" s="356">
        <v>0.233333333333333</v>
      </c>
      <c r="H568" s="344">
        <v>0.233333333333333</v>
      </c>
      <c r="I568" s="344">
        <v>2.56666666666667</v>
      </c>
      <c r="J568" s="344">
        <v>3.0333333333333301</v>
      </c>
      <c r="K568" s="344">
        <v>2.56666666666667</v>
      </c>
      <c r="L568" s="344">
        <f t="shared" si="59"/>
        <v>0.59888888888888969</v>
      </c>
      <c r="M568" s="344">
        <v>4.43333333333333</v>
      </c>
      <c r="N568" s="344">
        <v>6.3</v>
      </c>
      <c r="O568" s="344">
        <v>8.6333333333333293</v>
      </c>
      <c r="P568" s="344">
        <v>6.7666666666666702</v>
      </c>
      <c r="Q568" s="344">
        <v>8.4</v>
      </c>
      <c r="R568" s="344">
        <v>7.4666666666666703</v>
      </c>
      <c r="S568" s="344">
        <v>5.3666666666666698</v>
      </c>
      <c r="T568" s="344">
        <v>5.1333333333333302</v>
      </c>
      <c r="U568" s="344">
        <v>5.1333333333333302</v>
      </c>
      <c r="V568" s="344">
        <v>5.6</v>
      </c>
      <c r="W568" s="344">
        <v>8.6333333333333293</v>
      </c>
      <c r="X568" s="344">
        <v>8.8666666666666707</v>
      </c>
      <c r="Y568" s="344">
        <v>8.6333333333333293</v>
      </c>
      <c r="Z568" s="344">
        <v>7.4666666666666703</v>
      </c>
      <c r="AA568" s="344">
        <v>5.3666666666666698</v>
      </c>
      <c r="AB568" s="344">
        <v>5.6</v>
      </c>
      <c r="AC568" s="344">
        <v>5.8333333333333304</v>
      </c>
      <c r="AD568" s="344">
        <f t="shared" si="60"/>
        <v>0.23333333333333073</v>
      </c>
      <c r="AE568" s="344">
        <v>5</v>
      </c>
      <c r="AF568" s="344">
        <v>3</v>
      </c>
      <c r="AG568" s="346">
        <v>3</v>
      </c>
      <c r="AH568" s="346">
        <v>9</v>
      </c>
      <c r="AI568" s="346">
        <v>8</v>
      </c>
      <c r="AJ568" s="346">
        <v>2</v>
      </c>
      <c r="AK568" s="346">
        <v>6</v>
      </c>
      <c r="AL568" s="346">
        <v>2</v>
      </c>
      <c r="AM568" s="346">
        <v>5</v>
      </c>
      <c r="AN568" s="346">
        <v>10</v>
      </c>
      <c r="AO568" s="346">
        <v>10</v>
      </c>
      <c r="AP568" s="346">
        <v>3</v>
      </c>
      <c r="AQ568" s="357">
        <v>10</v>
      </c>
      <c r="AR568" s="357">
        <v>10</v>
      </c>
      <c r="AS568" s="357">
        <v>1</v>
      </c>
      <c r="AT568" s="357">
        <v>8</v>
      </c>
      <c r="AU568" s="357">
        <v>3</v>
      </c>
      <c r="AV568" s="357">
        <v>10</v>
      </c>
      <c r="AW568" s="357">
        <v>13</v>
      </c>
      <c r="AX568" s="357">
        <v>10</v>
      </c>
      <c r="AY568" s="357">
        <v>10</v>
      </c>
      <c r="AZ568" s="357">
        <v>9</v>
      </c>
      <c r="BA568" s="357">
        <v>2</v>
      </c>
      <c r="BB568" s="357">
        <v>9</v>
      </c>
      <c r="BC568" s="357">
        <v>2</v>
      </c>
    </row>
    <row r="569" spans="1:55" s="381" customFormat="1" ht="17.649999999999999" customHeight="1">
      <c r="A569" s="343">
        <v>137</v>
      </c>
      <c r="B569" s="211" t="s">
        <v>2216</v>
      </c>
      <c r="C569" s="211" t="s">
        <v>2055</v>
      </c>
      <c r="D569" s="211" t="s">
        <v>2056</v>
      </c>
      <c r="E569" s="344">
        <v>0</v>
      </c>
      <c r="F569" s="344">
        <v>1.4</v>
      </c>
      <c r="G569" s="356">
        <v>1.4</v>
      </c>
      <c r="H569" s="344">
        <v>1.4</v>
      </c>
      <c r="I569" s="344">
        <v>1.4</v>
      </c>
      <c r="J569" s="344">
        <v>1.4</v>
      </c>
      <c r="K569" s="344">
        <v>0.233333333333333</v>
      </c>
      <c r="L569" s="344">
        <f t="shared" si="59"/>
        <v>0.32666666666666666</v>
      </c>
      <c r="M569" s="344">
        <v>3.2666666666666702</v>
      </c>
      <c r="N569" s="344">
        <v>3.2666666666666702</v>
      </c>
      <c r="O569" s="344">
        <v>6.3</v>
      </c>
      <c r="P569" s="344">
        <v>3.9666666666666699</v>
      </c>
      <c r="Q569" s="344">
        <v>4.43333333333333</v>
      </c>
      <c r="R569" s="344">
        <v>5.6</v>
      </c>
      <c r="S569" s="344">
        <v>5.3666666666666698</v>
      </c>
      <c r="T569" s="344">
        <v>6.7666666666666702</v>
      </c>
      <c r="U569" s="344">
        <v>7.7</v>
      </c>
      <c r="V569" s="344">
        <v>8.6333333333333293</v>
      </c>
      <c r="W569" s="344">
        <v>10.733333333333301</v>
      </c>
      <c r="X569" s="344">
        <v>11.2</v>
      </c>
      <c r="Y569" s="344">
        <v>14.466666666666701</v>
      </c>
      <c r="Z569" s="344">
        <v>11.9</v>
      </c>
      <c r="AA569" s="344">
        <v>9.8000000000000007</v>
      </c>
      <c r="AB569" s="344">
        <v>6.5333333333333297</v>
      </c>
      <c r="AC569" s="344">
        <v>4.2</v>
      </c>
      <c r="AD569" s="344">
        <f t="shared" si="60"/>
        <v>-2.3333333333333295</v>
      </c>
      <c r="AE569" s="344">
        <v>1</v>
      </c>
      <c r="AF569" s="344">
        <v>3</v>
      </c>
      <c r="AG569" s="346">
        <v>1</v>
      </c>
      <c r="AH569" s="346">
        <v>11</v>
      </c>
      <c r="AI569" s="346">
        <v>11</v>
      </c>
      <c r="AJ569" s="346">
        <v>12</v>
      </c>
      <c r="AK569" s="346">
        <v>1</v>
      </c>
      <c r="AL569" s="346">
        <v>12</v>
      </c>
      <c r="AM569" s="346">
        <v>1</v>
      </c>
      <c r="AN569" s="346">
        <v>7</v>
      </c>
      <c r="AO569" s="346">
        <v>7</v>
      </c>
      <c r="AP569" s="346">
        <v>1</v>
      </c>
      <c r="AQ569" s="357">
        <v>1</v>
      </c>
      <c r="AR569" s="357">
        <v>1</v>
      </c>
      <c r="AS569" s="357">
        <v>1</v>
      </c>
      <c r="AT569" s="357">
        <v>9</v>
      </c>
      <c r="AU569" s="357">
        <v>1</v>
      </c>
      <c r="AV569" s="357">
        <v>1</v>
      </c>
      <c r="AW569" s="357">
        <v>4</v>
      </c>
      <c r="AX569" s="357">
        <v>1</v>
      </c>
      <c r="AY569" s="357">
        <v>1</v>
      </c>
      <c r="AZ569" s="357">
        <v>3</v>
      </c>
      <c r="BA569" s="357">
        <v>2</v>
      </c>
      <c r="BB569" s="357">
        <v>7</v>
      </c>
      <c r="BC569" s="357">
        <v>3</v>
      </c>
    </row>
    <row r="570" spans="1:55" s="381" customFormat="1" ht="17.649999999999999" customHeight="1">
      <c r="A570" s="343">
        <v>138</v>
      </c>
      <c r="B570" s="211" t="s">
        <v>2217</v>
      </c>
      <c r="C570" s="211" t="s">
        <v>2055</v>
      </c>
      <c r="D570" s="211" t="s">
        <v>2056</v>
      </c>
      <c r="E570" s="344">
        <v>0</v>
      </c>
      <c r="F570" s="344">
        <v>1.86666666666667</v>
      </c>
      <c r="G570" s="356">
        <v>1.4</v>
      </c>
      <c r="H570" s="344">
        <v>1.4</v>
      </c>
      <c r="I570" s="344">
        <v>3.5</v>
      </c>
      <c r="J570" s="344">
        <v>4.43333333333333</v>
      </c>
      <c r="K570" s="344">
        <v>3.2666666666666702</v>
      </c>
      <c r="L570" s="344">
        <f t="shared" si="59"/>
        <v>0.81666666666666665</v>
      </c>
      <c r="M570" s="344">
        <v>4.6666666666666696</v>
      </c>
      <c r="N570" s="344">
        <v>4.43333333333333</v>
      </c>
      <c r="O570" s="344">
        <v>4.6666666666666696</v>
      </c>
      <c r="P570" s="344">
        <v>4.2</v>
      </c>
      <c r="Q570" s="344">
        <v>4.43333333333333</v>
      </c>
      <c r="R570" s="344">
        <v>4.43333333333333</v>
      </c>
      <c r="S570" s="344">
        <v>3.5</v>
      </c>
      <c r="T570" s="344">
        <v>5.6</v>
      </c>
      <c r="U570" s="344">
        <v>7</v>
      </c>
      <c r="V570" s="344">
        <v>6.3</v>
      </c>
      <c r="W570" s="344">
        <v>6.3</v>
      </c>
      <c r="X570" s="344">
        <v>5.6</v>
      </c>
      <c r="Y570" s="344">
        <v>4.6666666666666696</v>
      </c>
      <c r="Z570" s="344">
        <v>5.8333333333333304</v>
      </c>
      <c r="AA570" s="344">
        <v>6.3</v>
      </c>
      <c r="AB570" s="344">
        <v>6.5333333333333297</v>
      </c>
      <c r="AC570" s="344">
        <v>7</v>
      </c>
      <c r="AD570" s="344">
        <f t="shared" si="60"/>
        <v>0.46666666666667034</v>
      </c>
      <c r="AE570" s="344">
        <v>2</v>
      </c>
      <c r="AF570" s="344">
        <v>2</v>
      </c>
      <c r="AG570" s="346">
        <v>11</v>
      </c>
      <c r="AH570" s="346">
        <v>2</v>
      </c>
      <c r="AI570" s="346">
        <v>4</v>
      </c>
      <c r="AJ570" s="346">
        <v>5</v>
      </c>
      <c r="AK570" s="346">
        <v>3</v>
      </c>
      <c r="AL570" s="346">
        <v>5</v>
      </c>
      <c r="AM570" s="346">
        <v>7</v>
      </c>
      <c r="AN570" s="346">
        <v>2</v>
      </c>
      <c r="AO570" s="346">
        <v>2</v>
      </c>
      <c r="AP570" s="346">
        <v>2</v>
      </c>
      <c r="AQ570" s="357">
        <v>3</v>
      </c>
      <c r="AR570" s="357">
        <v>2</v>
      </c>
      <c r="AS570" s="357">
        <v>2</v>
      </c>
      <c r="AT570" s="357">
        <v>2</v>
      </c>
      <c r="AU570" s="211">
        <v>2</v>
      </c>
      <c r="AV570" s="357">
        <v>1</v>
      </c>
      <c r="AW570" s="357">
        <v>1</v>
      </c>
      <c r="AX570" s="357">
        <v>1</v>
      </c>
      <c r="AY570" s="357">
        <v>2</v>
      </c>
      <c r="AZ570" s="357">
        <v>3</v>
      </c>
      <c r="BA570" s="357">
        <v>2</v>
      </c>
      <c r="BB570" s="357">
        <v>2</v>
      </c>
      <c r="BC570" s="357">
        <v>2</v>
      </c>
    </row>
    <row r="571" spans="1:55" s="381" customFormat="1" ht="17.649999999999999" customHeight="1">
      <c r="A571" s="343">
        <v>139</v>
      </c>
      <c r="B571" s="211" t="s">
        <v>2218</v>
      </c>
      <c r="C571" s="211" t="s">
        <v>2055</v>
      </c>
      <c r="D571" s="211" t="s">
        <v>2056</v>
      </c>
      <c r="E571" s="344">
        <v>0</v>
      </c>
      <c r="F571" s="344">
        <v>0.233333333333333</v>
      </c>
      <c r="G571" s="356">
        <v>0.233333333333333</v>
      </c>
      <c r="H571" s="344">
        <v>0.233333333333333</v>
      </c>
      <c r="I571" s="344">
        <v>0.233333333333333</v>
      </c>
      <c r="J571" s="344">
        <v>0.233333333333333</v>
      </c>
      <c r="K571" s="344">
        <v>0.233333333333333</v>
      </c>
      <c r="L571" s="344">
        <f t="shared" si="59"/>
        <v>5.4444444444444372E-2</v>
      </c>
      <c r="M571" s="344">
        <v>3.0333333333333301</v>
      </c>
      <c r="N571" s="344">
        <v>3.5</v>
      </c>
      <c r="O571" s="344">
        <v>3.9666666666666699</v>
      </c>
      <c r="P571" s="344">
        <v>4.6666666666666696</v>
      </c>
      <c r="Q571" s="344">
        <v>5.6</v>
      </c>
      <c r="R571" s="344">
        <v>5.8333333333333304</v>
      </c>
      <c r="S571" s="344">
        <v>7.4666666666666703</v>
      </c>
      <c r="T571" s="344">
        <v>5.3666666666666698</v>
      </c>
      <c r="U571" s="344">
        <v>5.3666666666666698</v>
      </c>
      <c r="V571" s="344">
        <v>5.8333333333333304</v>
      </c>
      <c r="W571" s="344">
        <v>5.3666666666666698</v>
      </c>
      <c r="X571" s="344">
        <v>7</v>
      </c>
      <c r="Y571" s="344">
        <v>5.1333333333333302</v>
      </c>
      <c r="Z571" s="344">
        <v>6.5333333333333297</v>
      </c>
      <c r="AA571" s="344">
        <v>5.8333333333333304</v>
      </c>
      <c r="AB571" s="344">
        <v>4.43333333333333</v>
      </c>
      <c r="AC571" s="344">
        <v>3.5</v>
      </c>
      <c r="AD571" s="344">
        <f t="shared" si="60"/>
        <v>-0.93333333333333002</v>
      </c>
      <c r="AE571" s="344">
        <v>3</v>
      </c>
      <c r="AF571" s="344">
        <v>9</v>
      </c>
      <c r="AG571" s="346">
        <v>6</v>
      </c>
      <c r="AH571" s="346">
        <v>8</v>
      </c>
      <c r="AI571" s="346">
        <v>3</v>
      </c>
      <c r="AJ571" s="346">
        <v>4</v>
      </c>
      <c r="AK571" s="346">
        <v>3</v>
      </c>
      <c r="AL571" s="346">
        <v>4</v>
      </c>
      <c r="AM571" s="346">
        <v>6</v>
      </c>
      <c r="AN571" s="346">
        <v>7</v>
      </c>
      <c r="AO571" s="346">
        <v>7</v>
      </c>
      <c r="AP571" s="357">
        <v>4</v>
      </c>
      <c r="AQ571" s="357">
        <v>4</v>
      </c>
      <c r="AR571" s="357">
        <v>4</v>
      </c>
      <c r="AS571" s="357">
        <v>4</v>
      </c>
      <c r="AT571" s="357">
        <v>3</v>
      </c>
      <c r="AU571" s="357">
        <v>3</v>
      </c>
      <c r="AV571" s="357">
        <v>4</v>
      </c>
      <c r="AW571" s="357">
        <v>4</v>
      </c>
      <c r="AX571" s="357">
        <v>12</v>
      </c>
      <c r="AY571" s="357">
        <v>4</v>
      </c>
      <c r="AZ571" s="357">
        <v>6</v>
      </c>
      <c r="BA571" s="357">
        <v>6</v>
      </c>
      <c r="BB571" s="357">
        <v>6</v>
      </c>
      <c r="BC571" s="357">
        <v>4</v>
      </c>
    </row>
    <row r="572" spans="1:55" s="381" customFormat="1" ht="17.649999999999999" customHeight="1">
      <c r="A572" s="343">
        <v>140</v>
      </c>
      <c r="B572" s="211" t="s">
        <v>2219</v>
      </c>
      <c r="C572" s="211" t="s">
        <v>2055</v>
      </c>
      <c r="D572" s="211" t="s">
        <v>2056</v>
      </c>
      <c r="E572" s="344">
        <v>0</v>
      </c>
      <c r="F572" s="344">
        <v>0.233333333333333</v>
      </c>
      <c r="G572" s="356">
        <v>0.233333333333333</v>
      </c>
      <c r="H572" s="344">
        <v>0.233333333333333</v>
      </c>
      <c r="I572" s="344">
        <v>0.233333333333333</v>
      </c>
      <c r="J572" s="344">
        <v>0.233333333333333</v>
      </c>
      <c r="K572" s="344">
        <v>1.1666666666666701</v>
      </c>
      <c r="L572" s="344">
        <f t="shared" si="59"/>
        <v>5.4444444444444372E-2</v>
      </c>
      <c r="M572" s="344">
        <v>4.2</v>
      </c>
      <c r="N572" s="344">
        <v>5.8333333333333304</v>
      </c>
      <c r="O572" s="344">
        <v>8.6333333333333293</v>
      </c>
      <c r="P572" s="344">
        <v>8.4</v>
      </c>
      <c r="Q572" s="344">
        <v>7.93333333333333</v>
      </c>
      <c r="R572" s="344">
        <v>7.93333333333333</v>
      </c>
      <c r="S572" s="344">
        <v>7.93333333333333</v>
      </c>
      <c r="T572" s="344">
        <v>8.4</v>
      </c>
      <c r="U572" s="344">
        <v>7.4666666666666703</v>
      </c>
      <c r="V572" s="344">
        <v>7.93333333333333</v>
      </c>
      <c r="W572" s="344">
        <v>6.3</v>
      </c>
      <c r="X572" s="344">
        <v>6.7666666666666702</v>
      </c>
      <c r="Y572" s="344">
        <v>6.3</v>
      </c>
      <c r="Z572" s="344">
        <v>6.5333333333333297</v>
      </c>
      <c r="AA572" s="344">
        <v>7.7</v>
      </c>
      <c r="AB572" s="344">
        <v>7</v>
      </c>
      <c r="AC572" s="344">
        <v>6.5333333333333297</v>
      </c>
      <c r="AD572" s="344">
        <f t="shared" si="60"/>
        <v>-0.46666666666667034</v>
      </c>
      <c r="AE572" s="344">
        <v>12</v>
      </c>
      <c r="AF572" s="344">
        <v>18</v>
      </c>
      <c r="AG572" s="346">
        <v>2</v>
      </c>
      <c r="AH572" s="346">
        <v>38</v>
      </c>
      <c r="AI572" s="346">
        <v>34</v>
      </c>
      <c r="AJ572" s="346">
        <v>36</v>
      </c>
      <c r="AK572" s="346">
        <v>31</v>
      </c>
      <c r="AL572" s="346">
        <v>36</v>
      </c>
      <c r="AM572" s="346">
        <v>21</v>
      </c>
      <c r="AN572" s="346">
        <v>22</v>
      </c>
      <c r="AO572" s="346">
        <v>22</v>
      </c>
      <c r="AP572" s="357">
        <v>36</v>
      </c>
      <c r="AQ572" s="357">
        <v>33</v>
      </c>
      <c r="AR572" s="357">
        <v>9</v>
      </c>
      <c r="AS572" s="357">
        <v>15</v>
      </c>
      <c r="AT572" s="357">
        <v>28</v>
      </c>
      <c r="AU572" s="357">
        <v>27</v>
      </c>
      <c r="AV572" s="357">
        <v>23</v>
      </c>
      <c r="AW572" s="357">
        <v>19</v>
      </c>
      <c r="AX572" s="357">
        <v>16</v>
      </c>
      <c r="AY572" s="211">
        <v>51</v>
      </c>
      <c r="AZ572" s="357">
        <v>5</v>
      </c>
      <c r="BA572" s="357">
        <v>10</v>
      </c>
      <c r="BB572" s="357">
        <v>4</v>
      </c>
      <c r="BC572" s="357">
        <v>4</v>
      </c>
    </row>
    <row r="573" spans="1:55" s="381" customFormat="1" ht="17.649999999999999" customHeight="1">
      <c r="A573" s="343">
        <v>141</v>
      </c>
      <c r="B573" s="211" t="s">
        <v>2220</v>
      </c>
      <c r="C573" s="211" t="s">
        <v>2055</v>
      </c>
      <c r="D573" s="211" t="s">
        <v>2056</v>
      </c>
      <c r="E573" s="344">
        <v>8</v>
      </c>
      <c r="F573" s="344">
        <v>7.4666666666666703</v>
      </c>
      <c r="G573" s="356">
        <v>6.7666666666666702</v>
      </c>
      <c r="H573" s="344">
        <v>5.8333333333333304</v>
      </c>
      <c r="I573" s="344">
        <v>6.3</v>
      </c>
      <c r="J573" s="344">
        <v>9.8000000000000007</v>
      </c>
      <c r="K573" s="344">
        <v>10.033333333333299</v>
      </c>
      <c r="L573" s="344">
        <f t="shared" si="59"/>
        <v>1.47</v>
      </c>
      <c r="M573" s="344">
        <v>11.6666666666667</v>
      </c>
      <c r="N573" s="344">
        <v>9.56666666666667</v>
      </c>
      <c r="O573" s="344">
        <v>9.8000000000000007</v>
      </c>
      <c r="P573" s="344">
        <v>6.7666666666666702</v>
      </c>
      <c r="Q573" s="344">
        <v>4.43333333333333</v>
      </c>
      <c r="R573" s="344">
        <v>5.6</v>
      </c>
      <c r="S573" s="344">
        <v>5.8333333333333304</v>
      </c>
      <c r="T573" s="344">
        <v>4.6666666666666696</v>
      </c>
      <c r="U573" s="344">
        <v>4.6666666666666696</v>
      </c>
      <c r="V573" s="344">
        <v>3.9666666666666699</v>
      </c>
      <c r="W573" s="344">
        <v>4.6666666666666696</v>
      </c>
      <c r="X573" s="344">
        <v>5.6</v>
      </c>
      <c r="Y573" s="344">
        <v>6.3</v>
      </c>
      <c r="Z573" s="344">
        <v>5.6</v>
      </c>
      <c r="AA573" s="344">
        <v>5.1333333333333302</v>
      </c>
      <c r="AB573" s="344">
        <v>5.1333333333333302</v>
      </c>
      <c r="AC573" s="344">
        <v>4.6666666666666696</v>
      </c>
      <c r="AD573" s="344">
        <f t="shared" si="60"/>
        <v>-0.46666666666666057</v>
      </c>
      <c r="AE573" s="344">
        <v>1</v>
      </c>
      <c r="AF573" s="344">
        <v>3</v>
      </c>
      <c r="AG573" s="346">
        <v>1</v>
      </c>
      <c r="AH573" s="346">
        <v>1</v>
      </c>
      <c r="AI573" s="346">
        <v>5</v>
      </c>
      <c r="AJ573" s="346">
        <v>9</v>
      </c>
      <c r="AK573" s="346">
        <v>1</v>
      </c>
      <c r="AL573" s="346">
        <v>9</v>
      </c>
      <c r="AM573" s="346">
        <v>1</v>
      </c>
      <c r="AN573" s="346">
        <v>1</v>
      </c>
      <c r="AO573" s="346">
        <v>1</v>
      </c>
      <c r="AP573" s="346">
        <v>1</v>
      </c>
      <c r="AQ573" s="357">
        <v>1</v>
      </c>
      <c r="AR573" s="357">
        <v>1</v>
      </c>
      <c r="AS573" s="357">
        <v>1</v>
      </c>
      <c r="AT573" s="357">
        <v>1</v>
      </c>
      <c r="AU573" s="357">
        <v>1</v>
      </c>
      <c r="AV573" s="357">
        <v>1</v>
      </c>
      <c r="AW573" s="357">
        <v>4</v>
      </c>
      <c r="AX573" s="357">
        <v>1</v>
      </c>
      <c r="AY573" s="357">
        <v>1</v>
      </c>
      <c r="AZ573" s="357">
        <v>2</v>
      </c>
      <c r="BA573" s="357">
        <v>1</v>
      </c>
      <c r="BB573" s="357">
        <v>1</v>
      </c>
      <c r="BC573" s="357">
        <v>1</v>
      </c>
    </row>
    <row r="574" spans="1:55" s="381" customFormat="1" ht="17.649999999999999" customHeight="1">
      <c r="A574" s="343">
        <v>142</v>
      </c>
      <c r="B574" s="211" t="s">
        <v>2221</v>
      </c>
      <c r="C574" s="211" t="s">
        <v>2055</v>
      </c>
      <c r="D574" s="211" t="s">
        <v>2056</v>
      </c>
      <c r="E574" s="344">
        <v>16</v>
      </c>
      <c r="F574" s="344">
        <v>17.5</v>
      </c>
      <c r="G574" s="356">
        <v>17.966666666666701</v>
      </c>
      <c r="H574" s="344">
        <v>16.8</v>
      </c>
      <c r="I574" s="344">
        <v>14.233333333333301</v>
      </c>
      <c r="J574" s="344">
        <v>12.366666666666699</v>
      </c>
      <c r="K574" s="344">
        <v>11.9</v>
      </c>
      <c r="L574" s="344">
        <f t="shared" si="59"/>
        <v>3.3211111111111036</v>
      </c>
      <c r="M574" s="344">
        <v>9.8000000000000007</v>
      </c>
      <c r="N574" s="344">
        <v>13.0666666666667</v>
      </c>
      <c r="O574" s="344">
        <v>14.466666666666701</v>
      </c>
      <c r="P574" s="344">
        <v>16.3333333333333</v>
      </c>
      <c r="Q574" s="344">
        <v>16.566666666666698</v>
      </c>
      <c r="R574" s="344">
        <v>16.3333333333333</v>
      </c>
      <c r="S574" s="344">
        <v>13.0666666666667</v>
      </c>
      <c r="T574" s="344">
        <v>10.966666666666701</v>
      </c>
      <c r="U574" s="344">
        <v>13.533333333333299</v>
      </c>
      <c r="V574" s="344">
        <v>9.8000000000000007</v>
      </c>
      <c r="W574" s="344">
        <v>10.033333333333299</v>
      </c>
      <c r="X574" s="344">
        <v>10.733333333333301</v>
      </c>
      <c r="Y574" s="344">
        <v>10.033333333333299</v>
      </c>
      <c r="Z574" s="344">
        <v>8.8666666666666707</v>
      </c>
      <c r="AA574" s="344">
        <v>10.033333333333299</v>
      </c>
      <c r="AB574" s="344">
        <v>11.2</v>
      </c>
      <c r="AC574" s="344">
        <v>12.366666666666699</v>
      </c>
      <c r="AD574" s="344">
        <f t="shared" si="60"/>
        <v>1.1666666666666998</v>
      </c>
      <c r="AE574" s="344">
        <v>1</v>
      </c>
      <c r="AF574" s="344">
        <v>1</v>
      </c>
      <c r="AG574" s="346">
        <v>1</v>
      </c>
      <c r="AH574" s="346">
        <v>2</v>
      </c>
      <c r="AI574" s="346">
        <v>2</v>
      </c>
      <c r="AJ574" s="346">
        <v>9</v>
      </c>
      <c r="AK574" s="346">
        <v>2</v>
      </c>
      <c r="AL574" s="346">
        <v>9</v>
      </c>
      <c r="AM574" s="346">
        <v>1</v>
      </c>
      <c r="AN574" s="346">
        <v>1</v>
      </c>
      <c r="AO574" s="346">
        <v>1</v>
      </c>
      <c r="AP574" s="346">
        <v>1</v>
      </c>
      <c r="AQ574" s="357">
        <v>1</v>
      </c>
      <c r="AR574" s="357">
        <v>2</v>
      </c>
      <c r="AS574" s="357">
        <v>1</v>
      </c>
      <c r="AT574" s="357">
        <v>2</v>
      </c>
      <c r="AU574" s="357">
        <v>1</v>
      </c>
      <c r="AV574" s="357">
        <v>1</v>
      </c>
      <c r="AW574" s="357">
        <v>9</v>
      </c>
      <c r="AX574" s="357">
        <v>1</v>
      </c>
      <c r="AY574" s="357">
        <v>1</v>
      </c>
      <c r="AZ574" s="357">
        <v>1</v>
      </c>
      <c r="BA574" s="357">
        <v>1</v>
      </c>
      <c r="BB574" s="357">
        <v>4</v>
      </c>
      <c r="BC574" s="357">
        <v>1</v>
      </c>
    </row>
    <row r="575" spans="1:55" s="381" customFormat="1" ht="17.649999999999999" customHeight="1">
      <c r="A575" s="343">
        <v>143</v>
      </c>
      <c r="B575" s="211" t="s">
        <v>2222</v>
      </c>
      <c r="C575" s="211" t="s">
        <v>2055</v>
      </c>
      <c r="D575" s="211" t="s">
        <v>2056</v>
      </c>
      <c r="E575" s="344">
        <v>0</v>
      </c>
      <c r="F575" s="344">
        <v>1.4</v>
      </c>
      <c r="G575" s="356">
        <v>1.4</v>
      </c>
      <c r="H575" s="344">
        <v>1.4</v>
      </c>
      <c r="I575" s="344">
        <v>3.5</v>
      </c>
      <c r="J575" s="344">
        <v>3.5</v>
      </c>
      <c r="K575" s="344">
        <v>3.2666666666666702</v>
      </c>
      <c r="L575" s="344">
        <f t="shared" si="59"/>
        <v>0.81666666666666665</v>
      </c>
      <c r="M575" s="344">
        <v>2.3333333333333299</v>
      </c>
      <c r="N575" s="344">
        <v>3.2666666666666702</v>
      </c>
      <c r="O575" s="344">
        <v>3.2666666666666702</v>
      </c>
      <c r="P575" s="344">
        <v>4.2</v>
      </c>
      <c r="Q575" s="344">
        <v>5.1333333333333302</v>
      </c>
      <c r="R575" s="344">
        <v>5.6</v>
      </c>
      <c r="S575" s="344">
        <v>6.5333333333333297</v>
      </c>
      <c r="T575" s="344">
        <v>5.1333333333333302</v>
      </c>
      <c r="U575" s="344">
        <v>3.5</v>
      </c>
      <c r="V575" s="344">
        <v>3.9666666666666699</v>
      </c>
      <c r="W575" s="344">
        <v>6.7666666666666702</v>
      </c>
      <c r="X575" s="344">
        <v>7</v>
      </c>
      <c r="Y575" s="344">
        <v>10.033333333333299</v>
      </c>
      <c r="Z575" s="344">
        <v>10.733333333333301</v>
      </c>
      <c r="AA575" s="344">
        <v>7</v>
      </c>
      <c r="AB575" s="344">
        <v>7.7</v>
      </c>
      <c r="AC575" s="344">
        <v>8.4</v>
      </c>
      <c r="AD575" s="344">
        <f t="shared" si="60"/>
        <v>0.70000000000000018</v>
      </c>
      <c r="AE575" s="344">
        <v>5</v>
      </c>
      <c r="AF575" s="344">
        <v>4</v>
      </c>
      <c r="AG575" s="346">
        <v>6</v>
      </c>
      <c r="AH575" s="346">
        <v>9</v>
      </c>
      <c r="AI575" s="346">
        <v>2</v>
      </c>
      <c r="AJ575" s="346">
        <v>1</v>
      </c>
      <c r="AK575" s="346">
        <v>1</v>
      </c>
      <c r="AL575" s="346">
        <v>1</v>
      </c>
      <c r="AM575" s="346">
        <v>2</v>
      </c>
      <c r="AN575" s="346">
        <v>2</v>
      </c>
      <c r="AO575" s="346">
        <v>2</v>
      </c>
      <c r="AP575" s="346">
        <v>2</v>
      </c>
      <c r="AQ575" s="357">
        <v>1</v>
      </c>
      <c r="AR575" s="357">
        <v>2</v>
      </c>
      <c r="AS575" s="357">
        <v>1</v>
      </c>
      <c r="AT575" s="357">
        <v>1</v>
      </c>
      <c r="AU575" s="357">
        <v>1</v>
      </c>
      <c r="AV575" s="357">
        <v>1</v>
      </c>
      <c r="AW575" s="357">
        <v>1</v>
      </c>
      <c r="AX575" s="357">
        <v>1</v>
      </c>
      <c r="AY575" s="357">
        <v>8</v>
      </c>
      <c r="AZ575" s="357">
        <v>9</v>
      </c>
      <c r="BA575" s="357">
        <v>10</v>
      </c>
      <c r="BB575" s="357">
        <v>7</v>
      </c>
      <c r="BC575" s="357">
        <v>1</v>
      </c>
    </row>
    <row r="576" spans="1:55" s="381" customFormat="1" ht="17.649999999999999" customHeight="1">
      <c r="A576" s="343">
        <v>144</v>
      </c>
      <c r="B576" s="211" t="s">
        <v>2223</v>
      </c>
      <c r="C576" s="211" t="s">
        <v>2055</v>
      </c>
      <c r="D576" s="211" t="s">
        <v>2056</v>
      </c>
      <c r="E576" s="344">
        <v>0</v>
      </c>
      <c r="F576" s="344">
        <v>1.1666666666666701</v>
      </c>
      <c r="G576" s="356">
        <v>1.1666666666666701</v>
      </c>
      <c r="H576" s="344">
        <v>1.4</v>
      </c>
      <c r="I576" s="344">
        <v>3.0333333333333301</v>
      </c>
      <c r="J576" s="344">
        <v>2.3333333333333299</v>
      </c>
      <c r="K576" s="344">
        <v>2.1</v>
      </c>
      <c r="L576" s="344">
        <f t="shared" si="59"/>
        <v>0.70777777777777695</v>
      </c>
      <c r="M576" s="344">
        <v>4.2</v>
      </c>
      <c r="N576" s="344">
        <v>6.5333333333333297</v>
      </c>
      <c r="O576" s="344">
        <v>7</v>
      </c>
      <c r="P576" s="344">
        <v>4.6666666666666696</v>
      </c>
      <c r="Q576" s="344">
        <v>5.8333333333333304</v>
      </c>
      <c r="R576" s="344">
        <v>6.5333333333333297</v>
      </c>
      <c r="S576" s="344">
        <v>6.3</v>
      </c>
      <c r="T576" s="344">
        <v>6.5333333333333297</v>
      </c>
      <c r="U576" s="344">
        <v>5.3666666666666698</v>
      </c>
      <c r="V576" s="344">
        <v>6.5333333333333297</v>
      </c>
      <c r="W576" s="344">
        <v>4.6666666666666696</v>
      </c>
      <c r="X576" s="344">
        <v>5.3666666666666698</v>
      </c>
      <c r="Y576" s="344">
        <v>4.2</v>
      </c>
      <c r="Z576" s="344">
        <v>4.43333333333333</v>
      </c>
      <c r="AA576" s="344">
        <v>4.43333333333333</v>
      </c>
      <c r="AB576" s="344">
        <v>3.5</v>
      </c>
      <c r="AC576" s="344">
        <v>4.2</v>
      </c>
      <c r="AD576" s="344">
        <f t="shared" si="60"/>
        <v>0.70000000000000018</v>
      </c>
      <c r="AE576" s="344">
        <v>1</v>
      </c>
      <c r="AF576" s="344">
        <v>1</v>
      </c>
      <c r="AG576" s="346">
        <v>51</v>
      </c>
      <c r="AH576" s="346">
        <v>1</v>
      </c>
      <c r="AI576" s="346">
        <v>1</v>
      </c>
      <c r="AJ576" s="346">
        <v>1</v>
      </c>
      <c r="AK576" s="346">
        <v>1</v>
      </c>
      <c r="AL576" s="346">
        <v>1</v>
      </c>
      <c r="AM576" s="346">
        <v>1</v>
      </c>
      <c r="AN576" s="346">
        <v>1</v>
      </c>
      <c r="AO576" s="346">
        <v>1</v>
      </c>
      <c r="AP576" s="346">
        <v>10</v>
      </c>
      <c r="AQ576" s="357">
        <v>1</v>
      </c>
      <c r="AR576" s="357">
        <v>1</v>
      </c>
      <c r="AS576" s="357">
        <v>6</v>
      </c>
      <c r="AT576" s="357">
        <v>10</v>
      </c>
      <c r="AU576" s="357">
        <v>1</v>
      </c>
      <c r="AV576" s="357">
        <v>1</v>
      </c>
      <c r="AW576" s="357">
        <v>8</v>
      </c>
      <c r="AX576" s="357">
        <v>10</v>
      </c>
      <c r="AY576" s="357">
        <v>6</v>
      </c>
      <c r="AZ576" s="357">
        <v>1</v>
      </c>
      <c r="BA576" s="357">
        <v>1</v>
      </c>
      <c r="BB576" s="357">
        <v>1</v>
      </c>
      <c r="BC576" s="357">
        <v>3</v>
      </c>
    </row>
    <row r="577" spans="1:55" s="381" customFormat="1" ht="17.649999999999999" customHeight="1">
      <c r="A577" s="343">
        <v>145</v>
      </c>
      <c r="B577" s="211" t="s">
        <v>2224</v>
      </c>
      <c r="C577" s="211" t="s">
        <v>2055</v>
      </c>
      <c r="D577" s="211" t="s">
        <v>2056</v>
      </c>
      <c r="E577" s="344">
        <v>0</v>
      </c>
      <c r="F577" s="344">
        <v>2.1</v>
      </c>
      <c r="G577" s="356">
        <v>2.56666666666667</v>
      </c>
      <c r="H577" s="344">
        <v>2.56666666666667</v>
      </c>
      <c r="I577" s="344">
        <v>2.56666666666667</v>
      </c>
      <c r="J577" s="344">
        <v>2.3333333333333299</v>
      </c>
      <c r="K577" s="344">
        <v>0.233333333333333</v>
      </c>
      <c r="L577" s="344">
        <f t="shared" si="59"/>
        <v>0.59888888888888969</v>
      </c>
      <c r="M577" s="344">
        <v>4.2</v>
      </c>
      <c r="N577" s="344">
        <v>5.6</v>
      </c>
      <c r="O577" s="344">
        <v>8.4</v>
      </c>
      <c r="P577" s="344">
        <v>9.8000000000000007</v>
      </c>
      <c r="Q577" s="344">
        <v>8.6333333333333293</v>
      </c>
      <c r="R577" s="344">
        <v>8.8666666666666707</v>
      </c>
      <c r="S577" s="344">
        <v>7.93333333333333</v>
      </c>
      <c r="T577" s="344">
        <v>5.8333333333333304</v>
      </c>
      <c r="U577" s="344">
        <v>4.6666666666666696</v>
      </c>
      <c r="V577" s="344">
        <v>7.93333333333333</v>
      </c>
      <c r="W577" s="344">
        <v>5.3666666666666698</v>
      </c>
      <c r="X577" s="344">
        <v>5.6</v>
      </c>
      <c r="Y577" s="344">
        <v>7.7</v>
      </c>
      <c r="Z577" s="344">
        <v>5.3666666666666698</v>
      </c>
      <c r="AA577" s="344">
        <v>5.6</v>
      </c>
      <c r="AB577" s="344">
        <v>5.1333333333333302</v>
      </c>
      <c r="AC577" s="344">
        <v>4.43333333333333</v>
      </c>
      <c r="AD577" s="344">
        <f t="shared" si="60"/>
        <v>-0.70000000000000018</v>
      </c>
      <c r="AE577" s="344">
        <v>10</v>
      </c>
      <c r="AF577" s="344">
        <v>3</v>
      </c>
      <c r="AG577" s="346">
        <v>10</v>
      </c>
      <c r="AH577" s="346">
        <v>8</v>
      </c>
      <c r="AI577" s="346">
        <v>1</v>
      </c>
      <c r="AJ577" s="346">
        <v>1</v>
      </c>
      <c r="AK577" s="346">
        <v>1</v>
      </c>
      <c r="AL577" s="346">
        <v>1</v>
      </c>
      <c r="AM577" s="346">
        <v>1</v>
      </c>
      <c r="AN577" s="346">
        <v>1</v>
      </c>
      <c r="AO577" s="346">
        <v>1</v>
      </c>
      <c r="AP577" s="346">
        <v>1</v>
      </c>
      <c r="AQ577" s="357">
        <v>1</v>
      </c>
      <c r="AR577" s="357">
        <v>10</v>
      </c>
      <c r="AS577" s="357">
        <v>1</v>
      </c>
      <c r="AT577" s="357">
        <v>1</v>
      </c>
      <c r="AU577" s="357">
        <v>1</v>
      </c>
      <c r="AV577" s="357">
        <v>1</v>
      </c>
      <c r="AW577" s="357">
        <v>1</v>
      </c>
      <c r="AX577" s="357">
        <v>1</v>
      </c>
      <c r="AY577" s="357">
        <v>1</v>
      </c>
      <c r="AZ577" s="357">
        <v>1</v>
      </c>
      <c r="BA577" s="357">
        <v>3</v>
      </c>
      <c r="BB577" s="357">
        <v>7</v>
      </c>
      <c r="BC577" s="357">
        <v>1</v>
      </c>
    </row>
    <row r="578" spans="1:55" s="381" customFormat="1" ht="17.649999999999999" customHeight="1">
      <c r="A578" s="343">
        <v>146</v>
      </c>
      <c r="B578" s="211" t="s">
        <v>2225</v>
      </c>
      <c r="C578" s="211" t="s">
        <v>2055</v>
      </c>
      <c r="D578" s="211" t="s">
        <v>2056</v>
      </c>
      <c r="E578" s="344">
        <v>0</v>
      </c>
      <c r="F578" s="344">
        <v>0.233333333333333</v>
      </c>
      <c r="G578" s="356">
        <v>0.233333333333333</v>
      </c>
      <c r="H578" s="344">
        <v>0.233333333333333</v>
      </c>
      <c r="I578" s="344">
        <v>1.1666666666666701</v>
      </c>
      <c r="J578" s="344">
        <v>1.86666666666667</v>
      </c>
      <c r="K578" s="344">
        <v>1.4</v>
      </c>
      <c r="L578" s="344">
        <f t="shared" si="59"/>
        <v>0.27222222222222303</v>
      </c>
      <c r="M578" s="344">
        <v>5.6</v>
      </c>
      <c r="N578" s="344">
        <v>6.3</v>
      </c>
      <c r="O578" s="344">
        <v>6.5333333333333297</v>
      </c>
      <c r="P578" s="344">
        <v>7.93333333333333</v>
      </c>
      <c r="Q578" s="344">
        <v>6.7666666666666702</v>
      </c>
      <c r="R578" s="344">
        <v>8.4</v>
      </c>
      <c r="S578" s="344">
        <v>10.733333333333301</v>
      </c>
      <c r="T578" s="344">
        <v>9.56666666666667</v>
      </c>
      <c r="U578" s="344">
        <v>7.93333333333333</v>
      </c>
      <c r="V578" s="344">
        <v>7.93333333333333</v>
      </c>
      <c r="W578" s="344">
        <v>5.6</v>
      </c>
      <c r="X578" s="344">
        <v>4.2</v>
      </c>
      <c r="Y578" s="344">
        <v>5.8333333333333304</v>
      </c>
      <c r="Z578" s="344">
        <v>4.6666666666666696</v>
      </c>
      <c r="AA578" s="344">
        <v>4.6666666666666696</v>
      </c>
      <c r="AB578" s="344">
        <v>8.6333333333333293</v>
      </c>
      <c r="AC578" s="344">
        <v>9.1</v>
      </c>
      <c r="AD578" s="344">
        <f t="shared" si="60"/>
        <v>0.46666666666667034</v>
      </c>
      <c r="AE578" s="344">
        <v>1</v>
      </c>
      <c r="AF578" s="344">
        <v>4</v>
      </c>
      <c r="AG578" s="346">
        <v>10</v>
      </c>
      <c r="AH578" s="346">
        <v>2</v>
      </c>
      <c r="AI578" s="346">
        <v>2</v>
      </c>
      <c r="AJ578" s="346">
        <v>2</v>
      </c>
      <c r="AK578" s="346">
        <v>1</v>
      </c>
      <c r="AL578" s="346">
        <v>2</v>
      </c>
      <c r="AM578" s="346">
        <v>2</v>
      </c>
      <c r="AN578" s="346">
        <v>1</v>
      </c>
      <c r="AO578" s="346">
        <v>1</v>
      </c>
      <c r="AP578" s="346">
        <v>1</v>
      </c>
      <c r="AQ578" s="357">
        <v>1</v>
      </c>
      <c r="AR578" s="357">
        <v>3</v>
      </c>
      <c r="AS578" s="357">
        <v>1</v>
      </c>
      <c r="AT578" s="357">
        <v>1</v>
      </c>
      <c r="AU578" s="357">
        <v>1</v>
      </c>
      <c r="AV578" s="357">
        <v>1</v>
      </c>
      <c r="AW578" s="357">
        <v>4</v>
      </c>
      <c r="AX578" s="357">
        <v>1</v>
      </c>
      <c r="AY578" s="357">
        <v>11</v>
      </c>
      <c r="AZ578" s="357">
        <v>1</v>
      </c>
      <c r="BA578" s="357">
        <v>1</v>
      </c>
      <c r="BB578" s="357">
        <v>1</v>
      </c>
      <c r="BC578" s="357">
        <v>1</v>
      </c>
    </row>
    <row r="579" spans="1:55" s="381" customFormat="1" ht="17.649999999999999" customHeight="1">
      <c r="A579" s="343">
        <v>147</v>
      </c>
      <c r="B579" s="211" t="s">
        <v>2226</v>
      </c>
      <c r="C579" s="211" t="s">
        <v>2055</v>
      </c>
      <c r="D579" s="211" t="s">
        <v>2056</v>
      </c>
      <c r="E579" s="344">
        <v>0</v>
      </c>
      <c r="F579" s="344">
        <v>0.233333333333333</v>
      </c>
      <c r="G579" s="356">
        <v>0.233333333333333</v>
      </c>
      <c r="H579" s="344">
        <v>0.233333333333333</v>
      </c>
      <c r="I579" s="344">
        <v>2.1</v>
      </c>
      <c r="J579" s="344">
        <v>2.3333333333333299</v>
      </c>
      <c r="K579" s="344">
        <v>2.3333333333333299</v>
      </c>
      <c r="L579" s="344">
        <f t="shared" si="59"/>
        <v>0.49000000000000005</v>
      </c>
      <c r="M579" s="344">
        <v>3.9666666666666699</v>
      </c>
      <c r="N579" s="344">
        <v>5.6</v>
      </c>
      <c r="O579" s="344">
        <v>6.3</v>
      </c>
      <c r="P579" s="344">
        <v>7</v>
      </c>
      <c r="Q579" s="344">
        <v>5.8333333333333304</v>
      </c>
      <c r="R579" s="344">
        <v>6.3</v>
      </c>
      <c r="S579" s="344">
        <v>4.43333333333333</v>
      </c>
      <c r="T579" s="344">
        <v>5.8333333333333304</v>
      </c>
      <c r="U579" s="344">
        <v>7</v>
      </c>
      <c r="V579" s="344">
        <v>5.8333333333333304</v>
      </c>
      <c r="W579" s="344">
        <v>6.7666666666666702</v>
      </c>
      <c r="X579" s="344">
        <v>5.1333333333333302</v>
      </c>
      <c r="Y579" s="344">
        <v>6.5333333333333297</v>
      </c>
      <c r="Z579" s="344">
        <v>6.3</v>
      </c>
      <c r="AA579" s="344">
        <v>3.9666666666666699</v>
      </c>
      <c r="AB579" s="344">
        <v>4.43333333333333</v>
      </c>
      <c r="AC579" s="344">
        <v>5.6</v>
      </c>
      <c r="AD579" s="344">
        <f t="shared" si="60"/>
        <v>1.1666666666666696</v>
      </c>
      <c r="AE579" s="344">
        <v>10</v>
      </c>
      <c r="AF579" s="344">
        <v>1</v>
      </c>
      <c r="AG579" s="346">
        <v>2</v>
      </c>
      <c r="AH579" s="346">
        <v>2</v>
      </c>
      <c r="AI579" s="346">
        <v>10</v>
      </c>
      <c r="AJ579" s="346">
        <v>2</v>
      </c>
      <c r="AK579" s="346">
        <v>2</v>
      </c>
      <c r="AL579" s="346">
        <v>2</v>
      </c>
      <c r="AM579" s="346">
        <v>2</v>
      </c>
      <c r="AN579" s="346">
        <v>2</v>
      </c>
      <c r="AO579" s="346">
        <v>2</v>
      </c>
      <c r="AP579" s="346">
        <v>2</v>
      </c>
      <c r="AQ579" s="357">
        <v>8</v>
      </c>
      <c r="AR579" s="357">
        <v>2</v>
      </c>
      <c r="AS579" s="357">
        <v>10</v>
      </c>
      <c r="AT579" s="357">
        <v>2</v>
      </c>
      <c r="AU579" s="357">
        <v>2</v>
      </c>
      <c r="AV579" s="357">
        <v>8</v>
      </c>
      <c r="AW579" s="357">
        <v>2</v>
      </c>
      <c r="AX579" s="357">
        <v>8</v>
      </c>
      <c r="AY579" s="357">
        <v>3</v>
      </c>
      <c r="AZ579" s="357">
        <v>25</v>
      </c>
      <c r="BA579" s="357">
        <v>1</v>
      </c>
      <c r="BB579" s="357">
        <v>9</v>
      </c>
      <c r="BC579" s="357">
        <v>1</v>
      </c>
    </row>
    <row r="580" spans="1:55" s="381" customFormat="1" ht="17.649999999999999" customHeight="1">
      <c r="A580" s="343">
        <v>148</v>
      </c>
      <c r="B580" s="211" t="s">
        <v>2227</v>
      </c>
      <c r="C580" s="211" t="s">
        <v>2055</v>
      </c>
      <c r="D580" s="211" t="s">
        <v>2056</v>
      </c>
      <c r="E580" s="344">
        <v>1</v>
      </c>
      <c r="F580" s="344">
        <v>1.1666666666666701</v>
      </c>
      <c r="G580" s="356">
        <v>0.233333333333333</v>
      </c>
      <c r="H580" s="344">
        <v>0.233333333333333</v>
      </c>
      <c r="I580" s="344">
        <v>1.1666666666666701</v>
      </c>
      <c r="J580" s="344">
        <v>1.86666666666667</v>
      </c>
      <c r="K580" s="344">
        <v>1.4</v>
      </c>
      <c r="L580" s="344">
        <f t="shared" si="59"/>
        <v>0.27222222222222303</v>
      </c>
      <c r="M580" s="344">
        <v>6.3</v>
      </c>
      <c r="N580" s="344">
        <v>6.5333333333333297</v>
      </c>
      <c r="O580" s="344">
        <v>6.7666666666666702</v>
      </c>
      <c r="P580" s="344">
        <v>5.3666666666666698</v>
      </c>
      <c r="Q580" s="344">
        <v>7.7</v>
      </c>
      <c r="R580" s="344">
        <v>7.7</v>
      </c>
      <c r="S580" s="344">
        <v>8.8666666666666707</v>
      </c>
      <c r="T580" s="344">
        <v>7.93333333333333</v>
      </c>
      <c r="U580" s="344">
        <v>8.4</v>
      </c>
      <c r="V580" s="344">
        <v>5.1333333333333302</v>
      </c>
      <c r="W580" s="344">
        <v>6.3</v>
      </c>
      <c r="X580" s="344">
        <v>6.7666666666666702</v>
      </c>
      <c r="Y580" s="344">
        <v>6.5333333333333297</v>
      </c>
      <c r="Z580" s="344">
        <v>8.6333333333333293</v>
      </c>
      <c r="AA580" s="344">
        <v>7.7</v>
      </c>
      <c r="AB580" s="344">
        <v>9.1</v>
      </c>
      <c r="AC580" s="344">
        <v>8.4</v>
      </c>
      <c r="AD580" s="344">
        <f t="shared" si="60"/>
        <v>-0.69999999999999929</v>
      </c>
      <c r="AE580" s="344">
        <v>1</v>
      </c>
      <c r="AF580" s="344">
        <v>1</v>
      </c>
      <c r="AG580" s="346">
        <v>7</v>
      </c>
      <c r="AH580" s="346">
        <v>1</v>
      </c>
      <c r="AI580" s="346">
        <v>1</v>
      </c>
      <c r="AJ580" s="346">
        <v>1</v>
      </c>
      <c r="AK580" s="346">
        <v>1</v>
      </c>
      <c r="AL580" s="346">
        <v>1</v>
      </c>
      <c r="AM580" s="346">
        <v>1</v>
      </c>
      <c r="AN580" s="346">
        <v>9</v>
      </c>
      <c r="AO580" s="346">
        <v>9</v>
      </c>
      <c r="AP580" s="346">
        <v>1</v>
      </c>
      <c r="AQ580" s="357">
        <v>1</v>
      </c>
      <c r="AR580" s="357">
        <v>1</v>
      </c>
      <c r="AS580" s="357">
        <v>1</v>
      </c>
      <c r="AT580" s="357">
        <v>1</v>
      </c>
      <c r="AU580" s="357">
        <v>1</v>
      </c>
      <c r="AV580" s="357">
        <v>9</v>
      </c>
      <c r="AW580" s="357">
        <v>2</v>
      </c>
      <c r="AX580" s="357">
        <v>1</v>
      </c>
      <c r="AY580" s="357">
        <v>1</v>
      </c>
      <c r="AZ580" s="357">
        <v>1</v>
      </c>
      <c r="BA580" s="357">
        <v>1</v>
      </c>
      <c r="BB580" s="357">
        <v>1</v>
      </c>
      <c r="BC580" s="357">
        <v>1</v>
      </c>
    </row>
    <row r="581" spans="1:55" s="381" customFormat="1" ht="17.649999999999999" customHeight="1">
      <c r="A581" s="343">
        <v>149</v>
      </c>
      <c r="B581" s="211" t="s">
        <v>2228</v>
      </c>
      <c r="C581" s="211" t="s">
        <v>2055</v>
      </c>
      <c r="D581" s="211" t="s">
        <v>2056</v>
      </c>
      <c r="E581" s="344">
        <v>1</v>
      </c>
      <c r="F581" s="344">
        <v>1.4</v>
      </c>
      <c r="G581" s="356">
        <v>1.1666666666666701</v>
      </c>
      <c r="H581" s="344">
        <v>0.233333333333333</v>
      </c>
      <c r="I581" s="344">
        <v>1.86666666666667</v>
      </c>
      <c r="J581" s="344">
        <v>1.86666666666667</v>
      </c>
      <c r="K581" s="344">
        <v>1.86666666666667</v>
      </c>
      <c r="L581" s="344">
        <f t="shared" si="59"/>
        <v>0.43555555555555631</v>
      </c>
      <c r="M581" s="344">
        <v>2.56666666666667</v>
      </c>
      <c r="N581" s="344">
        <v>5.1333333333333302</v>
      </c>
      <c r="O581" s="344">
        <v>5.8333333333333304</v>
      </c>
      <c r="P581" s="344">
        <v>10.033333333333299</v>
      </c>
      <c r="Q581" s="344">
        <v>9.8000000000000007</v>
      </c>
      <c r="R581" s="344">
        <v>8.4</v>
      </c>
      <c r="S581" s="344">
        <v>7.93333333333333</v>
      </c>
      <c r="T581" s="344">
        <v>4.6666666666666696</v>
      </c>
      <c r="U581" s="344">
        <v>4.6666666666666696</v>
      </c>
      <c r="V581" s="344">
        <v>5.3666666666666698</v>
      </c>
      <c r="W581" s="344">
        <v>7</v>
      </c>
      <c r="X581" s="344">
        <v>6.5333333333333297</v>
      </c>
      <c r="Y581" s="344">
        <v>6.7666666666666702</v>
      </c>
      <c r="Z581" s="344">
        <v>7</v>
      </c>
      <c r="AA581" s="344">
        <v>4.43333333333333</v>
      </c>
      <c r="AB581" s="344">
        <v>5.3666666666666698</v>
      </c>
      <c r="AC581" s="344">
        <v>5.3666666666666698</v>
      </c>
      <c r="AD581" s="344">
        <f t="shared" si="60"/>
        <v>0</v>
      </c>
      <c r="AE581" s="344">
        <v>10</v>
      </c>
      <c r="AF581" s="344">
        <v>1</v>
      </c>
      <c r="AG581" s="346">
        <v>1</v>
      </c>
      <c r="AH581" s="346">
        <v>3</v>
      </c>
      <c r="AI581" s="346">
        <v>4</v>
      </c>
      <c r="AJ581" s="346">
        <v>1</v>
      </c>
      <c r="AK581" s="346">
        <v>2</v>
      </c>
      <c r="AL581" s="346">
        <v>1</v>
      </c>
      <c r="AM581" s="346">
        <v>2</v>
      </c>
      <c r="AN581" s="346">
        <v>2</v>
      </c>
      <c r="AO581" s="346">
        <v>2</v>
      </c>
      <c r="AP581" s="346">
        <v>1</v>
      </c>
      <c r="AQ581" s="357">
        <v>8</v>
      </c>
      <c r="AR581" s="357">
        <v>9</v>
      </c>
      <c r="AS581" s="357">
        <v>1</v>
      </c>
      <c r="AT581" s="357">
        <v>3</v>
      </c>
      <c r="AU581" s="357">
        <v>1</v>
      </c>
      <c r="AV581" s="357">
        <v>1</v>
      </c>
      <c r="AW581" s="357">
        <v>9</v>
      </c>
      <c r="AX581" s="357">
        <v>1</v>
      </c>
      <c r="AY581" s="357">
        <v>1</v>
      </c>
      <c r="AZ581" s="357">
        <v>1</v>
      </c>
      <c r="BA581" s="357">
        <v>1</v>
      </c>
      <c r="BB581" s="357">
        <v>1</v>
      </c>
      <c r="BC581" s="357">
        <v>1</v>
      </c>
    </row>
    <row r="582" spans="1:55" s="381" customFormat="1" ht="17.649999999999999" customHeight="1">
      <c r="A582" s="343">
        <v>150</v>
      </c>
      <c r="B582" s="211" t="s">
        <v>2229</v>
      </c>
      <c r="C582" s="211" t="s">
        <v>2055</v>
      </c>
      <c r="D582" s="211" t="s">
        <v>2056</v>
      </c>
      <c r="E582" s="344">
        <v>0</v>
      </c>
      <c r="F582" s="344">
        <v>1.1666666666666701</v>
      </c>
      <c r="G582" s="356">
        <v>1.4</v>
      </c>
      <c r="H582" s="344">
        <v>1.1666666666666701</v>
      </c>
      <c r="I582" s="344">
        <v>3.9666666666666699</v>
      </c>
      <c r="J582" s="344">
        <v>4.43333333333333</v>
      </c>
      <c r="K582" s="344">
        <v>3.9666666666666699</v>
      </c>
      <c r="L582" s="344">
        <f t="shared" si="59"/>
        <v>0.92555555555555624</v>
      </c>
      <c r="M582" s="344">
        <v>2.1</v>
      </c>
      <c r="N582" s="344">
        <v>2.3333333333333299</v>
      </c>
      <c r="O582" s="344">
        <v>2.3333333333333299</v>
      </c>
      <c r="P582" s="344">
        <v>5.1333333333333302</v>
      </c>
      <c r="Q582" s="344">
        <v>5.8333333333333304</v>
      </c>
      <c r="R582" s="344">
        <v>7.93333333333333</v>
      </c>
      <c r="S582" s="344">
        <v>9.8000000000000007</v>
      </c>
      <c r="T582" s="344">
        <v>7</v>
      </c>
      <c r="U582" s="344">
        <v>6.3</v>
      </c>
      <c r="V582" s="344">
        <v>7</v>
      </c>
      <c r="W582" s="344">
        <v>3.0333333333333301</v>
      </c>
      <c r="X582" s="344">
        <v>4.2</v>
      </c>
      <c r="Y582" s="344">
        <v>3.2666666666666702</v>
      </c>
      <c r="Z582" s="344">
        <v>4.6666666666666696</v>
      </c>
      <c r="AA582" s="344">
        <v>4.2</v>
      </c>
      <c r="AB582" s="344">
        <v>4.43333333333333</v>
      </c>
      <c r="AC582" s="344">
        <v>4.6666666666666696</v>
      </c>
      <c r="AD582" s="344">
        <f t="shared" si="60"/>
        <v>0.23333333333333961</v>
      </c>
      <c r="AE582" s="344">
        <v>1</v>
      </c>
      <c r="AF582" s="344">
        <v>3</v>
      </c>
      <c r="AG582" s="346">
        <v>12</v>
      </c>
      <c r="AH582" s="346">
        <v>1</v>
      </c>
      <c r="AI582" s="346">
        <v>1</v>
      </c>
      <c r="AJ582" s="346">
        <v>1</v>
      </c>
      <c r="AK582" s="346">
        <v>1</v>
      </c>
      <c r="AL582" s="346">
        <v>1</v>
      </c>
      <c r="AM582" s="346">
        <v>1</v>
      </c>
      <c r="AN582" s="346">
        <v>1</v>
      </c>
      <c r="AO582" s="346">
        <v>1</v>
      </c>
      <c r="AP582" s="346">
        <v>1</v>
      </c>
      <c r="AQ582" s="357">
        <v>13</v>
      </c>
      <c r="AR582" s="357">
        <v>11</v>
      </c>
      <c r="AS582" s="357">
        <v>1</v>
      </c>
      <c r="AT582" s="357">
        <v>1</v>
      </c>
      <c r="AU582" s="357">
        <v>1</v>
      </c>
      <c r="AV582" s="357">
        <v>12</v>
      </c>
      <c r="AW582" s="357">
        <v>1</v>
      </c>
      <c r="AX582" s="357">
        <v>1</v>
      </c>
      <c r="AY582" s="357">
        <v>1</v>
      </c>
      <c r="AZ582" s="357">
        <v>1</v>
      </c>
      <c r="BA582" s="357">
        <v>1</v>
      </c>
      <c r="BB582" s="357">
        <v>1</v>
      </c>
      <c r="BC582" s="357">
        <v>7</v>
      </c>
    </row>
    <row r="583" spans="1:55" s="381" customFormat="1" ht="17.649999999999999" customHeight="1">
      <c r="A583" s="343">
        <v>151</v>
      </c>
      <c r="B583" s="211" t="s">
        <v>2230</v>
      </c>
      <c r="C583" s="211" t="s">
        <v>2055</v>
      </c>
      <c r="D583" s="211" t="s">
        <v>2056</v>
      </c>
      <c r="E583" s="344">
        <v>23</v>
      </c>
      <c r="F583" s="344">
        <v>19.8333333333333</v>
      </c>
      <c r="G583" s="356">
        <v>14.466666666666701</v>
      </c>
      <c r="H583" s="344">
        <v>10.966666666666701</v>
      </c>
      <c r="I583" s="344">
        <v>12.366666666666699</v>
      </c>
      <c r="J583" s="344">
        <v>11.2</v>
      </c>
      <c r="K583" s="344">
        <v>12.366666666666699</v>
      </c>
      <c r="L583" s="344">
        <f t="shared" si="59"/>
        <v>2.8855555555555634</v>
      </c>
      <c r="M583" s="344">
        <v>10.733333333333301</v>
      </c>
      <c r="N583" s="344">
        <v>10.266666666666699</v>
      </c>
      <c r="O583" s="344">
        <v>9.1</v>
      </c>
      <c r="P583" s="344">
        <v>10.966666666666701</v>
      </c>
      <c r="Q583" s="344">
        <v>10.966666666666701</v>
      </c>
      <c r="R583" s="344">
        <v>12.8333333333333</v>
      </c>
      <c r="S583" s="344">
        <v>14.9333333333333</v>
      </c>
      <c r="T583" s="344">
        <v>12.8333333333333</v>
      </c>
      <c r="U583" s="344">
        <v>13.3</v>
      </c>
      <c r="V583" s="344">
        <v>11.2</v>
      </c>
      <c r="W583" s="344">
        <v>10.733333333333301</v>
      </c>
      <c r="X583" s="344">
        <v>13.3</v>
      </c>
      <c r="Y583" s="344">
        <v>11.6666666666667</v>
      </c>
      <c r="Z583" s="344">
        <v>16.100000000000001</v>
      </c>
      <c r="AA583" s="344">
        <v>14.9333333333333</v>
      </c>
      <c r="AB583" s="344">
        <v>12.133333333333301</v>
      </c>
      <c r="AC583" s="344">
        <v>13.533333333333299</v>
      </c>
      <c r="AD583" s="344">
        <f t="shared" si="60"/>
        <v>1.3999999999999986</v>
      </c>
      <c r="AE583" s="344">
        <v>1</v>
      </c>
      <c r="AF583" s="344">
        <v>3</v>
      </c>
      <c r="AG583" s="346">
        <v>1</v>
      </c>
      <c r="AH583" s="346">
        <v>8</v>
      </c>
      <c r="AI583" s="346">
        <v>1</v>
      </c>
      <c r="AJ583" s="346">
        <v>1</v>
      </c>
      <c r="AK583" s="346">
        <v>9</v>
      </c>
      <c r="AL583" s="346">
        <v>1</v>
      </c>
      <c r="AM583" s="346">
        <v>1</v>
      </c>
      <c r="AN583" s="346">
        <v>1</v>
      </c>
      <c r="AO583" s="346">
        <v>1</v>
      </c>
      <c r="AP583" s="346">
        <v>1</v>
      </c>
      <c r="AQ583" s="357">
        <v>1</v>
      </c>
      <c r="AR583" s="357">
        <v>3</v>
      </c>
      <c r="AS583" s="357">
        <v>1</v>
      </c>
      <c r="AT583" s="357">
        <v>1</v>
      </c>
      <c r="AU583" s="357">
        <v>10</v>
      </c>
      <c r="AV583" s="357">
        <v>3</v>
      </c>
      <c r="AW583" s="357">
        <v>9</v>
      </c>
      <c r="AX583" s="357">
        <v>1</v>
      </c>
      <c r="AY583" s="357">
        <v>1</v>
      </c>
      <c r="AZ583" s="357">
        <v>10</v>
      </c>
      <c r="BA583" s="357">
        <v>1</v>
      </c>
      <c r="BB583" s="357">
        <v>1</v>
      </c>
      <c r="BC583" s="357">
        <v>3</v>
      </c>
    </row>
    <row r="584" spans="1:55" s="381" customFormat="1" ht="17.649999999999999" customHeight="1">
      <c r="A584" s="343">
        <v>152</v>
      </c>
      <c r="B584" s="211" t="s">
        <v>2231</v>
      </c>
      <c r="C584" s="211" t="s">
        <v>2055</v>
      </c>
      <c r="D584" s="211" t="s">
        <v>2056</v>
      </c>
      <c r="E584" s="344">
        <v>0</v>
      </c>
      <c r="F584" s="344">
        <v>0.233333333333333</v>
      </c>
      <c r="G584" s="356">
        <v>0.233333333333333</v>
      </c>
      <c r="H584" s="344">
        <v>0.233333333333333</v>
      </c>
      <c r="I584" s="344">
        <v>3.5</v>
      </c>
      <c r="J584" s="344">
        <v>3.5</v>
      </c>
      <c r="K584" s="344">
        <v>3.2666666666666702</v>
      </c>
      <c r="L584" s="344">
        <f t="shared" si="59"/>
        <v>0.81666666666666665</v>
      </c>
      <c r="M584" s="344">
        <v>1.1666666666666701</v>
      </c>
      <c r="N584" s="344">
        <v>1.1666666666666701</v>
      </c>
      <c r="O584" s="344">
        <v>1.4</v>
      </c>
      <c r="P584" s="344">
        <v>2.1</v>
      </c>
      <c r="Q584" s="344">
        <v>3.2666666666666702</v>
      </c>
      <c r="R584" s="344">
        <v>3.0333333333333301</v>
      </c>
      <c r="S584" s="344">
        <v>3.0333333333333301</v>
      </c>
      <c r="T584" s="344">
        <v>4.2</v>
      </c>
      <c r="U584" s="344">
        <v>4.6666666666666696</v>
      </c>
      <c r="V584" s="344">
        <v>4.43333333333333</v>
      </c>
      <c r="W584" s="344">
        <v>4.43333333333333</v>
      </c>
      <c r="X584" s="344">
        <v>4.43333333333333</v>
      </c>
      <c r="Y584" s="344">
        <v>3.2666666666666702</v>
      </c>
      <c r="Z584" s="344">
        <v>5.6</v>
      </c>
      <c r="AA584" s="344">
        <v>5.3666666666666698</v>
      </c>
      <c r="AB584" s="344">
        <v>5.3666666666666698</v>
      </c>
      <c r="AC584" s="344">
        <v>4.6666666666666696</v>
      </c>
      <c r="AD584" s="344">
        <f t="shared" si="60"/>
        <v>-0.70000000000000018</v>
      </c>
      <c r="AE584" s="344">
        <v>1</v>
      </c>
      <c r="AF584" s="344">
        <v>1</v>
      </c>
      <c r="AG584" s="346">
        <v>9</v>
      </c>
      <c r="AH584" s="346">
        <v>1</v>
      </c>
      <c r="AI584" s="346">
        <v>1</v>
      </c>
      <c r="AJ584" s="346">
        <v>1</v>
      </c>
      <c r="AK584" s="346">
        <v>1</v>
      </c>
      <c r="AL584" s="346">
        <v>1</v>
      </c>
      <c r="AM584" s="346">
        <v>1</v>
      </c>
      <c r="AN584" s="346">
        <v>1</v>
      </c>
      <c r="AO584" s="346">
        <v>1</v>
      </c>
      <c r="AP584" s="346">
        <v>10</v>
      </c>
      <c r="AQ584" s="357">
        <v>1</v>
      </c>
      <c r="AR584" s="357">
        <v>7</v>
      </c>
      <c r="AS584" s="357">
        <v>5</v>
      </c>
      <c r="AT584" s="357">
        <v>1</v>
      </c>
      <c r="AU584" s="357">
        <v>1</v>
      </c>
      <c r="AV584" s="357">
        <v>1</v>
      </c>
      <c r="AW584" s="357">
        <v>1</v>
      </c>
      <c r="AX584" s="357">
        <v>1</v>
      </c>
      <c r="AY584" s="357">
        <v>1</v>
      </c>
      <c r="AZ584" s="357">
        <v>1</v>
      </c>
      <c r="BA584" s="357">
        <v>1</v>
      </c>
      <c r="BB584" s="357">
        <v>6</v>
      </c>
      <c r="BC584" s="357">
        <v>1</v>
      </c>
    </row>
    <row r="585" spans="1:55" s="381" customFormat="1" ht="17.649999999999999" customHeight="1">
      <c r="A585" s="343">
        <v>153</v>
      </c>
      <c r="B585" s="211" t="s">
        <v>2232</v>
      </c>
      <c r="C585" s="211" t="s">
        <v>2055</v>
      </c>
      <c r="D585" s="211" t="s">
        <v>2056</v>
      </c>
      <c r="E585" s="344">
        <v>27</v>
      </c>
      <c r="F585" s="344">
        <v>24.5</v>
      </c>
      <c r="G585" s="356">
        <v>19.366666666666699</v>
      </c>
      <c r="H585" s="344">
        <v>16.566666666666698</v>
      </c>
      <c r="I585" s="344">
        <v>11.6666666666667</v>
      </c>
      <c r="J585" s="344">
        <v>10.733333333333301</v>
      </c>
      <c r="K585" s="344">
        <v>10.966666666666701</v>
      </c>
      <c r="L585" s="344">
        <f t="shared" si="59"/>
        <v>2.7222222222222299</v>
      </c>
      <c r="M585" s="344">
        <v>10.966666666666701</v>
      </c>
      <c r="N585" s="344">
        <v>9.56666666666667</v>
      </c>
      <c r="O585" s="344">
        <v>9.8000000000000007</v>
      </c>
      <c r="P585" s="344">
        <v>9.1</v>
      </c>
      <c r="Q585" s="344">
        <v>8.8666666666666707</v>
      </c>
      <c r="R585" s="344">
        <v>7.7</v>
      </c>
      <c r="S585" s="344">
        <v>7</v>
      </c>
      <c r="T585" s="344">
        <v>6.7666666666666702</v>
      </c>
      <c r="U585" s="344">
        <v>6.7666666666666702</v>
      </c>
      <c r="V585" s="344">
        <v>7</v>
      </c>
      <c r="W585" s="344">
        <v>7.93333333333333</v>
      </c>
      <c r="X585" s="344">
        <v>7.4666666666666703</v>
      </c>
      <c r="Y585" s="344">
        <v>6.3</v>
      </c>
      <c r="Z585" s="344">
        <v>6.3</v>
      </c>
      <c r="AA585" s="344">
        <v>3.9666666666666699</v>
      </c>
      <c r="AB585" s="344">
        <v>4.43333333333333</v>
      </c>
      <c r="AC585" s="344">
        <v>6.3</v>
      </c>
      <c r="AD585" s="344">
        <f t="shared" si="60"/>
        <v>1.8666666666666698</v>
      </c>
      <c r="AE585" s="344">
        <v>9</v>
      </c>
      <c r="AF585" s="344">
        <v>1</v>
      </c>
      <c r="AG585" s="346">
        <v>7</v>
      </c>
      <c r="AH585" s="346">
        <v>3</v>
      </c>
      <c r="AI585" s="346">
        <v>10</v>
      </c>
      <c r="AJ585" s="346">
        <v>3</v>
      </c>
      <c r="AK585" s="346">
        <v>3</v>
      </c>
      <c r="AL585" s="346">
        <v>3</v>
      </c>
      <c r="AM585" s="346">
        <v>2</v>
      </c>
      <c r="AN585" s="346">
        <v>4</v>
      </c>
      <c r="AO585" s="346">
        <v>4</v>
      </c>
      <c r="AP585" s="346">
        <v>4</v>
      </c>
      <c r="AQ585" s="357">
        <v>3</v>
      </c>
      <c r="AR585" s="357">
        <v>4</v>
      </c>
      <c r="AS585" s="357">
        <v>3</v>
      </c>
      <c r="AT585" s="357">
        <v>10</v>
      </c>
      <c r="AU585" s="357">
        <v>2</v>
      </c>
      <c r="AV585" s="357">
        <v>2</v>
      </c>
      <c r="AW585" s="357">
        <v>10</v>
      </c>
      <c r="AX585" s="357">
        <v>1</v>
      </c>
      <c r="AY585" s="357">
        <v>1</v>
      </c>
      <c r="AZ585" s="357">
        <v>1</v>
      </c>
      <c r="BA585" s="357">
        <v>1</v>
      </c>
      <c r="BB585" s="357">
        <v>1</v>
      </c>
      <c r="BC585" s="357">
        <v>10</v>
      </c>
    </row>
    <row r="586" spans="1:55" s="381" customFormat="1" ht="17.649999999999999" customHeight="1">
      <c r="A586" s="343">
        <v>154</v>
      </c>
      <c r="B586" s="211" t="s">
        <v>2233</v>
      </c>
      <c r="C586" s="211" t="s">
        <v>2055</v>
      </c>
      <c r="D586" s="211" t="s">
        <v>2056</v>
      </c>
      <c r="E586" s="344">
        <v>0</v>
      </c>
      <c r="F586" s="344">
        <v>0.233333333333333</v>
      </c>
      <c r="G586" s="356">
        <v>0.233333333333333</v>
      </c>
      <c r="H586" s="344">
        <v>0.233333333333333</v>
      </c>
      <c r="I586" s="344">
        <v>1.4</v>
      </c>
      <c r="J586" s="344">
        <v>2.3333333333333299</v>
      </c>
      <c r="K586" s="344">
        <v>2.1</v>
      </c>
      <c r="L586" s="344">
        <f t="shared" si="59"/>
        <v>0.32666666666666666</v>
      </c>
      <c r="M586" s="344">
        <v>5.1333333333333302</v>
      </c>
      <c r="N586" s="344">
        <v>4.6666666666666696</v>
      </c>
      <c r="O586" s="344">
        <v>4.6666666666666696</v>
      </c>
      <c r="P586" s="344">
        <v>3.5</v>
      </c>
      <c r="Q586" s="344">
        <v>3.9666666666666699</v>
      </c>
      <c r="R586" s="344">
        <v>3.9666666666666699</v>
      </c>
      <c r="S586" s="344">
        <v>5.6</v>
      </c>
      <c r="T586" s="344">
        <v>5.6</v>
      </c>
      <c r="U586" s="344">
        <v>4.6666666666666696</v>
      </c>
      <c r="V586" s="344">
        <v>4.43333333333333</v>
      </c>
      <c r="W586" s="344">
        <v>7.7</v>
      </c>
      <c r="X586" s="344">
        <v>5.8333333333333304</v>
      </c>
      <c r="Y586" s="344">
        <v>6.7666666666666702</v>
      </c>
      <c r="Z586" s="344">
        <v>7.7</v>
      </c>
      <c r="AA586" s="344">
        <v>8.6333333333333293</v>
      </c>
      <c r="AB586" s="344">
        <v>6.5333333333333297</v>
      </c>
      <c r="AC586" s="344">
        <v>5.6</v>
      </c>
      <c r="AD586" s="344">
        <f t="shared" si="60"/>
        <v>-0.93333333333333002</v>
      </c>
      <c r="AE586" s="344">
        <v>8</v>
      </c>
      <c r="AF586" s="344">
        <v>4</v>
      </c>
      <c r="AG586" s="346">
        <v>4</v>
      </c>
      <c r="AH586" s="346">
        <v>8</v>
      </c>
      <c r="AI586" s="346">
        <v>4</v>
      </c>
      <c r="AJ586" s="346">
        <v>3</v>
      </c>
      <c r="AK586" s="346">
        <v>1</v>
      </c>
      <c r="AL586" s="346">
        <v>3</v>
      </c>
      <c r="AM586" s="346">
        <v>3</v>
      </c>
      <c r="AN586" s="346">
        <v>6</v>
      </c>
      <c r="AO586" s="346">
        <v>6</v>
      </c>
      <c r="AP586" s="346">
        <v>1</v>
      </c>
      <c r="AQ586" s="357">
        <v>3</v>
      </c>
      <c r="AR586" s="357">
        <v>1</v>
      </c>
      <c r="AS586" s="357">
        <v>1</v>
      </c>
      <c r="AT586" s="357">
        <v>1</v>
      </c>
      <c r="AU586" s="357">
        <v>1</v>
      </c>
      <c r="AV586" s="357">
        <v>1</v>
      </c>
      <c r="AW586" s="357">
        <v>1</v>
      </c>
      <c r="AX586" s="357">
        <v>1</v>
      </c>
      <c r="AY586" s="357">
        <v>9</v>
      </c>
      <c r="AZ586" s="357">
        <v>1</v>
      </c>
      <c r="BA586" s="357">
        <v>1</v>
      </c>
      <c r="BB586" s="357">
        <v>1</v>
      </c>
      <c r="BC586" s="357">
        <v>2</v>
      </c>
    </row>
    <row r="587" spans="1:55" s="381" customFormat="1" ht="17.649999999999999" customHeight="1">
      <c r="A587" s="343">
        <v>155</v>
      </c>
      <c r="B587" s="211" t="s">
        <v>2234</v>
      </c>
      <c r="C587" s="211" t="s">
        <v>2055</v>
      </c>
      <c r="D587" s="211" t="s">
        <v>2056</v>
      </c>
      <c r="E587" s="344">
        <v>20</v>
      </c>
      <c r="F587" s="344">
        <v>23.1</v>
      </c>
      <c r="G587" s="356">
        <v>29.866666666666699</v>
      </c>
      <c r="H587" s="344">
        <v>29.633333333333301</v>
      </c>
      <c r="I587" s="344">
        <v>29.866666666666699</v>
      </c>
      <c r="J587" s="344">
        <v>27.533333333333299</v>
      </c>
      <c r="K587" s="344">
        <v>23.8</v>
      </c>
      <c r="L587" s="344">
        <f t="shared" si="59"/>
        <v>6.9688888888888965</v>
      </c>
      <c r="M587" s="344">
        <v>26.133333333333301</v>
      </c>
      <c r="N587" s="344">
        <v>27.766666666666701</v>
      </c>
      <c r="O587" s="344">
        <v>35</v>
      </c>
      <c r="P587" s="344">
        <v>30.8</v>
      </c>
      <c r="Q587" s="344">
        <v>26.366666666666699</v>
      </c>
      <c r="R587" s="344">
        <v>25.2</v>
      </c>
      <c r="S587" s="344">
        <v>14.466666666666701</v>
      </c>
      <c r="T587" s="344">
        <v>14.466666666666701</v>
      </c>
      <c r="U587" s="344">
        <v>13.3</v>
      </c>
      <c r="V587" s="344">
        <v>12.366666666666699</v>
      </c>
      <c r="W587" s="344">
        <v>13.533333333333299</v>
      </c>
      <c r="X587" s="344">
        <v>15.633333333333301</v>
      </c>
      <c r="Y587" s="344">
        <v>16.566666666666698</v>
      </c>
      <c r="Z587" s="344">
        <v>17.5</v>
      </c>
      <c r="AA587" s="344">
        <v>15.633333333333301</v>
      </c>
      <c r="AB587" s="344">
        <v>13.3</v>
      </c>
      <c r="AC587" s="344">
        <v>10.266666666666699</v>
      </c>
      <c r="AD587" s="344">
        <f t="shared" si="60"/>
        <v>-3.0333333333333012</v>
      </c>
      <c r="AE587" s="344">
        <v>1</v>
      </c>
      <c r="AF587" s="344">
        <v>1</v>
      </c>
      <c r="AG587" s="346">
        <v>1</v>
      </c>
      <c r="AH587" s="346">
        <v>1</v>
      </c>
      <c r="AI587" s="346">
        <v>2</v>
      </c>
      <c r="AJ587" s="346">
        <v>2</v>
      </c>
      <c r="AK587" s="346">
        <v>1</v>
      </c>
      <c r="AL587" s="346">
        <v>2</v>
      </c>
      <c r="AM587" s="346">
        <v>2</v>
      </c>
      <c r="AN587" s="346">
        <v>1</v>
      </c>
      <c r="AO587" s="346">
        <v>1</v>
      </c>
      <c r="AP587" s="346">
        <v>4</v>
      </c>
      <c r="AQ587" s="357">
        <v>2</v>
      </c>
      <c r="AR587" s="357">
        <v>1</v>
      </c>
      <c r="AS587" s="357">
        <v>2</v>
      </c>
      <c r="AT587" s="357">
        <v>8</v>
      </c>
      <c r="AU587" s="357">
        <v>2</v>
      </c>
      <c r="AV587" s="357">
        <v>2</v>
      </c>
      <c r="AW587" s="357">
        <v>2</v>
      </c>
      <c r="AX587" s="357">
        <v>2</v>
      </c>
      <c r="AY587" s="357">
        <v>2</v>
      </c>
      <c r="AZ587" s="357">
        <v>3</v>
      </c>
      <c r="BA587" s="357">
        <v>1</v>
      </c>
      <c r="BB587" s="357">
        <v>2</v>
      </c>
      <c r="BC587" s="357">
        <v>2</v>
      </c>
    </row>
    <row r="588" spans="1:55" s="381" customFormat="1" ht="17.649999999999999" customHeight="1">
      <c r="A588" s="343">
        <v>156</v>
      </c>
      <c r="B588" s="211" t="s">
        <v>2235</v>
      </c>
      <c r="C588" s="211" t="s">
        <v>2055</v>
      </c>
      <c r="D588" s="211" t="s">
        <v>2056</v>
      </c>
      <c r="E588" s="344">
        <v>1</v>
      </c>
      <c r="F588" s="344">
        <v>2.1</v>
      </c>
      <c r="G588" s="356">
        <v>1.86666666666667</v>
      </c>
      <c r="H588" s="344">
        <v>1.4</v>
      </c>
      <c r="I588" s="344">
        <v>1.86666666666667</v>
      </c>
      <c r="J588" s="344">
        <v>1.4</v>
      </c>
      <c r="K588" s="344">
        <v>0.233333333333333</v>
      </c>
      <c r="L588" s="344">
        <f t="shared" si="59"/>
        <v>0.43555555555555631</v>
      </c>
      <c r="M588" s="344">
        <v>4.6666666666666696</v>
      </c>
      <c r="N588" s="344">
        <v>5.3666666666666698</v>
      </c>
      <c r="O588" s="344">
        <v>5.3666666666666698</v>
      </c>
      <c r="P588" s="344">
        <v>4.6666666666666696</v>
      </c>
      <c r="Q588" s="344">
        <v>3.5</v>
      </c>
      <c r="R588" s="344">
        <v>3.9666666666666699</v>
      </c>
      <c r="S588" s="344">
        <v>7.7</v>
      </c>
      <c r="T588" s="344">
        <v>8.6333333333333293</v>
      </c>
      <c r="U588" s="344">
        <v>12.133333333333301</v>
      </c>
      <c r="V588" s="344">
        <v>12.133333333333301</v>
      </c>
      <c r="W588" s="344">
        <v>10.733333333333301</v>
      </c>
      <c r="X588" s="344">
        <v>9.56666666666667</v>
      </c>
      <c r="Y588" s="344">
        <v>9.56666666666667</v>
      </c>
      <c r="Z588" s="344">
        <v>6.7666666666666702</v>
      </c>
      <c r="AA588" s="344">
        <v>6.3</v>
      </c>
      <c r="AB588" s="344">
        <v>7</v>
      </c>
      <c r="AC588" s="344">
        <v>7.4666666666666703</v>
      </c>
      <c r="AD588" s="344">
        <f t="shared" si="60"/>
        <v>0.46666666666667034</v>
      </c>
      <c r="AE588" s="344">
        <v>2</v>
      </c>
      <c r="AF588" s="344">
        <v>4</v>
      </c>
      <c r="AG588" s="346">
        <v>2</v>
      </c>
      <c r="AH588" s="346">
        <v>2</v>
      </c>
      <c r="AI588" s="346">
        <v>2</v>
      </c>
      <c r="AJ588" s="346">
        <v>1</v>
      </c>
      <c r="AK588" s="346">
        <v>2</v>
      </c>
      <c r="AL588" s="346">
        <v>1</v>
      </c>
      <c r="AM588" s="346">
        <v>2</v>
      </c>
      <c r="AN588" s="346">
        <v>2</v>
      </c>
      <c r="AO588" s="346">
        <v>2</v>
      </c>
      <c r="AP588" s="346">
        <v>2</v>
      </c>
      <c r="AQ588" s="357">
        <v>13</v>
      </c>
      <c r="AR588" s="357">
        <v>2</v>
      </c>
      <c r="AS588" s="357">
        <v>2</v>
      </c>
      <c r="AT588" s="357">
        <v>1</v>
      </c>
      <c r="AU588" s="357">
        <v>1</v>
      </c>
      <c r="AV588" s="357">
        <v>11</v>
      </c>
      <c r="AW588" s="357">
        <v>1</v>
      </c>
      <c r="AX588" s="357">
        <v>1</v>
      </c>
      <c r="AY588" s="357">
        <v>1</v>
      </c>
      <c r="AZ588" s="357">
        <v>8</v>
      </c>
      <c r="BA588" s="357">
        <v>2</v>
      </c>
      <c r="BB588" s="357">
        <v>1</v>
      </c>
      <c r="BC588" s="357">
        <v>1</v>
      </c>
    </row>
    <row r="589" spans="1:55" s="381" customFormat="1" ht="17.649999999999999" customHeight="1">
      <c r="A589" s="343">
        <v>157</v>
      </c>
      <c r="B589" s="211" t="s">
        <v>2236</v>
      </c>
      <c r="C589" s="211" t="s">
        <v>2055</v>
      </c>
      <c r="D589" s="211" t="s">
        <v>2056</v>
      </c>
      <c r="E589" s="344">
        <v>1</v>
      </c>
      <c r="F589" s="344">
        <v>1.86666666666667</v>
      </c>
      <c r="G589" s="356">
        <v>1.86666666666667</v>
      </c>
      <c r="H589" s="344">
        <v>1.1666666666666701</v>
      </c>
      <c r="I589" s="344">
        <v>1.86666666666667</v>
      </c>
      <c r="J589" s="344">
        <v>1.86666666666667</v>
      </c>
      <c r="K589" s="344">
        <v>1.1666666666666701</v>
      </c>
      <c r="L589" s="344">
        <f t="shared" si="59"/>
        <v>0.43555555555555631</v>
      </c>
      <c r="M589" s="344">
        <v>1.4</v>
      </c>
      <c r="N589" s="344">
        <v>3.2666666666666702</v>
      </c>
      <c r="O589" s="344">
        <v>4.6666666666666696</v>
      </c>
      <c r="P589" s="344">
        <v>5.3666666666666698</v>
      </c>
      <c r="Q589" s="344">
        <v>5.6</v>
      </c>
      <c r="R589" s="344">
        <v>6.7666666666666702</v>
      </c>
      <c r="S589" s="344">
        <v>5.8333333333333304</v>
      </c>
      <c r="T589" s="344">
        <v>7</v>
      </c>
      <c r="U589" s="344">
        <v>7.7</v>
      </c>
      <c r="V589" s="344">
        <v>6.7666666666666702</v>
      </c>
      <c r="W589" s="344">
        <v>7.93333333333333</v>
      </c>
      <c r="X589" s="344">
        <v>6.3</v>
      </c>
      <c r="Y589" s="344">
        <v>8.4</v>
      </c>
      <c r="Z589" s="344">
        <v>7.7</v>
      </c>
      <c r="AA589" s="344">
        <v>4.6666666666666696</v>
      </c>
      <c r="AB589" s="344">
        <v>5.1333333333333302</v>
      </c>
      <c r="AC589" s="344">
        <v>6.5333333333333297</v>
      </c>
      <c r="AD589" s="344">
        <f t="shared" si="60"/>
        <v>1.3999999999999995</v>
      </c>
      <c r="AE589" s="344">
        <v>1</v>
      </c>
      <c r="AF589" s="344">
        <v>1</v>
      </c>
      <c r="AG589" s="346">
        <v>1</v>
      </c>
      <c r="AH589" s="346">
        <v>8</v>
      </c>
      <c r="AI589" s="346">
        <v>9</v>
      </c>
      <c r="AJ589" s="346">
        <v>8</v>
      </c>
      <c r="AK589" s="346">
        <v>1</v>
      </c>
      <c r="AL589" s="346">
        <v>8</v>
      </c>
      <c r="AM589" s="346">
        <v>1</v>
      </c>
      <c r="AN589" s="346">
        <v>1</v>
      </c>
      <c r="AO589" s="346">
        <v>1</v>
      </c>
      <c r="AP589" s="346">
        <v>1</v>
      </c>
      <c r="AQ589" s="357">
        <v>1</v>
      </c>
      <c r="AR589" s="357">
        <v>1</v>
      </c>
      <c r="AS589" s="357">
        <v>1</v>
      </c>
      <c r="AT589" s="357">
        <v>1</v>
      </c>
      <c r="AU589" s="357">
        <v>1</v>
      </c>
      <c r="AV589" s="357">
        <v>1</v>
      </c>
      <c r="AW589" s="357">
        <v>1</v>
      </c>
      <c r="AX589" s="357">
        <v>2</v>
      </c>
      <c r="AY589" s="357">
        <v>1</v>
      </c>
      <c r="AZ589" s="357">
        <v>1</v>
      </c>
      <c r="BA589" s="357">
        <v>1</v>
      </c>
      <c r="BB589" s="357">
        <v>1</v>
      </c>
      <c r="BC589" s="357">
        <v>2</v>
      </c>
    </row>
    <row r="590" spans="1:55" s="381" customFormat="1" ht="17.649999999999999" customHeight="1">
      <c r="A590" s="343">
        <v>158</v>
      </c>
      <c r="B590" s="211" t="s">
        <v>2237</v>
      </c>
      <c r="C590" s="211" t="s">
        <v>2055</v>
      </c>
      <c r="D590" s="211" t="s">
        <v>2056</v>
      </c>
      <c r="E590" s="344">
        <v>0</v>
      </c>
      <c r="F590" s="344">
        <v>0.233333333333333</v>
      </c>
      <c r="G590" s="356">
        <v>0.233333333333333</v>
      </c>
      <c r="H590" s="344">
        <v>0.233333333333333</v>
      </c>
      <c r="I590" s="344">
        <v>1.1666666666666701</v>
      </c>
      <c r="J590" s="344">
        <v>0.233333333333333</v>
      </c>
      <c r="K590" s="344">
        <v>0.233333333333333</v>
      </c>
      <c r="L590" s="344">
        <f t="shared" si="59"/>
        <v>0.27222222222222303</v>
      </c>
      <c r="M590" s="344">
        <v>2.56666666666667</v>
      </c>
      <c r="N590" s="344">
        <v>3.5</v>
      </c>
      <c r="O590" s="344">
        <v>5.1333333333333302</v>
      </c>
      <c r="P590" s="344">
        <v>5.3666666666666698</v>
      </c>
      <c r="Q590" s="344">
        <v>4.6666666666666696</v>
      </c>
      <c r="R590" s="344">
        <v>5.6</v>
      </c>
      <c r="S590" s="344">
        <v>3.9666666666666699</v>
      </c>
      <c r="T590" s="344">
        <v>3.0333333333333301</v>
      </c>
      <c r="U590" s="344">
        <v>3.0333333333333301</v>
      </c>
      <c r="V590" s="344">
        <v>3.5</v>
      </c>
      <c r="W590" s="344">
        <v>6.5333333333333297</v>
      </c>
      <c r="X590" s="344">
        <v>7.4666666666666703</v>
      </c>
      <c r="Y590" s="344">
        <v>7.93333333333333</v>
      </c>
      <c r="Z590" s="344">
        <v>8.6333333333333293</v>
      </c>
      <c r="AA590" s="344">
        <v>8.4</v>
      </c>
      <c r="AB590" s="344">
        <v>5.8333333333333304</v>
      </c>
      <c r="AC590" s="344">
        <v>7</v>
      </c>
      <c r="AD590" s="344">
        <f t="shared" si="60"/>
        <v>1.1666666666666696</v>
      </c>
      <c r="AE590" s="344">
        <v>2</v>
      </c>
      <c r="AF590" s="344">
        <v>2</v>
      </c>
      <c r="AG590" s="346">
        <v>2</v>
      </c>
      <c r="AH590" s="346">
        <v>2</v>
      </c>
      <c r="AI590" s="346">
        <v>7</v>
      </c>
      <c r="AJ590" s="346">
        <v>5</v>
      </c>
      <c r="AK590" s="346">
        <v>4</v>
      </c>
      <c r="AL590" s="346">
        <v>5</v>
      </c>
      <c r="AM590" s="346">
        <v>4</v>
      </c>
      <c r="AN590" s="346">
        <v>5</v>
      </c>
      <c r="AO590" s="346">
        <v>5</v>
      </c>
      <c r="AP590" s="346">
        <v>4</v>
      </c>
      <c r="AQ590" s="357">
        <v>3</v>
      </c>
      <c r="AR590" s="357">
        <v>2</v>
      </c>
      <c r="AS590" s="357">
        <v>2</v>
      </c>
      <c r="AT590" s="357">
        <v>6</v>
      </c>
      <c r="AU590" s="357">
        <v>4</v>
      </c>
      <c r="AV590" s="357">
        <v>8</v>
      </c>
      <c r="AW590" s="357">
        <v>1</v>
      </c>
      <c r="AX590" s="357">
        <v>2</v>
      </c>
      <c r="AY590" s="357">
        <v>3</v>
      </c>
      <c r="AZ590" s="357">
        <v>3</v>
      </c>
      <c r="BA590" s="357">
        <v>3</v>
      </c>
      <c r="BB590" s="357">
        <v>3</v>
      </c>
      <c r="BC590" s="357">
        <v>2</v>
      </c>
    </row>
    <row r="591" spans="1:55" s="381" customFormat="1" ht="17.649999999999999" customHeight="1">
      <c r="A591" s="343">
        <v>159</v>
      </c>
      <c r="B591" s="211" t="s">
        <v>2238</v>
      </c>
      <c r="C591" s="211" t="s">
        <v>2055</v>
      </c>
      <c r="D591" s="211" t="s">
        <v>2056</v>
      </c>
      <c r="E591" s="344">
        <v>0</v>
      </c>
      <c r="F591" s="344">
        <v>0.233333333333333</v>
      </c>
      <c r="G591" s="356">
        <v>1.86666666666667</v>
      </c>
      <c r="H591" s="344">
        <v>1.86666666666667</v>
      </c>
      <c r="I591" s="344">
        <v>2.1</v>
      </c>
      <c r="J591" s="344">
        <v>2.1</v>
      </c>
      <c r="K591" s="344">
        <v>1.4</v>
      </c>
      <c r="L591" s="344">
        <f t="shared" si="59"/>
        <v>0.49000000000000005</v>
      </c>
      <c r="M591" s="344">
        <v>2.3333333333333299</v>
      </c>
      <c r="N591" s="344">
        <v>4.43333333333333</v>
      </c>
      <c r="O591" s="344">
        <v>5.1333333333333302</v>
      </c>
      <c r="P591" s="344">
        <v>4.6666666666666696</v>
      </c>
      <c r="Q591" s="344">
        <v>5.6</v>
      </c>
      <c r="R591" s="344">
        <v>4.2</v>
      </c>
      <c r="S591" s="344">
        <v>5.6</v>
      </c>
      <c r="T591" s="344">
        <v>5.6</v>
      </c>
      <c r="U591" s="344">
        <v>5.3666666666666698</v>
      </c>
      <c r="V591" s="344">
        <v>4.43333333333333</v>
      </c>
      <c r="W591" s="344">
        <v>4.43333333333333</v>
      </c>
      <c r="X591" s="344">
        <v>4.2</v>
      </c>
      <c r="Y591" s="344">
        <v>4.43333333333333</v>
      </c>
      <c r="Z591" s="344">
        <v>6.3</v>
      </c>
      <c r="AA591" s="344">
        <v>5.8333333333333304</v>
      </c>
      <c r="AB591" s="344">
        <v>6.3</v>
      </c>
      <c r="AC591" s="344">
        <v>5.8333333333333304</v>
      </c>
      <c r="AD591" s="344">
        <f t="shared" si="60"/>
        <v>-0.46666666666666945</v>
      </c>
      <c r="AE591" s="344">
        <v>9</v>
      </c>
      <c r="AF591" s="344">
        <v>3</v>
      </c>
      <c r="AG591" s="346">
        <v>1</v>
      </c>
      <c r="AH591" s="346">
        <v>3</v>
      </c>
      <c r="AI591" s="346">
        <v>3</v>
      </c>
      <c r="AJ591" s="346">
        <v>3</v>
      </c>
      <c r="AK591" s="346">
        <v>3</v>
      </c>
      <c r="AL591" s="346">
        <v>3</v>
      </c>
      <c r="AM591" s="346">
        <v>1</v>
      </c>
      <c r="AN591" s="346">
        <v>5</v>
      </c>
      <c r="AO591" s="346">
        <v>5</v>
      </c>
      <c r="AP591" s="346">
        <v>4</v>
      </c>
      <c r="AQ591" s="357">
        <v>4</v>
      </c>
      <c r="AR591" s="357">
        <v>4</v>
      </c>
      <c r="AS591" s="357">
        <v>4</v>
      </c>
      <c r="AT591" s="357">
        <v>7</v>
      </c>
      <c r="AU591" s="357">
        <v>3</v>
      </c>
      <c r="AV591" s="357">
        <v>3</v>
      </c>
      <c r="AW591" s="357">
        <v>3</v>
      </c>
      <c r="AX591" s="357">
        <v>3</v>
      </c>
      <c r="AY591" s="357">
        <v>1</v>
      </c>
      <c r="AZ591" s="357">
        <v>1</v>
      </c>
      <c r="BA591" s="357">
        <v>9</v>
      </c>
      <c r="BB591" s="357">
        <v>1</v>
      </c>
      <c r="BC591" s="357">
        <v>1</v>
      </c>
    </row>
    <row r="592" spans="1:55" s="381" customFormat="1" ht="17.649999999999999" customHeight="1">
      <c r="A592" s="343">
        <v>160</v>
      </c>
      <c r="B592" s="211" t="s">
        <v>2239</v>
      </c>
      <c r="C592" s="211" t="s">
        <v>2055</v>
      </c>
      <c r="D592" s="211" t="s">
        <v>2056</v>
      </c>
      <c r="E592" s="344">
        <v>10</v>
      </c>
      <c r="F592" s="344">
        <v>10.266666666666699</v>
      </c>
      <c r="G592" s="356">
        <v>8.6333333333333293</v>
      </c>
      <c r="H592" s="344">
        <v>7.93333333333333</v>
      </c>
      <c r="I592" s="344">
        <v>9.8000000000000007</v>
      </c>
      <c r="J592" s="344">
        <v>10.033333333333299</v>
      </c>
      <c r="K592" s="344">
        <v>9.56666666666667</v>
      </c>
      <c r="L592" s="344">
        <f t="shared" si="59"/>
        <v>2.2866666666666671</v>
      </c>
      <c r="M592" s="344">
        <v>8.8666666666666707</v>
      </c>
      <c r="N592" s="344">
        <v>9.8000000000000007</v>
      </c>
      <c r="O592" s="344">
        <v>10.733333333333301</v>
      </c>
      <c r="P592" s="344">
        <v>10.733333333333301</v>
      </c>
      <c r="Q592" s="344">
        <v>11.2</v>
      </c>
      <c r="R592" s="344">
        <v>12.8333333333333</v>
      </c>
      <c r="S592" s="344">
        <v>11.9</v>
      </c>
      <c r="T592" s="344">
        <v>11.2</v>
      </c>
      <c r="U592" s="344">
        <v>9.1</v>
      </c>
      <c r="V592" s="344">
        <v>10.733333333333301</v>
      </c>
      <c r="W592" s="344">
        <v>9.8000000000000007</v>
      </c>
      <c r="X592" s="344">
        <v>9.56666666666667</v>
      </c>
      <c r="Y592" s="344">
        <v>10.033333333333299</v>
      </c>
      <c r="Z592" s="344">
        <v>10.266666666666699</v>
      </c>
      <c r="AA592" s="344">
        <v>8.8666666666666707</v>
      </c>
      <c r="AB592" s="344">
        <v>10.966666666666701</v>
      </c>
      <c r="AC592" s="344">
        <v>9.1</v>
      </c>
      <c r="AD592" s="344">
        <f t="shared" si="60"/>
        <v>-1.8666666666667009</v>
      </c>
      <c r="AE592" s="344">
        <v>12</v>
      </c>
      <c r="AF592" s="344">
        <v>9</v>
      </c>
      <c r="AG592" s="346">
        <v>11</v>
      </c>
      <c r="AH592" s="346">
        <v>2</v>
      </c>
      <c r="AI592" s="346">
        <v>1</v>
      </c>
      <c r="AJ592" s="346">
        <v>1</v>
      </c>
      <c r="AK592" s="346">
        <v>2</v>
      </c>
      <c r="AL592" s="346">
        <v>1</v>
      </c>
      <c r="AM592" s="346">
        <v>1</v>
      </c>
      <c r="AN592" s="346">
        <v>1</v>
      </c>
      <c r="AO592" s="346">
        <v>1</v>
      </c>
      <c r="AP592" s="346">
        <v>2</v>
      </c>
      <c r="AQ592" s="357">
        <v>12</v>
      </c>
      <c r="AR592" s="357">
        <v>3</v>
      </c>
      <c r="AS592" s="357">
        <v>3</v>
      </c>
      <c r="AT592" s="357">
        <v>3</v>
      </c>
      <c r="AU592" s="357">
        <v>3</v>
      </c>
      <c r="AV592" s="357">
        <v>3</v>
      </c>
      <c r="AW592" s="357">
        <v>2</v>
      </c>
      <c r="AX592" s="357">
        <v>3</v>
      </c>
      <c r="AY592" s="357">
        <v>2</v>
      </c>
      <c r="AZ592" s="357">
        <v>1</v>
      </c>
      <c r="BA592" s="357">
        <v>7</v>
      </c>
      <c r="BB592" s="357">
        <v>1</v>
      </c>
      <c r="BC592" s="357">
        <v>2</v>
      </c>
    </row>
    <row r="593" spans="1:55" s="381" customFormat="1" ht="17.649999999999999" customHeight="1">
      <c r="A593" s="343">
        <v>161</v>
      </c>
      <c r="B593" s="211" t="s">
        <v>2240</v>
      </c>
      <c r="C593" s="211" t="s">
        <v>2055</v>
      </c>
      <c r="D593" s="211" t="s">
        <v>2056</v>
      </c>
      <c r="E593" s="344">
        <v>21</v>
      </c>
      <c r="F593" s="344">
        <v>17.733333333333299</v>
      </c>
      <c r="G593" s="356">
        <v>12.366666666666699</v>
      </c>
      <c r="H593" s="344">
        <v>14</v>
      </c>
      <c r="I593" s="344">
        <v>12.366666666666699</v>
      </c>
      <c r="J593" s="344">
        <v>9.56666666666667</v>
      </c>
      <c r="K593" s="344">
        <v>8.4</v>
      </c>
      <c r="L593" s="344">
        <f t="shared" si="59"/>
        <v>2.8855555555555634</v>
      </c>
      <c r="M593" s="344">
        <v>9.1</v>
      </c>
      <c r="N593" s="344">
        <v>9.8000000000000007</v>
      </c>
      <c r="O593" s="344">
        <v>11.6666666666667</v>
      </c>
      <c r="P593" s="344">
        <v>14.233333333333301</v>
      </c>
      <c r="Q593" s="344">
        <v>12.8333333333333</v>
      </c>
      <c r="R593" s="344">
        <v>13.3</v>
      </c>
      <c r="S593" s="344">
        <v>16.3333333333333</v>
      </c>
      <c r="T593" s="344">
        <v>16.100000000000001</v>
      </c>
      <c r="U593" s="344">
        <v>16.566666666666698</v>
      </c>
      <c r="V593" s="344">
        <v>16.8</v>
      </c>
      <c r="W593" s="344">
        <v>17.266666666666701</v>
      </c>
      <c r="X593" s="344">
        <v>15.4</v>
      </c>
      <c r="Y593" s="344">
        <v>14.9333333333333</v>
      </c>
      <c r="Z593" s="344">
        <v>10.733333333333301</v>
      </c>
      <c r="AA593" s="344">
        <v>9.8000000000000007</v>
      </c>
      <c r="AB593" s="344">
        <v>9.8000000000000007</v>
      </c>
      <c r="AC593" s="344">
        <v>9.8000000000000007</v>
      </c>
      <c r="AD593" s="344">
        <f t="shared" si="60"/>
        <v>0</v>
      </c>
      <c r="AE593" s="344">
        <v>1</v>
      </c>
      <c r="AF593" s="344">
        <v>1</v>
      </c>
      <c r="AG593" s="346">
        <v>12</v>
      </c>
      <c r="AH593" s="346">
        <v>1</v>
      </c>
      <c r="AI593" s="346">
        <v>1</v>
      </c>
      <c r="AJ593" s="346">
        <v>1</v>
      </c>
      <c r="AK593" s="346">
        <v>1</v>
      </c>
      <c r="AL593" s="346">
        <v>1</v>
      </c>
      <c r="AM593" s="346">
        <v>1</v>
      </c>
      <c r="AN593" s="346">
        <v>1</v>
      </c>
      <c r="AO593" s="346">
        <v>1</v>
      </c>
      <c r="AP593" s="357">
        <v>1</v>
      </c>
      <c r="AQ593" s="357">
        <v>1</v>
      </c>
      <c r="AR593" s="357">
        <v>1</v>
      </c>
      <c r="AS593" s="357">
        <v>1</v>
      </c>
      <c r="AT593" s="357">
        <v>1</v>
      </c>
      <c r="AU593" s="357">
        <v>1</v>
      </c>
      <c r="AV593" s="357">
        <v>1</v>
      </c>
      <c r="AW593" s="357">
        <v>12</v>
      </c>
      <c r="AX593" s="357">
        <v>1</v>
      </c>
      <c r="AY593" s="357">
        <v>1</v>
      </c>
      <c r="AZ593" s="357">
        <v>1</v>
      </c>
      <c r="BA593" s="357">
        <v>2</v>
      </c>
      <c r="BB593" s="357">
        <v>1</v>
      </c>
      <c r="BC593" s="357">
        <v>1</v>
      </c>
    </row>
    <row r="594" spans="1:55" s="381" customFormat="1" ht="17.649999999999999" customHeight="1">
      <c r="A594" s="343">
        <v>162</v>
      </c>
      <c r="B594" s="211" t="s">
        <v>2241</v>
      </c>
      <c r="C594" s="211" t="s">
        <v>2055</v>
      </c>
      <c r="D594" s="211" t="s">
        <v>2056</v>
      </c>
      <c r="E594" s="344">
        <v>0</v>
      </c>
      <c r="F594" s="344">
        <v>0.233333333333333</v>
      </c>
      <c r="G594" s="356">
        <v>0.233333333333333</v>
      </c>
      <c r="H594" s="344">
        <v>0.233333333333333</v>
      </c>
      <c r="I594" s="344">
        <v>1.4</v>
      </c>
      <c r="J594" s="344">
        <v>1.4</v>
      </c>
      <c r="K594" s="344">
        <v>1.1666666666666701</v>
      </c>
      <c r="L594" s="344">
        <f t="shared" si="59"/>
        <v>0.32666666666666666</v>
      </c>
      <c r="M594" s="344">
        <v>2.56666666666667</v>
      </c>
      <c r="N594" s="344">
        <v>3.2666666666666702</v>
      </c>
      <c r="O594" s="344">
        <v>3.2666666666666702</v>
      </c>
      <c r="P594" s="344">
        <v>3.5</v>
      </c>
      <c r="Q594" s="344">
        <v>3.5</v>
      </c>
      <c r="R594" s="344">
        <v>4.2</v>
      </c>
      <c r="S594" s="344">
        <v>4.6666666666666696</v>
      </c>
      <c r="T594" s="344">
        <v>4.2</v>
      </c>
      <c r="U594" s="344">
        <v>3.9666666666666699</v>
      </c>
      <c r="V594" s="344">
        <v>4.2</v>
      </c>
      <c r="W594" s="344">
        <v>5.3666666666666698</v>
      </c>
      <c r="X594" s="344">
        <v>5.8333333333333304</v>
      </c>
      <c r="Y594" s="344">
        <v>7.4666666666666703</v>
      </c>
      <c r="Z594" s="344">
        <v>6.5333333333333297</v>
      </c>
      <c r="AA594" s="344">
        <v>5.3666666666666698</v>
      </c>
      <c r="AB594" s="344">
        <v>5.3666666666666698</v>
      </c>
      <c r="AC594" s="344">
        <v>5.3666666666666698</v>
      </c>
      <c r="AD594" s="344">
        <f t="shared" si="60"/>
        <v>0</v>
      </c>
      <c r="AE594" s="344">
        <v>3</v>
      </c>
      <c r="AF594" s="344">
        <v>8</v>
      </c>
      <c r="AG594" s="346">
        <v>2</v>
      </c>
      <c r="AH594" s="346">
        <v>2</v>
      </c>
      <c r="AI594" s="346">
        <v>2</v>
      </c>
      <c r="AJ594" s="346">
        <v>1</v>
      </c>
      <c r="AK594" s="346">
        <v>2</v>
      </c>
      <c r="AL594" s="346">
        <v>1</v>
      </c>
      <c r="AM594" s="346">
        <v>1</v>
      </c>
      <c r="AN594" s="346">
        <v>10</v>
      </c>
      <c r="AO594" s="346">
        <v>10</v>
      </c>
      <c r="AP594" s="346">
        <v>4</v>
      </c>
      <c r="AQ594" s="357">
        <v>3</v>
      </c>
      <c r="AR594" s="357">
        <v>3</v>
      </c>
      <c r="AS594" s="357">
        <v>1</v>
      </c>
      <c r="AT594" s="357">
        <v>2</v>
      </c>
      <c r="AU594" s="357">
        <v>4</v>
      </c>
      <c r="AV594" s="357">
        <v>1</v>
      </c>
      <c r="AW594" s="357">
        <v>2</v>
      </c>
      <c r="AX594" s="357">
        <v>11</v>
      </c>
      <c r="AY594" s="357">
        <v>2</v>
      </c>
      <c r="AZ594" s="357">
        <v>1</v>
      </c>
      <c r="BA594" s="357">
        <v>1</v>
      </c>
      <c r="BB594" s="357">
        <v>1</v>
      </c>
      <c r="BC594" s="357">
        <v>1</v>
      </c>
    </row>
    <row r="595" spans="1:55" s="381" customFormat="1" ht="17.649999999999999" customHeight="1">
      <c r="A595" s="343">
        <v>163</v>
      </c>
      <c r="B595" s="211" t="s">
        <v>2242</v>
      </c>
      <c r="C595" s="211" t="s">
        <v>2055</v>
      </c>
      <c r="D595" s="211" t="s">
        <v>2056</v>
      </c>
      <c r="E595" s="344">
        <v>4</v>
      </c>
      <c r="F595" s="344">
        <v>5.3666666666666698</v>
      </c>
      <c r="G595" s="356">
        <v>5.3666666666666698</v>
      </c>
      <c r="H595" s="344">
        <v>4.6666666666666696</v>
      </c>
      <c r="I595" s="344">
        <v>5.6</v>
      </c>
      <c r="J595" s="344">
        <v>6.7666666666666702</v>
      </c>
      <c r="K595" s="344">
        <v>4.43333333333333</v>
      </c>
      <c r="L595" s="344">
        <f t="shared" si="59"/>
        <v>1.3066666666666666</v>
      </c>
      <c r="M595" s="344">
        <v>7.7</v>
      </c>
      <c r="N595" s="344">
        <v>10.966666666666701</v>
      </c>
      <c r="O595" s="344">
        <v>11.9</v>
      </c>
      <c r="P595" s="344">
        <v>11.9</v>
      </c>
      <c r="Q595" s="344">
        <v>11.9</v>
      </c>
      <c r="R595" s="344">
        <v>10.733333333333301</v>
      </c>
      <c r="S595" s="344">
        <v>7.93333333333333</v>
      </c>
      <c r="T595" s="344">
        <v>5.6</v>
      </c>
      <c r="U595" s="344">
        <v>8.8666666666666707</v>
      </c>
      <c r="V595" s="344">
        <v>7.93333333333333</v>
      </c>
      <c r="W595" s="344">
        <v>7</v>
      </c>
      <c r="X595" s="344">
        <v>6.7666666666666702</v>
      </c>
      <c r="Y595" s="344">
        <v>6.3</v>
      </c>
      <c r="Z595" s="344">
        <v>11.2</v>
      </c>
      <c r="AA595" s="344">
        <v>10.733333333333301</v>
      </c>
      <c r="AB595" s="344">
        <v>11.2</v>
      </c>
      <c r="AC595" s="344">
        <v>10.266666666666699</v>
      </c>
      <c r="AD595" s="344">
        <f t="shared" si="60"/>
        <v>-0.93333333333329982</v>
      </c>
      <c r="AE595" s="344">
        <v>2</v>
      </c>
      <c r="AF595" s="344">
        <v>1</v>
      </c>
      <c r="AG595" s="346">
        <v>1</v>
      </c>
      <c r="AH595" s="346">
        <v>8</v>
      </c>
      <c r="AI595" s="346">
        <v>1</v>
      </c>
      <c r="AJ595" s="346">
        <v>1</v>
      </c>
      <c r="AK595" s="346">
        <v>1</v>
      </c>
      <c r="AL595" s="346">
        <v>1</v>
      </c>
      <c r="AM595" s="346">
        <v>1</v>
      </c>
      <c r="AN595" s="346">
        <v>10</v>
      </c>
      <c r="AO595" s="346">
        <v>10</v>
      </c>
      <c r="AP595" s="357">
        <v>1</v>
      </c>
      <c r="AQ595" s="357">
        <v>1</v>
      </c>
      <c r="AR595" s="357">
        <v>6</v>
      </c>
      <c r="AS595" s="357">
        <v>9</v>
      </c>
      <c r="AT595" s="357">
        <v>1</v>
      </c>
      <c r="AU595" s="357">
        <v>9</v>
      </c>
      <c r="AV595" s="357">
        <v>1</v>
      </c>
      <c r="AW595" s="357">
        <v>1</v>
      </c>
      <c r="AX595" s="357">
        <v>10</v>
      </c>
      <c r="AY595" s="357">
        <v>1</v>
      </c>
      <c r="AZ595" s="357">
        <v>4</v>
      </c>
      <c r="BA595" s="357">
        <v>1</v>
      </c>
      <c r="BB595" s="357">
        <v>1</v>
      </c>
      <c r="BC595" s="357">
        <v>1</v>
      </c>
    </row>
    <row r="596" spans="1:55" s="381" customFormat="1" ht="17.649999999999999" customHeight="1">
      <c r="A596" s="343">
        <v>164</v>
      </c>
      <c r="B596" s="211" t="s">
        <v>2243</v>
      </c>
      <c r="C596" s="211" t="s">
        <v>2055</v>
      </c>
      <c r="D596" s="211" t="s">
        <v>2056</v>
      </c>
      <c r="E596" s="344">
        <v>0</v>
      </c>
      <c r="F596" s="344">
        <v>0.233333333333333</v>
      </c>
      <c r="G596" s="356">
        <v>0.233333333333333</v>
      </c>
      <c r="H596" s="344">
        <v>0.233333333333333</v>
      </c>
      <c r="I596" s="344">
        <v>0.233333333333333</v>
      </c>
      <c r="J596" s="344">
        <v>1.1666666666666701</v>
      </c>
      <c r="K596" s="344">
        <v>1.1666666666666701</v>
      </c>
      <c r="L596" s="344">
        <f t="shared" si="59"/>
        <v>5.4444444444444372E-2</v>
      </c>
      <c r="M596" s="344">
        <v>5.6</v>
      </c>
      <c r="N596" s="344">
        <v>5.6</v>
      </c>
      <c r="O596" s="344">
        <v>5.8333333333333304</v>
      </c>
      <c r="P596" s="344">
        <v>4.43333333333333</v>
      </c>
      <c r="Q596" s="344">
        <v>2.56666666666667</v>
      </c>
      <c r="R596" s="344">
        <v>2.3333333333333299</v>
      </c>
      <c r="S596" s="344">
        <v>4.2</v>
      </c>
      <c r="T596" s="344">
        <v>4.6666666666666696</v>
      </c>
      <c r="U596" s="344">
        <v>4.6666666666666696</v>
      </c>
      <c r="V596" s="344">
        <v>4.6666666666666696</v>
      </c>
      <c r="W596" s="344">
        <v>5.8333333333333304</v>
      </c>
      <c r="X596" s="344">
        <v>4.43333333333333</v>
      </c>
      <c r="Y596" s="344">
        <v>4.6666666666666696</v>
      </c>
      <c r="Z596" s="344">
        <v>5.8333333333333304</v>
      </c>
      <c r="AA596" s="344">
        <v>7.7</v>
      </c>
      <c r="AB596" s="344">
        <v>7</v>
      </c>
      <c r="AC596" s="344">
        <v>5.6</v>
      </c>
      <c r="AD596" s="344">
        <f t="shared" si="60"/>
        <v>-1.4000000000000004</v>
      </c>
      <c r="AE596" s="344">
        <v>8</v>
      </c>
      <c r="AF596" s="344">
        <v>3</v>
      </c>
      <c r="AG596" s="346">
        <v>12</v>
      </c>
      <c r="AH596" s="346">
        <v>3</v>
      </c>
      <c r="AI596" s="346">
        <v>4</v>
      </c>
      <c r="AJ596" s="346">
        <v>1</v>
      </c>
      <c r="AK596" s="346">
        <v>3</v>
      </c>
      <c r="AL596" s="346">
        <v>1</v>
      </c>
      <c r="AM596" s="346">
        <v>1</v>
      </c>
      <c r="AN596" s="346">
        <v>1</v>
      </c>
      <c r="AO596" s="346">
        <v>1</v>
      </c>
      <c r="AP596" s="357">
        <v>1</v>
      </c>
      <c r="AQ596" s="357">
        <v>1</v>
      </c>
      <c r="AR596" s="357">
        <v>4</v>
      </c>
      <c r="AS596" s="357">
        <v>4</v>
      </c>
      <c r="AT596" s="357">
        <v>1</v>
      </c>
      <c r="AU596" s="357">
        <v>5</v>
      </c>
      <c r="AV596" s="357">
        <v>5</v>
      </c>
      <c r="AW596" s="357">
        <v>1</v>
      </c>
      <c r="AX596" s="357">
        <v>1</v>
      </c>
      <c r="AY596" s="357">
        <v>1</v>
      </c>
      <c r="AZ596" s="357">
        <v>1</v>
      </c>
      <c r="BA596" s="357">
        <v>9</v>
      </c>
      <c r="BB596" s="357">
        <v>1</v>
      </c>
      <c r="BC596" s="357">
        <v>10</v>
      </c>
    </row>
    <row r="597" spans="1:55" s="381" customFormat="1" ht="17.649999999999999" customHeight="1">
      <c r="A597" s="343">
        <v>165</v>
      </c>
      <c r="B597" s="211" t="s">
        <v>2244</v>
      </c>
      <c r="C597" s="211" t="s">
        <v>2055</v>
      </c>
      <c r="D597" s="211" t="s">
        <v>2056</v>
      </c>
      <c r="E597" s="344">
        <v>10</v>
      </c>
      <c r="F597" s="344">
        <v>10.033333333333299</v>
      </c>
      <c r="G597" s="356">
        <v>7.93333333333333</v>
      </c>
      <c r="H597" s="344">
        <v>5.8333333333333304</v>
      </c>
      <c r="I597" s="344">
        <v>5.1333333333333302</v>
      </c>
      <c r="J597" s="344">
        <v>3.2666666666666702</v>
      </c>
      <c r="K597" s="344">
        <v>3.5</v>
      </c>
      <c r="L597" s="344">
        <f t="shared" si="59"/>
        <v>1.1977777777777772</v>
      </c>
      <c r="M597" s="344">
        <v>6.3</v>
      </c>
      <c r="N597" s="344">
        <v>5.6</v>
      </c>
      <c r="O597" s="344">
        <v>4.43333333333333</v>
      </c>
      <c r="P597" s="344">
        <v>4.43333333333333</v>
      </c>
      <c r="Q597" s="344">
        <v>3.2666666666666702</v>
      </c>
      <c r="R597" s="344">
        <v>2.1</v>
      </c>
      <c r="S597" s="344">
        <v>2.1</v>
      </c>
      <c r="T597" s="344">
        <v>3.0333333333333301</v>
      </c>
      <c r="U597" s="344">
        <v>3.2666666666666702</v>
      </c>
      <c r="V597" s="344">
        <v>4.6666666666666696</v>
      </c>
      <c r="W597" s="344">
        <v>7.93333333333333</v>
      </c>
      <c r="X597" s="344">
        <v>10.733333333333301</v>
      </c>
      <c r="Y597" s="344">
        <v>9.56666666666667</v>
      </c>
      <c r="Z597" s="344">
        <v>7.93333333333333</v>
      </c>
      <c r="AA597" s="344">
        <v>5.3666666666666698</v>
      </c>
      <c r="AB597" s="344">
        <v>5.6</v>
      </c>
      <c r="AC597" s="344">
        <v>3.5</v>
      </c>
      <c r="AD597" s="344">
        <f t="shared" si="60"/>
        <v>-2.0999999999999996</v>
      </c>
      <c r="AE597" s="344">
        <v>9</v>
      </c>
      <c r="AF597" s="344">
        <v>1</v>
      </c>
      <c r="AG597" s="346">
        <v>2</v>
      </c>
      <c r="AH597" s="346">
        <v>1</v>
      </c>
      <c r="AI597" s="346">
        <v>2</v>
      </c>
      <c r="AJ597" s="346">
        <v>9</v>
      </c>
      <c r="AK597" s="346">
        <v>1</v>
      </c>
      <c r="AL597" s="346">
        <v>9</v>
      </c>
      <c r="AM597" s="346">
        <v>1</v>
      </c>
      <c r="AN597" s="346">
        <v>1</v>
      </c>
      <c r="AO597" s="346">
        <v>1</v>
      </c>
      <c r="AP597" s="346">
        <v>1</v>
      </c>
      <c r="AQ597" s="357">
        <v>1</v>
      </c>
      <c r="AR597" s="357">
        <v>2</v>
      </c>
      <c r="AS597" s="357">
        <v>1</v>
      </c>
      <c r="AT597" s="357">
        <v>2</v>
      </c>
      <c r="AU597" s="357">
        <v>1</v>
      </c>
      <c r="AV597" s="357">
        <v>1</v>
      </c>
      <c r="AW597" s="357">
        <v>4</v>
      </c>
      <c r="AX597" s="357">
        <v>1</v>
      </c>
      <c r="AY597" s="357">
        <v>1</v>
      </c>
      <c r="AZ597" s="357">
        <v>1</v>
      </c>
      <c r="BA597" s="357">
        <v>1</v>
      </c>
      <c r="BB597" s="357">
        <v>1</v>
      </c>
      <c r="BC597" s="357">
        <v>1</v>
      </c>
    </row>
    <row r="598" spans="1:55" s="381" customFormat="1" ht="17.649999999999999" customHeight="1">
      <c r="A598" s="343">
        <v>166</v>
      </c>
      <c r="B598" s="211" t="s">
        <v>2245</v>
      </c>
      <c r="C598" s="211" t="s">
        <v>2055</v>
      </c>
      <c r="D598" s="211" t="s">
        <v>2056</v>
      </c>
      <c r="E598" s="344">
        <v>1</v>
      </c>
      <c r="F598" s="344">
        <v>1.1666666666666701</v>
      </c>
      <c r="G598" s="356">
        <v>0.233333333333333</v>
      </c>
      <c r="H598" s="344">
        <v>0.233333333333333</v>
      </c>
      <c r="I598" s="344">
        <v>0.233333333333333</v>
      </c>
      <c r="J598" s="344">
        <v>0.233333333333333</v>
      </c>
      <c r="K598" s="344">
        <v>0.233333333333333</v>
      </c>
      <c r="L598" s="344">
        <f t="shared" si="59"/>
        <v>5.4444444444444372E-2</v>
      </c>
      <c r="M598" s="344">
        <v>4.2</v>
      </c>
      <c r="N598" s="344">
        <v>4.6666666666666696</v>
      </c>
      <c r="O598" s="344">
        <v>5.1333333333333302</v>
      </c>
      <c r="P598" s="344">
        <v>7.7</v>
      </c>
      <c r="Q598" s="344">
        <v>7</v>
      </c>
      <c r="R598" s="344">
        <v>6.7666666666666702</v>
      </c>
      <c r="S598" s="344">
        <v>9.56666666666667</v>
      </c>
      <c r="T598" s="344">
        <v>7.7</v>
      </c>
      <c r="U598" s="344">
        <v>10.033333333333299</v>
      </c>
      <c r="V598" s="344">
        <v>10.266666666666699</v>
      </c>
      <c r="W598" s="344">
        <v>7.93333333333333</v>
      </c>
      <c r="X598" s="344">
        <v>6.3</v>
      </c>
      <c r="Y598" s="344">
        <v>5.1333333333333302</v>
      </c>
      <c r="Z598" s="344">
        <v>3.9666666666666699</v>
      </c>
      <c r="AA598" s="344">
        <v>4.2</v>
      </c>
      <c r="AB598" s="344">
        <v>5.3666666666666698</v>
      </c>
      <c r="AC598" s="344">
        <v>6.3</v>
      </c>
      <c r="AD598" s="344">
        <f t="shared" si="60"/>
        <v>0.93333333333333002</v>
      </c>
      <c r="AE598" s="344">
        <v>1</v>
      </c>
      <c r="AF598" s="344">
        <v>1</v>
      </c>
      <c r="AG598" s="346">
        <v>1</v>
      </c>
      <c r="AH598" s="346">
        <v>28</v>
      </c>
      <c r="AI598" s="346">
        <v>1</v>
      </c>
      <c r="AJ598" s="346">
        <v>1</v>
      </c>
      <c r="AK598" s="346">
        <v>1</v>
      </c>
      <c r="AL598" s="346">
        <v>1</v>
      </c>
      <c r="AM598" s="346">
        <v>1</v>
      </c>
      <c r="AN598" s="346">
        <v>9</v>
      </c>
      <c r="AO598" s="346">
        <v>9</v>
      </c>
      <c r="AP598" s="346">
        <v>1</v>
      </c>
      <c r="AQ598" s="357">
        <v>1</v>
      </c>
      <c r="AR598" s="357">
        <v>1</v>
      </c>
      <c r="AS598" s="357">
        <v>1</v>
      </c>
      <c r="AT598" s="357">
        <v>1</v>
      </c>
      <c r="AU598" s="357">
        <v>1</v>
      </c>
      <c r="AV598" s="357">
        <v>1</v>
      </c>
      <c r="AW598" s="357">
        <v>1</v>
      </c>
      <c r="AX598" s="357">
        <v>1</v>
      </c>
      <c r="AY598" s="357">
        <v>10</v>
      </c>
      <c r="AZ598" s="357">
        <v>5</v>
      </c>
      <c r="BA598" s="357">
        <v>8</v>
      </c>
      <c r="BB598" s="357">
        <v>1</v>
      </c>
      <c r="BC598" s="357">
        <v>1</v>
      </c>
    </row>
    <row r="599" spans="1:55" s="381" customFormat="1" ht="17.649999999999999" customHeight="1">
      <c r="A599" s="343">
        <v>167</v>
      </c>
      <c r="B599" s="211" t="s">
        <v>2246</v>
      </c>
      <c r="C599" s="211" t="s">
        <v>2055</v>
      </c>
      <c r="D599" s="211" t="s">
        <v>2056</v>
      </c>
      <c r="E599" s="344">
        <v>0</v>
      </c>
      <c r="F599" s="344">
        <v>0.233333333333333</v>
      </c>
      <c r="G599" s="356">
        <v>0.233333333333333</v>
      </c>
      <c r="H599" s="344">
        <v>0.233333333333333</v>
      </c>
      <c r="I599" s="344">
        <v>1.4</v>
      </c>
      <c r="J599" s="344">
        <v>1.4</v>
      </c>
      <c r="K599" s="344">
        <v>1.4</v>
      </c>
      <c r="L599" s="344">
        <f t="shared" si="59"/>
        <v>0.32666666666666666</v>
      </c>
      <c r="M599" s="344">
        <v>4.2</v>
      </c>
      <c r="N599" s="344">
        <v>5.6</v>
      </c>
      <c r="O599" s="344">
        <v>5.6</v>
      </c>
      <c r="P599" s="344">
        <v>3.0333333333333301</v>
      </c>
      <c r="Q599" s="344">
        <v>3.2666666666666702</v>
      </c>
      <c r="R599" s="344">
        <v>2.3333333333333299</v>
      </c>
      <c r="S599" s="344">
        <v>2.3333333333333299</v>
      </c>
      <c r="T599" s="344">
        <v>2.56666666666667</v>
      </c>
      <c r="U599" s="344">
        <v>5.3666666666666698</v>
      </c>
      <c r="V599" s="344">
        <v>6.5333333333333297</v>
      </c>
      <c r="W599" s="344">
        <v>5.6</v>
      </c>
      <c r="X599" s="344">
        <v>5.1333333333333302</v>
      </c>
      <c r="Y599" s="344">
        <v>5.1333333333333302</v>
      </c>
      <c r="Z599" s="344">
        <v>2.3333333333333299</v>
      </c>
      <c r="AA599" s="344">
        <v>2.3333333333333299</v>
      </c>
      <c r="AB599" s="344">
        <v>3.2666666666666702</v>
      </c>
      <c r="AC599" s="344">
        <v>4.2</v>
      </c>
      <c r="AD599" s="344">
        <f t="shared" si="60"/>
        <v>0.93333333333333002</v>
      </c>
      <c r="AE599" s="344">
        <v>1</v>
      </c>
      <c r="AF599" s="344">
        <v>1</v>
      </c>
      <c r="AG599" s="346">
        <v>1</v>
      </c>
      <c r="AH599" s="346">
        <v>1</v>
      </c>
      <c r="AI599" s="346">
        <v>1</v>
      </c>
      <c r="AJ599" s="346">
        <v>1</v>
      </c>
      <c r="AK599" s="346">
        <v>1</v>
      </c>
      <c r="AL599" s="346">
        <v>1</v>
      </c>
      <c r="AM599" s="346">
        <v>1</v>
      </c>
      <c r="AN599" s="346">
        <v>1</v>
      </c>
      <c r="AO599" s="346">
        <v>1</v>
      </c>
      <c r="AP599" s="346">
        <v>1</v>
      </c>
      <c r="AQ599" s="357">
        <v>10</v>
      </c>
      <c r="AR599" s="357">
        <v>1</v>
      </c>
      <c r="AS599" s="357">
        <v>1</v>
      </c>
      <c r="AT599" s="357">
        <v>1</v>
      </c>
      <c r="AU599" s="357">
        <v>1</v>
      </c>
      <c r="AV599" s="357">
        <v>1</v>
      </c>
      <c r="AW599" s="357">
        <v>1</v>
      </c>
      <c r="AX599" s="357">
        <v>1</v>
      </c>
      <c r="AY599" s="357">
        <v>1</v>
      </c>
      <c r="AZ599" s="357">
        <v>1</v>
      </c>
      <c r="BA599" s="357">
        <v>1</v>
      </c>
      <c r="BB599" s="357">
        <v>1</v>
      </c>
      <c r="BC599" s="357">
        <v>1</v>
      </c>
    </row>
    <row r="600" spans="1:55" s="381" customFormat="1" ht="17.649999999999999" customHeight="1">
      <c r="A600" s="343">
        <v>168</v>
      </c>
      <c r="B600" s="211" t="s">
        <v>2247</v>
      </c>
      <c r="C600" s="211" t="s">
        <v>2055</v>
      </c>
      <c r="D600" s="211" t="s">
        <v>2056</v>
      </c>
      <c r="E600" s="344">
        <v>8</v>
      </c>
      <c r="F600" s="344">
        <v>7.4666666666666703</v>
      </c>
      <c r="G600" s="356">
        <v>5.8333333333333304</v>
      </c>
      <c r="H600" s="344">
        <v>6.3</v>
      </c>
      <c r="I600" s="344">
        <v>7.7</v>
      </c>
      <c r="J600" s="344">
        <v>8.4</v>
      </c>
      <c r="K600" s="344">
        <v>10.033333333333299</v>
      </c>
      <c r="L600" s="344">
        <f t="shared" si="59"/>
        <v>1.7966666666666666</v>
      </c>
      <c r="M600" s="344">
        <v>11.2</v>
      </c>
      <c r="N600" s="344">
        <v>10.033333333333299</v>
      </c>
      <c r="O600" s="344">
        <v>7.7</v>
      </c>
      <c r="P600" s="344">
        <v>7</v>
      </c>
      <c r="Q600" s="344">
        <v>6.5333333333333297</v>
      </c>
      <c r="R600" s="344">
        <v>6.7666666666666702</v>
      </c>
      <c r="S600" s="344">
        <v>7.93333333333333</v>
      </c>
      <c r="T600" s="344">
        <v>9.8000000000000007</v>
      </c>
      <c r="U600" s="344">
        <v>8.8666666666666707</v>
      </c>
      <c r="V600" s="344">
        <v>10.266666666666699</v>
      </c>
      <c r="W600" s="344">
        <v>10.733333333333301</v>
      </c>
      <c r="X600" s="344">
        <v>8.8666666666666707</v>
      </c>
      <c r="Y600" s="344">
        <v>7.93333333333333</v>
      </c>
      <c r="Z600" s="344">
        <v>5.8333333333333304</v>
      </c>
      <c r="AA600" s="344">
        <v>5.8333333333333304</v>
      </c>
      <c r="AB600" s="344">
        <v>7</v>
      </c>
      <c r="AC600" s="344">
        <v>9.1</v>
      </c>
      <c r="AD600" s="344">
        <f t="shared" si="60"/>
        <v>2.0999999999999996</v>
      </c>
      <c r="AE600" s="344">
        <v>1</v>
      </c>
      <c r="AF600" s="344">
        <v>1</v>
      </c>
      <c r="AG600" s="346">
        <v>1</v>
      </c>
      <c r="AH600" s="346">
        <v>1</v>
      </c>
      <c r="AI600" s="346">
        <v>1</v>
      </c>
      <c r="AJ600" s="346">
        <v>9</v>
      </c>
      <c r="AK600" s="346">
        <v>1</v>
      </c>
      <c r="AL600" s="346">
        <v>9</v>
      </c>
      <c r="AM600" s="346">
        <v>1</v>
      </c>
      <c r="AN600" s="346">
        <v>1</v>
      </c>
      <c r="AO600" s="346">
        <v>1</v>
      </c>
      <c r="AP600" s="346">
        <v>8</v>
      </c>
      <c r="AQ600" s="357">
        <v>1</v>
      </c>
      <c r="AR600" s="357">
        <v>1</v>
      </c>
      <c r="AS600" s="357">
        <v>2</v>
      </c>
      <c r="AT600" s="357">
        <v>2</v>
      </c>
      <c r="AU600" s="357">
        <v>10</v>
      </c>
      <c r="AV600" s="357">
        <v>1</v>
      </c>
      <c r="AW600" s="357">
        <v>1</v>
      </c>
      <c r="AX600" s="357">
        <v>1</v>
      </c>
      <c r="AY600" s="357">
        <v>1</v>
      </c>
      <c r="AZ600" s="357">
        <v>1</v>
      </c>
      <c r="BA600" s="357">
        <v>1</v>
      </c>
      <c r="BB600" s="357">
        <v>1</v>
      </c>
      <c r="BC600" s="357">
        <v>2</v>
      </c>
    </row>
    <row r="601" spans="1:55" s="381" customFormat="1" ht="17.649999999999999" customHeight="1">
      <c r="A601" s="343">
        <v>169</v>
      </c>
      <c r="B601" s="211" t="s">
        <v>2248</v>
      </c>
      <c r="C601" s="211" t="s">
        <v>2055</v>
      </c>
      <c r="D601" s="211" t="s">
        <v>2056</v>
      </c>
      <c r="E601" s="344">
        <v>1</v>
      </c>
      <c r="F601" s="344">
        <v>1.86666666666667</v>
      </c>
      <c r="G601" s="356">
        <v>2.3333333333333299</v>
      </c>
      <c r="H601" s="344">
        <v>2.1</v>
      </c>
      <c r="I601" s="344">
        <v>3.5</v>
      </c>
      <c r="J601" s="344">
        <v>3.9666666666666699</v>
      </c>
      <c r="K601" s="344">
        <v>3.5</v>
      </c>
      <c r="L601" s="344">
        <f t="shared" si="59"/>
        <v>0.81666666666666665</v>
      </c>
      <c r="M601" s="344">
        <v>6.3</v>
      </c>
      <c r="N601" s="344">
        <v>6.7666666666666702</v>
      </c>
      <c r="O601" s="344">
        <v>9.8000000000000007</v>
      </c>
      <c r="P601" s="344">
        <v>6.7666666666666702</v>
      </c>
      <c r="Q601" s="344">
        <v>8.4</v>
      </c>
      <c r="R601" s="344">
        <v>7.93333333333333</v>
      </c>
      <c r="S601" s="344">
        <v>5.6</v>
      </c>
      <c r="T601" s="344">
        <v>5.6</v>
      </c>
      <c r="U601" s="344">
        <v>4.6666666666666696</v>
      </c>
      <c r="V601" s="344">
        <v>5.3666666666666698</v>
      </c>
      <c r="W601" s="344">
        <v>6.3</v>
      </c>
      <c r="X601" s="344">
        <v>7</v>
      </c>
      <c r="Y601" s="344">
        <v>7.4666666666666703</v>
      </c>
      <c r="Z601" s="344">
        <v>7</v>
      </c>
      <c r="AA601" s="344">
        <v>8.8666666666666707</v>
      </c>
      <c r="AB601" s="344">
        <v>7.7</v>
      </c>
      <c r="AC601" s="344">
        <v>7.7</v>
      </c>
      <c r="AD601" s="344">
        <f t="shared" si="60"/>
        <v>0</v>
      </c>
      <c r="AE601" s="344">
        <v>1</v>
      </c>
      <c r="AF601" s="344">
        <v>3</v>
      </c>
      <c r="AG601" s="346">
        <v>1</v>
      </c>
      <c r="AH601" s="346">
        <v>11</v>
      </c>
      <c r="AI601" s="346">
        <v>1</v>
      </c>
      <c r="AJ601" s="346">
        <v>1</v>
      </c>
      <c r="AK601" s="346">
        <v>1</v>
      </c>
      <c r="AL601" s="346">
        <v>1</v>
      </c>
      <c r="AM601" s="346">
        <v>1</v>
      </c>
      <c r="AN601" s="346">
        <v>1</v>
      </c>
      <c r="AO601" s="346">
        <v>1</v>
      </c>
      <c r="AP601" s="357">
        <v>1</v>
      </c>
      <c r="AQ601" s="357">
        <v>1</v>
      </c>
      <c r="AR601" s="357">
        <v>1</v>
      </c>
      <c r="AS601" s="357">
        <v>10</v>
      </c>
      <c r="AT601" s="357">
        <v>2</v>
      </c>
      <c r="AU601" s="357">
        <v>2</v>
      </c>
      <c r="AV601" s="357">
        <v>1</v>
      </c>
      <c r="AW601" s="357">
        <v>8</v>
      </c>
      <c r="AX601" s="357">
        <v>1</v>
      </c>
      <c r="AY601" s="357">
        <v>1</v>
      </c>
      <c r="AZ601" s="357">
        <v>10</v>
      </c>
      <c r="BA601" s="357">
        <v>1</v>
      </c>
      <c r="BB601" s="357">
        <v>10</v>
      </c>
      <c r="BC601" s="357">
        <v>1</v>
      </c>
    </row>
    <row r="602" spans="1:55" s="381" customFormat="1" ht="17.649999999999999" customHeight="1">
      <c r="A602" s="343">
        <v>170</v>
      </c>
      <c r="B602" s="211" t="s">
        <v>2249</v>
      </c>
      <c r="C602" s="211" t="s">
        <v>2055</v>
      </c>
      <c r="D602" s="211" t="s">
        <v>2056</v>
      </c>
      <c r="E602" s="344">
        <v>0</v>
      </c>
      <c r="F602" s="344">
        <v>0.233333333333333</v>
      </c>
      <c r="G602" s="356">
        <v>0.233333333333333</v>
      </c>
      <c r="H602" s="344">
        <v>0.233333333333333</v>
      </c>
      <c r="I602" s="344">
        <v>2.1</v>
      </c>
      <c r="J602" s="344">
        <v>2.1</v>
      </c>
      <c r="K602" s="344">
        <v>1.86666666666667</v>
      </c>
      <c r="L602" s="344">
        <f t="shared" si="59"/>
        <v>0.49000000000000005</v>
      </c>
      <c r="M602" s="344">
        <v>2.56666666666667</v>
      </c>
      <c r="N602" s="344">
        <v>5.8333333333333304</v>
      </c>
      <c r="O602" s="344">
        <v>7.4666666666666703</v>
      </c>
      <c r="P602" s="344">
        <v>8.6333333333333293</v>
      </c>
      <c r="Q602" s="344">
        <v>8.8666666666666707</v>
      </c>
      <c r="R602" s="344">
        <v>10.266666666666699</v>
      </c>
      <c r="S602" s="344">
        <v>11.6666666666667</v>
      </c>
      <c r="T602" s="344">
        <v>10.966666666666701</v>
      </c>
      <c r="U602" s="344">
        <v>11.2</v>
      </c>
      <c r="V602" s="344">
        <v>9.1</v>
      </c>
      <c r="W602" s="344">
        <v>6.5333333333333297</v>
      </c>
      <c r="X602" s="344">
        <v>6.7666666666666702</v>
      </c>
      <c r="Y602" s="344">
        <v>7</v>
      </c>
      <c r="Z602" s="344">
        <v>6.3</v>
      </c>
      <c r="AA602" s="344">
        <v>6.3</v>
      </c>
      <c r="AB602" s="344">
        <v>6.3</v>
      </c>
      <c r="AC602" s="344">
        <v>6.5333333333333297</v>
      </c>
      <c r="AD602" s="344">
        <f t="shared" si="60"/>
        <v>0.23333333333332984</v>
      </c>
      <c r="AE602" s="344">
        <v>1</v>
      </c>
      <c r="AF602" s="344">
        <v>8</v>
      </c>
      <c r="AG602" s="346">
        <v>1</v>
      </c>
      <c r="AH602" s="346">
        <v>3</v>
      </c>
      <c r="AI602" s="346">
        <v>1</v>
      </c>
      <c r="AJ602" s="346">
        <v>1</v>
      </c>
      <c r="AK602" s="346">
        <v>2</v>
      </c>
      <c r="AL602" s="346">
        <v>1</v>
      </c>
      <c r="AM602" s="346">
        <v>3</v>
      </c>
      <c r="AN602" s="346">
        <v>7</v>
      </c>
      <c r="AO602" s="346">
        <v>7</v>
      </c>
      <c r="AP602" s="346">
        <v>9</v>
      </c>
      <c r="AQ602" s="357">
        <v>13</v>
      </c>
      <c r="AR602" s="357">
        <v>10</v>
      </c>
      <c r="AS602" s="357">
        <v>1</v>
      </c>
      <c r="AT602" s="357">
        <v>2</v>
      </c>
      <c r="AU602" s="357">
        <v>9</v>
      </c>
      <c r="AV602" s="357">
        <v>1</v>
      </c>
      <c r="AW602" s="357">
        <v>1</v>
      </c>
      <c r="AX602" s="357">
        <v>1</v>
      </c>
      <c r="AY602" s="357">
        <v>1</v>
      </c>
      <c r="AZ602" s="357">
        <v>1</v>
      </c>
      <c r="BA602" s="357">
        <v>8</v>
      </c>
      <c r="BB602" s="357">
        <v>1</v>
      </c>
      <c r="BC602" s="357">
        <v>1</v>
      </c>
    </row>
    <row r="603" spans="1:55" s="381" customFormat="1" ht="17.649999999999999" customHeight="1">
      <c r="A603" s="343">
        <v>171</v>
      </c>
      <c r="B603" s="211" t="s">
        <v>2250</v>
      </c>
      <c r="C603" s="211" t="s">
        <v>2055</v>
      </c>
      <c r="D603" s="211" t="s">
        <v>2056</v>
      </c>
      <c r="E603" s="344">
        <v>2</v>
      </c>
      <c r="F603" s="344">
        <v>1.1666666666666701</v>
      </c>
      <c r="G603" s="356">
        <v>0.233333333333333</v>
      </c>
      <c r="H603" s="344">
        <v>0.233333333333333</v>
      </c>
      <c r="I603" s="344">
        <v>3.5</v>
      </c>
      <c r="J603" s="344">
        <v>3.2666666666666702</v>
      </c>
      <c r="K603" s="344">
        <v>2.56666666666667</v>
      </c>
      <c r="L603" s="344">
        <f t="shared" si="59"/>
        <v>0.81666666666666665</v>
      </c>
      <c r="M603" s="344">
        <v>2.3333333333333299</v>
      </c>
      <c r="N603" s="344">
        <v>3.2666666666666702</v>
      </c>
      <c r="O603" s="344">
        <v>5.1333333333333302</v>
      </c>
      <c r="P603" s="344">
        <v>4.6666666666666696</v>
      </c>
      <c r="Q603" s="344">
        <v>4.2</v>
      </c>
      <c r="R603" s="344">
        <v>4.2</v>
      </c>
      <c r="S603" s="344">
        <v>2.56666666666667</v>
      </c>
      <c r="T603" s="344">
        <v>3.0333333333333301</v>
      </c>
      <c r="U603" s="344">
        <v>3.0333333333333301</v>
      </c>
      <c r="V603" s="344">
        <v>3.0333333333333301</v>
      </c>
      <c r="W603" s="344">
        <v>4.43333333333333</v>
      </c>
      <c r="X603" s="344">
        <v>6.5333333333333297</v>
      </c>
      <c r="Y603" s="344">
        <v>8.4</v>
      </c>
      <c r="Z603" s="344">
        <v>7.93333333333333</v>
      </c>
      <c r="AA603" s="344">
        <v>7.4666666666666703</v>
      </c>
      <c r="AB603" s="344">
        <v>7.4666666666666703</v>
      </c>
      <c r="AC603" s="344">
        <v>5.6</v>
      </c>
      <c r="AD603" s="344">
        <f t="shared" si="60"/>
        <v>-1.8666666666666707</v>
      </c>
      <c r="AE603" s="344">
        <v>1</v>
      </c>
      <c r="AF603" s="344">
        <v>3</v>
      </c>
      <c r="AG603" s="346">
        <v>7</v>
      </c>
      <c r="AH603" s="346">
        <v>2</v>
      </c>
      <c r="AI603" s="346">
        <v>9</v>
      </c>
      <c r="AJ603" s="346">
        <v>1</v>
      </c>
      <c r="AK603" s="346">
        <v>1</v>
      </c>
      <c r="AL603" s="346">
        <v>1</v>
      </c>
      <c r="AM603" s="346">
        <v>1</v>
      </c>
      <c r="AN603" s="346">
        <v>1</v>
      </c>
      <c r="AO603" s="346">
        <v>1</v>
      </c>
      <c r="AP603" s="346">
        <v>2</v>
      </c>
      <c r="AQ603" s="357">
        <v>1</v>
      </c>
      <c r="AR603" s="357">
        <v>3</v>
      </c>
      <c r="AS603" s="357">
        <v>3</v>
      </c>
      <c r="AT603" s="357">
        <v>1</v>
      </c>
      <c r="AU603" s="357">
        <v>1</v>
      </c>
      <c r="AV603" s="357">
        <v>1</v>
      </c>
      <c r="AW603" s="357">
        <v>8</v>
      </c>
      <c r="AX603" s="357">
        <v>39</v>
      </c>
      <c r="AY603" s="357">
        <v>1</v>
      </c>
      <c r="AZ603" s="357">
        <v>1</v>
      </c>
      <c r="BA603" s="357">
        <v>6</v>
      </c>
      <c r="BB603" s="357">
        <v>1</v>
      </c>
      <c r="BC603" s="357">
        <v>1</v>
      </c>
    </row>
    <row r="604" spans="1:55" s="381" customFormat="1" ht="17.649999999999999" customHeight="1">
      <c r="A604" s="343">
        <v>172</v>
      </c>
      <c r="B604" s="211" t="s">
        <v>2251</v>
      </c>
      <c r="C604" s="211" t="s">
        <v>2055</v>
      </c>
      <c r="D604" s="211" t="s">
        <v>2056</v>
      </c>
      <c r="E604" s="344">
        <v>8</v>
      </c>
      <c r="F604" s="344">
        <v>8.4</v>
      </c>
      <c r="G604" s="356">
        <v>7.4666666666666703</v>
      </c>
      <c r="H604" s="344">
        <v>8.4</v>
      </c>
      <c r="I604" s="344">
        <v>9.8000000000000007</v>
      </c>
      <c r="J604" s="344">
        <v>13.3</v>
      </c>
      <c r="K604" s="344">
        <v>14</v>
      </c>
      <c r="L604" s="344">
        <f t="shared" si="59"/>
        <v>2.2866666666666671</v>
      </c>
      <c r="M604" s="344">
        <v>16.566666666666698</v>
      </c>
      <c r="N604" s="344">
        <v>14.9333333333333</v>
      </c>
      <c r="O604" s="344">
        <v>16.566666666666698</v>
      </c>
      <c r="P604" s="344">
        <v>13.3</v>
      </c>
      <c r="Q604" s="344">
        <v>13.0666666666667</v>
      </c>
      <c r="R604" s="344">
        <v>14.233333333333301</v>
      </c>
      <c r="S604" s="344">
        <v>16.100000000000001</v>
      </c>
      <c r="T604" s="344">
        <v>19.8333333333333</v>
      </c>
      <c r="U604" s="344">
        <v>17.733333333333299</v>
      </c>
      <c r="V604" s="344">
        <v>17.5</v>
      </c>
      <c r="W604" s="344">
        <v>17.966666666666701</v>
      </c>
      <c r="X604" s="344">
        <v>17.266666666666701</v>
      </c>
      <c r="Y604" s="344">
        <v>17.5</v>
      </c>
      <c r="Z604" s="344">
        <v>17.733333333333299</v>
      </c>
      <c r="AA604" s="344">
        <v>17.266666666666701</v>
      </c>
      <c r="AB604" s="344">
        <v>13.0666666666667</v>
      </c>
      <c r="AC604" s="344">
        <v>14.9333333333333</v>
      </c>
      <c r="AD604" s="344">
        <f t="shared" si="60"/>
        <v>1.8666666666665996</v>
      </c>
      <c r="AE604" s="344">
        <v>10</v>
      </c>
      <c r="AF604" s="344">
        <v>9</v>
      </c>
      <c r="AG604" s="346">
        <v>11</v>
      </c>
      <c r="AH604" s="346">
        <v>10</v>
      </c>
      <c r="AI604" s="346">
        <v>13</v>
      </c>
      <c r="AJ604" s="346">
        <v>11</v>
      </c>
      <c r="AK604" s="346">
        <v>11</v>
      </c>
      <c r="AL604" s="346">
        <v>11</v>
      </c>
      <c r="AM604" s="346">
        <v>36</v>
      </c>
      <c r="AN604" s="346">
        <v>9</v>
      </c>
      <c r="AO604" s="346">
        <v>9</v>
      </c>
      <c r="AP604" s="357">
        <v>10</v>
      </c>
      <c r="AQ604" s="357">
        <v>10</v>
      </c>
      <c r="AR604" s="357">
        <v>16</v>
      </c>
      <c r="AS604" s="357">
        <v>3</v>
      </c>
      <c r="AT604" s="357">
        <v>10</v>
      </c>
      <c r="AU604" s="211">
        <v>4</v>
      </c>
      <c r="AV604" s="357">
        <v>12</v>
      </c>
      <c r="AW604" s="357">
        <v>9</v>
      </c>
      <c r="AX604" s="357">
        <v>8</v>
      </c>
      <c r="AY604" s="357">
        <v>11</v>
      </c>
      <c r="AZ604" s="357">
        <v>8</v>
      </c>
      <c r="BA604" s="357">
        <v>11</v>
      </c>
      <c r="BB604" s="357">
        <v>9</v>
      </c>
      <c r="BC604" s="357">
        <v>8</v>
      </c>
    </row>
    <row r="605" spans="1:55" s="381" customFormat="1" ht="17.649999999999999" customHeight="1">
      <c r="A605" s="343">
        <v>173</v>
      </c>
      <c r="B605" s="211" t="s">
        <v>2252</v>
      </c>
      <c r="C605" s="211" t="s">
        <v>2055</v>
      </c>
      <c r="D605" s="211" t="s">
        <v>2056</v>
      </c>
      <c r="E605" s="344">
        <v>0</v>
      </c>
      <c r="F605" s="344">
        <v>0.233333333333333</v>
      </c>
      <c r="G605" s="356">
        <v>0.233333333333333</v>
      </c>
      <c r="H605" s="344">
        <v>0.233333333333333</v>
      </c>
      <c r="I605" s="344">
        <v>1.4</v>
      </c>
      <c r="J605" s="344">
        <v>1.4</v>
      </c>
      <c r="K605" s="344">
        <v>0.233333333333333</v>
      </c>
      <c r="L605" s="344">
        <f t="shared" si="59"/>
        <v>0.32666666666666666</v>
      </c>
      <c r="M605" s="344">
        <v>1.86666666666667</v>
      </c>
      <c r="N605" s="344">
        <v>3.5</v>
      </c>
      <c r="O605" s="344">
        <v>4.2</v>
      </c>
      <c r="P605" s="344">
        <v>5.8333333333333304</v>
      </c>
      <c r="Q605" s="344">
        <v>6.3</v>
      </c>
      <c r="R605" s="344">
        <v>5.6</v>
      </c>
      <c r="S605" s="344">
        <v>3.9666666666666699</v>
      </c>
      <c r="T605" s="344">
        <v>3.0333333333333301</v>
      </c>
      <c r="U605" s="344">
        <v>4.43333333333333</v>
      </c>
      <c r="V605" s="344">
        <v>4.6666666666666696</v>
      </c>
      <c r="W605" s="344">
        <v>5.8333333333333304</v>
      </c>
      <c r="X605" s="344">
        <v>7.4666666666666703</v>
      </c>
      <c r="Y605" s="344">
        <v>6.3</v>
      </c>
      <c r="Z605" s="344">
        <v>7</v>
      </c>
      <c r="AA605" s="344">
        <v>5.8333333333333304</v>
      </c>
      <c r="AB605" s="344">
        <v>4.6666666666666696</v>
      </c>
      <c r="AC605" s="344">
        <v>3.2666666666666702</v>
      </c>
      <c r="AD605" s="344">
        <f t="shared" si="60"/>
        <v>-1.3999999999999995</v>
      </c>
      <c r="AE605" s="344">
        <v>9</v>
      </c>
      <c r="AF605" s="344">
        <v>9</v>
      </c>
      <c r="AG605" s="346">
        <v>10</v>
      </c>
      <c r="AH605" s="346">
        <v>8</v>
      </c>
      <c r="AI605" s="346">
        <v>1</v>
      </c>
      <c r="AJ605" s="346">
        <v>1</v>
      </c>
      <c r="AK605" s="346">
        <v>4</v>
      </c>
      <c r="AL605" s="346">
        <v>1</v>
      </c>
      <c r="AM605" s="346">
        <v>1</v>
      </c>
      <c r="AN605" s="346">
        <v>1</v>
      </c>
      <c r="AO605" s="346">
        <v>1</v>
      </c>
      <c r="AP605" s="346">
        <v>3</v>
      </c>
      <c r="AQ605" s="357">
        <v>3</v>
      </c>
      <c r="AR605" s="357">
        <v>10</v>
      </c>
      <c r="AS605" s="357">
        <v>3</v>
      </c>
      <c r="AT605" s="357">
        <v>2</v>
      </c>
      <c r="AU605" s="357">
        <v>2</v>
      </c>
      <c r="AV605" s="357">
        <v>1</v>
      </c>
      <c r="AW605" s="357">
        <v>10</v>
      </c>
      <c r="AX605" s="357">
        <v>9</v>
      </c>
      <c r="AY605" s="357">
        <v>9</v>
      </c>
      <c r="AZ605" s="357">
        <v>1</v>
      </c>
      <c r="BA605" s="357">
        <v>1</v>
      </c>
      <c r="BB605" s="357">
        <v>1</v>
      </c>
      <c r="BC605" s="357">
        <v>1</v>
      </c>
    </row>
    <row r="606" spans="1:55" s="381" customFormat="1" ht="17.649999999999999" customHeight="1">
      <c r="A606" s="343">
        <v>174</v>
      </c>
      <c r="B606" s="211" t="s">
        <v>2253</v>
      </c>
      <c r="C606" s="211" t="s">
        <v>2055</v>
      </c>
      <c r="D606" s="211" t="s">
        <v>2056</v>
      </c>
      <c r="E606" s="344">
        <v>0</v>
      </c>
      <c r="F606" s="344">
        <v>0.233333333333333</v>
      </c>
      <c r="G606" s="356">
        <v>0.233333333333333</v>
      </c>
      <c r="H606" s="344">
        <v>0.233333333333333</v>
      </c>
      <c r="I606" s="344">
        <v>4.6666666666666696</v>
      </c>
      <c r="J606" s="344">
        <v>4.6666666666666696</v>
      </c>
      <c r="K606" s="344">
        <v>4.43333333333333</v>
      </c>
      <c r="L606" s="344">
        <f t="shared" si="59"/>
        <v>1.0888888888888895</v>
      </c>
      <c r="M606" s="344">
        <v>2.56666666666667</v>
      </c>
      <c r="N606" s="344">
        <v>3.2666666666666702</v>
      </c>
      <c r="O606" s="344">
        <v>3.9666666666666699</v>
      </c>
      <c r="P606" s="344">
        <v>4.43333333333333</v>
      </c>
      <c r="Q606" s="344">
        <v>3.5</v>
      </c>
      <c r="R606" s="344">
        <v>7</v>
      </c>
      <c r="S606" s="344">
        <v>8.6333333333333293</v>
      </c>
      <c r="T606" s="344">
        <v>7.93333333333333</v>
      </c>
      <c r="U606" s="344">
        <v>9.1</v>
      </c>
      <c r="V606" s="344">
        <v>5.8333333333333304</v>
      </c>
      <c r="W606" s="344">
        <v>6.3</v>
      </c>
      <c r="X606" s="344">
        <v>4.43333333333333</v>
      </c>
      <c r="Y606" s="344">
        <v>3.0333333333333301</v>
      </c>
      <c r="Z606" s="344">
        <v>3.9666666666666699</v>
      </c>
      <c r="AA606" s="344">
        <v>2.56666666666667</v>
      </c>
      <c r="AB606" s="344">
        <v>3.5</v>
      </c>
      <c r="AC606" s="344">
        <v>5.1333333333333302</v>
      </c>
      <c r="AD606" s="344">
        <f t="shared" si="60"/>
        <v>1.6333333333333302</v>
      </c>
      <c r="AE606" s="344">
        <v>1</v>
      </c>
      <c r="AF606" s="344">
        <v>3</v>
      </c>
      <c r="AG606" s="346">
        <v>12</v>
      </c>
      <c r="AH606" s="346">
        <v>12</v>
      </c>
      <c r="AI606" s="346">
        <v>12</v>
      </c>
      <c r="AJ606" s="346">
        <v>5</v>
      </c>
      <c r="AK606" s="346">
        <v>1</v>
      </c>
      <c r="AL606" s="346">
        <v>5</v>
      </c>
      <c r="AM606" s="346">
        <v>3</v>
      </c>
      <c r="AN606" s="346">
        <v>1</v>
      </c>
      <c r="AO606" s="346">
        <v>1</v>
      </c>
      <c r="AP606" s="346">
        <v>2</v>
      </c>
      <c r="AQ606" s="357">
        <v>1</v>
      </c>
      <c r="AR606" s="357">
        <v>1</v>
      </c>
      <c r="AS606" s="357">
        <v>1</v>
      </c>
      <c r="AT606" s="357">
        <v>1</v>
      </c>
      <c r="AU606" s="357">
        <v>1</v>
      </c>
      <c r="AV606" s="357">
        <v>1</v>
      </c>
      <c r="AW606" s="357">
        <v>3</v>
      </c>
      <c r="AX606" s="357">
        <v>1</v>
      </c>
      <c r="AY606" s="357">
        <v>1</v>
      </c>
      <c r="AZ606" s="357">
        <v>1</v>
      </c>
      <c r="BA606" s="357">
        <v>1</v>
      </c>
      <c r="BB606" s="357">
        <v>1</v>
      </c>
      <c r="BC606" s="357">
        <v>9</v>
      </c>
    </row>
    <row r="607" spans="1:55" s="381" customFormat="1" ht="17.649999999999999" customHeight="1">
      <c r="A607" s="343">
        <v>175</v>
      </c>
      <c r="B607" s="211" t="s">
        <v>2254</v>
      </c>
      <c r="C607" s="211" t="s">
        <v>2055</v>
      </c>
      <c r="D607" s="211" t="s">
        <v>2056</v>
      </c>
      <c r="E607" s="344">
        <v>10</v>
      </c>
      <c r="F607" s="344">
        <v>9.56666666666667</v>
      </c>
      <c r="G607" s="356">
        <v>7.4666666666666703</v>
      </c>
      <c r="H607" s="344">
        <v>6.3</v>
      </c>
      <c r="I607" s="344">
        <v>6.5333333333333297</v>
      </c>
      <c r="J607" s="344">
        <v>6.5333333333333297</v>
      </c>
      <c r="K607" s="344">
        <v>6.7666666666666702</v>
      </c>
      <c r="L607" s="344">
        <f t="shared" si="59"/>
        <v>1.5244444444444436</v>
      </c>
      <c r="M607" s="344">
        <v>5.8333333333333304</v>
      </c>
      <c r="N607" s="344">
        <v>3.5</v>
      </c>
      <c r="O607" s="344">
        <v>3.0333333333333301</v>
      </c>
      <c r="P607" s="344">
        <v>2.3333333333333299</v>
      </c>
      <c r="Q607" s="344">
        <v>3.0333333333333301</v>
      </c>
      <c r="R607" s="344">
        <v>2.56666666666667</v>
      </c>
      <c r="S607" s="344">
        <v>2.3333333333333299</v>
      </c>
      <c r="T607" s="344">
        <v>4.6666666666666696</v>
      </c>
      <c r="U607" s="344">
        <v>5.3666666666666698</v>
      </c>
      <c r="V607" s="344">
        <v>5.1333333333333302</v>
      </c>
      <c r="W607" s="344">
        <v>5.6</v>
      </c>
      <c r="X607" s="344">
        <v>3.5</v>
      </c>
      <c r="Y607" s="344">
        <v>5.1333333333333302</v>
      </c>
      <c r="Z607" s="344">
        <v>3.9666666666666699</v>
      </c>
      <c r="AA607" s="344">
        <v>5.6</v>
      </c>
      <c r="AB607" s="344">
        <v>5.3666666666666698</v>
      </c>
      <c r="AC607" s="344">
        <v>4.43333333333333</v>
      </c>
      <c r="AD607" s="344">
        <f t="shared" si="60"/>
        <v>-0.93333333333333979</v>
      </c>
      <c r="AE607" s="344">
        <v>1</v>
      </c>
      <c r="AF607" s="344">
        <v>8</v>
      </c>
      <c r="AG607" s="346">
        <v>10</v>
      </c>
      <c r="AH607" s="346">
        <v>1</v>
      </c>
      <c r="AI607" s="346">
        <v>8</v>
      </c>
      <c r="AJ607" s="346">
        <v>2</v>
      </c>
      <c r="AK607" s="346">
        <v>9</v>
      </c>
      <c r="AL607" s="346">
        <v>2</v>
      </c>
      <c r="AM607" s="346">
        <v>10</v>
      </c>
      <c r="AN607" s="346">
        <v>1</v>
      </c>
      <c r="AO607" s="346">
        <v>1</v>
      </c>
      <c r="AP607" s="346">
        <v>1</v>
      </c>
      <c r="AQ607" s="357">
        <v>1</v>
      </c>
      <c r="AR607" s="357">
        <v>2</v>
      </c>
      <c r="AS607" s="357">
        <v>2</v>
      </c>
      <c r="AT607" s="357">
        <v>8</v>
      </c>
      <c r="AU607" s="357">
        <v>1</v>
      </c>
      <c r="AV607" s="357">
        <v>8</v>
      </c>
      <c r="AW607" s="357">
        <v>2</v>
      </c>
      <c r="AX607" s="357">
        <v>9</v>
      </c>
      <c r="AY607" s="357">
        <v>1</v>
      </c>
      <c r="AZ607" s="357">
        <v>2</v>
      </c>
      <c r="BA607" s="357">
        <v>2</v>
      </c>
      <c r="BB607" s="357">
        <v>2</v>
      </c>
      <c r="BC607" s="357">
        <v>2</v>
      </c>
    </row>
    <row r="608" spans="1:55" s="381" customFormat="1" ht="17.649999999999999" customHeight="1">
      <c r="A608" s="343">
        <v>176</v>
      </c>
      <c r="B608" s="211" t="s">
        <v>2255</v>
      </c>
      <c r="C608" s="211" t="s">
        <v>2055</v>
      </c>
      <c r="D608" s="211" t="s">
        <v>2056</v>
      </c>
      <c r="E608" s="344">
        <v>14</v>
      </c>
      <c r="F608" s="344">
        <v>10.033333333333299</v>
      </c>
      <c r="G608" s="356">
        <v>9.1</v>
      </c>
      <c r="H608" s="344">
        <v>7</v>
      </c>
      <c r="I608" s="344">
        <v>7.7</v>
      </c>
      <c r="J608" s="344">
        <v>6.5333333333333297</v>
      </c>
      <c r="K608" s="344">
        <v>6.7666666666666702</v>
      </c>
      <c r="L608" s="344">
        <f t="shared" si="59"/>
        <v>1.7966666666666666</v>
      </c>
      <c r="M608" s="344">
        <v>3.0333333333333301</v>
      </c>
      <c r="N608" s="344">
        <v>3.9666666666666699</v>
      </c>
      <c r="O608" s="344">
        <v>2.56666666666667</v>
      </c>
      <c r="P608" s="344">
        <v>4.43333333333333</v>
      </c>
      <c r="Q608" s="344">
        <v>5.3666666666666698</v>
      </c>
      <c r="R608" s="344">
        <v>7</v>
      </c>
      <c r="S608" s="344">
        <v>5.6</v>
      </c>
      <c r="T608" s="344">
        <v>7.93333333333333</v>
      </c>
      <c r="U608" s="344">
        <v>8.4</v>
      </c>
      <c r="V608" s="344">
        <v>7</v>
      </c>
      <c r="W608" s="344">
        <v>5.8333333333333304</v>
      </c>
      <c r="X608" s="344">
        <v>7.4666666666666703</v>
      </c>
      <c r="Y608" s="344">
        <v>3.9666666666666699</v>
      </c>
      <c r="Z608" s="344">
        <v>4.2</v>
      </c>
      <c r="AA608" s="344">
        <v>5.3666666666666698</v>
      </c>
      <c r="AB608" s="344">
        <v>5.1333333333333302</v>
      </c>
      <c r="AC608" s="344">
        <v>6.3</v>
      </c>
      <c r="AD608" s="344">
        <f t="shared" si="60"/>
        <v>1.1666666666666696</v>
      </c>
      <c r="AE608" s="344">
        <v>2</v>
      </c>
      <c r="AF608" s="344">
        <v>3</v>
      </c>
      <c r="AG608" s="346">
        <v>1</v>
      </c>
      <c r="AH608" s="346">
        <v>10</v>
      </c>
      <c r="AI608" s="346">
        <v>4</v>
      </c>
      <c r="AJ608" s="346">
        <v>1</v>
      </c>
      <c r="AK608" s="346">
        <v>1</v>
      </c>
      <c r="AL608" s="346">
        <v>1</v>
      </c>
      <c r="AM608" s="346">
        <v>8</v>
      </c>
      <c r="AN608" s="346">
        <v>9</v>
      </c>
      <c r="AO608" s="346">
        <v>9</v>
      </c>
      <c r="AP608" s="346">
        <v>1</v>
      </c>
      <c r="AQ608" s="357">
        <v>1</v>
      </c>
      <c r="AR608" s="357">
        <v>1</v>
      </c>
      <c r="AS608" s="357">
        <v>10</v>
      </c>
      <c r="AT608" s="357">
        <v>10</v>
      </c>
      <c r="AU608" s="357">
        <v>1</v>
      </c>
      <c r="AV608" s="357">
        <v>1</v>
      </c>
      <c r="AW608" s="357">
        <v>1</v>
      </c>
      <c r="AX608" s="357">
        <v>1</v>
      </c>
      <c r="AY608" s="357">
        <v>1</v>
      </c>
      <c r="AZ608" s="357">
        <v>1</v>
      </c>
      <c r="BA608" s="357">
        <v>1</v>
      </c>
      <c r="BB608" s="357">
        <v>8</v>
      </c>
      <c r="BC608" s="357">
        <v>6</v>
      </c>
    </row>
    <row r="609" spans="1:55" s="381" customFormat="1" ht="17.649999999999999" customHeight="1">
      <c r="A609" s="343">
        <v>177</v>
      </c>
      <c r="B609" s="211" t="s">
        <v>2256</v>
      </c>
      <c r="C609" s="211" t="s">
        <v>2055</v>
      </c>
      <c r="D609" s="211" t="s">
        <v>2056</v>
      </c>
      <c r="E609" s="344">
        <v>3</v>
      </c>
      <c r="F609" s="344">
        <v>4.43333333333333</v>
      </c>
      <c r="G609" s="356">
        <v>5.6</v>
      </c>
      <c r="H609" s="344">
        <v>5.8333333333333304</v>
      </c>
      <c r="I609" s="344">
        <v>5.8333333333333304</v>
      </c>
      <c r="J609" s="344">
        <v>4.6666666666666696</v>
      </c>
      <c r="K609" s="344">
        <v>3.5</v>
      </c>
      <c r="L609" s="344">
        <f t="shared" si="59"/>
        <v>1.3611111111111103</v>
      </c>
      <c r="M609" s="344">
        <v>4.2</v>
      </c>
      <c r="N609" s="344">
        <v>4.43333333333333</v>
      </c>
      <c r="O609" s="344">
        <v>6.3</v>
      </c>
      <c r="P609" s="344">
        <v>7.93333333333333</v>
      </c>
      <c r="Q609" s="344">
        <v>7</v>
      </c>
      <c r="R609" s="344">
        <v>8.6333333333333293</v>
      </c>
      <c r="S609" s="344">
        <v>8.8666666666666707</v>
      </c>
      <c r="T609" s="344">
        <v>7.7</v>
      </c>
      <c r="U609" s="344">
        <v>7</v>
      </c>
      <c r="V609" s="344">
        <v>6.5333333333333297</v>
      </c>
      <c r="W609" s="344">
        <v>5.1333333333333302</v>
      </c>
      <c r="X609" s="344">
        <v>6.5333333333333297</v>
      </c>
      <c r="Y609" s="344">
        <v>6.7666666666666702</v>
      </c>
      <c r="Z609" s="344">
        <v>9.1</v>
      </c>
      <c r="AA609" s="344">
        <v>9.56666666666667</v>
      </c>
      <c r="AB609" s="344">
        <v>7.93333333333333</v>
      </c>
      <c r="AC609" s="344">
        <v>7</v>
      </c>
      <c r="AD609" s="344">
        <f t="shared" si="60"/>
        <v>-0.93333333333333002</v>
      </c>
      <c r="AE609" s="344">
        <v>1</v>
      </c>
      <c r="AF609" s="344">
        <v>3</v>
      </c>
      <c r="AG609" s="346">
        <v>1</v>
      </c>
      <c r="AH609" s="346">
        <v>1</v>
      </c>
      <c r="AI609" s="346">
        <v>1</v>
      </c>
      <c r="AJ609" s="346">
        <v>1</v>
      </c>
      <c r="AK609" s="346">
        <v>1</v>
      </c>
      <c r="AL609" s="346">
        <v>1</v>
      </c>
      <c r="AM609" s="346">
        <v>2</v>
      </c>
      <c r="AN609" s="346">
        <v>1</v>
      </c>
      <c r="AO609" s="346">
        <v>1</v>
      </c>
      <c r="AP609" s="346">
        <v>8</v>
      </c>
      <c r="AQ609" s="357">
        <v>1</v>
      </c>
      <c r="AR609" s="357">
        <v>9</v>
      </c>
      <c r="AS609" s="357">
        <v>1</v>
      </c>
      <c r="AT609" s="357">
        <v>1</v>
      </c>
      <c r="AU609" s="357">
        <v>1</v>
      </c>
      <c r="AV609" s="357">
        <v>10</v>
      </c>
      <c r="AW609" s="357">
        <v>2</v>
      </c>
      <c r="AX609" s="357">
        <v>1</v>
      </c>
      <c r="AY609" s="357">
        <v>1</v>
      </c>
      <c r="AZ609" s="357">
        <v>4</v>
      </c>
      <c r="BA609" s="357">
        <v>4</v>
      </c>
      <c r="BB609" s="357">
        <v>1</v>
      </c>
      <c r="BC609" s="357">
        <v>1</v>
      </c>
    </row>
    <row r="610" spans="1:55" s="381" customFormat="1" ht="17.649999999999999" customHeight="1">
      <c r="A610" s="343">
        <v>178</v>
      </c>
      <c r="B610" s="211" t="s">
        <v>2257</v>
      </c>
      <c r="C610" s="211" t="s">
        <v>2055</v>
      </c>
      <c r="D610" s="211" t="s">
        <v>2056</v>
      </c>
      <c r="E610" s="344">
        <v>0</v>
      </c>
      <c r="F610" s="344">
        <v>1.1666666666666701</v>
      </c>
      <c r="G610" s="356">
        <v>1.86666666666667</v>
      </c>
      <c r="H610" s="344">
        <v>1.86666666666667</v>
      </c>
      <c r="I610" s="344">
        <v>1.86666666666667</v>
      </c>
      <c r="J610" s="344">
        <v>1.86666666666667</v>
      </c>
      <c r="K610" s="344">
        <v>0.233333333333333</v>
      </c>
      <c r="L610" s="344">
        <f t="shared" si="59"/>
        <v>0.43555555555555631</v>
      </c>
      <c r="M610" s="344">
        <v>0.233333333333333</v>
      </c>
      <c r="N610" s="344">
        <v>0.233333333333333</v>
      </c>
      <c r="O610" s="344">
        <v>1.4</v>
      </c>
      <c r="P610" s="344">
        <v>2.1</v>
      </c>
      <c r="Q610" s="344">
        <v>4.43333333333333</v>
      </c>
      <c r="R610" s="344">
        <v>4.43333333333333</v>
      </c>
      <c r="S610" s="344">
        <v>6.5333333333333297</v>
      </c>
      <c r="T610" s="344">
        <v>6.7666666666666702</v>
      </c>
      <c r="U610" s="344">
        <v>5.3666666666666698</v>
      </c>
      <c r="V610" s="344">
        <v>5.1333333333333302</v>
      </c>
      <c r="W610" s="344">
        <v>5.1333333333333302</v>
      </c>
      <c r="X610" s="344">
        <v>3.9666666666666699</v>
      </c>
      <c r="Y610" s="344">
        <v>5.1333333333333302</v>
      </c>
      <c r="Z610" s="344">
        <v>4.43333333333333</v>
      </c>
      <c r="AA610" s="344">
        <v>3.2666666666666702</v>
      </c>
      <c r="AB610" s="344">
        <v>3.9666666666666699</v>
      </c>
      <c r="AC610" s="344">
        <v>5.1333333333333302</v>
      </c>
      <c r="AD610" s="344">
        <f t="shared" si="60"/>
        <v>1.1666666666666603</v>
      </c>
      <c r="AE610" s="344">
        <v>1</v>
      </c>
      <c r="AF610" s="344">
        <v>1</v>
      </c>
      <c r="AG610" s="346">
        <v>1</v>
      </c>
      <c r="AH610" s="346">
        <v>1</v>
      </c>
      <c r="AI610" s="346">
        <v>1</v>
      </c>
      <c r="AJ610" s="346">
        <v>1</v>
      </c>
      <c r="AK610" s="346">
        <v>1</v>
      </c>
      <c r="AL610" s="346">
        <v>1</v>
      </c>
      <c r="AM610" s="346">
        <v>1</v>
      </c>
      <c r="AN610" s="346">
        <v>1</v>
      </c>
      <c r="AO610" s="346">
        <v>1</v>
      </c>
      <c r="AP610" s="346">
        <v>1</v>
      </c>
      <c r="AQ610" s="357">
        <v>1</v>
      </c>
      <c r="AR610" s="357">
        <v>1</v>
      </c>
      <c r="AS610" s="357">
        <v>1</v>
      </c>
      <c r="AT610" s="357">
        <v>1</v>
      </c>
      <c r="AU610" s="357">
        <v>1</v>
      </c>
      <c r="AV610" s="357">
        <v>1</v>
      </c>
      <c r="AW610" s="357">
        <v>1</v>
      </c>
      <c r="AX610" s="357">
        <v>1</v>
      </c>
      <c r="AY610" s="357">
        <v>1</v>
      </c>
      <c r="AZ610" s="357">
        <v>1</v>
      </c>
      <c r="BA610" s="357">
        <v>10</v>
      </c>
      <c r="BB610" s="357">
        <v>2</v>
      </c>
      <c r="BC610" s="357">
        <v>1</v>
      </c>
    </row>
    <row r="611" spans="1:55" s="381" customFormat="1" ht="17.649999999999999" customHeight="1">
      <c r="A611" s="343">
        <v>179</v>
      </c>
      <c r="B611" s="211" t="s">
        <v>2258</v>
      </c>
      <c r="C611" s="211" t="s">
        <v>2055</v>
      </c>
      <c r="D611" s="211" t="s">
        <v>2056</v>
      </c>
      <c r="E611" s="344">
        <v>0</v>
      </c>
      <c r="F611" s="344">
        <v>0.233333333333333</v>
      </c>
      <c r="G611" s="356">
        <v>1.4</v>
      </c>
      <c r="H611" s="344">
        <v>1.86666666666667</v>
      </c>
      <c r="I611" s="344">
        <v>3.0333333333333301</v>
      </c>
      <c r="J611" s="344">
        <v>2.56666666666667</v>
      </c>
      <c r="K611" s="344">
        <v>3.0333333333333301</v>
      </c>
      <c r="L611" s="344">
        <f t="shared" si="59"/>
        <v>0.70777777777777695</v>
      </c>
      <c r="M611" s="344">
        <v>4.43333333333333</v>
      </c>
      <c r="N611" s="344">
        <v>9.8000000000000007</v>
      </c>
      <c r="O611" s="344">
        <v>9.8000000000000007</v>
      </c>
      <c r="P611" s="344">
        <v>10.033333333333299</v>
      </c>
      <c r="Q611" s="344">
        <v>11.6666666666667</v>
      </c>
      <c r="R611" s="344">
        <v>10.033333333333299</v>
      </c>
      <c r="S611" s="344">
        <v>6.5333333333333297</v>
      </c>
      <c r="T611" s="344">
        <v>5.6</v>
      </c>
      <c r="U611" s="344">
        <v>4.43333333333333</v>
      </c>
      <c r="V611" s="344">
        <v>4.2</v>
      </c>
      <c r="W611" s="344">
        <v>4.6666666666666696</v>
      </c>
      <c r="X611" s="344">
        <v>4.2</v>
      </c>
      <c r="Y611" s="344">
        <v>4.43333333333333</v>
      </c>
      <c r="Z611" s="344">
        <v>4.43333333333333</v>
      </c>
      <c r="AA611" s="344">
        <v>3.2666666666666702</v>
      </c>
      <c r="AB611" s="344">
        <v>3.2666666666666702</v>
      </c>
      <c r="AC611" s="344">
        <v>6.5333333333333297</v>
      </c>
      <c r="AD611" s="344">
        <f t="shared" si="60"/>
        <v>3.2666666666666595</v>
      </c>
      <c r="AE611" s="344">
        <v>11</v>
      </c>
      <c r="AF611" s="344">
        <v>3</v>
      </c>
      <c r="AG611" s="346">
        <v>1</v>
      </c>
      <c r="AH611" s="346">
        <v>11</v>
      </c>
      <c r="AI611" s="346">
        <v>12</v>
      </c>
      <c r="AJ611" s="346">
        <v>1</v>
      </c>
      <c r="AK611" s="346">
        <v>1</v>
      </c>
      <c r="AL611" s="346">
        <v>1</v>
      </c>
      <c r="AM611" s="346">
        <v>1</v>
      </c>
      <c r="AN611" s="346">
        <v>1</v>
      </c>
      <c r="AO611" s="346">
        <v>1</v>
      </c>
      <c r="AP611" s="346">
        <v>1</v>
      </c>
      <c r="AQ611" s="357">
        <v>1</v>
      </c>
      <c r="AR611" s="357">
        <v>1</v>
      </c>
      <c r="AS611" s="357">
        <v>3</v>
      </c>
      <c r="AT611" s="357">
        <v>1</v>
      </c>
      <c r="AU611" s="357">
        <v>1</v>
      </c>
      <c r="AV611" s="357">
        <v>1</v>
      </c>
      <c r="AW611" s="357">
        <v>1</v>
      </c>
      <c r="AX611" s="357">
        <v>1</v>
      </c>
      <c r="AY611" s="357">
        <v>1</v>
      </c>
      <c r="AZ611" s="357">
        <v>2</v>
      </c>
      <c r="BA611" s="357">
        <v>1</v>
      </c>
      <c r="BB611" s="357">
        <v>1</v>
      </c>
      <c r="BC611" s="357">
        <v>1</v>
      </c>
    </row>
    <row r="612" spans="1:55" s="381" customFormat="1" ht="17.649999999999999" customHeight="1">
      <c r="A612" s="343">
        <v>180</v>
      </c>
      <c r="B612" s="211" t="s">
        <v>2259</v>
      </c>
      <c r="C612" s="211" t="s">
        <v>2055</v>
      </c>
      <c r="D612" s="211" t="s">
        <v>2056</v>
      </c>
      <c r="E612" s="344">
        <v>51</v>
      </c>
      <c r="F612" s="344">
        <v>50.633333333333297</v>
      </c>
      <c r="G612" s="356">
        <v>49.7</v>
      </c>
      <c r="H612" s="344">
        <v>43.633333333333297</v>
      </c>
      <c r="I612" s="344">
        <v>43.866666666666703</v>
      </c>
      <c r="J612" s="344">
        <v>49.466666666666697</v>
      </c>
      <c r="K612" s="344">
        <v>49</v>
      </c>
      <c r="L612" s="344">
        <f t="shared" si="59"/>
        <v>10.235555555555564</v>
      </c>
      <c r="M612" s="344">
        <v>47.133333333333297</v>
      </c>
      <c r="N612" s="344">
        <v>44.566666666666698</v>
      </c>
      <c r="O612" s="344">
        <v>39.6666666666667</v>
      </c>
      <c r="P612" s="344">
        <v>37.3333333333333</v>
      </c>
      <c r="Q612" s="344">
        <v>35.466666666666697</v>
      </c>
      <c r="R612" s="344">
        <v>28.933333333333302</v>
      </c>
      <c r="S612" s="344">
        <v>26.6</v>
      </c>
      <c r="T612" s="344">
        <v>25.2</v>
      </c>
      <c r="U612" s="344">
        <v>21.233333333333299</v>
      </c>
      <c r="V612" s="344">
        <v>21</v>
      </c>
      <c r="W612" s="344">
        <v>20.533333333333299</v>
      </c>
      <c r="X612" s="344">
        <v>18.433333333333302</v>
      </c>
      <c r="Y612" s="344">
        <v>22.1666666666667</v>
      </c>
      <c r="Z612" s="344">
        <v>26.6</v>
      </c>
      <c r="AA612" s="344">
        <v>30.8</v>
      </c>
      <c r="AB612" s="344">
        <v>39.6666666666667</v>
      </c>
      <c r="AC612" s="344">
        <v>54.133333333333297</v>
      </c>
      <c r="AD612" s="344">
        <f t="shared" si="60"/>
        <v>14.466666666666598</v>
      </c>
      <c r="AE612" s="344">
        <v>11</v>
      </c>
      <c r="AF612" s="344">
        <v>3</v>
      </c>
      <c r="AG612" s="346">
        <v>1</v>
      </c>
      <c r="AH612" s="346">
        <v>1</v>
      </c>
      <c r="AI612" s="346">
        <v>1</v>
      </c>
      <c r="AJ612" s="346">
        <v>1</v>
      </c>
      <c r="AK612" s="346">
        <v>1</v>
      </c>
      <c r="AL612" s="346">
        <v>1</v>
      </c>
      <c r="AM612" s="346">
        <v>1</v>
      </c>
      <c r="AN612" s="346">
        <v>1</v>
      </c>
      <c r="AO612" s="346">
        <v>1</v>
      </c>
      <c r="AP612" s="346">
        <v>1</v>
      </c>
      <c r="AQ612" s="357">
        <v>1</v>
      </c>
      <c r="AR612" s="357">
        <v>1</v>
      </c>
      <c r="AS612" s="357">
        <v>10</v>
      </c>
      <c r="AT612" s="357">
        <v>4</v>
      </c>
      <c r="AU612" s="357">
        <v>1</v>
      </c>
      <c r="AV612" s="357">
        <v>1</v>
      </c>
      <c r="AW612" s="357">
        <v>1</v>
      </c>
      <c r="AX612" s="357">
        <v>1</v>
      </c>
      <c r="AY612" s="357">
        <v>1</v>
      </c>
      <c r="AZ612" s="357">
        <v>1</v>
      </c>
      <c r="BA612" s="357">
        <v>1</v>
      </c>
      <c r="BB612" s="357">
        <v>1</v>
      </c>
      <c r="BC612" s="357">
        <v>1</v>
      </c>
    </row>
    <row r="613" spans="1:55" s="381" customFormat="1" ht="17.649999999999999" customHeight="1">
      <c r="A613" s="343">
        <v>181</v>
      </c>
      <c r="B613" s="211" t="s">
        <v>2260</v>
      </c>
      <c r="C613" s="211" t="s">
        <v>2055</v>
      </c>
      <c r="D613" s="211" t="s">
        <v>2056</v>
      </c>
      <c r="E613" s="344">
        <v>0</v>
      </c>
      <c r="F613" s="344">
        <v>1.4</v>
      </c>
      <c r="G613" s="356">
        <v>1.4</v>
      </c>
      <c r="H613" s="344">
        <v>1.1666666666666701</v>
      </c>
      <c r="I613" s="344">
        <v>1.4</v>
      </c>
      <c r="J613" s="344">
        <v>1.4</v>
      </c>
      <c r="K613" s="344">
        <v>0.233333333333333</v>
      </c>
      <c r="L613" s="344">
        <f t="shared" si="59"/>
        <v>0.32666666666666666</v>
      </c>
      <c r="M613" s="344">
        <v>2.3333333333333299</v>
      </c>
      <c r="N613" s="344">
        <v>3.9666666666666699</v>
      </c>
      <c r="O613" s="344">
        <v>5.6</v>
      </c>
      <c r="P613" s="344">
        <v>7</v>
      </c>
      <c r="Q613" s="344">
        <v>8.4</v>
      </c>
      <c r="R613" s="344">
        <v>7.7</v>
      </c>
      <c r="S613" s="344">
        <v>7</v>
      </c>
      <c r="T613" s="344">
        <v>5.6</v>
      </c>
      <c r="U613" s="344">
        <v>4.2</v>
      </c>
      <c r="V613" s="344">
        <v>4.43333333333333</v>
      </c>
      <c r="W613" s="344">
        <v>3.5</v>
      </c>
      <c r="X613" s="344">
        <v>5.3666666666666698</v>
      </c>
      <c r="Y613" s="344">
        <v>5.6</v>
      </c>
      <c r="Z613" s="344">
        <v>5.1333333333333302</v>
      </c>
      <c r="AA613" s="344">
        <v>5.3666666666666698</v>
      </c>
      <c r="AB613" s="344">
        <v>4.6666666666666696</v>
      </c>
      <c r="AC613" s="344">
        <v>4.2</v>
      </c>
      <c r="AD613" s="344">
        <f t="shared" si="60"/>
        <v>-0.46666666666666945</v>
      </c>
      <c r="AE613" s="344">
        <v>1</v>
      </c>
      <c r="AF613" s="344">
        <v>3</v>
      </c>
      <c r="AG613" s="346">
        <v>1</v>
      </c>
      <c r="AH613" s="346">
        <v>12</v>
      </c>
      <c r="AI613" s="346">
        <v>12</v>
      </c>
      <c r="AJ613" s="346">
        <v>12</v>
      </c>
      <c r="AK613" s="346">
        <v>4</v>
      </c>
      <c r="AL613" s="346">
        <v>12</v>
      </c>
      <c r="AM613" s="346">
        <v>1</v>
      </c>
      <c r="AN613" s="346">
        <v>1</v>
      </c>
      <c r="AO613" s="346">
        <v>1</v>
      </c>
      <c r="AP613" s="346">
        <v>1</v>
      </c>
      <c r="AQ613" s="357">
        <v>1</v>
      </c>
      <c r="AR613" s="357">
        <v>1</v>
      </c>
      <c r="AS613" s="357">
        <v>1</v>
      </c>
      <c r="AT613" s="357">
        <v>1</v>
      </c>
      <c r="AU613" s="357">
        <v>10</v>
      </c>
      <c r="AV613" s="357">
        <v>10</v>
      </c>
      <c r="AW613" s="357">
        <v>1</v>
      </c>
      <c r="AX613" s="357">
        <v>1</v>
      </c>
      <c r="AY613" s="357">
        <v>1</v>
      </c>
      <c r="AZ613" s="357">
        <v>2</v>
      </c>
      <c r="BA613" s="357">
        <v>1</v>
      </c>
      <c r="BB613" s="357">
        <v>1</v>
      </c>
      <c r="BC613" s="357">
        <v>1</v>
      </c>
    </row>
    <row r="614" spans="1:55" s="381" customFormat="1" ht="17.649999999999999" customHeight="1">
      <c r="A614" s="343">
        <v>182</v>
      </c>
      <c r="B614" s="211" t="s">
        <v>2261</v>
      </c>
      <c r="C614" s="211" t="s">
        <v>2055</v>
      </c>
      <c r="D614" s="211" t="s">
        <v>2056</v>
      </c>
      <c r="E614" s="344">
        <v>11</v>
      </c>
      <c r="F614" s="344">
        <v>6.3</v>
      </c>
      <c r="G614" s="356">
        <v>3.5</v>
      </c>
      <c r="H614" s="344">
        <v>3.0333333333333301</v>
      </c>
      <c r="I614" s="344">
        <v>4.43333333333333</v>
      </c>
      <c r="J614" s="344">
        <v>4.43333333333333</v>
      </c>
      <c r="K614" s="344">
        <v>4.2</v>
      </c>
      <c r="L614" s="344">
        <f t="shared" si="59"/>
        <v>1.0344444444444436</v>
      </c>
      <c r="M614" s="344">
        <v>5.8333333333333304</v>
      </c>
      <c r="N614" s="344">
        <v>7.7</v>
      </c>
      <c r="O614" s="344">
        <v>8.8666666666666707</v>
      </c>
      <c r="P614" s="344">
        <v>7.4666666666666703</v>
      </c>
      <c r="Q614" s="344">
        <v>7.93333333333333</v>
      </c>
      <c r="R614" s="344">
        <v>6.5333333333333297</v>
      </c>
      <c r="S614" s="344">
        <v>6.3</v>
      </c>
      <c r="T614" s="344">
        <v>7.4666666666666703</v>
      </c>
      <c r="U614" s="344">
        <v>8.8666666666666707</v>
      </c>
      <c r="V614" s="344">
        <v>9.56666666666667</v>
      </c>
      <c r="W614" s="344">
        <v>9.56666666666667</v>
      </c>
      <c r="X614" s="344">
        <v>9.1</v>
      </c>
      <c r="Y614" s="344">
        <v>7</v>
      </c>
      <c r="Z614" s="344">
        <v>3.9666666666666699</v>
      </c>
      <c r="AA614" s="344">
        <v>2.56666666666667</v>
      </c>
      <c r="AB614" s="344">
        <v>4.2</v>
      </c>
      <c r="AC614" s="344">
        <v>3.5</v>
      </c>
      <c r="AD614" s="344">
        <f t="shared" si="60"/>
        <v>-0.70000000000000018</v>
      </c>
      <c r="AE614" s="344">
        <v>1</v>
      </c>
      <c r="AF614" s="344">
        <v>1</v>
      </c>
      <c r="AG614" s="346">
        <v>10</v>
      </c>
      <c r="AH614" s="346">
        <v>1</v>
      </c>
      <c r="AI614" s="346">
        <v>9</v>
      </c>
      <c r="AJ614" s="346">
        <v>1</v>
      </c>
      <c r="AK614" s="346">
        <v>1</v>
      </c>
      <c r="AL614" s="346">
        <v>1</v>
      </c>
      <c r="AM614" s="346">
        <v>1</v>
      </c>
      <c r="AN614" s="346">
        <v>6</v>
      </c>
      <c r="AO614" s="346">
        <v>6</v>
      </c>
      <c r="AP614" s="346">
        <v>1</v>
      </c>
      <c r="AQ614" s="357">
        <v>1</v>
      </c>
      <c r="AR614" s="357">
        <v>1</v>
      </c>
      <c r="AS614" s="357">
        <v>1</v>
      </c>
      <c r="AT614" s="357">
        <v>1</v>
      </c>
      <c r="AU614" s="357">
        <v>1</v>
      </c>
      <c r="AV614" s="357">
        <v>7</v>
      </c>
      <c r="AW614" s="357">
        <v>1</v>
      </c>
      <c r="AX614" s="357">
        <v>8</v>
      </c>
      <c r="AY614" s="357">
        <v>1</v>
      </c>
      <c r="AZ614" s="357">
        <v>9</v>
      </c>
      <c r="BA614" s="357">
        <v>1</v>
      </c>
      <c r="BB614" s="357">
        <v>7</v>
      </c>
      <c r="BC614" s="357">
        <v>1</v>
      </c>
    </row>
    <row r="615" spans="1:55" s="381" customFormat="1" ht="17.649999999999999" customHeight="1">
      <c r="A615" s="343">
        <v>183</v>
      </c>
      <c r="B615" s="211" t="s">
        <v>2262</v>
      </c>
      <c r="C615" s="211" t="s">
        <v>2055</v>
      </c>
      <c r="D615" s="211" t="s">
        <v>2056</v>
      </c>
      <c r="E615" s="344">
        <v>0</v>
      </c>
      <c r="F615" s="344">
        <v>0.233333333333333</v>
      </c>
      <c r="G615" s="356">
        <v>0.233333333333333</v>
      </c>
      <c r="H615" s="344">
        <v>0.233333333333333</v>
      </c>
      <c r="I615" s="344">
        <v>1.86666666666667</v>
      </c>
      <c r="J615" s="344">
        <v>1.86666666666667</v>
      </c>
      <c r="K615" s="344">
        <v>1.4</v>
      </c>
      <c r="L615" s="344">
        <f t="shared" si="59"/>
        <v>0.43555555555555631</v>
      </c>
      <c r="M615" s="344">
        <v>2.56666666666667</v>
      </c>
      <c r="N615" s="344">
        <v>2.56666666666667</v>
      </c>
      <c r="O615" s="344">
        <v>4.2</v>
      </c>
      <c r="P615" s="344">
        <v>3.2666666666666702</v>
      </c>
      <c r="Q615" s="344">
        <v>3.5</v>
      </c>
      <c r="R615" s="344">
        <v>4.6666666666666696</v>
      </c>
      <c r="S615" s="344">
        <v>5.3666666666666698</v>
      </c>
      <c r="T615" s="344">
        <v>6.3</v>
      </c>
      <c r="U615" s="344">
        <v>6.7666666666666702</v>
      </c>
      <c r="V615" s="344">
        <v>7</v>
      </c>
      <c r="W615" s="344">
        <v>7.93333333333333</v>
      </c>
      <c r="X615" s="344">
        <v>8.8666666666666707</v>
      </c>
      <c r="Y615" s="344">
        <v>9.8000000000000007</v>
      </c>
      <c r="Z615" s="344">
        <v>7.93333333333333</v>
      </c>
      <c r="AA615" s="344">
        <v>5.8333333333333304</v>
      </c>
      <c r="AB615" s="344">
        <v>5.1333333333333302</v>
      </c>
      <c r="AC615" s="344">
        <v>4.43333333333333</v>
      </c>
      <c r="AD615" s="344">
        <f t="shared" si="60"/>
        <v>-0.70000000000000018</v>
      </c>
      <c r="AE615" s="344">
        <v>5</v>
      </c>
      <c r="AF615" s="344">
        <v>9</v>
      </c>
      <c r="AG615" s="346">
        <v>1</v>
      </c>
      <c r="AH615" s="346">
        <v>7</v>
      </c>
      <c r="AI615" s="346">
        <v>7</v>
      </c>
      <c r="AJ615" s="346">
        <v>1</v>
      </c>
      <c r="AK615" s="346">
        <v>9</v>
      </c>
      <c r="AL615" s="346">
        <v>1</v>
      </c>
      <c r="AM615" s="346">
        <v>3</v>
      </c>
      <c r="AN615" s="346">
        <v>5</v>
      </c>
      <c r="AO615" s="346">
        <v>5</v>
      </c>
      <c r="AP615" s="346">
        <v>5</v>
      </c>
      <c r="AQ615" s="357">
        <v>5</v>
      </c>
      <c r="AR615" s="357">
        <v>5</v>
      </c>
      <c r="AS615" s="357">
        <v>4</v>
      </c>
      <c r="AT615" s="357">
        <v>6</v>
      </c>
      <c r="AU615" s="357">
        <v>5</v>
      </c>
      <c r="AV615" s="357">
        <v>4</v>
      </c>
      <c r="AW615" s="357">
        <v>3</v>
      </c>
      <c r="AX615" s="357">
        <v>1</v>
      </c>
      <c r="AY615" s="357">
        <v>5</v>
      </c>
      <c r="AZ615" s="357">
        <v>1</v>
      </c>
      <c r="BA615" s="357">
        <v>5</v>
      </c>
      <c r="BB615" s="357">
        <v>5</v>
      </c>
      <c r="BC615" s="357">
        <v>1</v>
      </c>
    </row>
    <row r="616" spans="1:55" s="381" customFormat="1" ht="17.649999999999999" customHeight="1">
      <c r="A616" s="343">
        <v>184</v>
      </c>
      <c r="B616" s="211" t="s">
        <v>2263</v>
      </c>
      <c r="C616" s="211" t="s">
        <v>2055</v>
      </c>
      <c r="D616" s="211" t="s">
        <v>2056</v>
      </c>
      <c r="E616" s="344">
        <v>0</v>
      </c>
      <c r="F616" s="344">
        <v>0.233333333333333</v>
      </c>
      <c r="G616" s="356">
        <v>0.233333333333333</v>
      </c>
      <c r="H616" s="344">
        <v>0.233333333333333</v>
      </c>
      <c r="I616" s="344">
        <v>0.233333333333333</v>
      </c>
      <c r="J616" s="344">
        <v>0.233333333333333</v>
      </c>
      <c r="K616" s="344">
        <v>0.233333333333333</v>
      </c>
      <c r="L616" s="344">
        <f t="shared" si="59"/>
        <v>5.4444444444444372E-2</v>
      </c>
      <c r="M616" s="344">
        <v>4.43333333333333</v>
      </c>
      <c r="N616" s="344">
        <v>5.8333333333333304</v>
      </c>
      <c r="O616" s="344">
        <v>6.5333333333333297</v>
      </c>
      <c r="P616" s="344">
        <v>6.3</v>
      </c>
      <c r="Q616" s="344">
        <v>5.6</v>
      </c>
      <c r="R616" s="344">
        <v>5.6</v>
      </c>
      <c r="S616" s="344">
        <v>9.1</v>
      </c>
      <c r="T616" s="344">
        <v>8.6333333333333293</v>
      </c>
      <c r="U616" s="344">
        <v>8.8666666666666707</v>
      </c>
      <c r="V616" s="344">
        <v>8.6333333333333293</v>
      </c>
      <c r="W616" s="344">
        <v>5.8333333333333304</v>
      </c>
      <c r="X616" s="344">
        <v>5.6</v>
      </c>
      <c r="Y616" s="344">
        <v>6.7666666666666702</v>
      </c>
      <c r="Z616" s="344">
        <v>6.3</v>
      </c>
      <c r="AA616" s="344">
        <v>7</v>
      </c>
      <c r="AB616" s="344">
        <v>7.4666666666666703</v>
      </c>
      <c r="AC616" s="344">
        <v>7.4666666666666703</v>
      </c>
      <c r="AD616" s="344">
        <f t="shared" si="60"/>
        <v>0</v>
      </c>
      <c r="AE616" s="344">
        <v>10</v>
      </c>
      <c r="AF616" s="344">
        <v>3</v>
      </c>
      <c r="AG616" s="346">
        <v>1</v>
      </c>
      <c r="AH616" s="346">
        <v>1</v>
      </c>
      <c r="AI616" s="346">
        <v>5</v>
      </c>
      <c r="AJ616" s="346">
        <v>7</v>
      </c>
      <c r="AK616" s="346">
        <v>6</v>
      </c>
      <c r="AL616" s="346">
        <v>7</v>
      </c>
      <c r="AM616" s="346">
        <v>1</v>
      </c>
      <c r="AN616" s="346">
        <v>9</v>
      </c>
      <c r="AO616" s="346">
        <v>9</v>
      </c>
      <c r="AP616" s="346">
        <v>1</v>
      </c>
      <c r="AQ616" s="357">
        <v>1</v>
      </c>
      <c r="AR616" s="357">
        <v>1</v>
      </c>
      <c r="AS616" s="357">
        <v>1</v>
      </c>
      <c r="AT616" s="357">
        <v>2</v>
      </c>
      <c r="AU616" s="357">
        <v>1</v>
      </c>
      <c r="AV616" s="357">
        <v>1</v>
      </c>
      <c r="AW616" s="357">
        <v>3</v>
      </c>
      <c r="AX616" s="357">
        <v>1</v>
      </c>
      <c r="AY616" s="357">
        <v>1</v>
      </c>
      <c r="AZ616" s="357">
        <v>7</v>
      </c>
      <c r="BA616" s="357">
        <v>1</v>
      </c>
      <c r="BB616" s="357">
        <v>8</v>
      </c>
      <c r="BC616" s="357">
        <v>1</v>
      </c>
    </row>
    <row r="617" spans="1:55" s="381" customFormat="1" ht="17.649999999999999" customHeight="1">
      <c r="A617" s="343">
        <v>185</v>
      </c>
      <c r="B617" s="211" t="s">
        <v>2264</v>
      </c>
      <c r="C617" s="211" t="s">
        <v>2055</v>
      </c>
      <c r="D617" s="211" t="s">
        <v>2056</v>
      </c>
      <c r="E617" s="344">
        <v>0</v>
      </c>
      <c r="F617" s="344">
        <v>1.1666666666666701</v>
      </c>
      <c r="G617" s="356">
        <v>1.86666666666667</v>
      </c>
      <c r="H617" s="344">
        <v>1.1666666666666701</v>
      </c>
      <c r="I617" s="344">
        <v>2.3333333333333299</v>
      </c>
      <c r="J617" s="344">
        <v>2.3333333333333299</v>
      </c>
      <c r="K617" s="344">
        <v>1.86666666666667</v>
      </c>
      <c r="L617" s="344">
        <f t="shared" si="59"/>
        <v>0.54444444444444362</v>
      </c>
      <c r="M617" s="344">
        <v>2.3333333333333299</v>
      </c>
      <c r="N617" s="344">
        <v>3.5</v>
      </c>
      <c r="O617" s="344">
        <v>5.6</v>
      </c>
      <c r="P617" s="344">
        <v>7.93333333333333</v>
      </c>
      <c r="Q617" s="344">
        <v>7.4666666666666703</v>
      </c>
      <c r="R617" s="344">
        <v>8.8666666666666707</v>
      </c>
      <c r="S617" s="344">
        <v>8.8666666666666707</v>
      </c>
      <c r="T617" s="344">
        <v>8.8666666666666707</v>
      </c>
      <c r="U617" s="344">
        <v>7.7</v>
      </c>
      <c r="V617" s="344">
        <v>7.7</v>
      </c>
      <c r="W617" s="344">
        <v>6.5333333333333297</v>
      </c>
      <c r="X617" s="344">
        <v>5.3666666666666698</v>
      </c>
      <c r="Y617" s="344">
        <v>4.6666666666666696</v>
      </c>
      <c r="Z617" s="344">
        <v>5.1333333333333302</v>
      </c>
      <c r="AA617" s="344">
        <v>4.6666666666666696</v>
      </c>
      <c r="AB617" s="344">
        <v>5.6</v>
      </c>
      <c r="AC617" s="344">
        <v>5.8333333333333304</v>
      </c>
      <c r="AD617" s="344">
        <f t="shared" si="60"/>
        <v>0.23333333333333073</v>
      </c>
      <c r="AE617" s="344">
        <v>1</v>
      </c>
      <c r="AF617" s="344">
        <v>3</v>
      </c>
      <c r="AG617" s="346">
        <v>1</v>
      </c>
      <c r="AH617" s="346">
        <v>1</v>
      </c>
      <c r="AI617" s="346">
        <v>1</v>
      </c>
      <c r="AJ617" s="346">
        <v>1</v>
      </c>
      <c r="AK617" s="346">
        <v>1</v>
      </c>
      <c r="AL617" s="346">
        <v>1</v>
      </c>
      <c r="AM617" s="346">
        <v>1</v>
      </c>
      <c r="AN617" s="346">
        <v>4</v>
      </c>
      <c r="AO617" s="346">
        <v>4</v>
      </c>
      <c r="AP617" s="346">
        <v>1</v>
      </c>
      <c r="AQ617" s="357">
        <v>12</v>
      </c>
      <c r="AR617" s="357">
        <v>1</v>
      </c>
      <c r="AS617" s="357">
        <v>1</v>
      </c>
      <c r="AT617" s="357">
        <v>1</v>
      </c>
      <c r="AU617" s="357">
        <v>5</v>
      </c>
      <c r="AV617" s="357">
        <v>1</v>
      </c>
      <c r="AW617" s="357">
        <v>1</v>
      </c>
      <c r="AX617" s="357">
        <v>1</v>
      </c>
      <c r="AY617" s="357">
        <v>1</v>
      </c>
      <c r="AZ617" s="357">
        <v>1</v>
      </c>
      <c r="BA617" s="357">
        <v>1</v>
      </c>
      <c r="BB617" s="357">
        <v>1</v>
      </c>
      <c r="BC617" s="357">
        <v>1</v>
      </c>
    </row>
    <row r="618" spans="1:55" s="381" customFormat="1" ht="17.649999999999999" customHeight="1">
      <c r="A618" s="343">
        <v>186</v>
      </c>
      <c r="B618" s="211" t="s">
        <v>2265</v>
      </c>
      <c r="C618" s="211" t="s">
        <v>2055</v>
      </c>
      <c r="D618" s="211" t="s">
        <v>2056</v>
      </c>
      <c r="E618" s="344">
        <v>5</v>
      </c>
      <c r="F618" s="344">
        <v>5.8333333333333304</v>
      </c>
      <c r="G618" s="356">
        <v>6.3</v>
      </c>
      <c r="H618" s="344">
        <v>5.8333333333333304</v>
      </c>
      <c r="I618" s="344">
        <v>6.3</v>
      </c>
      <c r="J618" s="344">
        <v>6.5333333333333297</v>
      </c>
      <c r="K618" s="344">
        <v>5.8333333333333304</v>
      </c>
      <c r="L618" s="344">
        <f t="shared" si="59"/>
        <v>1.47</v>
      </c>
      <c r="M618" s="344">
        <v>5.1333333333333302</v>
      </c>
      <c r="N618" s="344">
        <v>5.6</v>
      </c>
      <c r="O618" s="344">
        <v>4.6666666666666696</v>
      </c>
      <c r="P618" s="344">
        <v>4.6666666666666696</v>
      </c>
      <c r="Q618" s="344">
        <v>8.4</v>
      </c>
      <c r="R618" s="344">
        <v>8.8666666666666707</v>
      </c>
      <c r="S618" s="344">
        <v>13.0666666666667</v>
      </c>
      <c r="T618" s="344">
        <v>12.366666666666699</v>
      </c>
      <c r="U618" s="344">
        <v>9.56666666666667</v>
      </c>
      <c r="V618" s="344">
        <v>10.733333333333301</v>
      </c>
      <c r="W618" s="344">
        <v>7.7</v>
      </c>
      <c r="X618" s="344">
        <v>7.93333333333333</v>
      </c>
      <c r="Y618" s="344">
        <v>6.7666666666666702</v>
      </c>
      <c r="Z618" s="344">
        <v>7.93333333333333</v>
      </c>
      <c r="AA618" s="344">
        <v>7</v>
      </c>
      <c r="AB618" s="344">
        <v>5.1333333333333302</v>
      </c>
      <c r="AC618" s="344">
        <v>5.8333333333333304</v>
      </c>
      <c r="AD618" s="344">
        <f t="shared" si="60"/>
        <v>0.70000000000000018</v>
      </c>
      <c r="AE618" s="344">
        <v>1</v>
      </c>
      <c r="AF618" s="344">
        <v>7</v>
      </c>
      <c r="AG618" s="346">
        <v>1</v>
      </c>
      <c r="AH618" s="346">
        <v>9</v>
      </c>
      <c r="AI618" s="346">
        <v>9</v>
      </c>
      <c r="AJ618" s="346">
        <v>6</v>
      </c>
      <c r="AK618" s="346">
        <v>1</v>
      </c>
      <c r="AL618" s="346">
        <v>6</v>
      </c>
      <c r="AM618" s="346">
        <v>8</v>
      </c>
      <c r="AN618" s="346">
        <v>1</v>
      </c>
      <c r="AO618" s="346">
        <v>1</v>
      </c>
      <c r="AP618" s="346">
        <v>9</v>
      </c>
      <c r="AQ618" s="357">
        <v>1</v>
      </c>
      <c r="AR618" s="357">
        <v>1</v>
      </c>
      <c r="AS618" s="357">
        <v>10</v>
      </c>
      <c r="AT618" s="357">
        <v>1</v>
      </c>
      <c r="AU618" s="357">
        <v>9</v>
      </c>
      <c r="AV618" s="357">
        <v>1</v>
      </c>
      <c r="AW618" s="357">
        <v>1</v>
      </c>
      <c r="AX618" s="357">
        <v>8</v>
      </c>
      <c r="AY618" s="357">
        <v>1</v>
      </c>
      <c r="AZ618" s="357">
        <v>9</v>
      </c>
      <c r="BA618" s="357">
        <v>1</v>
      </c>
      <c r="BB618" s="357">
        <v>1</v>
      </c>
      <c r="BC618" s="357">
        <v>1</v>
      </c>
    </row>
    <row r="619" spans="1:55" s="381" customFormat="1" ht="17.649999999999999" customHeight="1">
      <c r="A619" s="343">
        <v>187</v>
      </c>
      <c r="B619" s="211" t="s">
        <v>2266</v>
      </c>
      <c r="C619" s="211" t="s">
        <v>2055</v>
      </c>
      <c r="D619" s="211" t="s">
        <v>2056</v>
      </c>
      <c r="E619" s="344">
        <v>12</v>
      </c>
      <c r="F619" s="344">
        <v>10.266666666666699</v>
      </c>
      <c r="G619" s="356">
        <v>7.93333333333333</v>
      </c>
      <c r="H619" s="344">
        <v>6.5333333333333297</v>
      </c>
      <c r="I619" s="344">
        <v>10.033333333333299</v>
      </c>
      <c r="J619" s="344">
        <v>11.2</v>
      </c>
      <c r="K619" s="344">
        <v>12.133333333333301</v>
      </c>
      <c r="L619" s="344">
        <f t="shared" si="59"/>
        <v>2.3411111111111031</v>
      </c>
      <c r="M619" s="344">
        <v>8.4</v>
      </c>
      <c r="N619" s="344">
        <v>7.93333333333333</v>
      </c>
      <c r="O619" s="344">
        <v>6.5333333333333297</v>
      </c>
      <c r="P619" s="344">
        <v>6.3</v>
      </c>
      <c r="Q619" s="344">
        <v>6.3</v>
      </c>
      <c r="R619" s="344">
        <v>7</v>
      </c>
      <c r="S619" s="344">
        <v>5.8333333333333304</v>
      </c>
      <c r="T619" s="344">
        <v>6.5333333333333297</v>
      </c>
      <c r="U619" s="344">
        <v>6.3</v>
      </c>
      <c r="V619" s="344">
        <v>6.7666666666666702</v>
      </c>
      <c r="W619" s="344">
        <v>6.5333333333333297</v>
      </c>
      <c r="X619" s="344">
        <v>5.8333333333333304</v>
      </c>
      <c r="Y619" s="344">
        <v>4.6666666666666696</v>
      </c>
      <c r="Z619" s="344">
        <v>4.43333333333333</v>
      </c>
      <c r="AA619" s="344">
        <v>4.6666666666666696</v>
      </c>
      <c r="AB619" s="344">
        <v>5.3666666666666698</v>
      </c>
      <c r="AC619" s="344">
        <v>5.3666666666666698</v>
      </c>
      <c r="AD619" s="344">
        <f t="shared" si="60"/>
        <v>0</v>
      </c>
      <c r="AE619" s="344">
        <v>1</v>
      </c>
      <c r="AF619" s="344">
        <v>3</v>
      </c>
      <c r="AG619" s="346">
        <v>11</v>
      </c>
      <c r="AH619" s="346">
        <v>1</v>
      </c>
      <c r="AI619" s="346">
        <v>1</v>
      </c>
      <c r="AJ619" s="346">
        <v>1</v>
      </c>
      <c r="AK619" s="346">
        <v>1</v>
      </c>
      <c r="AL619" s="346">
        <v>1</v>
      </c>
      <c r="AM619" s="346">
        <v>1</v>
      </c>
      <c r="AN619" s="346">
        <v>1</v>
      </c>
      <c r="AO619" s="346">
        <v>1</v>
      </c>
      <c r="AP619" s="211">
        <v>1</v>
      </c>
      <c r="AQ619" s="357">
        <v>1</v>
      </c>
      <c r="AR619" s="357">
        <v>1</v>
      </c>
      <c r="AS619" s="357">
        <v>12</v>
      </c>
      <c r="AT619" s="357">
        <v>1</v>
      </c>
      <c r="AU619" s="211">
        <v>1</v>
      </c>
      <c r="AV619" s="357">
        <v>1</v>
      </c>
      <c r="AW619" s="357">
        <v>1</v>
      </c>
      <c r="AX619" s="357">
        <v>1</v>
      </c>
      <c r="AY619" s="357">
        <v>1</v>
      </c>
      <c r="AZ619" s="357">
        <v>1</v>
      </c>
      <c r="BA619" s="357">
        <v>1</v>
      </c>
      <c r="BB619" s="357">
        <v>1</v>
      </c>
      <c r="BC619" s="357">
        <v>1</v>
      </c>
    </row>
    <row r="620" spans="1:55" s="381" customFormat="1" ht="17.649999999999999" customHeight="1">
      <c r="A620" s="343">
        <v>188</v>
      </c>
      <c r="B620" s="211" t="s">
        <v>2267</v>
      </c>
      <c r="C620" s="211" t="s">
        <v>2055</v>
      </c>
      <c r="D620" s="211" t="s">
        <v>2056</v>
      </c>
      <c r="E620" s="344">
        <v>0</v>
      </c>
      <c r="F620" s="344">
        <v>0.233333333333333</v>
      </c>
      <c r="G620" s="356">
        <v>0.233333333333333</v>
      </c>
      <c r="H620" s="344">
        <v>0.233333333333333</v>
      </c>
      <c r="I620" s="344">
        <v>2.1</v>
      </c>
      <c r="J620" s="344">
        <v>2.1</v>
      </c>
      <c r="K620" s="344">
        <v>2.1</v>
      </c>
      <c r="L620" s="344">
        <f t="shared" si="59"/>
        <v>0.49000000000000005</v>
      </c>
      <c r="M620" s="344">
        <v>3.5</v>
      </c>
      <c r="N620" s="344">
        <v>3.9666666666666699</v>
      </c>
      <c r="O620" s="344">
        <v>5.6</v>
      </c>
      <c r="P620" s="344">
        <v>7</v>
      </c>
      <c r="Q620" s="344">
        <v>4.6666666666666696</v>
      </c>
      <c r="R620" s="344">
        <v>4.43333333333333</v>
      </c>
      <c r="S620" s="344">
        <v>3.0333333333333301</v>
      </c>
      <c r="T620" s="344">
        <v>2.3333333333333299</v>
      </c>
      <c r="U620" s="344">
        <v>2.1</v>
      </c>
      <c r="V620" s="344">
        <v>2.1</v>
      </c>
      <c r="W620" s="344">
        <v>3.5</v>
      </c>
      <c r="X620" s="344">
        <v>4.6666666666666696</v>
      </c>
      <c r="Y620" s="344">
        <v>5.3666666666666698</v>
      </c>
      <c r="Z620" s="344">
        <v>7.4666666666666703</v>
      </c>
      <c r="AA620" s="344">
        <v>6.7666666666666702</v>
      </c>
      <c r="AB620" s="344">
        <v>5.3666666666666698</v>
      </c>
      <c r="AC620" s="344">
        <v>5.6</v>
      </c>
      <c r="AD620" s="344">
        <f t="shared" si="60"/>
        <v>0.23333333333332984</v>
      </c>
      <c r="AE620" s="344">
        <v>1</v>
      </c>
      <c r="AF620" s="344">
        <v>1</v>
      </c>
      <c r="AG620" s="346">
        <v>1</v>
      </c>
      <c r="AH620" s="346">
        <v>1</v>
      </c>
      <c r="AI620" s="346">
        <v>1</v>
      </c>
      <c r="AJ620" s="346">
        <v>9</v>
      </c>
      <c r="AK620" s="346">
        <v>1</v>
      </c>
      <c r="AL620" s="346">
        <v>9</v>
      </c>
      <c r="AM620" s="346">
        <v>1</v>
      </c>
      <c r="AN620" s="346">
        <v>1</v>
      </c>
      <c r="AO620" s="346">
        <v>1</v>
      </c>
      <c r="AP620" s="346">
        <v>5</v>
      </c>
      <c r="AQ620" s="357">
        <v>1</v>
      </c>
      <c r="AR620" s="357">
        <v>1</v>
      </c>
      <c r="AS620" s="357">
        <v>1</v>
      </c>
      <c r="AT620" s="357">
        <v>1</v>
      </c>
      <c r="AU620" s="357">
        <v>2</v>
      </c>
      <c r="AV620" s="357">
        <v>1</v>
      </c>
      <c r="AW620" s="357">
        <v>1</v>
      </c>
      <c r="AX620" s="357">
        <v>1</v>
      </c>
      <c r="AY620" s="357">
        <v>1</v>
      </c>
      <c r="AZ620" s="357">
        <v>1</v>
      </c>
      <c r="BA620" s="357">
        <v>1</v>
      </c>
      <c r="BB620" s="357">
        <v>4</v>
      </c>
      <c r="BC620" s="357">
        <v>5</v>
      </c>
    </row>
    <row r="621" spans="1:55" s="381" customFormat="1" ht="17.649999999999999" customHeight="1">
      <c r="A621" s="343">
        <v>189</v>
      </c>
      <c r="B621" s="211" t="s">
        <v>2268</v>
      </c>
      <c r="C621" s="211" t="s">
        <v>2055</v>
      </c>
      <c r="D621" s="211" t="s">
        <v>2056</v>
      </c>
      <c r="E621" s="344">
        <v>0</v>
      </c>
      <c r="F621" s="344">
        <v>0.233333333333333</v>
      </c>
      <c r="G621" s="356">
        <v>0.233333333333333</v>
      </c>
      <c r="H621" s="344">
        <v>0.233333333333333</v>
      </c>
      <c r="I621" s="344">
        <v>0.233333333333333</v>
      </c>
      <c r="J621" s="344">
        <v>1.1666666666666701</v>
      </c>
      <c r="K621" s="344">
        <v>1.1666666666666701</v>
      </c>
      <c r="L621" s="344">
        <f t="shared" si="59"/>
        <v>5.4444444444444372E-2</v>
      </c>
      <c r="M621" s="344">
        <v>2.56666666666667</v>
      </c>
      <c r="N621" s="344">
        <v>2.56666666666667</v>
      </c>
      <c r="O621" s="344">
        <v>3.0333333333333301</v>
      </c>
      <c r="P621" s="344">
        <v>2.56666666666667</v>
      </c>
      <c r="Q621" s="344">
        <v>3.9666666666666699</v>
      </c>
      <c r="R621" s="344">
        <v>5.3666666666666698</v>
      </c>
      <c r="S621" s="344">
        <v>5.6</v>
      </c>
      <c r="T621" s="344">
        <v>5.8333333333333304</v>
      </c>
      <c r="U621" s="344">
        <v>6.5333333333333297</v>
      </c>
      <c r="V621" s="344">
        <v>5.3666666666666698</v>
      </c>
      <c r="W621" s="344">
        <v>6.7666666666666702</v>
      </c>
      <c r="X621" s="344">
        <v>6.5333333333333297</v>
      </c>
      <c r="Y621" s="344">
        <v>6.3</v>
      </c>
      <c r="Z621" s="344">
        <v>3.2666666666666702</v>
      </c>
      <c r="AA621" s="344">
        <v>1.1666666666666701</v>
      </c>
      <c r="AB621" s="344">
        <v>1.4</v>
      </c>
      <c r="AC621" s="344">
        <v>3.5</v>
      </c>
      <c r="AD621" s="344">
        <f t="shared" si="60"/>
        <v>2.1</v>
      </c>
      <c r="AE621" s="344">
        <v>1</v>
      </c>
      <c r="AF621" s="344">
        <v>3</v>
      </c>
      <c r="AG621" s="346">
        <v>1</v>
      </c>
      <c r="AH621" s="346">
        <v>1</v>
      </c>
      <c r="AI621" s="346">
        <v>7</v>
      </c>
      <c r="AJ621" s="346">
        <v>8</v>
      </c>
      <c r="AK621" s="346">
        <v>9</v>
      </c>
      <c r="AL621" s="346">
        <v>8</v>
      </c>
      <c r="AM621" s="346">
        <v>1</v>
      </c>
      <c r="AN621" s="346">
        <v>1</v>
      </c>
      <c r="AO621" s="346">
        <v>1</v>
      </c>
      <c r="AP621" s="346">
        <v>1</v>
      </c>
      <c r="AQ621" s="357">
        <v>1</v>
      </c>
      <c r="AR621" s="357">
        <v>1</v>
      </c>
      <c r="AS621" s="357">
        <v>1</v>
      </c>
      <c r="AT621" s="357">
        <v>11</v>
      </c>
      <c r="AU621" s="357">
        <v>10</v>
      </c>
      <c r="AV621" s="357">
        <v>1</v>
      </c>
      <c r="AW621" s="357">
        <v>1</v>
      </c>
      <c r="AX621" s="357">
        <v>1</v>
      </c>
      <c r="AY621" s="357">
        <v>1</v>
      </c>
      <c r="AZ621" s="357">
        <v>5</v>
      </c>
      <c r="BA621" s="357">
        <v>1</v>
      </c>
      <c r="BB621" s="357">
        <v>1</v>
      </c>
      <c r="BC621" s="357">
        <v>6</v>
      </c>
    </row>
    <row r="622" spans="1:55" s="381" customFormat="1" ht="17.649999999999999" customHeight="1">
      <c r="A622" s="343">
        <v>190</v>
      </c>
      <c r="B622" s="211" t="s">
        <v>2269</v>
      </c>
      <c r="C622" s="211" t="s">
        <v>2055</v>
      </c>
      <c r="D622" s="211" t="s">
        <v>2056</v>
      </c>
      <c r="E622" s="344">
        <v>0</v>
      </c>
      <c r="F622" s="344">
        <v>1.86666666666667</v>
      </c>
      <c r="G622" s="356">
        <v>2.3333333333333299</v>
      </c>
      <c r="H622" s="344">
        <v>1.4</v>
      </c>
      <c r="I622" s="344">
        <v>2.56666666666667</v>
      </c>
      <c r="J622" s="344">
        <v>4.43333333333333</v>
      </c>
      <c r="K622" s="344">
        <v>5.3666666666666698</v>
      </c>
      <c r="L622" s="344">
        <f t="shared" si="59"/>
        <v>0.59888888888888969</v>
      </c>
      <c r="M622" s="344">
        <v>5.6</v>
      </c>
      <c r="N622" s="344">
        <v>4.6666666666666696</v>
      </c>
      <c r="O622" s="344">
        <v>3.5</v>
      </c>
      <c r="P622" s="344">
        <v>5.3666666666666698</v>
      </c>
      <c r="Q622" s="344">
        <v>6.5333333333333297</v>
      </c>
      <c r="R622" s="344">
        <v>6.7666666666666702</v>
      </c>
      <c r="S622" s="344">
        <v>8.6333333333333293</v>
      </c>
      <c r="T622" s="344">
        <v>7.7</v>
      </c>
      <c r="U622" s="344">
        <v>8.8666666666666707</v>
      </c>
      <c r="V622" s="344">
        <v>6.5333333333333297</v>
      </c>
      <c r="W622" s="344">
        <v>5.1333333333333302</v>
      </c>
      <c r="X622" s="344">
        <v>5.3666666666666698</v>
      </c>
      <c r="Y622" s="344">
        <v>5.6</v>
      </c>
      <c r="Z622" s="344">
        <v>9.56666666666667</v>
      </c>
      <c r="AA622" s="344">
        <v>9.1</v>
      </c>
      <c r="AB622" s="344">
        <v>9.56666666666667</v>
      </c>
      <c r="AC622" s="344">
        <v>9.8000000000000007</v>
      </c>
      <c r="AD622" s="344">
        <f t="shared" si="60"/>
        <v>0.23333333333333073</v>
      </c>
      <c r="AE622" s="344">
        <v>3</v>
      </c>
      <c r="AF622" s="344">
        <v>8</v>
      </c>
      <c r="AG622" s="346">
        <v>3</v>
      </c>
      <c r="AH622" s="346">
        <v>3</v>
      </c>
      <c r="AI622" s="346">
        <v>2</v>
      </c>
      <c r="AJ622" s="346">
        <v>2</v>
      </c>
      <c r="AK622" s="346">
        <v>3</v>
      </c>
      <c r="AL622" s="346">
        <v>2</v>
      </c>
      <c r="AM622" s="346">
        <v>2</v>
      </c>
      <c r="AN622" s="346">
        <v>3</v>
      </c>
      <c r="AO622" s="346">
        <v>3</v>
      </c>
      <c r="AP622" s="357">
        <v>3</v>
      </c>
      <c r="AQ622" s="357">
        <v>14</v>
      </c>
      <c r="AR622" s="357">
        <v>3</v>
      </c>
      <c r="AS622" s="357">
        <v>3</v>
      </c>
      <c r="AT622" s="357">
        <v>3</v>
      </c>
      <c r="AU622" s="357">
        <v>3</v>
      </c>
      <c r="AV622" s="357">
        <v>2</v>
      </c>
      <c r="AW622" s="357">
        <v>2</v>
      </c>
      <c r="AX622" s="357">
        <v>11</v>
      </c>
      <c r="AY622" s="357">
        <v>3</v>
      </c>
      <c r="AZ622" s="357">
        <v>3</v>
      </c>
      <c r="BA622" s="357">
        <v>2</v>
      </c>
      <c r="BB622" s="357">
        <v>2</v>
      </c>
      <c r="BC622" s="357">
        <v>3</v>
      </c>
    </row>
    <row r="623" spans="1:55" s="381" customFormat="1" ht="17.649999999999999" customHeight="1">
      <c r="A623" s="343">
        <v>191</v>
      </c>
      <c r="B623" s="211" t="s">
        <v>2270</v>
      </c>
      <c r="C623" s="211" t="s">
        <v>2055</v>
      </c>
      <c r="D623" s="211" t="s">
        <v>2056</v>
      </c>
      <c r="E623" s="344">
        <v>0</v>
      </c>
      <c r="F623" s="344">
        <v>1.1666666666666701</v>
      </c>
      <c r="G623" s="356">
        <v>1.86666666666667</v>
      </c>
      <c r="H623" s="344">
        <v>1.86666666666667</v>
      </c>
      <c r="I623" s="344">
        <v>2.3333333333333299</v>
      </c>
      <c r="J623" s="344">
        <v>2.3333333333333299</v>
      </c>
      <c r="K623" s="344">
        <v>1.86666666666667</v>
      </c>
      <c r="L623" s="344">
        <f t="shared" si="59"/>
        <v>0.54444444444444362</v>
      </c>
      <c r="M623" s="344">
        <v>3.0333333333333301</v>
      </c>
      <c r="N623" s="344">
        <v>3.0333333333333301</v>
      </c>
      <c r="O623" s="344">
        <v>3.9666666666666699</v>
      </c>
      <c r="P623" s="344">
        <v>4.6666666666666696</v>
      </c>
      <c r="Q623" s="344">
        <v>3.5</v>
      </c>
      <c r="R623" s="344">
        <v>4.2</v>
      </c>
      <c r="S623" s="344">
        <v>3.9666666666666699</v>
      </c>
      <c r="T623" s="344">
        <v>3.5</v>
      </c>
      <c r="U623" s="344">
        <v>4.43333333333333</v>
      </c>
      <c r="V623" s="344">
        <v>5.3666666666666698</v>
      </c>
      <c r="W623" s="344">
        <v>5.6</v>
      </c>
      <c r="X623" s="344">
        <v>5.6</v>
      </c>
      <c r="Y623" s="344">
        <v>4.43333333333333</v>
      </c>
      <c r="Z623" s="344">
        <v>6.3</v>
      </c>
      <c r="AA623" s="344">
        <v>5.3666666666666698</v>
      </c>
      <c r="AB623" s="344">
        <v>4.43333333333333</v>
      </c>
      <c r="AC623" s="344">
        <v>5.1333333333333302</v>
      </c>
      <c r="AD623" s="344">
        <f t="shared" si="60"/>
        <v>0.70000000000000018</v>
      </c>
      <c r="AE623" s="344">
        <v>1</v>
      </c>
      <c r="AF623" s="344">
        <v>1</v>
      </c>
      <c r="AG623" s="346">
        <v>1</v>
      </c>
      <c r="AH623" s="346">
        <v>1</v>
      </c>
      <c r="AI623" s="346">
        <v>2</v>
      </c>
      <c r="AJ623" s="346">
        <v>8</v>
      </c>
      <c r="AK623" s="346">
        <v>2</v>
      </c>
      <c r="AL623" s="346">
        <v>8</v>
      </c>
      <c r="AM623" s="346">
        <v>5</v>
      </c>
      <c r="AN623" s="346">
        <v>1</v>
      </c>
      <c r="AO623" s="346">
        <v>1</v>
      </c>
      <c r="AP623" s="346">
        <v>1</v>
      </c>
      <c r="AQ623" s="357">
        <v>6</v>
      </c>
      <c r="AR623" s="357">
        <v>1</v>
      </c>
      <c r="AS623" s="357">
        <v>1</v>
      </c>
      <c r="AT623" s="357">
        <v>1</v>
      </c>
      <c r="AU623" s="357">
        <v>10</v>
      </c>
      <c r="AV623" s="357">
        <v>1</v>
      </c>
      <c r="AW623" s="357">
        <v>10</v>
      </c>
      <c r="AX623" s="357">
        <v>1</v>
      </c>
      <c r="AY623" s="357">
        <v>1</v>
      </c>
      <c r="AZ623" s="357">
        <v>1</v>
      </c>
      <c r="BA623" s="357">
        <v>1</v>
      </c>
      <c r="BB623" s="357">
        <v>1</v>
      </c>
      <c r="BC623" s="357">
        <v>1</v>
      </c>
    </row>
    <row r="624" spans="1:55" s="381" customFormat="1" ht="17.649999999999999" customHeight="1">
      <c r="A624" s="343">
        <v>192</v>
      </c>
      <c r="B624" s="211" t="s">
        <v>2271</v>
      </c>
      <c r="C624" s="211" t="s">
        <v>2055</v>
      </c>
      <c r="D624" s="211" t="s">
        <v>2056</v>
      </c>
      <c r="E624" s="344">
        <v>7</v>
      </c>
      <c r="F624" s="344">
        <v>7.4666666666666703</v>
      </c>
      <c r="G624" s="356">
        <v>6.7666666666666702</v>
      </c>
      <c r="H624" s="344">
        <v>6.7666666666666702</v>
      </c>
      <c r="I624" s="344">
        <v>6.7666666666666702</v>
      </c>
      <c r="J624" s="344">
        <v>5.8333333333333304</v>
      </c>
      <c r="K624" s="344">
        <v>5.3666666666666698</v>
      </c>
      <c r="L624" s="344">
        <f t="shared" si="59"/>
        <v>1.5788888888888897</v>
      </c>
      <c r="M624" s="344">
        <v>10.033333333333299</v>
      </c>
      <c r="N624" s="344">
        <v>9.1</v>
      </c>
      <c r="O624" s="344">
        <v>7.93333333333333</v>
      </c>
      <c r="P624" s="344">
        <v>9.56666666666667</v>
      </c>
      <c r="Q624" s="344">
        <v>10.733333333333301</v>
      </c>
      <c r="R624" s="344">
        <v>11.6666666666667</v>
      </c>
      <c r="S624" s="344">
        <v>15.1666666666667</v>
      </c>
      <c r="T624" s="344">
        <v>15.1666666666667</v>
      </c>
      <c r="U624" s="344">
        <v>11.9</v>
      </c>
      <c r="V624" s="344">
        <v>10.733333333333301</v>
      </c>
      <c r="W624" s="344">
        <v>10.966666666666701</v>
      </c>
      <c r="X624" s="344">
        <v>11.9</v>
      </c>
      <c r="Y624" s="344">
        <v>10.033333333333299</v>
      </c>
      <c r="Z624" s="344">
        <v>10.966666666666701</v>
      </c>
      <c r="AA624" s="344">
        <v>10.733333333333301</v>
      </c>
      <c r="AB624" s="344">
        <v>10.266666666666699</v>
      </c>
      <c r="AC624" s="344">
        <v>10.033333333333299</v>
      </c>
      <c r="AD624" s="344">
        <f t="shared" si="60"/>
        <v>-0.23333333333340001</v>
      </c>
      <c r="AE624" s="344">
        <v>6</v>
      </c>
      <c r="AF624" s="344">
        <v>4</v>
      </c>
      <c r="AG624" s="346">
        <v>5</v>
      </c>
      <c r="AH624" s="346">
        <v>7</v>
      </c>
      <c r="AI624" s="346">
        <v>5</v>
      </c>
      <c r="AJ624" s="346">
        <v>2</v>
      </c>
      <c r="AK624" s="346">
        <v>4</v>
      </c>
      <c r="AL624" s="346">
        <v>2</v>
      </c>
      <c r="AM624" s="346">
        <v>1</v>
      </c>
      <c r="AN624" s="346">
        <v>3</v>
      </c>
      <c r="AO624" s="346">
        <v>3</v>
      </c>
      <c r="AP624" s="346">
        <v>2</v>
      </c>
      <c r="AQ624" s="357">
        <v>3</v>
      </c>
      <c r="AR624" s="357">
        <v>2</v>
      </c>
      <c r="AS624" s="357">
        <v>3</v>
      </c>
      <c r="AT624" s="357">
        <v>3</v>
      </c>
      <c r="AU624" s="357">
        <v>3</v>
      </c>
      <c r="AV624" s="357">
        <v>2</v>
      </c>
      <c r="AW624" s="357">
        <v>3</v>
      </c>
      <c r="AX624" s="357">
        <v>3</v>
      </c>
      <c r="AY624" s="357">
        <v>4</v>
      </c>
      <c r="AZ624" s="357">
        <v>3</v>
      </c>
      <c r="BA624" s="357">
        <v>5</v>
      </c>
      <c r="BB624" s="357">
        <v>5</v>
      </c>
      <c r="BC624" s="357">
        <v>5</v>
      </c>
    </row>
    <row r="625" spans="1:55" s="381" customFormat="1" ht="17.649999999999999" customHeight="1">
      <c r="A625" s="343">
        <v>193</v>
      </c>
      <c r="B625" s="211" t="s">
        <v>2272</v>
      </c>
      <c r="C625" s="211" t="s">
        <v>2055</v>
      </c>
      <c r="D625" s="211" t="s">
        <v>2056</v>
      </c>
      <c r="E625" s="344">
        <v>10</v>
      </c>
      <c r="F625" s="344">
        <v>7</v>
      </c>
      <c r="G625" s="356">
        <v>6.5333333333333297</v>
      </c>
      <c r="H625" s="344">
        <v>5.3666666666666698</v>
      </c>
      <c r="I625" s="344">
        <v>7</v>
      </c>
      <c r="J625" s="344">
        <v>6.7666666666666702</v>
      </c>
      <c r="K625" s="344">
        <v>6.3</v>
      </c>
      <c r="L625" s="344">
        <f t="shared" ref="L625:L688" si="61">I625/30*7</f>
        <v>1.6333333333333333</v>
      </c>
      <c r="M625" s="344">
        <v>6.3</v>
      </c>
      <c r="N625" s="344">
        <v>6.5333333333333297</v>
      </c>
      <c r="O625" s="344">
        <v>6.5333333333333297</v>
      </c>
      <c r="P625" s="344">
        <v>5.8333333333333304</v>
      </c>
      <c r="Q625" s="344">
        <v>3.9666666666666699</v>
      </c>
      <c r="R625" s="344">
        <v>3.0333333333333301</v>
      </c>
      <c r="S625" s="344">
        <v>3.2666666666666702</v>
      </c>
      <c r="T625" s="344">
        <v>2.1</v>
      </c>
      <c r="U625" s="344">
        <v>0.233333333333333</v>
      </c>
      <c r="V625" s="344">
        <v>1.1666666666666701</v>
      </c>
      <c r="W625" s="344">
        <v>3.2666666666666702</v>
      </c>
      <c r="X625" s="344">
        <v>3.9666666666666699</v>
      </c>
      <c r="Y625" s="344">
        <v>5.8333333333333304</v>
      </c>
      <c r="Z625" s="344">
        <v>6.3</v>
      </c>
      <c r="AA625" s="344">
        <v>7</v>
      </c>
      <c r="AB625" s="344">
        <v>8.4</v>
      </c>
      <c r="AC625" s="344">
        <v>7.7</v>
      </c>
      <c r="AD625" s="344">
        <f t="shared" ref="AD625:AD688" si="62">AC625-AB625</f>
        <v>-0.70000000000000018</v>
      </c>
      <c r="AE625" s="344">
        <v>4</v>
      </c>
      <c r="AF625" s="344">
        <v>3</v>
      </c>
      <c r="AG625" s="346">
        <v>3</v>
      </c>
      <c r="AH625" s="346">
        <v>5</v>
      </c>
      <c r="AI625" s="346">
        <v>1</v>
      </c>
      <c r="AJ625" s="346">
        <v>2</v>
      </c>
      <c r="AK625" s="346">
        <v>3</v>
      </c>
      <c r="AL625" s="346">
        <v>2</v>
      </c>
      <c r="AM625" s="346">
        <v>7</v>
      </c>
      <c r="AN625" s="346">
        <v>4</v>
      </c>
      <c r="AO625" s="346">
        <v>4</v>
      </c>
      <c r="AP625" s="346">
        <v>7</v>
      </c>
      <c r="AQ625" s="357">
        <v>4</v>
      </c>
      <c r="AR625" s="357">
        <v>4</v>
      </c>
      <c r="AS625" s="357">
        <v>4</v>
      </c>
      <c r="AT625" s="357">
        <v>4</v>
      </c>
      <c r="AU625" s="357">
        <v>4</v>
      </c>
      <c r="AV625" s="357">
        <v>7</v>
      </c>
      <c r="AW625" s="357">
        <v>4</v>
      </c>
      <c r="AX625" s="357">
        <v>1</v>
      </c>
      <c r="AY625" s="357">
        <v>1</v>
      </c>
      <c r="AZ625" s="357">
        <v>5</v>
      </c>
      <c r="BA625" s="357">
        <v>6</v>
      </c>
      <c r="BB625" s="357">
        <v>4</v>
      </c>
      <c r="BC625" s="357">
        <v>6</v>
      </c>
    </row>
    <row r="626" spans="1:55" s="381" customFormat="1" ht="17.649999999999999" customHeight="1">
      <c r="A626" s="343">
        <v>194</v>
      </c>
      <c r="B626" s="211" t="s">
        <v>2273</v>
      </c>
      <c r="C626" s="211" t="s">
        <v>2055</v>
      </c>
      <c r="D626" s="211" t="s">
        <v>2056</v>
      </c>
      <c r="E626" s="344">
        <v>1</v>
      </c>
      <c r="F626" s="344">
        <v>1.1666666666666701</v>
      </c>
      <c r="G626" s="356">
        <v>0.233333333333333</v>
      </c>
      <c r="H626" s="344">
        <v>1.1666666666666701</v>
      </c>
      <c r="I626" s="344">
        <v>0.233333333333333</v>
      </c>
      <c r="J626" s="344">
        <v>0.233333333333333</v>
      </c>
      <c r="K626" s="344">
        <v>0.233333333333333</v>
      </c>
      <c r="L626" s="344">
        <f t="shared" si="61"/>
        <v>5.4444444444444372E-2</v>
      </c>
      <c r="M626" s="344">
        <v>3.2666666666666702</v>
      </c>
      <c r="N626" s="344">
        <v>6.3</v>
      </c>
      <c r="O626" s="344">
        <v>9.8000000000000007</v>
      </c>
      <c r="P626" s="344">
        <v>13.533333333333299</v>
      </c>
      <c r="Q626" s="344">
        <v>11.9</v>
      </c>
      <c r="R626" s="344">
        <v>10.966666666666701</v>
      </c>
      <c r="S626" s="344">
        <v>10.266666666666699</v>
      </c>
      <c r="T626" s="344">
        <v>7.7</v>
      </c>
      <c r="U626" s="344">
        <v>6.7666666666666702</v>
      </c>
      <c r="V626" s="344">
        <v>10.266666666666699</v>
      </c>
      <c r="W626" s="344">
        <v>5.8333333333333304</v>
      </c>
      <c r="X626" s="344">
        <v>5.8333333333333304</v>
      </c>
      <c r="Y626" s="344">
        <v>8.4</v>
      </c>
      <c r="Z626" s="344">
        <v>5.3666666666666698</v>
      </c>
      <c r="AA626" s="344">
        <v>5.8333333333333304</v>
      </c>
      <c r="AB626" s="344">
        <v>5.3666666666666698</v>
      </c>
      <c r="AC626" s="344">
        <v>5.3666666666666698</v>
      </c>
      <c r="AD626" s="344">
        <f t="shared" si="62"/>
        <v>0</v>
      </c>
      <c r="AE626" s="344">
        <v>3</v>
      </c>
      <c r="AF626" s="344">
        <v>8</v>
      </c>
      <c r="AG626" s="346">
        <v>3</v>
      </c>
      <c r="AH626" s="346">
        <v>3</v>
      </c>
      <c r="AI626" s="346">
        <v>3</v>
      </c>
      <c r="AJ626" s="346">
        <v>3</v>
      </c>
      <c r="AK626" s="346">
        <v>3</v>
      </c>
      <c r="AL626" s="346">
        <v>3</v>
      </c>
      <c r="AM626" s="346">
        <v>8</v>
      </c>
      <c r="AN626" s="346">
        <v>4</v>
      </c>
      <c r="AO626" s="346">
        <v>4</v>
      </c>
      <c r="AP626" s="346">
        <v>3</v>
      </c>
      <c r="AQ626" s="357">
        <v>4</v>
      </c>
      <c r="AR626" s="357">
        <v>5</v>
      </c>
      <c r="AS626" s="357">
        <v>7</v>
      </c>
      <c r="AT626" s="357">
        <v>9</v>
      </c>
      <c r="AU626" s="357">
        <v>6</v>
      </c>
      <c r="AV626" s="357">
        <v>2</v>
      </c>
      <c r="AW626" s="357">
        <v>2</v>
      </c>
      <c r="AX626" s="357">
        <v>2</v>
      </c>
      <c r="AY626" s="357">
        <v>4</v>
      </c>
      <c r="AZ626" s="357">
        <v>9</v>
      </c>
      <c r="BA626" s="357">
        <v>4</v>
      </c>
      <c r="BB626" s="357">
        <v>5</v>
      </c>
      <c r="BC626" s="357">
        <v>7</v>
      </c>
    </row>
    <row r="627" spans="1:55" s="381" customFormat="1" ht="17.649999999999999" customHeight="1">
      <c r="A627" s="343">
        <v>195</v>
      </c>
      <c r="B627" s="211" t="s">
        <v>2274</v>
      </c>
      <c r="C627" s="211" t="s">
        <v>2055</v>
      </c>
      <c r="D627" s="211" t="s">
        <v>2056</v>
      </c>
      <c r="E627" s="344">
        <v>534</v>
      </c>
      <c r="F627" s="344">
        <v>537.6</v>
      </c>
      <c r="G627" s="356">
        <v>509.6</v>
      </c>
      <c r="H627" s="344">
        <v>483.7</v>
      </c>
      <c r="I627" s="344">
        <v>432.36666666666702</v>
      </c>
      <c r="J627" s="344">
        <v>391.53333333333302</v>
      </c>
      <c r="K627" s="344">
        <v>374.26666666666699</v>
      </c>
      <c r="L627" s="344">
        <f t="shared" si="61"/>
        <v>100.88555555555564</v>
      </c>
      <c r="M627" s="344">
        <v>331.33333333333297</v>
      </c>
      <c r="N627" s="344">
        <v>323.63333333333298</v>
      </c>
      <c r="O627" s="344">
        <v>329</v>
      </c>
      <c r="P627" s="344">
        <v>354.433333333333</v>
      </c>
      <c r="Q627" s="344">
        <v>392</v>
      </c>
      <c r="R627" s="344">
        <v>387.8</v>
      </c>
      <c r="S627" s="344">
        <v>394.8</v>
      </c>
      <c r="T627" s="344">
        <v>401.33333333333297</v>
      </c>
      <c r="U627" s="344">
        <v>421.16666666666703</v>
      </c>
      <c r="V627" s="344">
        <v>451.03333333333302</v>
      </c>
      <c r="W627" s="344">
        <v>502.36666666666702</v>
      </c>
      <c r="X627" s="344">
        <v>486.03333333333302</v>
      </c>
      <c r="Y627" s="344">
        <v>510.066666666667</v>
      </c>
      <c r="Z627" s="344">
        <v>529.9</v>
      </c>
      <c r="AA627" s="344">
        <v>473.9</v>
      </c>
      <c r="AB627" s="344">
        <v>484.16666666666703</v>
      </c>
      <c r="AC627" s="344">
        <v>454.066666666667</v>
      </c>
      <c r="AD627" s="344">
        <f t="shared" si="62"/>
        <v>-30.100000000000023</v>
      </c>
      <c r="AE627" s="344">
        <v>3</v>
      </c>
      <c r="AF627" s="344">
        <v>6</v>
      </c>
      <c r="AG627" s="346">
        <v>33</v>
      </c>
      <c r="AH627" s="346">
        <v>7</v>
      </c>
      <c r="AI627" s="346">
        <v>3</v>
      </c>
      <c r="AJ627" s="346">
        <v>5</v>
      </c>
      <c r="AK627" s="346">
        <v>4</v>
      </c>
      <c r="AL627" s="346">
        <v>5</v>
      </c>
      <c r="AM627" s="346">
        <v>2</v>
      </c>
      <c r="AN627" s="346">
        <v>3</v>
      </c>
      <c r="AO627" s="346">
        <v>3</v>
      </c>
      <c r="AP627" s="346">
        <v>4</v>
      </c>
      <c r="AQ627" s="357">
        <v>2</v>
      </c>
      <c r="AR627" s="357">
        <v>3</v>
      </c>
      <c r="AS627" s="357">
        <v>2</v>
      </c>
      <c r="AT627" s="357">
        <v>2</v>
      </c>
      <c r="AU627" s="357">
        <v>3</v>
      </c>
      <c r="AV627" s="357">
        <v>2</v>
      </c>
      <c r="AW627" s="357">
        <v>3</v>
      </c>
      <c r="AX627" s="357">
        <v>4</v>
      </c>
      <c r="AY627" s="357">
        <v>4</v>
      </c>
      <c r="AZ627" s="357">
        <v>6</v>
      </c>
      <c r="BA627" s="357">
        <v>6</v>
      </c>
      <c r="BB627" s="357">
        <v>4</v>
      </c>
      <c r="BC627" s="357">
        <v>5</v>
      </c>
    </row>
    <row r="628" spans="1:55" s="381" customFormat="1" ht="17.649999999999999" customHeight="1">
      <c r="A628" s="343">
        <v>196</v>
      </c>
      <c r="B628" s="211" t="s">
        <v>2275</v>
      </c>
      <c r="C628" s="211" t="s">
        <v>2055</v>
      </c>
      <c r="D628" s="211" t="s">
        <v>2056</v>
      </c>
      <c r="E628" s="344">
        <v>0</v>
      </c>
      <c r="F628" s="344">
        <v>2.1</v>
      </c>
      <c r="G628" s="356">
        <v>2.1</v>
      </c>
      <c r="H628" s="344">
        <v>1.86666666666667</v>
      </c>
      <c r="I628" s="344">
        <v>2.3333333333333299</v>
      </c>
      <c r="J628" s="344">
        <v>2.3333333333333299</v>
      </c>
      <c r="K628" s="344">
        <v>0.233333333333333</v>
      </c>
      <c r="L628" s="344">
        <f t="shared" si="61"/>
        <v>0.54444444444444362</v>
      </c>
      <c r="M628" s="344">
        <v>1.4</v>
      </c>
      <c r="N628" s="344">
        <v>3.2666666666666702</v>
      </c>
      <c r="O628" s="344">
        <v>3.5</v>
      </c>
      <c r="P628" s="344">
        <v>5.1333333333333302</v>
      </c>
      <c r="Q628" s="344">
        <v>5.8333333333333304</v>
      </c>
      <c r="R628" s="344">
        <v>4.6666666666666696</v>
      </c>
      <c r="S628" s="344">
        <v>5.8333333333333304</v>
      </c>
      <c r="T628" s="344">
        <v>4.43333333333333</v>
      </c>
      <c r="U628" s="344">
        <v>5.1333333333333302</v>
      </c>
      <c r="V628" s="344">
        <v>6.3</v>
      </c>
      <c r="W628" s="344">
        <v>5.8333333333333304</v>
      </c>
      <c r="X628" s="344">
        <v>4.2</v>
      </c>
      <c r="Y628" s="344">
        <v>3.5</v>
      </c>
      <c r="Z628" s="344">
        <v>3.2666666666666702</v>
      </c>
      <c r="AA628" s="344">
        <v>4.2</v>
      </c>
      <c r="AB628" s="344">
        <v>4.43333333333333</v>
      </c>
      <c r="AC628" s="344">
        <v>4.43333333333333</v>
      </c>
      <c r="AD628" s="344">
        <f t="shared" si="62"/>
        <v>0</v>
      </c>
      <c r="AE628" s="344">
        <v>3</v>
      </c>
      <c r="AF628" s="344">
        <v>6</v>
      </c>
      <c r="AG628" s="346">
        <v>14</v>
      </c>
      <c r="AH628" s="346">
        <v>5</v>
      </c>
      <c r="AI628" s="346">
        <v>4</v>
      </c>
      <c r="AJ628" s="346">
        <v>2</v>
      </c>
      <c r="AK628" s="346">
        <v>5</v>
      </c>
      <c r="AL628" s="346">
        <v>2</v>
      </c>
      <c r="AM628" s="346">
        <v>3</v>
      </c>
      <c r="AN628" s="346">
        <v>3</v>
      </c>
      <c r="AO628" s="346">
        <v>3</v>
      </c>
      <c r="AP628" s="346">
        <v>3</v>
      </c>
      <c r="AQ628" s="357">
        <v>3</v>
      </c>
      <c r="AR628" s="357">
        <v>2</v>
      </c>
      <c r="AS628" s="357">
        <v>3</v>
      </c>
      <c r="AT628" s="357">
        <v>9</v>
      </c>
      <c r="AU628" s="357">
        <v>3</v>
      </c>
      <c r="AV628" s="357">
        <v>7</v>
      </c>
      <c r="AW628" s="357">
        <v>15</v>
      </c>
      <c r="AX628" s="357">
        <v>3</v>
      </c>
      <c r="AY628" s="357">
        <v>3</v>
      </c>
      <c r="AZ628" s="211">
        <v>51</v>
      </c>
      <c r="BA628" s="357">
        <v>3</v>
      </c>
      <c r="BB628" s="357">
        <v>9</v>
      </c>
      <c r="BC628" s="357">
        <v>9</v>
      </c>
    </row>
    <row r="629" spans="1:55" s="381" customFormat="1" ht="17.649999999999999" customHeight="1">
      <c r="A629" s="343">
        <v>197</v>
      </c>
      <c r="B629" s="211" t="s">
        <v>2276</v>
      </c>
      <c r="C629" s="211" t="s">
        <v>2055</v>
      </c>
      <c r="D629" s="211" t="s">
        <v>2056</v>
      </c>
      <c r="E629" s="344">
        <v>1</v>
      </c>
      <c r="F629" s="344">
        <v>1.86666666666667</v>
      </c>
      <c r="G629" s="356">
        <v>1.4</v>
      </c>
      <c r="H629" s="344">
        <v>1.4</v>
      </c>
      <c r="I629" s="344">
        <v>2.1</v>
      </c>
      <c r="J629" s="344">
        <v>3.0333333333333301</v>
      </c>
      <c r="K629" s="344">
        <v>2.3333333333333299</v>
      </c>
      <c r="L629" s="344">
        <f t="shared" si="61"/>
        <v>0.49000000000000005</v>
      </c>
      <c r="M629" s="344">
        <v>6.3</v>
      </c>
      <c r="N629" s="344">
        <v>7.7</v>
      </c>
      <c r="O629" s="344">
        <v>8.6333333333333293</v>
      </c>
      <c r="P629" s="344">
        <v>7.4666666666666703</v>
      </c>
      <c r="Q629" s="344">
        <v>8.8666666666666707</v>
      </c>
      <c r="R629" s="344">
        <v>10.733333333333301</v>
      </c>
      <c r="S629" s="344">
        <v>11.2</v>
      </c>
      <c r="T629" s="344">
        <v>13.533333333333299</v>
      </c>
      <c r="U629" s="344">
        <v>11.9</v>
      </c>
      <c r="V629" s="344">
        <v>10.966666666666701</v>
      </c>
      <c r="W629" s="344">
        <v>8.8666666666666707</v>
      </c>
      <c r="X629" s="344">
        <v>5.6</v>
      </c>
      <c r="Y629" s="344">
        <v>4.6666666666666696</v>
      </c>
      <c r="Z629" s="344">
        <v>3.5</v>
      </c>
      <c r="AA629" s="344">
        <v>4.2</v>
      </c>
      <c r="AB629" s="344">
        <v>7</v>
      </c>
      <c r="AC629" s="344">
        <v>7.4666666666666703</v>
      </c>
      <c r="AD629" s="344">
        <f t="shared" si="62"/>
        <v>0.46666666666667034</v>
      </c>
      <c r="AE629" s="344">
        <v>1</v>
      </c>
      <c r="AF629" s="344">
        <v>1</v>
      </c>
      <c r="AG629" s="346">
        <v>1</v>
      </c>
      <c r="AH629" s="346">
        <v>1</v>
      </c>
      <c r="AI629" s="346">
        <v>1</v>
      </c>
      <c r="AJ629" s="346">
        <v>2</v>
      </c>
      <c r="AK629" s="346">
        <v>1</v>
      </c>
      <c r="AL629" s="346">
        <v>2</v>
      </c>
      <c r="AM629" s="346">
        <v>1</v>
      </c>
      <c r="AN629" s="346">
        <v>1</v>
      </c>
      <c r="AO629" s="346">
        <v>1</v>
      </c>
      <c r="AP629" s="346">
        <v>1</v>
      </c>
      <c r="AQ629" s="357">
        <v>1</v>
      </c>
      <c r="AR629" s="357">
        <v>1</v>
      </c>
      <c r="AS629" s="357">
        <v>1</v>
      </c>
      <c r="AT629" s="357">
        <v>3</v>
      </c>
      <c r="AU629" s="357">
        <v>2</v>
      </c>
      <c r="AV629" s="357">
        <v>2</v>
      </c>
      <c r="AW629" s="357">
        <v>3</v>
      </c>
      <c r="AX629" s="357">
        <v>8</v>
      </c>
      <c r="AY629" s="357">
        <v>1</v>
      </c>
      <c r="AZ629" s="357">
        <v>2</v>
      </c>
      <c r="BA629" s="357">
        <v>1</v>
      </c>
      <c r="BB629" s="357">
        <v>1</v>
      </c>
      <c r="BC629" s="357">
        <v>1</v>
      </c>
    </row>
    <row r="630" spans="1:55" s="381" customFormat="1" ht="17.649999999999999" customHeight="1">
      <c r="A630" s="343">
        <v>198</v>
      </c>
      <c r="B630" s="211" t="s">
        <v>2277</v>
      </c>
      <c r="C630" s="211" t="s">
        <v>2055</v>
      </c>
      <c r="D630" s="211" t="s">
        <v>2056</v>
      </c>
      <c r="E630" s="344">
        <v>9</v>
      </c>
      <c r="F630" s="344">
        <v>8.4</v>
      </c>
      <c r="G630" s="356">
        <v>5.6</v>
      </c>
      <c r="H630" s="344">
        <v>4.2</v>
      </c>
      <c r="I630" s="344">
        <v>4.6666666666666696</v>
      </c>
      <c r="J630" s="344">
        <v>5.3666666666666698</v>
      </c>
      <c r="K630" s="344">
        <v>3.9666666666666699</v>
      </c>
      <c r="L630" s="344">
        <f t="shared" si="61"/>
        <v>1.0888888888888895</v>
      </c>
      <c r="M630" s="344">
        <v>2.3333333333333299</v>
      </c>
      <c r="N630" s="344">
        <v>4.43333333333333</v>
      </c>
      <c r="O630" s="344">
        <v>4.43333333333333</v>
      </c>
      <c r="P630" s="344">
        <v>7</v>
      </c>
      <c r="Q630" s="344">
        <v>7.7</v>
      </c>
      <c r="R630" s="344">
        <v>6.7666666666666702</v>
      </c>
      <c r="S630" s="344">
        <v>9.56666666666667</v>
      </c>
      <c r="T630" s="344">
        <v>8.8666666666666707</v>
      </c>
      <c r="U630" s="344">
        <v>6.5333333333333297</v>
      </c>
      <c r="V630" s="344">
        <v>5.3666666666666698</v>
      </c>
      <c r="W630" s="344">
        <v>1.1666666666666701</v>
      </c>
      <c r="X630" s="344">
        <v>1.4</v>
      </c>
      <c r="Y630" s="344">
        <v>1.4</v>
      </c>
      <c r="Z630" s="344">
        <v>2.56666666666667</v>
      </c>
      <c r="AA630" s="344">
        <v>4.6666666666666696</v>
      </c>
      <c r="AB630" s="344">
        <v>4.43333333333333</v>
      </c>
      <c r="AC630" s="344">
        <v>5.8333333333333304</v>
      </c>
      <c r="AD630" s="344">
        <f t="shared" si="62"/>
        <v>1.4000000000000004</v>
      </c>
      <c r="AE630" s="344">
        <v>1</v>
      </c>
      <c r="AF630" s="344">
        <v>3</v>
      </c>
      <c r="AG630" s="346">
        <v>1</v>
      </c>
      <c r="AH630" s="346">
        <v>1</v>
      </c>
      <c r="AI630" s="346">
        <v>1</v>
      </c>
      <c r="AJ630" s="346">
        <v>9</v>
      </c>
      <c r="AK630" s="346">
        <v>1</v>
      </c>
      <c r="AL630" s="346">
        <v>9</v>
      </c>
      <c r="AM630" s="346">
        <v>1</v>
      </c>
      <c r="AN630" s="346">
        <v>1</v>
      </c>
      <c r="AO630" s="346">
        <v>1</v>
      </c>
      <c r="AP630" s="357">
        <v>4</v>
      </c>
      <c r="AQ630" s="357">
        <v>1</v>
      </c>
      <c r="AR630" s="357">
        <v>1</v>
      </c>
      <c r="AS630" s="357">
        <v>1</v>
      </c>
      <c r="AT630" s="357">
        <v>1</v>
      </c>
      <c r="AU630" s="357">
        <v>2</v>
      </c>
      <c r="AV630" s="357">
        <v>1</v>
      </c>
      <c r="AW630" s="357">
        <v>1</v>
      </c>
      <c r="AX630" s="357">
        <v>1</v>
      </c>
      <c r="AY630" s="357">
        <v>2</v>
      </c>
      <c r="AZ630" s="357">
        <v>1</v>
      </c>
      <c r="BA630" s="357">
        <v>1</v>
      </c>
      <c r="BB630" s="357">
        <v>1</v>
      </c>
      <c r="BC630" s="357">
        <v>1</v>
      </c>
    </row>
    <row r="631" spans="1:55" s="381" customFormat="1" ht="17.649999999999999" customHeight="1">
      <c r="A631" s="343">
        <v>199</v>
      </c>
      <c r="B631" s="211" t="s">
        <v>2278</v>
      </c>
      <c r="C631" s="211" t="s">
        <v>2055</v>
      </c>
      <c r="D631" s="211" t="s">
        <v>2056</v>
      </c>
      <c r="E631" s="344">
        <v>0</v>
      </c>
      <c r="F631" s="344">
        <v>0.233333333333333</v>
      </c>
      <c r="G631" s="356">
        <v>0.233333333333333</v>
      </c>
      <c r="H631" s="344">
        <v>1.1666666666666701</v>
      </c>
      <c r="I631" s="344">
        <v>3.9666666666666699</v>
      </c>
      <c r="J631" s="344">
        <v>3.9666666666666699</v>
      </c>
      <c r="K631" s="344">
        <v>3.0333333333333301</v>
      </c>
      <c r="L631" s="344">
        <f t="shared" si="61"/>
        <v>0.92555555555555624</v>
      </c>
      <c r="M631" s="344">
        <v>2.1</v>
      </c>
      <c r="N631" s="344">
        <v>2.1</v>
      </c>
      <c r="O631" s="344">
        <v>3.0333333333333301</v>
      </c>
      <c r="P631" s="344">
        <v>4.2</v>
      </c>
      <c r="Q631" s="344">
        <v>4.2</v>
      </c>
      <c r="R631" s="344">
        <v>4.43333333333333</v>
      </c>
      <c r="S631" s="344">
        <v>5.8333333333333304</v>
      </c>
      <c r="T631" s="344">
        <v>4.2</v>
      </c>
      <c r="U631" s="344">
        <v>7.4666666666666703</v>
      </c>
      <c r="V631" s="344">
        <v>7.7</v>
      </c>
      <c r="W631" s="344">
        <v>7.7</v>
      </c>
      <c r="X631" s="344">
        <v>8.8666666666666707</v>
      </c>
      <c r="Y631" s="344">
        <v>8.6333333333333293</v>
      </c>
      <c r="Z631" s="344">
        <v>6.3</v>
      </c>
      <c r="AA631" s="344">
        <v>7.93333333333333</v>
      </c>
      <c r="AB631" s="344">
        <v>9.8000000000000007</v>
      </c>
      <c r="AC631" s="344">
        <v>10.033333333333299</v>
      </c>
      <c r="AD631" s="344">
        <f t="shared" si="62"/>
        <v>0.23333333333329875</v>
      </c>
      <c r="AE631" s="344">
        <v>2</v>
      </c>
      <c r="AF631" s="344">
        <v>4</v>
      </c>
      <c r="AG631" s="346">
        <v>10</v>
      </c>
      <c r="AH631" s="346">
        <v>2</v>
      </c>
      <c r="AI631" s="346">
        <v>8</v>
      </c>
      <c r="AJ631" s="346">
        <v>9</v>
      </c>
      <c r="AK631" s="346">
        <v>2</v>
      </c>
      <c r="AL631" s="346">
        <v>9</v>
      </c>
      <c r="AM631" s="346">
        <v>6</v>
      </c>
      <c r="AN631" s="346">
        <v>4</v>
      </c>
      <c r="AO631" s="346">
        <v>4</v>
      </c>
      <c r="AP631" s="346">
        <v>2</v>
      </c>
      <c r="AQ631" s="357">
        <v>2</v>
      </c>
      <c r="AR631" s="357">
        <v>2</v>
      </c>
      <c r="AS631" s="357">
        <v>3</v>
      </c>
      <c r="AT631" s="357">
        <v>4</v>
      </c>
      <c r="AU631" s="357">
        <v>3</v>
      </c>
      <c r="AV631" s="357">
        <v>2</v>
      </c>
      <c r="AW631" s="357">
        <v>2</v>
      </c>
      <c r="AX631" s="357">
        <v>3</v>
      </c>
      <c r="AY631" s="357">
        <v>14</v>
      </c>
      <c r="AZ631" s="357">
        <v>2</v>
      </c>
      <c r="BA631" s="357">
        <v>2</v>
      </c>
      <c r="BB631" s="357">
        <v>2</v>
      </c>
      <c r="BC631" s="357">
        <v>2</v>
      </c>
    </row>
    <row r="632" spans="1:55" s="381" customFormat="1" ht="17.649999999999999" customHeight="1">
      <c r="A632" s="343">
        <v>200</v>
      </c>
      <c r="B632" s="211" t="s">
        <v>2279</v>
      </c>
      <c r="C632" s="211" t="s">
        <v>2055</v>
      </c>
      <c r="D632" s="211" t="s">
        <v>2056</v>
      </c>
      <c r="E632" s="344">
        <v>0</v>
      </c>
      <c r="F632" s="344">
        <v>1.4</v>
      </c>
      <c r="G632" s="356">
        <v>1.4</v>
      </c>
      <c r="H632" s="344">
        <v>1.4</v>
      </c>
      <c r="I632" s="344">
        <v>1.1666666666666701</v>
      </c>
      <c r="J632" s="344">
        <v>2.3333333333333299</v>
      </c>
      <c r="K632" s="344">
        <v>1.4</v>
      </c>
      <c r="L632" s="344">
        <f t="shared" si="61"/>
        <v>0.27222222222222303</v>
      </c>
      <c r="M632" s="344">
        <v>2.3333333333333299</v>
      </c>
      <c r="N632" s="344">
        <v>3.0333333333333301</v>
      </c>
      <c r="O632" s="344">
        <v>3.2666666666666702</v>
      </c>
      <c r="P632" s="344">
        <v>4.6666666666666696</v>
      </c>
      <c r="Q632" s="344">
        <v>4.6666666666666696</v>
      </c>
      <c r="R632" s="344">
        <v>4.43333333333333</v>
      </c>
      <c r="S632" s="344">
        <v>4.2</v>
      </c>
      <c r="T632" s="344">
        <v>5.8333333333333304</v>
      </c>
      <c r="U632" s="344">
        <v>7.7</v>
      </c>
      <c r="V632" s="344">
        <v>7.4666666666666703</v>
      </c>
      <c r="W632" s="344">
        <v>8.4</v>
      </c>
      <c r="X632" s="344">
        <v>8.6333333333333293</v>
      </c>
      <c r="Y632" s="344">
        <v>6.5333333333333297</v>
      </c>
      <c r="Z632" s="344">
        <v>7.93333333333333</v>
      </c>
      <c r="AA632" s="344">
        <v>6.3</v>
      </c>
      <c r="AB632" s="344">
        <v>6.7666666666666702</v>
      </c>
      <c r="AC632" s="344">
        <v>6.5333333333333297</v>
      </c>
      <c r="AD632" s="344">
        <f t="shared" si="62"/>
        <v>-0.2333333333333405</v>
      </c>
      <c r="AE632" s="344">
        <v>3</v>
      </c>
      <c r="AF632" s="344">
        <v>5</v>
      </c>
      <c r="AG632" s="346">
        <v>9</v>
      </c>
      <c r="AH632" s="346">
        <v>4</v>
      </c>
      <c r="AI632" s="346">
        <v>5</v>
      </c>
      <c r="AJ632" s="346">
        <v>3</v>
      </c>
      <c r="AK632" s="346">
        <v>3</v>
      </c>
      <c r="AL632" s="346">
        <v>3</v>
      </c>
      <c r="AM632" s="346">
        <v>3</v>
      </c>
      <c r="AN632" s="346">
        <v>7</v>
      </c>
      <c r="AO632" s="346">
        <v>7</v>
      </c>
      <c r="AP632" s="346">
        <v>7</v>
      </c>
      <c r="AQ632" s="357">
        <v>3</v>
      </c>
      <c r="AR632" s="357">
        <v>2</v>
      </c>
      <c r="AS632" s="357">
        <v>9</v>
      </c>
      <c r="AT632" s="357">
        <v>2</v>
      </c>
      <c r="AU632" s="357">
        <v>3</v>
      </c>
      <c r="AV632" s="357">
        <v>2</v>
      </c>
      <c r="AW632" s="357">
        <v>7</v>
      </c>
      <c r="AX632" s="357">
        <v>2</v>
      </c>
      <c r="AY632" s="357">
        <v>2</v>
      </c>
      <c r="AZ632" s="357">
        <v>6</v>
      </c>
      <c r="BA632" s="357">
        <v>2</v>
      </c>
      <c r="BB632" s="357">
        <v>3</v>
      </c>
      <c r="BC632" s="357">
        <v>8</v>
      </c>
    </row>
    <row r="633" spans="1:55" s="381" customFormat="1" ht="17.649999999999999" customHeight="1">
      <c r="A633" s="343">
        <v>201</v>
      </c>
      <c r="B633" s="211" t="s">
        <v>2280</v>
      </c>
      <c r="C633" s="211" t="s">
        <v>2061</v>
      </c>
      <c r="D633" s="211" t="s">
        <v>2056</v>
      </c>
      <c r="E633" s="344">
        <v>28114</v>
      </c>
      <c r="F633" s="344">
        <v>27289.9666666667</v>
      </c>
      <c r="G633" s="356">
        <v>23918.5333333333</v>
      </c>
      <c r="H633" s="344">
        <v>24213</v>
      </c>
      <c r="I633" s="344">
        <v>19810.4666666667</v>
      </c>
      <c r="J633" s="344">
        <v>27172.6</v>
      </c>
      <c r="K633" s="344">
        <v>32579.866666666701</v>
      </c>
      <c r="L633" s="344">
        <f t="shared" si="61"/>
        <v>4622.4422222222302</v>
      </c>
      <c r="M633" s="344">
        <v>46510.1</v>
      </c>
      <c r="N633" s="344">
        <v>47316.033333333296</v>
      </c>
      <c r="O633" s="344">
        <v>41866.300000000003</v>
      </c>
      <c r="P633" s="344">
        <v>45099.833333333299</v>
      </c>
      <c r="Q633" s="344">
        <v>48662.366666666698</v>
      </c>
      <c r="R633" s="344">
        <v>48160</v>
      </c>
      <c r="S633" s="344">
        <v>56197.633333333302</v>
      </c>
      <c r="T633" s="344">
        <v>70339.5</v>
      </c>
      <c r="U633" s="344">
        <v>78851.733333333294</v>
      </c>
      <c r="V633" s="344">
        <v>83781.133333333302</v>
      </c>
      <c r="W633" s="344">
        <v>103793.66666666701</v>
      </c>
      <c r="X633" s="344">
        <v>111478.03333333301</v>
      </c>
      <c r="Y633" s="344">
        <v>117831.933333333</v>
      </c>
      <c r="Z633" s="344">
        <v>140658.23333333299</v>
      </c>
      <c r="AA633" s="344">
        <v>143465.933333333</v>
      </c>
      <c r="AB633" s="344">
        <v>116880.866666667</v>
      </c>
      <c r="AC633" s="344">
        <v>94764.366666666698</v>
      </c>
      <c r="AD633" s="344">
        <f t="shared" si="62"/>
        <v>-22116.500000000306</v>
      </c>
      <c r="AE633" s="344">
        <v>10</v>
      </c>
      <c r="AF633" s="344">
        <v>4</v>
      </c>
      <c r="AG633" s="346">
        <v>2</v>
      </c>
      <c r="AH633" s="346">
        <v>4</v>
      </c>
      <c r="AI633" s="346">
        <v>7</v>
      </c>
      <c r="AJ633" s="346">
        <v>6</v>
      </c>
      <c r="AK633" s="346">
        <v>5</v>
      </c>
      <c r="AL633" s="346">
        <v>6</v>
      </c>
      <c r="AM633" s="346">
        <v>26</v>
      </c>
      <c r="AN633" s="346">
        <v>10</v>
      </c>
      <c r="AO633" s="346">
        <v>10</v>
      </c>
      <c r="AP633" s="357">
        <v>11</v>
      </c>
      <c r="AQ633" s="357">
        <v>9</v>
      </c>
      <c r="AR633" s="357">
        <v>6</v>
      </c>
      <c r="AS633" s="357">
        <v>6</v>
      </c>
      <c r="AT633" s="357">
        <v>8</v>
      </c>
      <c r="AU633" s="357">
        <v>5</v>
      </c>
      <c r="AV633" s="357">
        <v>4</v>
      </c>
      <c r="AW633" s="357">
        <v>6</v>
      </c>
      <c r="AX633" s="357">
        <v>3</v>
      </c>
      <c r="AY633" s="357">
        <v>3</v>
      </c>
      <c r="AZ633" s="357">
        <v>8</v>
      </c>
      <c r="BA633" s="357">
        <v>8</v>
      </c>
      <c r="BB633" s="357">
        <v>6</v>
      </c>
      <c r="BC633" s="357">
        <v>4</v>
      </c>
    </row>
    <row r="634" spans="1:55" s="381" customFormat="1" ht="17.649999999999999" customHeight="1">
      <c r="A634" s="343">
        <v>202</v>
      </c>
      <c r="B634" s="211" t="s">
        <v>2281</v>
      </c>
      <c r="C634" s="211" t="s">
        <v>2061</v>
      </c>
      <c r="D634" s="211" t="s">
        <v>2063</v>
      </c>
      <c r="E634" s="344">
        <v>1040</v>
      </c>
      <c r="F634" s="344">
        <v>1063.5333333333299</v>
      </c>
      <c r="G634" s="356">
        <v>1101.56666666667</v>
      </c>
      <c r="H634" s="344">
        <v>1154.3</v>
      </c>
      <c r="I634" s="344">
        <v>1249.7333333333299</v>
      </c>
      <c r="J634" s="344">
        <v>1253.4666666666701</v>
      </c>
      <c r="K634" s="344">
        <v>1223.8333333333301</v>
      </c>
      <c r="L634" s="344">
        <f t="shared" si="61"/>
        <v>291.60444444444369</v>
      </c>
      <c r="M634" s="344">
        <v>920.03333333333296</v>
      </c>
      <c r="N634" s="344">
        <v>834.4</v>
      </c>
      <c r="O634" s="344">
        <v>815.5</v>
      </c>
      <c r="P634" s="344">
        <v>865.2</v>
      </c>
      <c r="Q634" s="344">
        <v>860.06666666666695</v>
      </c>
      <c r="R634" s="344">
        <v>786.56666666666695</v>
      </c>
      <c r="S634" s="344">
        <v>708.16666666666697</v>
      </c>
      <c r="T634" s="344">
        <v>616.93333333333305</v>
      </c>
      <c r="U634" s="344">
        <v>572.13333333333298</v>
      </c>
      <c r="V634" s="344">
        <v>538.06666666666695</v>
      </c>
      <c r="W634" s="344">
        <v>468.53333333333302</v>
      </c>
      <c r="X634" s="344">
        <v>444.73333333333301</v>
      </c>
      <c r="Y634" s="344">
        <v>422.566666666667</v>
      </c>
      <c r="Z634" s="344">
        <v>481.83333333333297</v>
      </c>
      <c r="AA634" s="344">
        <v>487.2</v>
      </c>
      <c r="AB634" s="344">
        <v>461.066666666667</v>
      </c>
      <c r="AC634" s="344">
        <v>447.066666666667</v>
      </c>
      <c r="AD634" s="344">
        <f t="shared" si="62"/>
        <v>-14</v>
      </c>
      <c r="AE634" s="344">
        <v>51</v>
      </c>
      <c r="AF634" s="344">
        <v>0</v>
      </c>
      <c r="AG634" s="346">
        <v>51</v>
      </c>
      <c r="AH634" s="346">
        <v>51</v>
      </c>
      <c r="AI634" s="346">
        <v>51</v>
      </c>
      <c r="AJ634" s="346">
        <v>51</v>
      </c>
      <c r="AK634" s="346">
        <v>51</v>
      </c>
      <c r="AL634" s="346">
        <v>51</v>
      </c>
      <c r="AM634" s="346">
        <v>51</v>
      </c>
      <c r="AN634" s="346">
        <v>51</v>
      </c>
      <c r="AO634" s="346">
        <v>51</v>
      </c>
      <c r="AP634" s="211">
        <v>51</v>
      </c>
      <c r="AQ634" s="211">
        <v>51</v>
      </c>
      <c r="AR634" s="211">
        <v>51</v>
      </c>
      <c r="AS634" s="211">
        <v>51</v>
      </c>
      <c r="AT634" s="211">
        <v>51</v>
      </c>
      <c r="AU634" s="357">
        <v>46</v>
      </c>
      <c r="AV634" s="357">
        <v>51</v>
      </c>
      <c r="AW634" s="211">
        <v>51</v>
      </c>
      <c r="AX634" s="211">
        <v>51</v>
      </c>
      <c r="AY634" s="211">
        <v>51</v>
      </c>
      <c r="AZ634" s="211">
        <v>51</v>
      </c>
      <c r="BA634" s="357">
        <v>6</v>
      </c>
      <c r="BB634" s="357">
        <v>4</v>
      </c>
      <c r="BC634" s="357">
        <v>5</v>
      </c>
    </row>
    <row r="635" spans="1:55" s="381" customFormat="1" ht="17.649999999999999" customHeight="1">
      <c r="A635" s="343">
        <v>203</v>
      </c>
      <c r="B635" s="211" t="s">
        <v>2282</v>
      </c>
      <c r="C635" s="211" t="s">
        <v>2061</v>
      </c>
      <c r="D635" s="211" t="s">
        <v>2283</v>
      </c>
      <c r="E635" s="344">
        <v>44</v>
      </c>
      <c r="F635" s="344">
        <v>49.233333333333299</v>
      </c>
      <c r="G635" s="356">
        <v>50.4</v>
      </c>
      <c r="H635" s="344">
        <v>49</v>
      </c>
      <c r="I635" s="344">
        <v>49.466666666666697</v>
      </c>
      <c r="J635" s="344">
        <v>47.366666666666703</v>
      </c>
      <c r="K635" s="344">
        <v>42</v>
      </c>
      <c r="L635" s="344">
        <f t="shared" si="61"/>
        <v>11.542222222222229</v>
      </c>
      <c r="M635" s="344">
        <v>45.033333333333303</v>
      </c>
      <c r="N635" s="344">
        <v>47.6</v>
      </c>
      <c r="O635" s="344">
        <v>44.1</v>
      </c>
      <c r="P635" s="344">
        <v>39.200000000000003</v>
      </c>
      <c r="Q635" s="344">
        <v>32.6666666666667</v>
      </c>
      <c r="R635" s="344">
        <v>28.233333333333299</v>
      </c>
      <c r="S635" s="344">
        <v>14.9333333333333</v>
      </c>
      <c r="T635" s="344">
        <v>10.966666666666701</v>
      </c>
      <c r="U635" s="344">
        <v>8.8666666666666707</v>
      </c>
      <c r="V635" s="344">
        <v>7.4666666666666703</v>
      </c>
      <c r="W635" s="344">
        <v>7.7</v>
      </c>
      <c r="X635" s="344">
        <v>9.1</v>
      </c>
      <c r="Y635" s="344">
        <v>7.93333333333333</v>
      </c>
      <c r="Z635" s="344">
        <v>10.266666666666699</v>
      </c>
      <c r="AA635" s="344">
        <v>12.133333333333301</v>
      </c>
      <c r="AB635" s="344">
        <v>10.733333333333301</v>
      </c>
      <c r="AC635" s="344">
        <v>13.0666666666667</v>
      </c>
      <c r="AD635" s="344">
        <f t="shared" si="62"/>
        <v>2.3333333333333997</v>
      </c>
      <c r="AE635" s="344">
        <v>1</v>
      </c>
      <c r="AF635" s="344">
        <v>3</v>
      </c>
      <c r="AG635" s="346">
        <v>1</v>
      </c>
      <c r="AH635" s="346">
        <v>7</v>
      </c>
      <c r="AI635" s="346">
        <v>1</v>
      </c>
      <c r="AJ635" s="346">
        <v>1</v>
      </c>
      <c r="AK635" s="346">
        <v>1</v>
      </c>
      <c r="AL635" s="346">
        <v>1</v>
      </c>
      <c r="AM635" s="346">
        <v>1</v>
      </c>
      <c r="AN635" s="346">
        <v>1</v>
      </c>
      <c r="AO635" s="346">
        <v>1</v>
      </c>
      <c r="AP635" s="346">
        <v>7</v>
      </c>
      <c r="AQ635" s="357">
        <v>17</v>
      </c>
      <c r="AR635" s="357">
        <v>8</v>
      </c>
      <c r="AS635" s="357">
        <v>1</v>
      </c>
      <c r="AT635" s="357">
        <v>1</v>
      </c>
      <c r="AU635" s="357">
        <v>1</v>
      </c>
      <c r="AV635" s="357">
        <v>1</v>
      </c>
      <c r="AW635" s="357">
        <v>10</v>
      </c>
      <c r="AX635" s="357">
        <v>4</v>
      </c>
      <c r="AY635" s="357">
        <v>10</v>
      </c>
      <c r="AZ635" s="357">
        <v>1</v>
      </c>
      <c r="BA635" s="357">
        <v>10</v>
      </c>
      <c r="BB635" s="357">
        <v>1</v>
      </c>
      <c r="BC635" s="357">
        <v>1</v>
      </c>
    </row>
    <row r="636" spans="1:55" s="381" customFormat="1" ht="17.649999999999999" customHeight="1">
      <c r="A636" s="343">
        <v>204</v>
      </c>
      <c r="B636" s="211" t="s">
        <v>2284</v>
      </c>
      <c r="C636" s="211" t="s">
        <v>2061</v>
      </c>
      <c r="D636" s="211" t="s">
        <v>2063</v>
      </c>
      <c r="E636" s="344">
        <v>359</v>
      </c>
      <c r="F636" s="344">
        <v>512.86666666666702</v>
      </c>
      <c r="G636" s="356">
        <v>554.16666666666697</v>
      </c>
      <c r="H636" s="344">
        <v>611.33333333333303</v>
      </c>
      <c r="I636" s="344">
        <v>688.33333333333303</v>
      </c>
      <c r="J636" s="344">
        <v>835.33333333333303</v>
      </c>
      <c r="K636" s="344">
        <v>686</v>
      </c>
      <c r="L636" s="344">
        <f t="shared" si="61"/>
        <v>160.61111111111106</v>
      </c>
      <c r="M636" s="344">
        <v>489.3</v>
      </c>
      <c r="N636" s="344">
        <v>321.3</v>
      </c>
      <c r="O636" s="344">
        <v>299.36666666666702</v>
      </c>
      <c r="P636" s="344">
        <v>260.86666666666702</v>
      </c>
      <c r="Q636" s="344">
        <v>234.73333333333301</v>
      </c>
      <c r="R636" s="344">
        <v>195.3</v>
      </c>
      <c r="S636" s="344">
        <v>139.53333333333299</v>
      </c>
      <c r="T636" s="344">
        <v>107.333333333333</v>
      </c>
      <c r="U636" s="344">
        <v>74.900000000000006</v>
      </c>
      <c r="V636" s="344">
        <v>57.1666666666667</v>
      </c>
      <c r="W636" s="344">
        <v>30.566666666666698</v>
      </c>
      <c r="X636" s="344">
        <v>21</v>
      </c>
      <c r="Y636" s="344">
        <v>23.1</v>
      </c>
      <c r="Z636" s="344">
        <v>18.899999999999999</v>
      </c>
      <c r="AA636" s="344">
        <v>21.7</v>
      </c>
      <c r="AB636" s="344">
        <v>25.6666666666667</v>
      </c>
      <c r="AC636" s="344">
        <v>22.633333333333301</v>
      </c>
      <c r="AD636" s="344">
        <f t="shared" si="62"/>
        <v>-3.0333333333333989</v>
      </c>
      <c r="AE636" s="344">
        <v>51</v>
      </c>
      <c r="AF636" s="344">
        <v>0</v>
      </c>
      <c r="AG636" s="346">
        <v>51</v>
      </c>
      <c r="AH636" s="346">
        <v>51</v>
      </c>
      <c r="AI636" s="346">
        <v>51</v>
      </c>
      <c r="AJ636" s="346">
        <v>51</v>
      </c>
      <c r="AK636" s="346">
        <v>51</v>
      </c>
      <c r="AL636" s="346">
        <v>51</v>
      </c>
      <c r="AM636" s="346">
        <v>51</v>
      </c>
      <c r="AN636" s="346">
        <v>51</v>
      </c>
      <c r="AO636" s="346">
        <v>51</v>
      </c>
      <c r="AP636" s="211">
        <v>51</v>
      </c>
      <c r="AQ636" s="211">
        <v>51</v>
      </c>
      <c r="AR636" s="211">
        <v>51</v>
      </c>
      <c r="AS636" s="357">
        <v>5</v>
      </c>
      <c r="AT636" s="211">
        <v>51</v>
      </c>
      <c r="AU636" s="211">
        <v>51</v>
      </c>
      <c r="AV636" s="211">
        <v>51</v>
      </c>
      <c r="AW636" s="357">
        <v>2</v>
      </c>
      <c r="AX636" s="211">
        <v>51</v>
      </c>
      <c r="AY636" s="357">
        <v>2</v>
      </c>
      <c r="AZ636" s="211">
        <v>51</v>
      </c>
      <c r="BA636" s="211">
        <v>51</v>
      </c>
      <c r="BB636" s="211">
        <v>51</v>
      </c>
      <c r="BC636" s="357">
        <v>13</v>
      </c>
    </row>
    <row r="637" spans="1:55" s="381" customFormat="1" ht="17.649999999999999" customHeight="1">
      <c r="A637" s="343">
        <v>205</v>
      </c>
      <c r="B637" s="211" t="s">
        <v>2285</v>
      </c>
      <c r="C637" s="211" t="s">
        <v>2061</v>
      </c>
      <c r="D637" s="211" t="s">
        <v>2283</v>
      </c>
      <c r="E637" s="344">
        <v>12</v>
      </c>
      <c r="F637" s="344">
        <v>12.366666666666699</v>
      </c>
      <c r="G637" s="356">
        <v>9.56666666666667</v>
      </c>
      <c r="H637" s="344">
        <v>9.56666666666667</v>
      </c>
      <c r="I637" s="344">
        <v>12.366666666666699</v>
      </c>
      <c r="J637" s="344">
        <v>11.9</v>
      </c>
      <c r="K637" s="344">
        <v>10.033333333333299</v>
      </c>
      <c r="L637" s="344">
        <f t="shared" si="61"/>
        <v>2.8855555555555634</v>
      </c>
      <c r="M637" s="344">
        <v>9.56666666666667</v>
      </c>
      <c r="N637" s="344">
        <v>9.8000000000000007</v>
      </c>
      <c r="O637" s="344">
        <v>9.1</v>
      </c>
      <c r="P637" s="344">
        <v>6.5333333333333297</v>
      </c>
      <c r="Q637" s="344">
        <v>6.3</v>
      </c>
      <c r="R637" s="344">
        <v>5.8333333333333304</v>
      </c>
      <c r="S637" s="344">
        <v>7</v>
      </c>
      <c r="T637" s="344">
        <v>9.1</v>
      </c>
      <c r="U637" s="344">
        <v>9.56666666666667</v>
      </c>
      <c r="V637" s="344">
        <v>10.266666666666699</v>
      </c>
      <c r="W637" s="344">
        <v>9.8000000000000007</v>
      </c>
      <c r="X637" s="344">
        <v>7</v>
      </c>
      <c r="Y637" s="344">
        <v>8.6333333333333293</v>
      </c>
      <c r="Z637" s="344">
        <v>6.7666666666666702</v>
      </c>
      <c r="AA637" s="344">
        <v>7.4666666666666703</v>
      </c>
      <c r="AB637" s="344">
        <v>8.4</v>
      </c>
      <c r="AC637" s="344">
        <v>7.4666666666666703</v>
      </c>
      <c r="AD637" s="344">
        <f t="shared" si="62"/>
        <v>-0.93333333333333002</v>
      </c>
      <c r="AE637" s="344">
        <v>51</v>
      </c>
      <c r="AF637" s="344">
        <v>0</v>
      </c>
      <c r="AG637" s="346">
        <v>51</v>
      </c>
      <c r="AH637" s="346">
        <v>51</v>
      </c>
      <c r="AI637" s="346">
        <v>51</v>
      </c>
      <c r="AJ637" s="346">
        <v>51</v>
      </c>
      <c r="AK637" s="346">
        <v>51</v>
      </c>
      <c r="AL637" s="346">
        <v>51</v>
      </c>
      <c r="AM637" s="346">
        <v>51</v>
      </c>
      <c r="AN637" s="346">
        <v>51</v>
      </c>
      <c r="AO637" s="346">
        <v>51</v>
      </c>
      <c r="AP637" s="211">
        <v>51</v>
      </c>
      <c r="AQ637" s="357">
        <v>1</v>
      </c>
      <c r="AR637" s="357">
        <v>10</v>
      </c>
      <c r="AS637" s="211">
        <v>51</v>
      </c>
      <c r="AT637" s="357">
        <v>1</v>
      </c>
      <c r="AU637" s="357">
        <v>16</v>
      </c>
      <c r="AV637" s="357">
        <v>1</v>
      </c>
      <c r="AW637" s="211">
        <v>51</v>
      </c>
      <c r="AX637" s="211">
        <v>51</v>
      </c>
      <c r="AY637" s="211">
        <v>51</v>
      </c>
      <c r="AZ637" s="211">
        <v>51</v>
      </c>
      <c r="BA637" s="211">
        <v>51</v>
      </c>
      <c r="BB637" s="357">
        <v>2</v>
      </c>
      <c r="BC637" s="357">
        <v>2</v>
      </c>
    </row>
    <row r="638" spans="1:55" s="381" customFormat="1" ht="17.649999999999999" customHeight="1">
      <c r="A638" s="343">
        <v>206</v>
      </c>
      <c r="B638" s="211" t="s">
        <v>2286</v>
      </c>
      <c r="C638" s="211" t="s">
        <v>2061</v>
      </c>
      <c r="D638" s="211" t="s">
        <v>2063</v>
      </c>
      <c r="E638" s="344">
        <v>2801</v>
      </c>
      <c r="F638" s="344">
        <v>2805.36666666667</v>
      </c>
      <c r="G638" s="356">
        <v>2663.7333333333299</v>
      </c>
      <c r="H638" s="344">
        <v>2634.8</v>
      </c>
      <c r="I638" s="344">
        <v>360.26666666666699</v>
      </c>
      <c r="J638" s="344">
        <v>469.7</v>
      </c>
      <c r="K638" s="344">
        <v>452.2</v>
      </c>
      <c r="L638" s="344">
        <f t="shared" si="61"/>
        <v>84.062222222222289</v>
      </c>
      <c r="M638" s="344">
        <v>406.933333333333</v>
      </c>
      <c r="N638" s="344">
        <v>300.76666666666699</v>
      </c>
      <c r="O638" s="344">
        <v>297.5</v>
      </c>
      <c r="P638" s="344">
        <v>301.933333333333</v>
      </c>
      <c r="Q638" s="344">
        <v>296.33333333333297</v>
      </c>
      <c r="R638" s="344">
        <v>285.60000000000002</v>
      </c>
      <c r="S638" s="344">
        <v>256.433333333333</v>
      </c>
      <c r="T638" s="344">
        <v>244.76666666666699</v>
      </c>
      <c r="U638" s="344">
        <v>281.86666666666702</v>
      </c>
      <c r="V638" s="344">
        <v>274.39999999999998</v>
      </c>
      <c r="W638" s="344">
        <v>503.066666666667</v>
      </c>
      <c r="X638" s="344">
        <v>548.79999999999995</v>
      </c>
      <c r="Y638" s="344">
        <v>523.83333333333303</v>
      </c>
      <c r="Z638" s="344">
        <v>528.26666666666699</v>
      </c>
      <c r="AA638" s="344">
        <v>332.5</v>
      </c>
      <c r="AB638" s="344">
        <v>282.8</v>
      </c>
      <c r="AC638" s="344">
        <v>253.4</v>
      </c>
      <c r="AD638" s="344">
        <f t="shared" si="62"/>
        <v>-29.400000000000006</v>
      </c>
      <c r="AE638" s="344">
        <v>51</v>
      </c>
      <c r="AF638" s="344">
        <v>0</v>
      </c>
      <c r="AG638" s="346">
        <v>51</v>
      </c>
      <c r="AH638" s="346">
        <v>51</v>
      </c>
      <c r="AI638" s="346">
        <v>51</v>
      </c>
      <c r="AJ638" s="346">
        <v>51</v>
      </c>
      <c r="AK638" s="346">
        <v>51</v>
      </c>
      <c r="AL638" s="346">
        <v>51</v>
      </c>
      <c r="AM638" s="346">
        <v>51</v>
      </c>
      <c r="AN638" s="346">
        <v>51</v>
      </c>
      <c r="AO638" s="346">
        <v>51</v>
      </c>
      <c r="AP638" s="211">
        <v>51</v>
      </c>
      <c r="AQ638" s="357">
        <v>38</v>
      </c>
      <c r="AR638" s="211">
        <v>51</v>
      </c>
      <c r="AS638" s="357">
        <v>39</v>
      </c>
      <c r="AT638" s="357">
        <v>21</v>
      </c>
      <c r="AU638" s="357">
        <v>16</v>
      </c>
      <c r="AV638" s="211">
        <v>51</v>
      </c>
      <c r="AW638" s="211">
        <v>51</v>
      </c>
      <c r="AX638" s="211">
        <v>51</v>
      </c>
      <c r="AY638" s="211">
        <v>51</v>
      </c>
      <c r="AZ638" s="211">
        <v>51</v>
      </c>
      <c r="BA638" s="357">
        <v>5</v>
      </c>
      <c r="BB638" s="211">
        <v>51</v>
      </c>
      <c r="BC638" s="357" t="s">
        <v>2287</v>
      </c>
    </row>
    <row r="639" spans="1:55" s="381" customFormat="1" ht="17.649999999999999" customHeight="1">
      <c r="A639" s="343">
        <v>207</v>
      </c>
      <c r="B639" s="211" t="s">
        <v>2288</v>
      </c>
      <c r="C639" s="211" t="s">
        <v>2061</v>
      </c>
      <c r="D639" s="211" t="s">
        <v>2283</v>
      </c>
      <c r="E639" s="344">
        <v>21</v>
      </c>
      <c r="F639" s="344">
        <v>21</v>
      </c>
      <c r="G639" s="356">
        <v>17.5</v>
      </c>
      <c r="H639" s="344">
        <v>15.1666666666667</v>
      </c>
      <c r="I639" s="344">
        <v>13.0666666666667</v>
      </c>
      <c r="J639" s="344">
        <v>13.3</v>
      </c>
      <c r="K639" s="344">
        <v>11.2</v>
      </c>
      <c r="L639" s="344">
        <f t="shared" si="61"/>
        <v>3.048888888888897</v>
      </c>
      <c r="M639" s="344">
        <v>10.033333333333299</v>
      </c>
      <c r="N639" s="344">
        <v>7.93333333333333</v>
      </c>
      <c r="O639" s="344">
        <v>9.8000000000000007</v>
      </c>
      <c r="P639" s="344">
        <v>9.56666666666667</v>
      </c>
      <c r="Q639" s="344">
        <v>9.56666666666667</v>
      </c>
      <c r="R639" s="344">
        <v>8.4</v>
      </c>
      <c r="S639" s="344">
        <v>7</v>
      </c>
      <c r="T639" s="344">
        <v>8.8666666666666707</v>
      </c>
      <c r="U639" s="344">
        <v>9.56666666666667</v>
      </c>
      <c r="V639" s="344">
        <v>10.733333333333301</v>
      </c>
      <c r="W639" s="344">
        <v>14.466666666666701</v>
      </c>
      <c r="X639" s="344">
        <v>14.233333333333301</v>
      </c>
      <c r="Y639" s="344">
        <v>16.8</v>
      </c>
      <c r="Z639" s="344">
        <v>18.433333333333302</v>
      </c>
      <c r="AA639" s="344">
        <v>18.6666666666667</v>
      </c>
      <c r="AB639" s="344">
        <v>15.633333333333301</v>
      </c>
      <c r="AC639" s="344">
        <v>13.3</v>
      </c>
      <c r="AD639" s="344">
        <f t="shared" si="62"/>
        <v>-2.3333333333333002</v>
      </c>
      <c r="AE639" s="344">
        <v>2</v>
      </c>
      <c r="AF639" s="344">
        <v>17</v>
      </c>
      <c r="AG639" s="346">
        <v>19</v>
      </c>
      <c r="AH639" s="346">
        <v>5</v>
      </c>
      <c r="AI639" s="346">
        <v>17</v>
      </c>
      <c r="AJ639" s="346">
        <v>51</v>
      </c>
      <c r="AK639" s="346">
        <v>38</v>
      </c>
      <c r="AL639" s="346">
        <v>51</v>
      </c>
      <c r="AM639" s="346">
        <v>2</v>
      </c>
      <c r="AN639" s="346">
        <v>19</v>
      </c>
      <c r="AO639" s="346">
        <v>19</v>
      </c>
      <c r="AP639" s="357">
        <v>11</v>
      </c>
      <c r="AQ639" s="357">
        <v>37</v>
      </c>
      <c r="AR639" s="357">
        <v>34</v>
      </c>
      <c r="AS639" s="357">
        <v>11</v>
      </c>
      <c r="AT639" s="357">
        <v>13</v>
      </c>
      <c r="AU639" s="357">
        <v>13</v>
      </c>
      <c r="AV639" s="357">
        <v>3</v>
      </c>
      <c r="AW639" s="357">
        <v>16</v>
      </c>
      <c r="AX639" s="357">
        <v>41</v>
      </c>
      <c r="AY639" s="357">
        <v>29</v>
      </c>
      <c r="AZ639" s="211">
        <v>51</v>
      </c>
      <c r="BA639" s="357">
        <v>9</v>
      </c>
      <c r="BB639" s="357">
        <v>8</v>
      </c>
      <c r="BC639" s="357">
        <v>8</v>
      </c>
    </row>
    <row r="640" spans="1:55" s="381" customFormat="1" ht="17.649999999999999" customHeight="1">
      <c r="A640" s="343">
        <v>208</v>
      </c>
      <c r="B640" s="211" t="s">
        <v>2289</v>
      </c>
      <c r="C640" s="211" t="s">
        <v>2061</v>
      </c>
      <c r="D640" s="211" t="s">
        <v>2063</v>
      </c>
      <c r="E640" s="344">
        <v>1229</v>
      </c>
      <c r="F640" s="344">
        <v>1423.56666666667</v>
      </c>
      <c r="G640" s="356">
        <v>1443.1666666666699</v>
      </c>
      <c r="H640" s="344">
        <v>1428.7</v>
      </c>
      <c r="I640" s="344">
        <v>1432.2</v>
      </c>
      <c r="J640" s="344">
        <v>762.76666666666699</v>
      </c>
      <c r="K640" s="344">
        <v>546.70000000000005</v>
      </c>
      <c r="L640" s="344">
        <f t="shared" si="61"/>
        <v>334.18</v>
      </c>
      <c r="M640" s="344">
        <v>514.03333333333296</v>
      </c>
      <c r="N640" s="344">
        <v>648.66666666666697</v>
      </c>
      <c r="O640" s="344">
        <v>822.73333333333301</v>
      </c>
      <c r="P640" s="344">
        <v>1022.7</v>
      </c>
      <c r="Q640" s="344">
        <v>1115.3333333333301</v>
      </c>
      <c r="R640" s="344">
        <v>1025.9666666666701</v>
      </c>
      <c r="S640" s="344">
        <v>922.6</v>
      </c>
      <c r="T640" s="344">
        <v>907.9</v>
      </c>
      <c r="U640" s="344">
        <v>844.9</v>
      </c>
      <c r="V640" s="344">
        <v>865.66666666666697</v>
      </c>
      <c r="W640" s="344">
        <v>823.2</v>
      </c>
      <c r="X640" s="344">
        <v>689.26666666666699</v>
      </c>
      <c r="Y640" s="344">
        <v>751.56666666666695</v>
      </c>
      <c r="Z640" s="344">
        <v>701.4</v>
      </c>
      <c r="AA640" s="344">
        <v>673.63333333333298</v>
      </c>
      <c r="AB640" s="344">
        <v>705.83333333333303</v>
      </c>
      <c r="AC640" s="344">
        <v>711.9</v>
      </c>
      <c r="AD640" s="344">
        <f t="shared" si="62"/>
        <v>6.0666666666669471</v>
      </c>
      <c r="AE640" s="344">
        <v>51</v>
      </c>
      <c r="AF640" s="344">
        <v>0</v>
      </c>
      <c r="AG640" s="346">
        <v>12</v>
      </c>
      <c r="AH640" s="346">
        <v>5</v>
      </c>
      <c r="AI640" s="346">
        <v>51</v>
      </c>
      <c r="AJ640" s="346">
        <v>6</v>
      </c>
      <c r="AK640" s="346">
        <v>51</v>
      </c>
      <c r="AL640" s="346">
        <v>6</v>
      </c>
      <c r="AM640" s="346">
        <v>51</v>
      </c>
      <c r="AN640" s="346">
        <v>51</v>
      </c>
      <c r="AO640" s="346">
        <v>51</v>
      </c>
      <c r="AP640" s="357">
        <v>14</v>
      </c>
      <c r="AQ640" s="357">
        <v>4</v>
      </c>
      <c r="AR640" s="357">
        <v>12</v>
      </c>
      <c r="AS640" s="357">
        <v>14</v>
      </c>
      <c r="AT640" s="211">
        <v>51</v>
      </c>
      <c r="AU640" s="357">
        <v>3</v>
      </c>
      <c r="AV640" s="357">
        <v>10</v>
      </c>
      <c r="AW640" s="357">
        <v>3</v>
      </c>
      <c r="AX640" s="357">
        <v>9</v>
      </c>
      <c r="AY640" s="357">
        <v>4</v>
      </c>
      <c r="AZ640" s="357">
        <v>2</v>
      </c>
      <c r="BA640" s="357">
        <v>2</v>
      </c>
      <c r="BB640" s="357">
        <v>9</v>
      </c>
      <c r="BC640" s="357">
        <v>9</v>
      </c>
    </row>
    <row r="641" spans="1:55" s="381" customFormat="1" ht="17.649999999999999" customHeight="1">
      <c r="A641" s="343">
        <v>209</v>
      </c>
      <c r="B641" s="211" t="s">
        <v>2290</v>
      </c>
      <c r="C641" s="211" t="s">
        <v>2061</v>
      </c>
      <c r="D641" s="211" t="s">
        <v>2056</v>
      </c>
      <c r="E641" s="344">
        <v>1818</v>
      </c>
      <c r="F641" s="344">
        <v>1772.1666666666699</v>
      </c>
      <c r="G641" s="356">
        <v>1554.93333333333</v>
      </c>
      <c r="H641" s="344">
        <v>1367.1</v>
      </c>
      <c r="I641" s="344">
        <v>1128.4000000000001</v>
      </c>
      <c r="J641" s="344">
        <v>935.2</v>
      </c>
      <c r="K641" s="344">
        <v>823.43333333333305</v>
      </c>
      <c r="L641" s="344">
        <f t="shared" si="61"/>
        <v>263.29333333333335</v>
      </c>
      <c r="M641" s="344">
        <v>862.86666666666702</v>
      </c>
      <c r="N641" s="344">
        <v>1131.6666666666699</v>
      </c>
      <c r="O641" s="344">
        <v>1333.7333333333299</v>
      </c>
      <c r="P641" s="344">
        <v>1723.1666666666699</v>
      </c>
      <c r="Q641" s="344">
        <v>1880.43333333333</v>
      </c>
      <c r="R641" s="344">
        <v>1781.5</v>
      </c>
      <c r="S641" s="344">
        <v>1739.7333333333299</v>
      </c>
      <c r="T641" s="344">
        <v>1667.86666666667</v>
      </c>
      <c r="U641" s="344">
        <v>1615.6</v>
      </c>
      <c r="V641" s="344">
        <v>1626.56666666667</v>
      </c>
      <c r="W641" s="344">
        <v>1646.63333333333</v>
      </c>
      <c r="X641" s="344">
        <v>1753.9666666666701</v>
      </c>
      <c r="Y641" s="344">
        <v>1845.2</v>
      </c>
      <c r="Z641" s="344">
        <v>1954.86666666667</v>
      </c>
      <c r="AA641" s="344">
        <v>2047.2666666666701</v>
      </c>
      <c r="AB641" s="344">
        <v>1976.3333333333301</v>
      </c>
      <c r="AC641" s="344">
        <v>1891.4</v>
      </c>
      <c r="AD641" s="344">
        <f t="shared" si="62"/>
        <v>-84.933333333329983</v>
      </c>
      <c r="AE641" s="344">
        <v>1</v>
      </c>
      <c r="AF641" s="344">
        <v>3</v>
      </c>
      <c r="AG641" s="346">
        <v>1</v>
      </c>
      <c r="AH641" s="346">
        <v>1</v>
      </c>
      <c r="AI641" s="346">
        <v>1</v>
      </c>
      <c r="AJ641" s="346">
        <v>1</v>
      </c>
      <c r="AK641" s="346">
        <v>1</v>
      </c>
      <c r="AL641" s="346">
        <v>1</v>
      </c>
      <c r="AM641" s="346">
        <v>1</v>
      </c>
      <c r="AN641" s="346">
        <v>1</v>
      </c>
      <c r="AO641" s="346">
        <v>1</v>
      </c>
      <c r="AP641" s="346">
        <v>1</v>
      </c>
      <c r="AQ641" s="357">
        <v>1</v>
      </c>
      <c r="AR641" s="357">
        <v>1</v>
      </c>
      <c r="AS641" s="357">
        <v>2</v>
      </c>
      <c r="AT641" s="357">
        <v>1</v>
      </c>
      <c r="AU641" s="357">
        <v>1</v>
      </c>
      <c r="AV641" s="357">
        <v>1</v>
      </c>
      <c r="AW641" s="357">
        <v>2</v>
      </c>
      <c r="AX641" s="357">
        <v>1</v>
      </c>
      <c r="AY641" s="357">
        <v>1</v>
      </c>
      <c r="AZ641" s="357">
        <v>1</v>
      </c>
      <c r="BA641" s="357">
        <v>1</v>
      </c>
      <c r="BB641" s="357">
        <v>36</v>
      </c>
      <c r="BC641" s="357">
        <v>2</v>
      </c>
    </row>
    <row r="642" spans="1:55" s="381" customFormat="1" ht="17.649999999999999" customHeight="1">
      <c r="A642" s="343">
        <v>210</v>
      </c>
      <c r="B642" s="211" t="s">
        <v>2291</v>
      </c>
      <c r="C642" s="211" t="s">
        <v>2061</v>
      </c>
      <c r="D642" s="211" t="s">
        <v>2063</v>
      </c>
      <c r="E642" s="344">
        <v>21143</v>
      </c>
      <c r="F642" s="344">
        <v>21776.066666666698</v>
      </c>
      <c r="G642" s="356">
        <v>22465.333333333299</v>
      </c>
      <c r="H642" s="344">
        <v>22031.1</v>
      </c>
      <c r="I642" s="344">
        <v>20923.4666666667</v>
      </c>
      <c r="J642" s="344">
        <v>22970.0333333333</v>
      </c>
      <c r="K642" s="344">
        <v>22865.0333333333</v>
      </c>
      <c r="L642" s="344">
        <f t="shared" si="61"/>
        <v>4882.14222222223</v>
      </c>
      <c r="M642" s="344">
        <v>23122.400000000001</v>
      </c>
      <c r="N642" s="344">
        <v>22944.133333333299</v>
      </c>
      <c r="O642" s="344">
        <v>22368.0333333333</v>
      </c>
      <c r="P642" s="344">
        <v>20059.666666666701</v>
      </c>
      <c r="Q642" s="344">
        <v>16299.5</v>
      </c>
      <c r="R642" s="344">
        <v>11872.7</v>
      </c>
      <c r="S642" s="344">
        <v>5566.8666666666704</v>
      </c>
      <c r="T642" s="344">
        <v>3290.7</v>
      </c>
      <c r="U642" s="344">
        <v>1683.5</v>
      </c>
      <c r="V642" s="344">
        <v>1427.06666666667</v>
      </c>
      <c r="W642" s="344">
        <v>843.26666666666699</v>
      </c>
      <c r="X642" s="344">
        <v>789.36666666666702</v>
      </c>
      <c r="Y642" s="344">
        <v>806.4</v>
      </c>
      <c r="Z642" s="344">
        <v>822.96666666666704</v>
      </c>
      <c r="AA642" s="344">
        <v>807.8</v>
      </c>
      <c r="AB642" s="344">
        <v>696.5</v>
      </c>
      <c r="AC642" s="344">
        <v>651.93333333333305</v>
      </c>
      <c r="AD642" s="344">
        <f t="shared" si="62"/>
        <v>-44.566666666666947</v>
      </c>
      <c r="AE642" s="344">
        <v>51</v>
      </c>
      <c r="AF642" s="344">
        <v>0</v>
      </c>
      <c r="AG642" s="346">
        <v>51</v>
      </c>
      <c r="AH642" s="346">
        <v>6</v>
      </c>
      <c r="AI642" s="346">
        <v>26</v>
      </c>
      <c r="AJ642" s="346">
        <v>43</v>
      </c>
      <c r="AK642" s="346">
        <v>14</v>
      </c>
      <c r="AL642" s="346">
        <v>43</v>
      </c>
      <c r="AM642" s="346">
        <v>4</v>
      </c>
      <c r="AN642" s="346">
        <v>15</v>
      </c>
      <c r="AO642" s="346">
        <v>15</v>
      </c>
      <c r="AP642" s="357">
        <v>9</v>
      </c>
      <c r="AQ642" s="357">
        <v>10</v>
      </c>
      <c r="AR642" s="357">
        <v>8</v>
      </c>
      <c r="AS642" s="357">
        <v>22</v>
      </c>
      <c r="AT642" s="357">
        <v>14</v>
      </c>
      <c r="AU642" s="357">
        <v>10</v>
      </c>
      <c r="AV642" s="357">
        <v>14</v>
      </c>
      <c r="AW642" s="357">
        <v>17</v>
      </c>
      <c r="AX642" s="357">
        <v>15</v>
      </c>
      <c r="AY642" s="357">
        <v>12</v>
      </c>
      <c r="AZ642" s="357">
        <v>30</v>
      </c>
      <c r="BA642" s="357">
        <v>9</v>
      </c>
      <c r="BB642" s="357">
        <v>7</v>
      </c>
      <c r="BC642" s="357">
        <v>7</v>
      </c>
    </row>
    <row r="643" spans="1:55" s="381" customFormat="1" ht="17.649999999999999" customHeight="1">
      <c r="A643" s="343">
        <v>211</v>
      </c>
      <c r="B643" s="211" t="s">
        <v>2292</v>
      </c>
      <c r="C643" s="211" t="s">
        <v>2061</v>
      </c>
      <c r="D643" s="211" t="s">
        <v>2283</v>
      </c>
      <c r="E643" s="344">
        <v>29</v>
      </c>
      <c r="F643" s="344">
        <v>28.7</v>
      </c>
      <c r="G643" s="356">
        <v>25.6666666666667</v>
      </c>
      <c r="H643" s="344">
        <v>25.6666666666667</v>
      </c>
      <c r="I643" s="344">
        <v>25.433333333333302</v>
      </c>
      <c r="J643" s="344">
        <v>27.3</v>
      </c>
      <c r="K643" s="344">
        <v>25.2</v>
      </c>
      <c r="L643" s="344">
        <f t="shared" si="61"/>
        <v>5.9344444444444369</v>
      </c>
      <c r="M643" s="344">
        <v>22.866666666666699</v>
      </c>
      <c r="N643" s="344">
        <v>19.8333333333333</v>
      </c>
      <c r="O643" s="344">
        <v>15.1666666666667</v>
      </c>
      <c r="P643" s="344">
        <v>14</v>
      </c>
      <c r="Q643" s="344">
        <v>11.9</v>
      </c>
      <c r="R643" s="344">
        <v>11.6666666666667</v>
      </c>
      <c r="S643" s="344">
        <v>10.033333333333299</v>
      </c>
      <c r="T643" s="344">
        <v>8.4</v>
      </c>
      <c r="U643" s="344">
        <v>6.7666666666666702</v>
      </c>
      <c r="V643" s="344">
        <v>6.7666666666666702</v>
      </c>
      <c r="W643" s="344">
        <v>10.266666666666699</v>
      </c>
      <c r="X643" s="344">
        <v>11.2</v>
      </c>
      <c r="Y643" s="344">
        <v>9.1</v>
      </c>
      <c r="Z643" s="344">
        <v>10.266666666666699</v>
      </c>
      <c r="AA643" s="344">
        <v>8.8666666666666707</v>
      </c>
      <c r="AB643" s="344">
        <v>8.8666666666666707</v>
      </c>
      <c r="AC643" s="344">
        <v>9.1</v>
      </c>
      <c r="AD643" s="344">
        <f t="shared" si="62"/>
        <v>0.23333333333332895</v>
      </c>
      <c r="AE643" s="344">
        <v>2</v>
      </c>
      <c r="AF643" s="344">
        <v>41</v>
      </c>
      <c r="AG643" s="346">
        <v>1</v>
      </c>
      <c r="AH643" s="346">
        <v>3</v>
      </c>
      <c r="AI643" s="346">
        <v>1</v>
      </c>
      <c r="AJ643" s="346">
        <v>4</v>
      </c>
      <c r="AK643" s="346">
        <v>2</v>
      </c>
      <c r="AL643" s="346">
        <v>4</v>
      </c>
      <c r="AM643" s="346">
        <v>9</v>
      </c>
      <c r="AN643" s="346">
        <v>2</v>
      </c>
      <c r="AO643" s="346">
        <v>2</v>
      </c>
      <c r="AP643" s="346">
        <v>4</v>
      </c>
      <c r="AQ643" s="357">
        <v>7</v>
      </c>
      <c r="AR643" s="357">
        <v>1</v>
      </c>
      <c r="AS643" s="357">
        <v>6</v>
      </c>
      <c r="AT643" s="357">
        <v>4</v>
      </c>
      <c r="AU643" s="357">
        <v>1</v>
      </c>
      <c r="AV643" s="357">
        <v>1</v>
      </c>
      <c r="AW643" s="357">
        <v>2</v>
      </c>
      <c r="AX643" s="357">
        <v>1</v>
      </c>
      <c r="AY643" s="357">
        <v>1</v>
      </c>
      <c r="AZ643" s="357">
        <v>1</v>
      </c>
      <c r="BA643" s="357">
        <v>1</v>
      </c>
      <c r="BB643" s="357">
        <v>1</v>
      </c>
      <c r="BC643" s="357">
        <v>5</v>
      </c>
    </row>
    <row r="644" spans="1:55" s="381" customFormat="1" ht="17.649999999999999" customHeight="1">
      <c r="A644" s="343">
        <v>212</v>
      </c>
      <c r="B644" s="211" t="s">
        <v>2293</v>
      </c>
      <c r="C644" s="211" t="s">
        <v>2061</v>
      </c>
      <c r="D644" s="211" t="s">
        <v>2063</v>
      </c>
      <c r="E644" s="344">
        <v>931</v>
      </c>
      <c r="F644" s="344">
        <v>940.56666666666695</v>
      </c>
      <c r="G644" s="356">
        <v>711.2</v>
      </c>
      <c r="H644" s="344">
        <v>695.8</v>
      </c>
      <c r="I644" s="344">
        <v>984.43333333333305</v>
      </c>
      <c r="J644" s="344">
        <v>916.3</v>
      </c>
      <c r="K644" s="344">
        <v>982.1</v>
      </c>
      <c r="L644" s="344">
        <f t="shared" si="61"/>
        <v>229.70111111111103</v>
      </c>
      <c r="M644" s="344">
        <v>997.26666666666699</v>
      </c>
      <c r="N644" s="344">
        <v>1348.43333333333</v>
      </c>
      <c r="O644" s="344">
        <v>2728.6</v>
      </c>
      <c r="P644" s="344">
        <v>2878.63333333333</v>
      </c>
      <c r="Q644" s="344">
        <v>2591.4</v>
      </c>
      <c r="R644" s="344">
        <v>2290.4</v>
      </c>
      <c r="S644" s="344">
        <v>534.1</v>
      </c>
      <c r="T644" s="344">
        <v>566.06666666666695</v>
      </c>
      <c r="U644" s="344">
        <v>445.433333333333</v>
      </c>
      <c r="V644" s="344">
        <v>451.5</v>
      </c>
      <c r="W644" s="344">
        <v>1464.1666666666699</v>
      </c>
      <c r="X644" s="344">
        <v>6050.5666666666702</v>
      </c>
      <c r="Y644" s="344">
        <v>10590.3</v>
      </c>
      <c r="Z644" s="344">
        <v>14038.733333333301</v>
      </c>
      <c r="AA644" s="344">
        <v>14521.5</v>
      </c>
      <c r="AB644" s="344">
        <v>12462.8</v>
      </c>
      <c r="AC644" s="344">
        <v>8167.8333333333303</v>
      </c>
      <c r="AD644" s="344">
        <f t="shared" si="62"/>
        <v>-4294.966666666669</v>
      </c>
      <c r="AE644" s="344">
        <v>51</v>
      </c>
      <c r="AF644" s="344">
        <v>0</v>
      </c>
      <c r="AG644" s="346">
        <v>48</v>
      </c>
      <c r="AH644" s="346">
        <v>7</v>
      </c>
      <c r="AI644" s="346">
        <v>7</v>
      </c>
      <c r="AJ644" s="346">
        <v>4</v>
      </c>
      <c r="AK644" s="346">
        <v>1</v>
      </c>
      <c r="AL644" s="346">
        <v>4</v>
      </c>
      <c r="AM644" s="346">
        <v>1</v>
      </c>
      <c r="AN644" s="346">
        <v>1</v>
      </c>
      <c r="AO644" s="346">
        <v>1</v>
      </c>
      <c r="AP644" s="346">
        <v>1</v>
      </c>
      <c r="AQ644" s="357">
        <v>11</v>
      </c>
      <c r="AR644" s="357">
        <v>1</v>
      </c>
      <c r="AS644" s="357">
        <v>23</v>
      </c>
      <c r="AT644" s="357">
        <v>1</v>
      </c>
      <c r="AU644" s="357">
        <v>1</v>
      </c>
      <c r="AV644" s="357">
        <v>1</v>
      </c>
      <c r="AW644" s="357">
        <v>22</v>
      </c>
      <c r="AX644" s="357">
        <v>17</v>
      </c>
      <c r="AY644" s="357">
        <v>9</v>
      </c>
      <c r="AZ644" s="357">
        <v>9</v>
      </c>
      <c r="BA644" s="357">
        <v>9</v>
      </c>
      <c r="BB644" s="357">
        <v>8</v>
      </c>
      <c r="BC644" s="357">
        <v>4</v>
      </c>
    </row>
    <row r="645" spans="1:55" s="381" customFormat="1" ht="17.649999999999999" customHeight="1">
      <c r="A645" s="343">
        <v>213</v>
      </c>
      <c r="B645" s="211" t="s">
        <v>2294</v>
      </c>
      <c r="C645" s="211" t="s">
        <v>2061</v>
      </c>
      <c r="D645" s="211" t="s">
        <v>2283</v>
      </c>
      <c r="E645" s="344">
        <v>59</v>
      </c>
      <c r="F645" s="344">
        <v>70.233333333333306</v>
      </c>
      <c r="G645" s="356">
        <v>66.966666666666697</v>
      </c>
      <c r="H645" s="344">
        <v>68.133333333333297</v>
      </c>
      <c r="I645" s="344">
        <v>64.400000000000006</v>
      </c>
      <c r="J645" s="344">
        <v>17.966666666666701</v>
      </c>
      <c r="K645" s="344">
        <v>5.6</v>
      </c>
      <c r="L645" s="344">
        <f t="shared" si="61"/>
        <v>15.026666666666669</v>
      </c>
      <c r="M645" s="344">
        <v>7.93333333333333</v>
      </c>
      <c r="N645" s="344">
        <v>11.9</v>
      </c>
      <c r="O645" s="344">
        <v>12.8333333333333</v>
      </c>
      <c r="P645" s="344">
        <v>10.266666666666699</v>
      </c>
      <c r="Q645" s="344">
        <v>10.966666666666701</v>
      </c>
      <c r="R645" s="344">
        <v>12.366666666666699</v>
      </c>
      <c r="S645" s="344">
        <v>9.56666666666667</v>
      </c>
      <c r="T645" s="344">
        <v>11.6666666666667</v>
      </c>
      <c r="U645" s="344">
        <v>12.366666666666699</v>
      </c>
      <c r="V645" s="344">
        <v>12.133333333333301</v>
      </c>
      <c r="W645" s="344">
        <v>13.3</v>
      </c>
      <c r="X645" s="344">
        <v>14.9333333333333</v>
      </c>
      <c r="Y645" s="344">
        <v>13.533333333333299</v>
      </c>
      <c r="Z645" s="344">
        <v>17.733333333333299</v>
      </c>
      <c r="AA645" s="344">
        <v>15.633333333333301</v>
      </c>
      <c r="AB645" s="344">
        <v>14</v>
      </c>
      <c r="AC645" s="344">
        <v>13.0666666666667</v>
      </c>
      <c r="AD645" s="344">
        <f t="shared" si="62"/>
        <v>-0.93333333333329982</v>
      </c>
      <c r="AE645" s="344">
        <v>51</v>
      </c>
      <c r="AF645" s="344">
        <v>0</v>
      </c>
      <c r="AG645" s="346">
        <v>51</v>
      </c>
      <c r="AH645" s="346">
        <v>51</v>
      </c>
      <c r="AI645" s="346">
        <v>51</v>
      </c>
      <c r="AJ645" s="346">
        <v>51</v>
      </c>
      <c r="AK645" s="346">
        <v>51</v>
      </c>
      <c r="AL645" s="346">
        <v>51</v>
      </c>
      <c r="AM645" s="346">
        <v>51</v>
      </c>
      <c r="AN645" s="346">
        <v>51</v>
      </c>
      <c r="AO645" s="346">
        <v>51</v>
      </c>
      <c r="AP645" s="211">
        <v>51</v>
      </c>
      <c r="AQ645" s="211">
        <v>51</v>
      </c>
      <c r="AR645" s="211">
        <v>51</v>
      </c>
      <c r="AS645" s="211">
        <v>51</v>
      </c>
      <c r="AT645" s="211">
        <v>51</v>
      </c>
      <c r="AU645" s="211">
        <v>51</v>
      </c>
      <c r="AV645" s="211">
        <v>51</v>
      </c>
      <c r="AW645" s="211">
        <v>51</v>
      </c>
      <c r="AX645" s="211">
        <v>51</v>
      </c>
      <c r="AY645" s="211">
        <v>51</v>
      </c>
      <c r="AZ645" s="211">
        <v>51</v>
      </c>
      <c r="BA645" s="211">
        <v>51</v>
      </c>
      <c r="BB645" s="357">
        <v>8</v>
      </c>
      <c r="BC645" s="357">
        <v>8</v>
      </c>
    </row>
    <row r="646" spans="1:55" s="381" customFormat="1" ht="17.649999999999999" customHeight="1">
      <c r="A646" s="343">
        <v>214</v>
      </c>
      <c r="B646" s="211" t="s">
        <v>2295</v>
      </c>
      <c r="C646" s="211" t="s">
        <v>2061</v>
      </c>
      <c r="D646" s="211" t="s">
        <v>2063</v>
      </c>
      <c r="E646" s="344">
        <v>2025</v>
      </c>
      <c r="F646" s="344">
        <v>2005.9666666666701</v>
      </c>
      <c r="G646" s="356">
        <v>1852.9</v>
      </c>
      <c r="H646" s="344">
        <v>1837.0333333333299</v>
      </c>
      <c r="I646" s="344">
        <v>180.13333333333301</v>
      </c>
      <c r="J646" s="344">
        <v>201.833333333333</v>
      </c>
      <c r="K646" s="344">
        <v>177.566666666667</v>
      </c>
      <c r="L646" s="344">
        <f t="shared" si="61"/>
        <v>42.031111111111038</v>
      </c>
      <c r="M646" s="344">
        <v>167.066666666667</v>
      </c>
      <c r="N646" s="344">
        <v>163.1</v>
      </c>
      <c r="O646" s="344">
        <v>150.73333333333301</v>
      </c>
      <c r="P646" s="344">
        <v>122.73333333333299</v>
      </c>
      <c r="Q646" s="344">
        <v>90.766666666666694</v>
      </c>
      <c r="R646" s="344">
        <v>52.966666666666697</v>
      </c>
      <c r="S646" s="344">
        <v>14.9333333333333</v>
      </c>
      <c r="T646" s="344">
        <v>10.733333333333301</v>
      </c>
      <c r="U646" s="344">
        <v>12.8333333333333</v>
      </c>
      <c r="V646" s="344">
        <v>10.966666666666701</v>
      </c>
      <c r="W646" s="344">
        <v>10.733333333333301</v>
      </c>
      <c r="X646" s="344">
        <v>10.033333333333299</v>
      </c>
      <c r="Y646" s="344">
        <v>10.733333333333301</v>
      </c>
      <c r="Z646" s="344">
        <v>11.6666666666667</v>
      </c>
      <c r="AA646" s="344">
        <v>12.8333333333333</v>
      </c>
      <c r="AB646" s="344">
        <v>13.0666666666667</v>
      </c>
      <c r="AC646" s="344">
        <v>12.366666666666699</v>
      </c>
      <c r="AD646" s="344">
        <f t="shared" si="62"/>
        <v>-0.70000000000000107</v>
      </c>
      <c r="AE646" s="344">
        <v>51</v>
      </c>
      <c r="AF646" s="344">
        <v>0</v>
      </c>
      <c r="AG646" s="346">
        <v>51</v>
      </c>
      <c r="AH646" s="346">
        <v>51</v>
      </c>
      <c r="AI646" s="346">
        <v>51</v>
      </c>
      <c r="AJ646" s="346">
        <v>51</v>
      </c>
      <c r="AK646" s="346">
        <v>51</v>
      </c>
      <c r="AL646" s="346">
        <v>51</v>
      </c>
      <c r="AM646" s="346">
        <v>51</v>
      </c>
      <c r="AN646" s="346">
        <v>51</v>
      </c>
      <c r="AO646" s="346">
        <v>51</v>
      </c>
      <c r="AP646" s="357">
        <v>29</v>
      </c>
      <c r="AQ646" s="357">
        <v>30</v>
      </c>
      <c r="AR646" s="357">
        <v>33</v>
      </c>
      <c r="AS646" s="211">
        <v>51</v>
      </c>
      <c r="AT646" s="211">
        <v>51</v>
      </c>
      <c r="AU646" s="211">
        <v>51</v>
      </c>
      <c r="AV646" s="211">
        <v>51</v>
      </c>
      <c r="AW646" s="211">
        <v>51</v>
      </c>
      <c r="AX646" s="211">
        <v>51</v>
      </c>
      <c r="AY646" s="211">
        <v>51</v>
      </c>
      <c r="AZ646" s="211">
        <v>51</v>
      </c>
      <c r="BA646" s="211">
        <v>51</v>
      </c>
      <c r="BB646" s="211">
        <v>51</v>
      </c>
      <c r="BC646" s="357" t="s">
        <v>2287</v>
      </c>
    </row>
    <row r="647" spans="1:55" s="381" customFormat="1" ht="17.649999999999999" customHeight="1">
      <c r="A647" s="343">
        <v>215</v>
      </c>
      <c r="B647" s="211" t="s">
        <v>2296</v>
      </c>
      <c r="C647" s="211" t="s">
        <v>2061</v>
      </c>
      <c r="D647" s="211" t="s">
        <v>2063</v>
      </c>
      <c r="E647" s="344">
        <v>2513</v>
      </c>
      <c r="F647" s="344">
        <v>2600.7333333333299</v>
      </c>
      <c r="G647" s="356">
        <v>3074.4</v>
      </c>
      <c r="H647" s="344">
        <v>3588.9</v>
      </c>
      <c r="I647" s="344">
        <v>3917.9</v>
      </c>
      <c r="J647" s="344">
        <v>4358.4333333333298</v>
      </c>
      <c r="K647" s="344">
        <v>4497.2666666666701</v>
      </c>
      <c r="L647" s="344">
        <f t="shared" si="61"/>
        <v>914.17666666666662</v>
      </c>
      <c r="M647" s="344">
        <v>3522.1666666666702</v>
      </c>
      <c r="N647" s="344">
        <v>3297</v>
      </c>
      <c r="O647" s="344">
        <v>2880.9666666666699</v>
      </c>
      <c r="P647" s="344">
        <v>2814.9333333333302</v>
      </c>
      <c r="Q647" s="344">
        <v>2450.6999999999998</v>
      </c>
      <c r="R647" s="344">
        <v>2208.9666666666699</v>
      </c>
      <c r="S647" s="344">
        <v>2120.5333333333301</v>
      </c>
      <c r="T647" s="344">
        <v>2008.06666666667</v>
      </c>
      <c r="U647" s="344">
        <v>2252.8333333333298</v>
      </c>
      <c r="V647" s="344">
        <v>2352.6999999999998</v>
      </c>
      <c r="W647" s="344">
        <v>2438.8000000000002</v>
      </c>
      <c r="X647" s="344">
        <v>2320.0333333333301</v>
      </c>
      <c r="Y647" s="344">
        <v>2339.1666666666702</v>
      </c>
      <c r="Z647" s="344">
        <v>2168.36666666667</v>
      </c>
      <c r="AA647" s="344">
        <v>2007.6</v>
      </c>
      <c r="AB647" s="344">
        <v>1999.9</v>
      </c>
      <c r="AC647" s="344">
        <v>2170.2333333333299</v>
      </c>
      <c r="AD647" s="344">
        <f t="shared" si="62"/>
        <v>170.33333333332985</v>
      </c>
      <c r="AE647" s="344">
        <v>51</v>
      </c>
      <c r="AF647" s="344">
        <v>0</v>
      </c>
      <c r="AG647" s="346">
        <v>51</v>
      </c>
      <c r="AH647" s="346">
        <v>51</v>
      </c>
      <c r="AI647" s="346">
        <v>51</v>
      </c>
      <c r="AJ647" s="346">
        <v>51</v>
      </c>
      <c r="AK647" s="346">
        <v>51</v>
      </c>
      <c r="AL647" s="346">
        <v>51</v>
      </c>
      <c r="AM647" s="346">
        <v>51</v>
      </c>
      <c r="AN647" s="346">
        <v>51</v>
      </c>
      <c r="AO647" s="346">
        <v>51</v>
      </c>
      <c r="AP647" s="211">
        <v>51</v>
      </c>
      <c r="AQ647" s="211">
        <v>51</v>
      </c>
      <c r="AR647" s="211">
        <v>51</v>
      </c>
      <c r="AS647" s="211">
        <v>51</v>
      </c>
      <c r="AT647" s="211">
        <v>51</v>
      </c>
      <c r="AU647" s="211">
        <v>51</v>
      </c>
      <c r="AV647" s="211">
        <v>51</v>
      </c>
      <c r="AW647" s="211">
        <v>51</v>
      </c>
      <c r="AX647" s="211">
        <v>51</v>
      </c>
      <c r="AY647" s="211">
        <v>51</v>
      </c>
      <c r="AZ647" s="211">
        <v>51</v>
      </c>
      <c r="BA647" s="211">
        <v>51</v>
      </c>
      <c r="BB647" s="211">
        <v>51</v>
      </c>
      <c r="BC647" s="357" t="s">
        <v>2287</v>
      </c>
    </row>
    <row r="648" spans="1:55" s="381" customFormat="1" ht="17.649999999999999" customHeight="1">
      <c r="A648" s="343">
        <v>216</v>
      </c>
      <c r="B648" s="211" t="s">
        <v>2297</v>
      </c>
      <c r="C648" s="211" t="s">
        <v>2061</v>
      </c>
      <c r="D648" s="211" t="s">
        <v>2283</v>
      </c>
      <c r="E648" s="344">
        <v>14</v>
      </c>
      <c r="F648" s="344">
        <v>11.9</v>
      </c>
      <c r="G648" s="356">
        <v>10.266666666666699</v>
      </c>
      <c r="H648" s="344">
        <v>8.6333333333333293</v>
      </c>
      <c r="I648" s="344">
        <v>9.1</v>
      </c>
      <c r="J648" s="344">
        <v>9.8000000000000007</v>
      </c>
      <c r="K648" s="344">
        <v>9.1</v>
      </c>
      <c r="L648" s="344">
        <f t="shared" si="61"/>
        <v>2.1233333333333335</v>
      </c>
      <c r="M648" s="344">
        <v>11.2</v>
      </c>
      <c r="N648" s="344">
        <v>12.8333333333333</v>
      </c>
      <c r="O648" s="344">
        <v>13.533333333333299</v>
      </c>
      <c r="P648" s="344">
        <v>12.133333333333301</v>
      </c>
      <c r="Q648" s="344">
        <v>16.100000000000001</v>
      </c>
      <c r="R648" s="344">
        <v>14.466666666666701</v>
      </c>
      <c r="S648" s="344">
        <v>14.9333333333333</v>
      </c>
      <c r="T648" s="344">
        <v>14.233333333333301</v>
      </c>
      <c r="U648" s="344">
        <v>11.6666666666667</v>
      </c>
      <c r="V648" s="344">
        <v>9.8000000000000007</v>
      </c>
      <c r="W648" s="344">
        <v>7.7</v>
      </c>
      <c r="X648" s="344">
        <v>6.5333333333333297</v>
      </c>
      <c r="Y648" s="344">
        <v>6.3</v>
      </c>
      <c r="Z648" s="344">
        <v>8.8666666666666707</v>
      </c>
      <c r="AA648" s="344">
        <v>10.266666666666699</v>
      </c>
      <c r="AB648" s="344">
        <v>10.033333333333299</v>
      </c>
      <c r="AC648" s="344">
        <v>10.266666666666699</v>
      </c>
      <c r="AD648" s="344">
        <f t="shared" si="62"/>
        <v>0.23333333333340001</v>
      </c>
      <c r="AE648" s="344">
        <v>35</v>
      </c>
      <c r="AF648" s="344">
        <v>41</v>
      </c>
      <c r="AG648" s="346">
        <v>35</v>
      </c>
      <c r="AH648" s="346">
        <v>17</v>
      </c>
      <c r="AI648" s="346">
        <v>1</v>
      </c>
      <c r="AJ648" s="346">
        <v>28</v>
      </c>
      <c r="AK648" s="346">
        <v>51</v>
      </c>
      <c r="AL648" s="346">
        <v>28</v>
      </c>
      <c r="AM648" s="346">
        <v>16</v>
      </c>
      <c r="AN648" s="346">
        <v>16</v>
      </c>
      <c r="AO648" s="346">
        <v>16</v>
      </c>
      <c r="AP648" s="211">
        <v>51</v>
      </c>
      <c r="AQ648" s="357">
        <v>2</v>
      </c>
      <c r="AR648" s="357">
        <v>3</v>
      </c>
      <c r="AS648" s="357">
        <v>4</v>
      </c>
      <c r="AT648" s="357">
        <v>4</v>
      </c>
      <c r="AU648" s="357">
        <v>40</v>
      </c>
      <c r="AV648" s="357">
        <v>19</v>
      </c>
      <c r="AW648" s="357">
        <v>16</v>
      </c>
      <c r="AX648" s="357">
        <v>2</v>
      </c>
      <c r="AY648" s="357">
        <v>15</v>
      </c>
      <c r="AZ648" s="357">
        <v>34</v>
      </c>
      <c r="BA648" s="357">
        <v>4</v>
      </c>
      <c r="BB648" s="357">
        <v>14</v>
      </c>
      <c r="BC648" s="357">
        <v>24</v>
      </c>
    </row>
    <row r="649" spans="1:55" s="381" customFormat="1" ht="17.649999999999999" customHeight="1">
      <c r="A649" s="343">
        <v>217</v>
      </c>
      <c r="B649" s="211" t="s">
        <v>2298</v>
      </c>
      <c r="C649" s="211" t="s">
        <v>2061</v>
      </c>
      <c r="D649" s="211" t="s">
        <v>2063</v>
      </c>
      <c r="E649" s="344">
        <v>1976</v>
      </c>
      <c r="F649" s="344">
        <v>2803.5</v>
      </c>
      <c r="G649" s="356">
        <v>2611.2333333333299</v>
      </c>
      <c r="H649" s="344">
        <v>2645.0666666666698</v>
      </c>
      <c r="I649" s="344">
        <v>2127.7666666666701</v>
      </c>
      <c r="J649" s="344">
        <v>2505.5333333333301</v>
      </c>
      <c r="K649" s="344">
        <v>2875.36666666667</v>
      </c>
      <c r="L649" s="344">
        <f t="shared" si="61"/>
        <v>496.47888888888974</v>
      </c>
      <c r="M649" s="344">
        <v>2495.7333333333299</v>
      </c>
      <c r="N649" s="344">
        <v>3985.8</v>
      </c>
      <c r="O649" s="344">
        <v>2657.9</v>
      </c>
      <c r="P649" s="344">
        <v>2103.9666666666699</v>
      </c>
      <c r="Q649" s="344">
        <v>2859.0333333333301</v>
      </c>
      <c r="R649" s="344">
        <v>1655.2666666666701</v>
      </c>
      <c r="S649" s="344">
        <v>2622.9</v>
      </c>
      <c r="T649" s="344">
        <v>2631.5333333333301</v>
      </c>
      <c r="U649" s="344">
        <v>2556.4</v>
      </c>
      <c r="V649" s="344">
        <v>2518.13333333333</v>
      </c>
      <c r="W649" s="344">
        <v>2132.4333333333302</v>
      </c>
      <c r="X649" s="344">
        <v>2238.13333333333</v>
      </c>
      <c r="Y649" s="344">
        <v>2741.2</v>
      </c>
      <c r="Z649" s="344">
        <v>2560.6</v>
      </c>
      <c r="AA649" s="344">
        <v>3238.4333333333302</v>
      </c>
      <c r="AB649" s="344">
        <v>2033.7333333333299</v>
      </c>
      <c r="AC649" s="344">
        <v>2877.4666666666699</v>
      </c>
      <c r="AD649" s="344">
        <f t="shared" si="62"/>
        <v>843.73333333333994</v>
      </c>
      <c r="AE649" s="344">
        <v>51</v>
      </c>
      <c r="AF649" s="344">
        <v>0</v>
      </c>
      <c r="AG649" s="346">
        <v>51</v>
      </c>
      <c r="AH649" s="346">
        <v>51</v>
      </c>
      <c r="AI649" s="346">
        <v>51</v>
      </c>
      <c r="AJ649" s="346">
        <v>51</v>
      </c>
      <c r="AK649" s="346">
        <v>44</v>
      </c>
      <c r="AL649" s="346">
        <v>51</v>
      </c>
      <c r="AM649" s="346">
        <v>33</v>
      </c>
      <c r="AN649" s="346">
        <v>22</v>
      </c>
      <c r="AO649" s="346">
        <v>22</v>
      </c>
      <c r="AP649" s="357">
        <v>13</v>
      </c>
      <c r="AQ649" s="357">
        <v>22</v>
      </c>
      <c r="AR649" s="357">
        <v>39</v>
      </c>
      <c r="AS649" s="357">
        <v>9</v>
      </c>
      <c r="AT649" s="357">
        <v>10</v>
      </c>
      <c r="AU649" s="357">
        <v>13</v>
      </c>
      <c r="AV649" s="357">
        <v>12</v>
      </c>
      <c r="AW649" s="211">
        <v>51</v>
      </c>
      <c r="AX649" s="357">
        <v>10</v>
      </c>
      <c r="AY649" s="357">
        <v>38</v>
      </c>
      <c r="AZ649" s="357">
        <v>25</v>
      </c>
      <c r="BA649" s="357">
        <v>19</v>
      </c>
      <c r="BB649" s="357">
        <v>7</v>
      </c>
      <c r="BC649" s="357">
        <v>1</v>
      </c>
    </row>
    <row r="650" spans="1:55" s="381" customFormat="1" ht="17.649999999999999" customHeight="1">
      <c r="A650" s="343">
        <v>218</v>
      </c>
      <c r="B650" s="211" t="s">
        <v>2299</v>
      </c>
      <c r="C650" s="211" t="s">
        <v>2061</v>
      </c>
      <c r="D650" s="211" t="s">
        <v>2063</v>
      </c>
      <c r="E650" s="344">
        <v>503</v>
      </c>
      <c r="F650" s="344">
        <v>503.066666666667</v>
      </c>
      <c r="G650" s="356">
        <v>499.1</v>
      </c>
      <c r="H650" s="344">
        <v>467.36666666666702</v>
      </c>
      <c r="I650" s="344">
        <v>366.566666666667</v>
      </c>
      <c r="J650" s="344">
        <v>337.63333333333298</v>
      </c>
      <c r="K650" s="344">
        <v>281.63333333333298</v>
      </c>
      <c r="L650" s="344">
        <f t="shared" si="61"/>
        <v>85.532222222222302</v>
      </c>
      <c r="M650" s="344">
        <v>221.9</v>
      </c>
      <c r="N650" s="344">
        <v>211.63333333333301</v>
      </c>
      <c r="O650" s="344">
        <v>222.6</v>
      </c>
      <c r="P650" s="344">
        <v>212.8</v>
      </c>
      <c r="Q650" s="344">
        <v>207.433333333333</v>
      </c>
      <c r="R650" s="344">
        <v>189.46666666666701</v>
      </c>
      <c r="S650" s="344">
        <v>119.7</v>
      </c>
      <c r="T650" s="344">
        <v>72.566666666666706</v>
      </c>
      <c r="U650" s="344">
        <v>54.133333333333297</v>
      </c>
      <c r="V650" s="344">
        <v>34.299999999999997</v>
      </c>
      <c r="W650" s="344">
        <v>24.966666666666701</v>
      </c>
      <c r="X650" s="344">
        <v>18.899999999999999</v>
      </c>
      <c r="Y650" s="344">
        <v>15.1666666666667</v>
      </c>
      <c r="Z650" s="344">
        <v>11.9</v>
      </c>
      <c r="AA650" s="344">
        <v>13.533333333333299</v>
      </c>
      <c r="AB650" s="344">
        <v>13.0666666666667</v>
      </c>
      <c r="AC650" s="344">
        <v>13.3</v>
      </c>
      <c r="AD650" s="344">
        <f t="shared" si="62"/>
        <v>0.23333333333330053</v>
      </c>
      <c r="AE650" s="344">
        <v>51</v>
      </c>
      <c r="AF650" s="344">
        <v>0</v>
      </c>
      <c r="AG650" s="346">
        <v>9</v>
      </c>
      <c r="AH650" s="346">
        <v>1</v>
      </c>
      <c r="AI650" s="346">
        <v>51</v>
      </c>
      <c r="AJ650" s="346">
        <v>2</v>
      </c>
      <c r="AK650" s="346">
        <v>12</v>
      </c>
      <c r="AL650" s="346">
        <v>2</v>
      </c>
      <c r="AM650" s="346">
        <v>41</v>
      </c>
      <c r="AN650" s="346">
        <v>11</v>
      </c>
      <c r="AO650" s="346">
        <v>11</v>
      </c>
      <c r="AP650" s="357">
        <v>10</v>
      </c>
      <c r="AQ650" s="357">
        <v>10</v>
      </c>
      <c r="AR650" s="211">
        <v>51</v>
      </c>
      <c r="AS650" s="357">
        <v>4</v>
      </c>
      <c r="AT650" s="357">
        <v>13</v>
      </c>
      <c r="AU650" s="357">
        <v>10</v>
      </c>
      <c r="AV650" s="357">
        <v>9</v>
      </c>
      <c r="AW650" s="357">
        <v>7</v>
      </c>
      <c r="AX650" s="357">
        <v>7</v>
      </c>
      <c r="AY650" s="211">
        <v>51</v>
      </c>
      <c r="AZ650" s="357">
        <v>7</v>
      </c>
      <c r="BA650" s="357">
        <v>8</v>
      </c>
      <c r="BB650" s="357">
        <v>8</v>
      </c>
      <c r="BC650" s="357">
        <v>8</v>
      </c>
    </row>
    <row r="651" spans="1:55" s="381" customFormat="1" ht="17.649999999999999" customHeight="1">
      <c r="A651" s="343">
        <v>219</v>
      </c>
      <c r="B651" s="211" t="s">
        <v>2300</v>
      </c>
      <c r="C651" s="211" t="s">
        <v>2061</v>
      </c>
      <c r="D651" s="211" t="s">
        <v>2063</v>
      </c>
      <c r="E651" s="344">
        <v>1567</v>
      </c>
      <c r="F651" s="344">
        <v>1546.06666666667</v>
      </c>
      <c r="G651" s="356">
        <v>1951.8333333333301</v>
      </c>
      <c r="H651" s="344">
        <v>2110.7333333333299</v>
      </c>
      <c r="I651" s="344">
        <v>2361.8000000000002</v>
      </c>
      <c r="J651" s="344">
        <v>2432.0333333333301</v>
      </c>
      <c r="K651" s="344">
        <v>2169.0666666666698</v>
      </c>
      <c r="L651" s="344">
        <f t="shared" si="61"/>
        <v>551.0866666666667</v>
      </c>
      <c r="M651" s="344">
        <v>2078.3000000000002</v>
      </c>
      <c r="N651" s="344">
        <v>1844.0333333333299</v>
      </c>
      <c r="O651" s="344">
        <v>1652.93333333333</v>
      </c>
      <c r="P651" s="344">
        <v>1165.2666666666701</v>
      </c>
      <c r="Q651" s="344">
        <v>1016.63333333333</v>
      </c>
      <c r="R651" s="344">
        <v>921.66666666666697</v>
      </c>
      <c r="S651" s="344">
        <v>741.76666666666699</v>
      </c>
      <c r="T651" s="344">
        <v>631.86666666666702</v>
      </c>
      <c r="U651" s="344">
        <v>487.433333333333</v>
      </c>
      <c r="V651" s="344">
        <v>403.2</v>
      </c>
      <c r="W651" s="344">
        <v>425.13333333333298</v>
      </c>
      <c r="X651" s="344">
        <v>319.2</v>
      </c>
      <c r="Y651" s="344">
        <v>374.96666666666698</v>
      </c>
      <c r="Z651" s="344">
        <v>501.66666666666703</v>
      </c>
      <c r="AA651" s="344">
        <v>492.8</v>
      </c>
      <c r="AB651" s="344">
        <v>452.433333333333</v>
      </c>
      <c r="AC651" s="344">
        <v>403.9</v>
      </c>
      <c r="AD651" s="344">
        <f t="shared" si="62"/>
        <v>-48.533333333333019</v>
      </c>
      <c r="AE651" s="344">
        <v>27</v>
      </c>
      <c r="AF651" s="344">
        <v>3</v>
      </c>
      <c r="AG651" s="346">
        <v>1</v>
      </c>
      <c r="AH651" s="346">
        <v>11</v>
      </c>
      <c r="AI651" s="346">
        <v>22</v>
      </c>
      <c r="AJ651" s="346">
        <v>35</v>
      </c>
      <c r="AK651" s="346">
        <v>1</v>
      </c>
      <c r="AL651" s="346">
        <v>35</v>
      </c>
      <c r="AM651" s="346">
        <v>11</v>
      </c>
      <c r="AN651" s="346">
        <v>6</v>
      </c>
      <c r="AO651" s="346">
        <v>6</v>
      </c>
      <c r="AP651" s="357">
        <v>22</v>
      </c>
      <c r="AQ651" s="357">
        <v>1</v>
      </c>
      <c r="AR651" s="357">
        <v>1</v>
      </c>
      <c r="AS651" s="357">
        <v>1</v>
      </c>
      <c r="AT651" s="357">
        <v>1</v>
      </c>
      <c r="AU651" s="357">
        <v>1</v>
      </c>
      <c r="AV651" s="357">
        <v>2</v>
      </c>
      <c r="AW651" s="357">
        <v>3</v>
      </c>
      <c r="AX651" s="357">
        <v>3</v>
      </c>
      <c r="AY651" s="357">
        <v>3</v>
      </c>
      <c r="AZ651" s="357">
        <v>1</v>
      </c>
      <c r="BA651" s="357">
        <v>1</v>
      </c>
      <c r="BB651" s="357">
        <v>1</v>
      </c>
      <c r="BC651" s="357">
        <v>1</v>
      </c>
    </row>
    <row r="652" spans="1:55" s="381" customFormat="1" ht="17.649999999999999" customHeight="1">
      <c r="A652" s="343">
        <v>220</v>
      </c>
      <c r="B652" s="211" t="s">
        <v>2301</v>
      </c>
      <c r="C652" s="211" t="s">
        <v>2061</v>
      </c>
      <c r="D652" s="211" t="s">
        <v>2283</v>
      </c>
      <c r="E652" s="344">
        <v>97</v>
      </c>
      <c r="F652" s="344">
        <v>98.933333333333294</v>
      </c>
      <c r="G652" s="356">
        <v>90.766666666666694</v>
      </c>
      <c r="H652" s="344">
        <v>86.8</v>
      </c>
      <c r="I652" s="344">
        <v>79.3333333333333</v>
      </c>
      <c r="J652" s="344">
        <v>72.099999999999994</v>
      </c>
      <c r="K652" s="344">
        <v>62.3</v>
      </c>
      <c r="L652" s="344">
        <f t="shared" si="61"/>
        <v>18.511111111111106</v>
      </c>
      <c r="M652" s="344">
        <v>49.7</v>
      </c>
      <c r="N652" s="344">
        <v>72.8</v>
      </c>
      <c r="O652" s="344">
        <v>88.6666666666667</v>
      </c>
      <c r="P652" s="344">
        <v>102.9</v>
      </c>
      <c r="Q652" s="344">
        <v>116.666666666667</v>
      </c>
      <c r="R652" s="344">
        <v>116.2</v>
      </c>
      <c r="S652" s="344">
        <v>424.66666666666703</v>
      </c>
      <c r="T652" s="344">
        <v>765.8</v>
      </c>
      <c r="U652" s="344">
        <v>759.26666666666699</v>
      </c>
      <c r="V652" s="344">
        <v>755.06666666666695</v>
      </c>
      <c r="W652" s="344">
        <v>2986.6666666666702</v>
      </c>
      <c r="X652" s="344">
        <v>2915.2666666666701</v>
      </c>
      <c r="Y652" s="344">
        <v>2911.7666666666701</v>
      </c>
      <c r="Z652" s="344">
        <v>2917.13333333333</v>
      </c>
      <c r="AA652" s="344">
        <v>1233.63333333333</v>
      </c>
      <c r="AB652" s="344">
        <v>89.133333333333297</v>
      </c>
      <c r="AC652" s="344">
        <v>72.566666666666706</v>
      </c>
      <c r="AD652" s="344">
        <f t="shared" si="62"/>
        <v>-16.566666666666592</v>
      </c>
      <c r="AE652" s="344">
        <v>40</v>
      </c>
      <c r="AF652" s="344">
        <v>0</v>
      </c>
      <c r="AG652" s="346">
        <v>51</v>
      </c>
      <c r="AH652" s="346">
        <v>51</v>
      </c>
      <c r="AI652" s="346">
        <v>51</v>
      </c>
      <c r="AJ652" s="346">
        <v>51</v>
      </c>
      <c r="AK652" s="346">
        <v>51</v>
      </c>
      <c r="AL652" s="346">
        <v>51</v>
      </c>
      <c r="AM652" s="346">
        <v>51</v>
      </c>
      <c r="AN652" s="346">
        <v>51</v>
      </c>
      <c r="AO652" s="346">
        <v>51</v>
      </c>
      <c r="AP652" s="211">
        <v>51</v>
      </c>
      <c r="AQ652" s="211">
        <v>51</v>
      </c>
      <c r="AR652" s="211">
        <v>51</v>
      </c>
      <c r="AS652" s="357">
        <v>22</v>
      </c>
      <c r="AT652" s="357">
        <v>23</v>
      </c>
      <c r="AU652" s="357">
        <v>9</v>
      </c>
      <c r="AV652" s="357">
        <v>9</v>
      </c>
      <c r="AW652" s="211">
        <v>51</v>
      </c>
      <c r="AX652" s="357">
        <v>6</v>
      </c>
      <c r="AY652" s="357">
        <v>24</v>
      </c>
      <c r="AZ652" s="357">
        <v>11</v>
      </c>
      <c r="BA652" s="357">
        <v>19</v>
      </c>
      <c r="BB652" s="357">
        <v>18</v>
      </c>
      <c r="BC652" s="357" t="s">
        <v>2287</v>
      </c>
    </row>
    <row r="653" spans="1:55" s="381" customFormat="1" ht="17.649999999999999" customHeight="1">
      <c r="A653" s="343">
        <v>221</v>
      </c>
      <c r="B653" s="211" t="s">
        <v>2302</v>
      </c>
      <c r="C653" s="211" t="s">
        <v>2061</v>
      </c>
      <c r="D653" s="211" t="s">
        <v>2063</v>
      </c>
      <c r="E653" s="344">
        <v>520</v>
      </c>
      <c r="F653" s="344">
        <v>461.76666666666699</v>
      </c>
      <c r="G653" s="356">
        <v>434.933333333333</v>
      </c>
      <c r="H653" s="344">
        <v>361.433333333333</v>
      </c>
      <c r="I653" s="344">
        <v>273.46666666666698</v>
      </c>
      <c r="J653" s="344">
        <v>243.833333333333</v>
      </c>
      <c r="K653" s="344">
        <v>232.63333333333301</v>
      </c>
      <c r="L653" s="344">
        <f t="shared" si="61"/>
        <v>63.808888888888966</v>
      </c>
      <c r="M653" s="344">
        <v>197.4</v>
      </c>
      <c r="N653" s="344">
        <v>188.066666666667</v>
      </c>
      <c r="O653" s="344">
        <v>192.73333333333301</v>
      </c>
      <c r="P653" s="344">
        <v>242.9</v>
      </c>
      <c r="Q653" s="344">
        <v>278.36666666666702</v>
      </c>
      <c r="R653" s="344">
        <v>262.03333333333302</v>
      </c>
      <c r="S653" s="344">
        <v>244.53333333333299</v>
      </c>
      <c r="T653" s="344">
        <v>219.333333333333</v>
      </c>
      <c r="U653" s="344">
        <v>208.6</v>
      </c>
      <c r="V653" s="344">
        <v>196.46666666666701</v>
      </c>
      <c r="W653" s="344">
        <v>199.96666666666701</v>
      </c>
      <c r="X653" s="344">
        <v>195.76666666666699</v>
      </c>
      <c r="Y653" s="344">
        <v>181.066666666667</v>
      </c>
      <c r="Z653" s="344">
        <v>172.666666666667</v>
      </c>
      <c r="AA653" s="344">
        <v>245.46666666666701</v>
      </c>
      <c r="AB653" s="344">
        <v>265.3</v>
      </c>
      <c r="AC653" s="344">
        <v>270.2</v>
      </c>
      <c r="AD653" s="344">
        <f t="shared" si="62"/>
        <v>4.8999999999999773</v>
      </c>
      <c r="AE653" s="344">
        <v>51</v>
      </c>
      <c r="AF653" s="344">
        <v>0</v>
      </c>
      <c r="AG653" s="346">
        <v>51</v>
      </c>
      <c r="AH653" s="346">
        <v>51</v>
      </c>
      <c r="AI653" s="346">
        <v>51</v>
      </c>
      <c r="AJ653" s="346">
        <v>51</v>
      </c>
      <c r="AK653" s="346">
        <v>51</v>
      </c>
      <c r="AL653" s="346">
        <v>51</v>
      </c>
      <c r="AM653" s="346">
        <v>51</v>
      </c>
      <c r="AN653" s="346">
        <v>51</v>
      </c>
      <c r="AO653" s="346">
        <v>51</v>
      </c>
      <c r="AP653" s="211">
        <v>51</v>
      </c>
      <c r="AQ653" s="211">
        <v>51</v>
      </c>
      <c r="AR653" s="211">
        <v>51</v>
      </c>
      <c r="AS653" s="211">
        <v>51</v>
      </c>
      <c r="AT653" s="211">
        <v>51</v>
      </c>
      <c r="AU653" s="211">
        <v>51</v>
      </c>
      <c r="AV653" s="211">
        <v>51</v>
      </c>
      <c r="AW653" s="211">
        <v>51</v>
      </c>
      <c r="AX653" s="211">
        <v>51</v>
      </c>
      <c r="AY653" s="211">
        <v>51</v>
      </c>
      <c r="AZ653" s="211">
        <v>51</v>
      </c>
      <c r="BA653" s="211">
        <v>51</v>
      </c>
      <c r="BB653" s="211">
        <v>51</v>
      </c>
      <c r="BC653" s="357" t="s">
        <v>2287</v>
      </c>
    </row>
    <row r="654" spans="1:55" s="381" customFormat="1" ht="17.649999999999999" customHeight="1">
      <c r="A654" s="343">
        <v>222</v>
      </c>
      <c r="B654" s="211" t="s">
        <v>2303</v>
      </c>
      <c r="C654" s="211" t="s">
        <v>2061</v>
      </c>
      <c r="D654" s="211" t="s">
        <v>2063</v>
      </c>
      <c r="E654" s="344">
        <v>704</v>
      </c>
      <c r="F654" s="344">
        <v>630.93333333333305</v>
      </c>
      <c r="G654" s="356">
        <v>723.33333333333303</v>
      </c>
      <c r="H654" s="344">
        <v>1039.0333333333299</v>
      </c>
      <c r="I654" s="344">
        <v>3114.7666666666701</v>
      </c>
      <c r="J654" s="344">
        <v>4157.3</v>
      </c>
      <c r="K654" s="344">
        <v>4707.2666666666701</v>
      </c>
      <c r="L654" s="344">
        <f t="shared" si="61"/>
        <v>726.7788888888897</v>
      </c>
      <c r="M654" s="344">
        <v>5167.3999999999996</v>
      </c>
      <c r="N654" s="344">
        <v>5947.6666666666697</v>
      </c>
      <c r="O654" s="344">
        <v>5072.4333333333298</v>
      </c>
      <c r="P654" s="344">
        <v>8312.5</v>
      </c>
      <c r="Q654" s="344">
        <v>9836.8666666666704</v>
      </c>
      <c r="R654" s="344">
        <v>9476.8333333333303</v>
      </c>
      <c r="S654" s="344">
        <v>41943.533333333296</v>
      </c>
      <c r="T654" s="344">
        <v>65587.199999999997</v>
      </c>
      <c r="U654" s="344">
        <v>85518.066666666695</v>
      </c>
      <c r="V654" s="344">
        <v>93646.7</v>
      </c>
      <c r="W654" s="344">
        <v>75818.866666666698</v>
      </c>
      <c r="X654" s="344">
        <v>64352.633333333302</v>
      </c>
      <c r="Y654" s="344">
        <v>59981.833333333299</v>
      </c>
      <c r="Z654" s="344">
        <v>66340.399999999994</v>
      </c>
      <c r="AA654" s="344">
        <v>81747.399999999994</v>
      </c>
      <c r="AB654" s="344">
        <v>84924</v>
      </c>
      <c r="AC654" s="344">
        <v>72920.633333333302</v>
      </c>
      <c r="AD654" s="344">
        <f t="shared" si="62"/>
        <v>-12003.366666666698</v>
      </c>
      <c r="AE654" s="344">
        <v>51</v>
      </c>
      <c r="AF654" s="344">
        <v>0</v>
      </c>
      <c r="AG654" s="346">
        <v>51</v>
      </c>
      <c r="AH654" s="346">
        <v>51</v>
      </c>
      <c r="AI654" s="346">
        <v>51</v>
      </c>
      <c r="AJ654" s="346">
        <v>51</v>
      </c>
      <c r="AK654" s="346">
        <v>51</v>
      </c>
      <c r="AL654" s="346">
        <v>51</v>
      </c>
      <c r="AM654" s="346">
        <v>51</v>
      </c>
      <c r="AN654" s="346">
        <v>51</v>
      </c>
      <c r="AO654" s="346">
        <v>51</v>
      </c>
      <c r="AP654" s="211">
        <v>51</v>
      </c>
      <c r="AQ654" s="211">
        <v>51</v>
      </c>
      <c r="AR654" s="211">
        <v>51</v>
      </c>
      <c r="AS654" s="211">
        <v>51</v>
      </c>
      <c r="AT654" s="357">
        <v>7</v>
      </c>
      <c r="AU654" s="211">
        <v>51</v>
      </c>
      <c r="AV654" s="211">
        <v>51</v>
      </c>
      <c r="AW654" s="211">
        <v>51</v>
      </c>
      <c r="AX654" s="211">
        <v>51</v>
      </c>
      <c r="AY654" s="211">
        <v>51</v>
      </c>
      <c r="AZ654" s="211">
        <v>51</v>
      </c>
      <c r="BA654" s="211">
        <v>51</v>
      </c>
      <c r="BB654" s="357">
        <v>5</v>
      </c>
      <c r="BC654" s="357">
        <v>5</v>
      </c>
    </row>
    <row r="655" spans="1:55" s="381" customFormat="1" ht="17.649999999999999" customHeight="1">
      <c r="A655" s="343">
        <v>223</v>
      </c>
      <c r="B655" s="211" t="s">
        <v>2304</v>
      </c>
      <c r="C655" s="211" t="s">
        <v>2061</v>
      </c>
      <c r="D655" s="211" t="s">
        <v>2063</v>
      </c>
      <c r="E655" s="344">
        <v>507</v>
      </c>
      <c r="F655" s="344">
        <v>505.16666666666703</v>
      </c>
      <c r="G655" s="356">
        <v>474.13333333333298</v>
      </c>
      <c r="H655" s="344">
        <v>451.26666666666699</v>
      </c>
      <c r="I655" s="344">
        <v>421.63333333333298</v>
      </c>
      <c r="J655" s="344">
        <v>401.566666666667</v>
      </c>
      <c r="K655" s="344">
        <v>366.8</v>
      </c>
      <c r="L655" s="344">
        <f t="shared" si="61"/>
        <v>98.381111111111039</v>
      </c>
      <c r="M655" s="344">
        <v>334.36666666666702</v>
      </c>
      <c r="N655" s="344">
        <v>424.66666666666703</v>
      </c>
      <c r="O655" s="344">
        <v>495.13333333333298</v>
      </c>
      <c r="P655" s="344">
        <v>594.06666666666695</v>
      </c>
      <c r="Q655" s="344">
        <v>629.29999999999995</v>
      </c>
      <c r="R655" s="344">
        <v>612.5</v>
      </c>
      <c r="S655" s="344">
        <v>593.6</v>
      </c>
      <c r="T655" s="344">
        <v>565.36666666666702</v>
      </c>
      <c r="U655" s="344">
        <v>524.29999999999995</v>
      </c>
      <c r="V655" s="344">
        <v>477.63333333333298</v>
      </c>
      <c r="W655" s="344">
        <v>395.03333333333302</v>
      </c>
      <c r="X655" s="344">
        <v>354.433333333333</v>
      </c>
      <c r="Y655" s="344">
        <v>339.96666666666698</v>
      </c>
      <c r="Z655" s="344">
        <v>344.4</v>
      </c>
      <c r="AA655" s="344">
        <v>360.26666666666699</v>
      </c>
      <c r="AB655" s="344">
        <v>352.566666666667</v>
      </c>
      <c r="AC655" s="344">
        <v>350.46666666666698</v>
      </c>
      <c r="AD655" s="344">
        <f t="shared" si="62"/>
        <v>-2.1000000000000227</v>
      </c>
      <c r="AE655" s="344">
        <v>51</v>
      </c>
      <c r="AF655" s="344">
        <v>0</v>
      </c>
      <c r="AG655" s="346">
        <v>51</v>
      </c>
      <c r="AH655" s="346">
        <v>51</v>
      </c>
      <c r="AI655" s="346">
        <v>51</v>
      </c>
      <c r="AJ655" s="346">
        <v>51</v>
      </c>
      <c r="AK655" s="346">
        <v>51</v>
      </c>
      <c r="AL655" s="346">
        <v>51</v>
      </c>
      <c r="AM655" s="346">
        <v>51</v>
      </c>
      <c r="AN655" s="346">
        <v>51</v>
      </c>
      <c r="AO655" s="346">
        <v>51</v>
      </c>
      <c r="AP655" s="211">
        <v>51</v>
      </c>
      <c r="AQ655" s="211">
        <v>51</v>
      </c>
      <c r="AR655" s="211">
        <v>51</v>
      </c>
      <c r="AS655" s="211">
        <v>51</v>
      </c>
      <c r="AT655" s="357">
        <v>13</v>
      </c>
      <c r="AU655" s="211">
        <v>51</v>
      </c>
      <c r="AV655" s="211">
        <v>51</v>
      </c>
      <c r="AW655" s="211">
        <v>51</v>
      </c>
      <c r="AX655" s="211">
        <v>51</v>
      </c>
      <c r="AY655" s="357">
        <v>25</v>
      </c>
      <c r="AZ655" s="211">
        <v>51</v>
      </c>
      <c r="BA655" s="211">
        <v>51</v>
      </c>
      <c r="BB655" s="211">
        <v>51</v>
      </c>
      <c r="BC655" s="357" t="s">
        <v>2287</v>
      </c>
    </row>
    <row r="656" spans="1:55" s="381" customFormat="1" ht="17.649999999999999" customHeight="1">
      <c r="A656" s="343">
        <v>224</v>
      </c>
      <c r="B656" s="211" t="s">
        <v>2305</v>
      </c>
      <c r="C656" s="211" t="s">
        <v>2061</v>
      </c>
      <c r="D656" s="211" t="s">
        <v>2063</v>
      </c>
      <c r="E656" s="344">
        <v>503</v>
      </c>
      <c r="F656" s="344">
        <v>547.4</v>
      </c>
      <c r="G656" s="356">
        <v>577.26666666666699</v>
      </c>
      <c r="H656" s="344">
        <v>543.43333333333305</v>
      </c>
      <c r="I656" s="344">
        <v>478.1</v>
      </c>
      <c r="J656" s="344">
        <v>392.7</v>
      </c>
      <c r="K656" s="344">
        <v>439.36666666666702</v>
      </c>
      <c r="L656" s="344">
        <f t="shared" si="61"/>
        <v>111.55666666666667</v>
      </c>
      <c r="M656" s="344">
        <v>409.5</v>
      </c>
      <c r="N656" s="344">
        <v>525.70000000000005</v>
      </c>
      <c r="O656" s="344">
        <v>407.4</v>
      </c>
      <c r="P656" s="344">
        <v>568.16666666666697</v>
      </c>
      <c r="Q656" s="344">
        <v>588.70000000000005</v>
      </c>
      <c r="R656" s="344">
        <v>505.16666666666703</v>
      </c>
      <c r="S656" s="344">
        <v>454.3</v>
      </c>
      <c r="T656" s="344">
        <v>970.9</v>
      </c>
      <c r="U656" s="344">
        <v>1110.9000000000001</v>
      </c>
      <c r="V656" s="344">
        <v>1088.7333333333299</v>
      </c>
      <c r="W656" s="344">
        <v>1034.8333333333301</v>
      </c>
      <c r="X656" s="344">
        <v>1005.43333333333</v>
      </c>
      <c r="Y656" s="344">
        <v>174.3</v>
      </c>
      <c r="Z656" s="344">
        <v>179.2</v>
      </c>
      <c r="AA656" s="344">
        <v>199.96666666666701</v>
      </c>
      <c r="AB656" s="344">
        <v>194.13333333333301</v>
      </c>
      <c r="AC656" s="344">
        <v>192.26666666666699</v>
      </c>
      <c r="AD656" s="344">
        <f t="shared" si="62"/>
        <v>-1.8666666666660205</v>
      </c>
      <c r="AE656" s="344">
        <v>51</v>
      </c>
      <c r="AF656" s="344" t="s">
        <v>2457</v>
      </c>
      <c r="AG656" s="346">
        <v>51</v>
      </c>
      <c r="AH656" s="346">
        <v>1</v>
      </c>
      <c r="AI656" s="346">
        <v>5</v>
      </c>
      <c r="AJ656" s="346">
        <v>10</v>
      </c>
      <c r="AK656" s="346">
        <v>7</v>
      </c>
      <c r="AL656" s="346">
        <v>10</v>
      </c>
      <c r="AM656" s="346">
        <v>1</v>
      </c>
      <c r="AN656" s="346">
        <v>1</v>
      </c>
      <c r="AO656" s="346">
        <v>1</v>
      </c>
      <c r="AP656" s="346">
        <v>1</v>
      </c>
      <c r="AQ656" s="357">
        <v>10</v>
      </c>
      <c r="AR656" s="357">
        <v>1</v>
      </c>
      <c r="AS656" s="357">
        <v>1</v>
      </c>
      <c r="AT656" s="357">
        <v>6</v>
      </c>
      <c r="AU656" s="357">
        <v>1</v>
      </c>
      <c r="AV656" s="357">
        <v>1</v>
      </c>
      <c r="AW656" s="357">
        <v>1</v>
      </c>
      <c r="AX656" s="357">
        <v>1</v>
      </c>
      <c r="AY656" s="357">
        <v>1</v>
      </c>
      <c r="AZ656" s="357">
        <v>2</v>
      </c>
      <c r="BA656" s="357">
        <v>2</v>
      </c>
      <c r="BB656" s="357">
        <v>5</v>
      </c>
      <c r="BC656" s="357">
        <v>5</v>
      </c>
    </row>
    <row r="657" spans="1:55" s="381" customFormat="1" ht="17.649999999999999" customHeight="1">
      <c r="A657" s="343">
        <v>225</v>
      </c>
      <c r="B657" s="211" t="s">
        <v>2306</v>
      </c>
      <c r="C657" s="211" t="s">
        <v>2061</v>
      </c>
      <c r="D657" s="211" t="s">
        <v>2283</v>
      </c>
      <c r="E657" s="344">
        <v>24</v>
      </c>
      <c r="F657" s="344">
        <v>24.033333333333299</v>
      </c>
      <c r="G657" s="356">
        <v>20.066666666666698</v>
      </c>
      <c r="H657" s="344">
        <v>17.733333333333299</v>
      </c>
      <c r="I657" s="344">
        <v>12.366666666666699</v>
      </c>
      <c r="J657" s="344">
        <v>9.56666666666667</v>
      </c>
      <c r="K657" s="344">
        <v>6.7666666666666702</v>
      </c>
      <c r="L657" s="344">
        <f t="shared" si="61"/>
        <v>2.8855555555555634</v>
      </c>
      <c r="M657" s="344">
        <v>9.56666666666667</v>
      </c>
      <c r="N657" s="344">
        <v>12.366666666666699</v>
      </c>
      <c r="O657" s="344">
        <v>13.0666666666667</v>
      </c>
      <c r="P657" s="344">
        <v>13.0666666666667</v>
      </c>
      <c r="Q657" s="344">
        <v>14.466666666666701</v>
      </c>
      <c r="R657" s="344">
        <v>11.9</v>
      </c>
      <c r="S657" s="344">
        <v>11.2</v>
      </c>
      <c r="T657" s="344">
        <v>10.266666666666699</v>
      </c>
      <c r="U657" s="344">
        <v>5.8333333333333304</v>
      </c>
      <c r="V657" s="344">
        <v>7</v>
      </c>
      <c r="W657" s="344">
        <v>10.266666666666699</v>
      </c>
      <c r="X657" s="344">
        <v>11.2</v>
      </c>
      <c r="Y657" s="344">
        <v>12.133333333333301</v>
      </c>
      <c r="Z657" s="344">
        <v>14.233333333333301</v>
      </c>
      <c r="AA657" s="344">
        <v>13.3</v>
      </c>
      <c r="AB657" s="344">
        <v>12.366666666666699</v>
      </c>
      <c r="AC657" s="344">
        <v>11.6666666666667</v>
      </c>
      <c r="AD657" s="344">
        <f t="shared" si="62"/>
        <v>-0.69999999999999929</v>
      </c>
      <c r="AE657" s="344">
        <v>6</v>
      </c>
      <c r="AF657" s="344">
        <v>5</v>
      </c>
      <c r="AG657" s="346">
        <v>2</v>
      </c>
      <c r="AH657" s="346">
        <v>1</v>
      </c>
      <c r="AI657" s="346">
        <v>1</v>
      </c>
      <c r="AJ657" s="346">
        <v>9</v>
      </c>
      <c r="AK657" s="346">
        <v>1</v>
      </c>
      <c r="AL657" s="346">
        <v>9</v>
      </c>
      <c r="AM657" s="346">
        <v>9</v>
      </c>
      <c r="AN657" s="346">
        <v>10</v>
      </c>
      <c r="AO657" s="346">
        <v>10</v>
      </c>
      <c r="AP657" s="346">
        <v>5</v>
      </c>
      <c r="AQ657" s="357">
        <v>1</v>
      </c>
      <c r="AR657" s="357">
        <v>2</v>
      </c>
      <c r="AS657" s="357">
        <v>10</v>
      </c>
      <c r="AT657" s="357">
        <v>8</v>
      </c>
      <c r="AU657" s="357">
        <v>2</v>
      </c>
      <c r="AV657" s="357">
        <v>3</v>
      </c>
      <c r="AW657" s="357">
        <v>3</v>
      </c>
      <c r="AX657" s="357">
        <v>13</v>
      </c>
      <c r="AY657" s="357">
        <v>3</v>
      </c>
      <c r="AZ657" s="357">
        <v>2</v>
      </c>
      <c r="BA657" s="357">
        <v>3</v>
      </c>
      <c r="BB657" s="357">
        <v>9</v>
      </c>
      <c r="BC657" s="357">
        <v>9</v>
      </c>
    </row>
    <row r="658" spans="1:55" s="381" customFormat="1" ht="17.649999999999999" customHeight="1">
      <c r="A658" s="343">
        <v>226</v>
      </c>
      <c r="B658" s="211" t="s">
        <v>2307</v>
      </c>
      <c r="C658" s="211" t="s">
        <v>2061</v>
      </c>
      <c r="D658" s="211" t="s">
        <v>2283</v>
      </c>
      <c r="E658" s="344">
        <v>118</v>
      </c>
      <c r="F658" s="344">
        <v>117.366666666667</v>
      </c>
      <c r="G658" s="356">
        <v>117.833333333333</v>
      </c>
      <c r="H658" s="344">
        <v>111.533333333333</v>
      </c>
      <c r="I658" s="344">
        <v>103.366666666667</v>
      </c>
      <c r="J658" s="344">
        <v>94.033333333333303</v>
      </c>
      <c r="K658" s="344">
        <v>76.533333333333303</v>
      </c>
      <c r="L658" s="344">
        <f t="shared" si="61"/>
        <v>24.118888888888968</v>
      </c>
      <c r="M658" s="344">
        <v>112.7</v>
      </c>
      <c r="N658" s="344">
        <v>132.53333333333299</v>
      </c>
      <c r="O658" s="344">
        <v>143.96666666666701</v>
      </c>
      <c r="P658" s="344">
        <v>140.69999999999999</v>
      </c>
      <c r="Q658" s="344">
        <v>130.666666666667</v>
      </c>
      <c r="R658" s="344">
        <v>123.666666666667</v>
      </c>
      <c r="S658" s="344">
        <v>106.4</v>
      </c>
      <c r="T658" s="344">
        <v>93.1</v>
      </c>
      <c r="U658" s="344">
        <v>84.233333333333306</v>
      </c>
      <c r="V658" s="344">
        <v>86.566666666666706</v>
      </c>
      <c r="W658" s="344">
        <v>77.933333333333294</v>
      </c>
      <c r="X658" s="344">
        <v>73.5</v>
      </c>
      <c r="Y658" s="344">
        <v>191.1</v>
      </c>
      <c r="Z658" s="344">
        <v>642.36666666666702</v>
      </c>
      <c r="AA658" s="344">
        <v>643.06666666666695</v>
      </c>
      <c r="AB658" s="344">
        <v>646.1</v>
      </c>
      <c r="AC658" s="344">
        <v>647.96666666666704</v>
      </c>
      <c r="AD658" s="344">
        <f t="shared" si="62"/>
        <v>1.8666666666670153</v>
      </c>
      <c r="AE658" s="344">
        <v>51</v>
      </c>
      <c r="AF658" s="344">
        <v>0</v>
      </c>
      <c r="AG658" s="346">
        <v>51</v>
      </c>
      <c r="AH658" s="346">
        <v>51</v>
      </c>
      <c r="AI658" s="346">
        <v>51</v>
      </c>
      <c r="AJ658" s="346">
        <v>51</v>
      </c>
      <c r="AK658" s="346">
        <v>51</v>
      </c>
      <c r="AL658" s="346">
        <v>51</v>
      </c>
      <c r="AM658" s="346">
        <v>51</v>
      </c>
      <c r="AN658" s="346">
        <v>51</v>
      </c>
      <c r="AO658" s="346">
        <v>51</v>
      </c>
      <c r="AP658" s="211">
        <v>51</v>
      </c>
      <c r="AQ658" s="211">
        <v>51</v>
      </c>
      <c r="AR658" s="211">
        <v>51</v>
      </c>
      <c r="AS658" s="211">
        <v>51</v>
      </c>
      <c r="AT658" s="211">
        <v>51</v>
      </c>
      <c r="AU658" s="211">
        <v>51</v>
      </c>
      <c r="AV658" s="211">
        <v>51</v>
      </c>
      <c r="AW658" s="211">
        <v>51</v>
      </c>
      <c r="AX658" s="211">
        <v>51</v>
      </c>
      <c r="AY658" s="357">
        <v>12</v>
      </c>
      <c r="AZ658" s="211">
        <v>51</v>
      </c>
      <c r="BA658" s="357">
        <v>12</v>
      </c>
      <c r="BB658" s="357">
        <v>17</v>
      </c>
      <c r="BC658" s="357" t="s">
        <v>2287</v>
      </c>
    </row>
    <row r="659" spans="1:55" s="381" customFormat="1" ht="17.649999999999999" customHeight="1">
      <c r="A659" s="343">
        <v>227</v>
      </c>
      <c r="B659" s="211" t="s">
        <v>2308</v>
      </c>
      <c r="C659" s="211" t="s">
        <v>2061</v>
      </c>
      <c r="D659" s="211" t="s">
        <v>2283</v>
      </c>
      <c r="E659" s="344">
        <v>100</v>
      </c>
      <c r="F659" s="344">
        <v>109.433333333333</v>
      </c>
      <c r="G659" s="356">
        <v>121.8</v>
      </c>
      <c r="H659" s="344">
        <v>125.3</v>
      </c>
      <c r="I659" s="344">
        <v>128.333333333333</v>
      </c>
      <c r="J659" s="344">
        <v>119.466666666667</v>
      </c>
      <c r="K659" s="344">
        <v>100.8</v>
      </c>
      <c r="L659" s="344">
        <f t="shared" si="61"/>
        <v>29.944444444444368</v>
      </c>
      <c r="M659" s="344">
        <v>61.133333333333297</v>
      </c>
      <c r="N659" s="344">
        <v>56.933333333333302</v>
      </c>
      <c r="O659" s="344">
        <v>62.3</v>
      </c>
      <c r="P659" s="344">
        <v>64.866666666666703</v>
      </c>
      <c r="Q659" s="344">
        <v>70</v>
      </c>
      <c r="R659" s="344">
        <v>68.366666666666703</v>
      </c>
      <c r="S659" s="344">
        <v>59.033333333333303</v>
      </c>
      <c r="T659" s="344">
        <v>49.7</v>
      </c>
      <c r="U659" s="344">
        <v>37.566666666666698</v>
      </c>
      <c r="V659" s="344">
        <v>34.299999999999997</v>
      </c>
      <c r="W659" s="344">
        <v>29.4</v>
      </c>
      <c r="X659" s="344">
        <v>26.6</v>
      </c>
      <c r="Y659" s="344">
        <v>25.433333333333302</v>
      </c>
      <c r="Z659" s="344">
        <v>24.033333333333299</v>
      </c>
      <c r="AA659" s="344">
        <v>20.533333333333299</v>
      </c>
      <c r="AB659" s="344">
        <v>18.433333333333302</v>
      </c>
      <c r="AC659" s="344">
        <v>16.100000000000001</v>
      </c>
      <c r="AD659" s="344">
        <f t="shared" si="62"/>
        <v>-2.3333333333333002</v>
      </c>
      <c r="AE659" s="344">
        <v>51</v>
      </c>
      <c r="AF659" s="344">
        <v>0</v>
      </c>
      <c r="AG659" s="346">
        <v>51</v>
      </c>
      <c r="AH659" s="346">
        <v>51</v>
      </c>
      <c r="AI659" s="346">
        <v>51</v>
      </c>
      <c r="AJ659" s="346">
        <v>51</v>
      </c>
      <c r="AK659" s="346">
        <v>51</v>
      </c>
      <c r="AL659" s="346">
        <v>51</v>
      </c>
      <c r="AM659" s="346">
        <v>51</v>
      </c>
      <c r="AN659" s="346">
        <v>51</v>
      </c>
      <c r="AO659" s="346">
        <v>51</v>
      </c>
      <c r="AP659" s="357">
        <v>12</v>
      </c>
      <c r="AQ659" s="211">
        <v>51</v>
      </c>
      <c r="AR659" s="211">
        <v>51</v>
      </c>
      <c r="AS659" s="211">
        <v>51</v>
      </c>
      <c r="AT659" s="357">
        <v>25</v>
      </c>
      <c r="AU659" s="211">
        <v>51</v>
      </c>
      <c r="AV659" s="211">
        <v>51</v>
      </c>
      <c r="AW659" s="211">
        <v>51</v>
      </c>
      <c r="AX659" s="211">
        <v>51</v>
      </c>
      <c r="AY659" s="211">
        <v>51</v>
      </c>
      <c r="AZ659" s="211">
        <v>51</v>
      </c>
      <c r="BA659" s="211">
        <v>51</v>
      </c>
      <c r="BB659" s="357">
        <v>13</v>
      </c>
      <c r="BC659" s="357" t="s">
        <v>2287</v>
      </c>
    </row>
    <row r="660" spans="1:55" s="381" customFormat="1" ht="17.649999999999999" customHeight="1">
      <c r="A660" s="343">
        <v>228</v>
      </c>
      <c r="B660" s="211" t="s">
        <v>2309</v>
      </c>
      <c r="C660" s="211" t="s">
        <v>2061</v>
      </c>
      <c r="D660" s="211" t="s">
        <v>2283</v>
      </c>
      <c r="E660" s="344">
        <v>31</v>
      </c>
      <c r="F660" s="344">
        <v>30.3333333333333</v>
      </c>
      <c r="G660" s="356">
        <v>31.5</v>
      </c>
      <c r="H660" s="344">
        <v>31.966666666666701</v>
      </c>
      <c r="I660" s="344">
        <v>27.766666666666701</v>
      </c>
      <c r="J660" s="344">
        <v>23.1</v>
      </c>
      <c r="K660" s="344">
        <v>18.433333333333302</v>
      </c>
      <c r="L660" s="344">
        <f t="shared" si="61"/>
        <v>6.4788888888888971</v>
      </c>
      <c r="M660" s="344">
        <v>10.733333333333301</v>
      </c>
      <c r="N660" s="344">
        <v>10.033333333333299</v>
      </c>
      <c r="O660" s="344">
        <v>12.8333333333333</v>
      </c>
      <c r="P660" s="344">
        <v>11.9</v>
      </c>
      <c r="Q660" s="344">
        <v>14.233333333333301</v>
      </c>
      <c r="R660" s="344">
        <v>10.733333333333301</v>
      </c>
      <c r="S660" s="344">
        <v>11.6666666666667</v>
      </c>
      <c r="T660" s="344">
        <v>12.8333333333333</v>
      </c>
      <c r="U660" s="344">
        <v>19.366666666666699</v>
      </c>
      <c r="V660" s="344">
        <v>20.533333333333299</v>
      </c>
      <c r="W660" s="344">
        <v>22.633333333333301</v>
      </c>
      <c r="X660" s="344">
        <v>24.266666666666701</v>
      </c>
      <c r="Y660" s="344">
        <v>20.066666666666698</v>
      </c>
      <c r="Z660" s="344">
        <v>19.366666666666699</v>
      </c>
      <c r="AA660" s="344">
        <v>21.233333333333299</v>
      </c>
      <c r="AB660" s="344">
        <v>20.066666666666698</v>
      </c>
      <c r="AC660" s="344">
        <v>19.8333333333333</v>
      </c>
      <c r="AD660" s="344">
        <f t="shared" si="62"/>
        <v>-0.23333333333339823</v>
      </c>
      <c r="AE660" s="344">
        <v>48</v>
      </c>
      <c r="AF660" s="344">
        <v>0</v>
      </c>
      <c r="AG660" s="346">
        <v>51</v>
      </c>
      <c r="AH660" s="346">
        <v>5</v>
      </c>
      <c r="AI660" s="346">
        <v>51</v>
      </c>
      <c r="AJ660" s="346">
        <v>51</v>
      </c>
      <c r="AK660" s="346">
        <v>51</v>
      </c>
      <c r="AL660" s="346">
        <v>51</v>
      </c>
      <c r="AM660" s="346">
        <v>24</v>
      </c>
      <c r="AN660" s="346">
        <v>12</v>
      </c>
      <c r="AO660" s="346">
        <v>12</v>
      </c>
      <c r="AP660" s="346">
        <v>10</v>
      </c>
      <c r="AQ660" s="357">
        <v>1</v>
      </c>
      <c r="AR660" s="357">
        <v>10</v>
      </c>
      <c r="AS660" s="357">
        <v>12</v>
      </c>
      <c r="AT660" s="357">
        <v>12</v>
      </c>
      <c r="AU660" s="357">
        <v>22</v>
      </c>
      <c r="AV660" s="357">
        <v>15</v>
      </c>
      <c r="AW660" s="357">
        <v>5</v>
      </c>
      <c r="AX660" s="357">
        <v>5</v>
      </c>
      <c r="AY660" s="357">
        <v>12</v>
      </c>
      <c r="AZ660" s="357">
        <v>8</v>
      </c>
      <c r="BA660" s="357">
        <v>8</v>
      </c>
      <c r="BB660" s="357">
        <v>9</v>
      </c>
      <c r="BC660" s="357">
        <v>8</v>
      </c>
    </row>
    <row r="661" spans="1:55" s="381" customFormat="1" ht="17.649999999999999" customHeight="1">
      <c r="A661" s="343">
        <v>229</v>
      </c>
      <c r="B661" s="211" t="s">
        <v>2310</v>
      </c>
      <c r="C661" s="211" t="s">
        <v>2061</v>
      </c>
      <c r="D661" s="211" t="s">
        <v>2283</v>
      </c>
      <c r="E661" s="344">
        <v>17</v>
      </c>
      <c r="F661" s="344">
        <v>25.433333333333302</v>
      </c>
      <c r="G661" s="356">
        <v>22.1666666666667</v>
      </c>
      <c r="H661" s="344">
        <v>20.766666666666701</v>
      </c>
      <c r="I661" s="344">
        <v>22.866666666666699</v>
      </c>
      <c r="J661" s="344">
        <v>22.633333333333301</v>
      </c>
      <c r="K661" s="344">
        <v>12.366666666666699</v>
      </c>
      <c r="L661" s="344">
        <f t="shared" si="61"/>
        <v>5.3355555555555636</v>
      </c>
      <c r="M661" s="344">
        <v>12.133333333333301</v>
      </c>
      <c r="N661" s="344">
        <v>16.8</v>
      </c>
      <c r="O661" s="344">
        <v>34.299999999999997</v>
      </c>
      <c r="P661" s="344">
        <v>35</v>
      </c>
      <c r="Q661" s="344">
        <v>34.066666666666698</v>
      </c>
      <c r="R661" s="344">
        <v>33.133333333333297</v>
      </c>
      <c r="S661" s="344">
        <v>31.5</v>
      </c>
      <c r="T661" s="344">
        <v>54.8333333333333</v>
      </c>
      <c r="U661" s="344">
        <v>69.066666666666706</v>
      </c>
      <c r="V661" s="344">
        <v>75.599999999999994</v>
      </c>
      <c r="W661" s="344">
        <v>66.033333333333303</v>
      </c>
      <c r="X661" s="344">
        <v>51.3333333333333</v>
      </c>
      <c r="Y661" s="344">
        <v>35.933333333333302</v>
      </c>
      <c r="Z661" s="344">
        <v>22.1666666666667</v>
      </c>
      <c r="AA661" s="344">
        <v>22.633333333333301</v>
      </c>
      <c r="AB661" s="344">
        <v>15.1666666666667</v>
      </c>
      <c r="AC661" s="344">
        <v>14.466666666666701</v>
      </c>
      <c r="AD661" s="344">
        <f t="shared" si="62"/>
        <v>-0.69999999999999929</v>
      </c>
      <c r="AE661" s="344">
        <v>14</v>
      </c>
      <c r="AF661" s="344">
        <v>50</v>
      </c>
      <c r="AG661" s="346">
        <v>51</v>
      </c>
      <c r="AH661" s="346">
        <v>51</v>
      </c>
      <c r="AI661" s="346">
        <v>51</v>
      </c>
      <c r="AJ661" s="346">
        <v>51</v>
      </c>
      <c r="AK661" s="346">
        <v>51</v>
      </c>
      <c r="AL661" s="346">
        <v>51</v>
      </c>
      <c r="AM661" s="346">
        <v>8</v>
      </c>
      <c r="AN661" s="346">
        <v>51</v>
      </c>
      <c r="AO661" s="346">
        <v>51</v>
      </c>
      <c r="AP661" s="211">
        <v>51</v>
      </c>
      <c r="AQ661" s="357">
        <v>10</v>
      </c>
      <c r="AR661" s="357">
        <v>3</v>
      </c>
      <c r="AS661" s="357">
        <v>28</v>
      </c>
      <c r="AT661" s="357">
        <v>32</v>
      </c>
      <c r="AU661" s="357">
        <v>6</v>
      </c>
      <c r="AV661" s="357">
        <v>2</v>
      </c>
      <c r="AW661" s="357">
        <v>10</v>
      </c>
      <c r="AX661" s="357">
        <v>5</v>
      </c>
      <c r="AY661" s="357">
        <v>13</v>
      </c>
      <c r="AZ661" s="357">
        <v>35</v>
      </c>
      <c r="BA661" s="211">
        <v>51</v>
      </c>
      <c r="BB661" s="211">
        <v>51</v>
      </c>
      <c r="BC661" s="357">
        <v>18</v>
      </c>
    </row>
    <row r="662" spans="1:55" s="381" customFormat="1" ht="17.649999999999999" customHeight="1">
      <c r="A662" s="343">
        <v>230</v>
      </c>
      <c r="B662" s="211" t="s">
        <v>2311</v>
      </c>
      <c r="C662" s="211" t="s">
        <v>2061</v>
      </c>
      <c r="D662" s="211" t="s">
        <v>2283</v>
      </c>
      <c r="E662" s="344">
        <v>23</v>
      </c>
      <c r="F662" s="344">
        <v>26.6</v>
      </c>
      <c r="G662" s="356">
        <v>34.766666666666701</v>
      </c>
      <c r="H662" s="344">
        <v>40.366666666666703</v>
      </c>
      <c r="I662" s="344">
        <v>40.8333333333333</v>
      </c>
      <c r="J662" s="344">
        <v>35.466666666666697</v>
      </c>
      <c r="K662" s="344">
        <v>29.633333333333301</v>
      </c>
      <c r="L662" s="344">
        <f t="shared" si="61"/>
        <v>9.5277777777777697</v>
      </c>
      <c r="M662" s="344">
        <v>10.266666666666699</v>
      </c>
      <c r="N662" s="344">
        <v>10.266666666666699</v>
      </c>
      <c r="O662" s="344">
        <v>9.1</v>
      </c>
      <c r="P662" s="344">
        <v>14.9333333333333</v>
      </c>
      <c r="Q662" s="344">
        <v>15.4</v>
      </c>
      <c r="R662" s="344">
        <v>14.9333333333333</v>
      </c>
      <c r="S662" s="344">
        <v>12.8333333333333</v>
      </c>
      <c r="T662" s="344">
        <v>11.9</v>
      </c>
      <c r="U662" s="344">
        <v>7.7</v>
      </c>
      <c r="V662" s="344">
        <v>7.4666666666666703</v>
      </c>
      <c r="W662" s="344">
        <v>9.1</v>
      </c>
      <c r="X662" s="344">
        <v>6.3</v>
      </c>
      <c r="Y662" s="344">
        <v>6.7666666666666702</v>
      </c>
      <c r="Z662" s="344">
        <v>6.7666666666666702</v>
      </c>
      <c r="AA662" s="344">
        <v>4.6666666666666696</v>
      </c>
      <c r="AB662" s="344">
        <v>4.43333333333333</v>
      </c>
      <c r="AC662" s="344">
        <v>4.43333333333333</v>
      </c>
      <c r="AD662" s="344">
        <f t="shared" si="62"/>
        <v>0</v>
      </c>
      <c r="AE662" s="344">
        <v>1</v>
      </c>
      <c r="AF662" s="344">
        <v>3</v>
      </c>
      <c r="AG662" s="346">
        <v>51</v>
      </c>
      <c r="AH662" s="346">
        <v>15</v>
      </c>
      <c r="AI662" s="346">
        <v>1</v>
      </c>
      <c r="AJ662" s="346">
        <v>1</v>
      </c>
      <c r="AK662" s="346">
        <v>1</v>
      </c>
      <c r="AL662" s="346">
        <v>1</v>
      </c>
      <c r="AM662" s="346">
        <v>1</v>
      </c>
      <c r="AN662" s="346">
        <v>1</v>
      </c>
      <c r="AO662" s="346">
        <v>1</v>
      </c>
      <c r="AP662" s="211">
        <v>1</v>
      </c>
      <c r="AQ662" s="357">
        <v>1</v>
      </c>
      <c r="AR662" s="357">
        <v>2</v>
      </c>
      <c r="AS662" s="357">
        <v>1</v>
      </c>
      <c r="AT662" s="357">
        <v>14</v>
      </c>
      <c r="AU662" s="357">
        <v>2</v>
      </c>
      <c r="AV662" s="357">
        <v>1</v>
      </c>
      <c r="AW662" s="357">
        <v>1</v>
      </c>
      <c r="AX662" s="357">
        <v>1</v>
      </c>
      <c r="AY662" s="357">
        <v>1</v>
      </c>
      <c r="AZ662" s="211">
        <v>51</v>
      </c>
      <c r="BA662" s="357">
        <v>1</v>
      </c>
      <c r="BB662" s="357">
        <v>1</v>
      </c>
      <c r="BC662" s="357">
        <v>1</v>
      </c>
    </row>
    <row r="663" spans="1:55" s="381" customFormat="1" ht="17.649999999999999" customHeight="1">
      <c r="A663" s="343">
        <v>231</v>
      </c>
      <c r="B663" s="211" t="s">
        <v>2312</v>
      </c>
      <c r="C663" s="211" t="s">
        <v>2061</v>
      </c>
      <c r="D663" s="211" t="s">
        <v>2063</v>
      </c>
      <c r="E663" s="344">
        <v>1030</v>
      </c>
      <c r="F663" s="344">
        <v>955.26666666666699</v>
      </c>
      <c r="G663" s="356">
        <v>943.13333333333298</v>
      </c>
      <c r="H663" s="344">
        <v>933.8</v>
      </c>
      <c r="I663" s="344">
        <v>597.1</v>
      </c>
      <c r="J663" s="344">
        <v>55.766666666666701</v>
      </c>
      <c r="K663" s="344">
        <v>51.3333333333333</v>
      </c>
      <c r="L663" s="344">
        <f t="shared" si="61"/>
        <v>139.32333333333332</v>
      </c>
      <c r="M663" s="344">
        <v>54.6</v>
      </c>
      <c r="N663" s="344">
        <v>64.633333333333297</v>
      </c>
      <c r="O663" s="344">
        <v>74.433333333333294</v>
      </c>
      <c r="P663" s="344">
        <v>100.1</v>
      </c>
      <c r="Q663" s="344">
        <v>101.26666666666701</v>
      </c>
      <c r="R663" s="344">
        <v>94.033333333333303</v>
      </c>
      <c r="S663" s="344">
        <v>89.8333333333333</v>
      </c>
      <c r="T663" s="344">
        <v>82.6</v>
      </c>
      <c r="U663" s="344">
        <v>93.3333333333333</v>
      </c>
      <c r="V663" s="344">
        <v>90.3</v>
      </c>
      <c r="W663" s="344">
        <v>94.266666666666694</v>
      </c>
      <c r="X663" s="344">
        <v>91.466666666666697</v>
      </c>
      <c r="Y663" s="344">
        <v>106.4</v>
      </c>
      <c r="Z663" s="344">
        <v>124.833333333333</v>
      </c>
      <c r="AA663" s="344">
        <v>146.30000000000001</v>
      </c>
      <c r="AB663" s="344">
        <v>145.833333333333</v>
      </c>
      <c r="AC663" s="344">
        <v>139.30000000000001</v>
      </c>
      <c r="AD663" s="344">
        <f t="shared" si="62"/>
        <v>-6.5333333333329904</v>
      </c>
      <c r="AE663" s="344">
        <v>51</v>
      </c>
      <c r="AF663" s="344">
        <v>0</v>
      </c>
      <c r="AG663" s="346">
        <v>51</v>
      </c>
      <c r="AH663" s="346">
        <v>51</v>
      </c>
      <c r="AI663" s="346">
        <v>51</v>
      </c>
      <c r="AJ663" s="346">
        <v>51</v>
      </c>
      <c r="AK663" s="346">
        <v>51</v>
      </c>
      <c r="AL663" s="346">
        <v>51</v>
      </c>
      <c r="AM663" s="346">
        <v>51</v>
      </c>
      <c r="AN663" s="346">
        <v>51</v>
      </c>
      <c r="AO663" s="346">
        <v>51</v>
      </c>
      <c r="AP663" s="211">
        <v>51</v>
      </c>
      <c r="AQ663" s="357">
        <v>10</v>
      </c>
      <c r="AR663" s="211">
        <v>51</v>
      </c>
      <c r="AS663" s="357">
        <v>10</v>
      </c>
      <c r="AT663" s="211">
        <v>51</v>
      </c>
      <c r="AU663" s="211">
        <v>51</v>
      </c>
      <c r="AV663" s="211">
        <v>51</v>
      </c>
      <c r="AW663" s="357">
        <v>5</v>
      </c>
      <c r="AX663" s="211">
        <v>51</v>
      </c>
      <c r="AY663" s="211">
        <v>51</v>
      </c>
      <c r="AZ663" s="357">
        <v>10</v>
      </c>
      <c r="BA663" s="211">
        <v>51</v>
      </c>
      <c r="BB663" s="211">
        <v>51</v>
      </c>
      <c r="BC663" s="357" t="s">
        <v>2287</v>
      </c>
    </row>
    <row r="664" spans="1:55" s="381" customFormat="1" ht="17.649999999999999" customHeight="1">
      <c r="A664" s="343">
        <v>232</v>
      </c>
      <c r="B664" s="211" t="s">
        <v>2313</v>
      </c>
      <c r="C664" s="211" t="s">
        <v>2061</v>
      </c>
      <c r="D664" s="211" t="s">
        <v>2283</v>
      </c>
      <c r="E664" s="344">
        <v>11</v>
      </c>
      <c r="F664" s="344">
        <v>12.366666666666699</v>
      </c>
      <c r="G664" s="356">
        <v>8.6333333333333293</v>
      </c>
      <c r="H664" s="344">
        <v>9.56666666666667</v>
      </c>
      <c r="I664" s="344">
        <v>8.4</v>
      </c>
      <c r="J664" s="344">
        <v>8.4</v>
      </c>
      <c r="K664" s="344">
        <v>6.5333333333333297</v>
      </c>
      <c r="L664" s="344">
        <f t="shared" si="61"/>
        <v>1.9600000000000002</v>
      </c>
      <c r="M664" s="344">
        <v>9.1</v>
      </c>
      <c r="N664" s="344">
        <v>8.4</v>
      </c>
      <c r="O664" s="344">
        <v>8.6333333333333293</v>
      </c>
      <c r="P664" s="344">
        <v>7.4666666666666703</v>
      </c>
      <c r="Q664" s="344">
        <v>6.7666666666666702</v>
      </c>
      <c r="R664" s="344">
        <v>7</v>
      </c>
      <c r="S664" s="344">
        <v>7.7</v>
      </c>
      <c r="T664" s="344">
        <v>8.4</v>
      </c>
      <c r="U664" s="344">
        <v>8.8666666666666707</v>
      </c>
      <c r="V664" s="344">
        <v>7.7</v>
      </c>
      <c r="W664" s="344">
        <v>9.56666666666667</v>
      </c>
      <c r="X664" s="344">
        <v>8.6333333333333293</v>
      </c>
      <c r="Y664" s="344">
        <v>7</v>
      </c>
      <c r="Z664" s="344">
        <v>11.2</v>
      </c>
      <c r="AA664" s="344">
        <v>13.3</v>
      </c>
      <c r="AB664" s="344">
        <v>14.233333333333301</v>
      </c>
      <c r="AC664" s="344">
        <v>12.366666666666699</v>
      </c>
      <c r="AD664" s="344">
        <f t="shared" si="62"/>
        <v>-1.8666666666666014</v>
      </c>
      <c r="AE664" s="344">
        <v>51</v>
      </c>
      <c r="AF664" s="344">
        <v>0</v>
      </c>
      <c r="AG664" s="346">
        <v>51</v>
      </c>
      <c r="AH664" s="346">
        <v>38</v>
      </c>
      <c r="AI664" s="346">
        <v>40</v>
      </c>
      <c r="AJ664" s="346">
        <v>31</v>
      </c>
      <c r="AK664" s="346">
        <v>43</v>
      </c>
      <c r="AL664" s="346">
        <v>31</v>
      </c>
      <c r="AM664" s="346">
        <v>45</v>
      </c>
      <c r="AN664" s="346">
        <v>25</v>
      </c>
      <c r="AO664" s="346">
        <v>25</v>
      </c>
      <c r="AP664" s="357">
        <v>40</v>
      </c>
      <c r="AQ664" s="211">
        <v>51</v>
      </c>
      <c r="AR664" s="357">
        <v>9</v>
      </c>
      <c r="AS664" s="357">
        <v>13</v>
      </c>
      <c r="AT664" s="357">
        <v>13</v>
      </c>
      <c r="AU664" s="357">
        <v>7</v>
      </c>
      <c r="AV664" s="357">
        <v>4</v>
      </c>
      <c r="AW664" s="357">
        <v>29</v>
      </c>
      <c r="AX664" s="357">
        <v>14</v>
      </c>
      <c r="AY664" s="357">
        <v>32</v>
      </c>
      <c r="AZ664" s="357">
        <v>9</v>
      </c>
      <c r="BA664" s="357">
        <v>6</v>
      </c>
      <c r="BB664" s="357">
        <v>5</v>
      </c>
      <c r="BC664" s="357">
        <v>6</v>
      </c>
    </row>
    <row r="665" spans="1:55" s="381" customFormat="1" ht="17.649999999999999" customHeight="1">
      <c r="A665" s="343">
        <v>233</v>
      </c>
      <c r="B665" s="211" t="s">
        <v>2314</v>
      </c>
      <c r="C665" s="211" t="s">
        <v>2061</v>
      </c>
      <c r="D665" s="211" t="s">
        <v>2283</v>
      </c>
      <c r="E665" s="344">
        <v>89</v>
      </c>
      <c r="F665" s="344">
        <v>86.566666666666706</v>
      </c>
      <c r="G665" s="356">
        <v>78.1666666666667</v>
      </c>
      <c r="H665" s="344">
        <v>76.066666666666706</v>
      </c>
      <c r="I665" s="344">
        <v>80.266666666666694</v>
      </c>
      <c r="J665" s="344">
        <v>71.400000000000006</v>
      </c>
      <c r="K665" s="344">
        <v>60.433333333333302</v>
      </c>
      <c r="L665" s="344">
        <f t="shared" si="61"/>
        <v>18.728888888888896</v>
      </c>
      <c r="M665" s="344">
        <v>52.5</v>
      </c>
      <c r="N665" s="344">
        <v>62.3</v>
      </c>
      <c r="O665" s="344">
        <v>80.966666666666697</v>
      </c>
      <c r="P665" s="344">
        <v>104.533333333333</v>
      </c>
      <c r="Q665" s="344">
        <v>115.033333333333</v>
      </c>
      <c r="R665" s="344">
        <v>114.1</v>
      </c>
      <c r="S665" s="344">
        <v>108.73333333333299</v>
      </c>
      <c r="T665" s="344">
        <v>102.9</v>
      </c>
      <c r="U665" s="344">
        <v>93.1</v>
      </c>
      <c r="V665" s="344">
        <v>83.533333333333303</v>
      </c>
      <c r="W665" s="344">
        <v>72.3333333333333</v>
      </c>
      <c r="X665" s="344">
        <v>68.8333333333333</v>
      </c>
      <c r="Y665" s="344">
        <v>67.900000000000006</v>
      </c>
      <c r="Z665" s="344">
        <v>61.6</v>
      </c>
      <c r="AA665" s="344">
        <v>68.8333333333333</v>
      </c>
      <c r="AB665" s="344">
        <v>66.733333333333306</v>
      </c>
      <c r="AC665" s="344">
        <v>69.066666666666706</v>
      </c>
      <c r="AD665" s="344">
        <f t="shared" si="62"/>
        <v>2.3333333333333997</v>
      </c>
      <c r="AE665" s="344">
        <v>51</v>
      </c>
      <c r="AF665" s="344">
        <v>0</v>
      </c>
      <c r="AG665" s="346">
        <v>51</v>
      </c>
      <c r="AH665" s="346">
        <v>46</v>
      </c>
      <c r="AI665" s="346">
        <v>51</v>
      </c>
      <c r="AJ665" s="346">
        <v>51</v>
      </c>
      <c r="AK665" s="346">
        <v>51</v>
      </c>
      <c r="AL665" s="346">
        <v>51</v>
      </c>
      <c r="AM665" s="346">
        <v>51</v>
      </c>
      <c r="AN665" s="346">
        <v>51</v>
      </c>
      <c r="AO665" s="346">
        <v>51</v>
      </c>
      <c r="AP665" s="211">
        <v>51</v>
      </c>
      <c r="AQ665" s="211">
        <v>51</v>
      </c>
      <c r="AR665" s="211">
        <v>51</v>
      </c>
      <c r="AS665" s="357">
        <v>12</v>
      </c>
      <c r="AT665" s="211">
        <v>51</v>
      </c>
      <c r="AU665" s="211">
        <v>51</v>
      </c>
      <c r="AV665" s="211">
        <v>51</v>
      </c>
      <c r="AW665" s="211">
        <v>51</v>
      </c>
      <c r="AX665" s="211">
        <v>51</v>
      </c>
      <c r="AY665" s="211">
        <v>51</v>
      </c>
      <c r="AZ665" s="211">
        <v>51</v>
      </c>
      <c r="BA665" s="211">
        <v>51</v>
      </c>
      <c r="BB665" s="211">
        <v>51</v>
      </c>
      <c r="BC665" s="357">
        <v>45</v>
      </c>
    </row>
    <row r="666" spans="1:55" s="381" customFormat="1" ht="17.649999999999999" customHeight="1">
      <c r="A666" s="343">
        <v>234</v>
      </c>
      <c r="B666" s="211" t="s">
        <v>2315</v>
      </c>
      <c r="C666" s="211" t="s">
        <v>2061</v>
      </c>
      <c r="D666" s="211" t="s">
        <v>2283</v>
      </c>
      <c r="E666" s="344">
        <v>157</v>
      </c>
      <c r="F666" s="344">
        <v>156.80000000000001</v>
      </c>
      <c r="G666" s="356">
        <v>151.433333333333</v>
      </c>
      <c r="H666" s="344">
        <v>145.833333333333</v>
      </c>
      <c r="I666" s="344">
        <v>136.26666666666699</v>
      </c>
      <c r="J666" s="344">
        <v>142.80000000000001</v>
      </c>
      <c r="K666" s="344">
        <v>134.166666666667</v>
      </c>
      <c r="L666" s="344">
        <f t="shared" si="61"/>
        <v>31.795555555555634</v>
      </c>
      <c r="M666" s="344">
        <v>138.13333333333301</v>
      </c>
      <c r="N666" s="344">
        <v>166.13333333333301</v>
      </c>
      <c r="O666" s="344">
        <v>185.5</v>
      </c>
      <c r="P666" s="344">
        <v>224</v>
      </c>
      <c r="Q666" s="344">
        <v>227.96666666666701</v>
      </c>
      <c r="R666" s="344">
        <v>202.066666666667</v>
      </c>
      <c r="S666" s="344">
        <v>172.2</v>
      </c>
      <c r="T666" s="344">
        <v>164.26666666666699</v>
      </c>
      <c r="U666" s="344">
        <v>185.5</v>
      </c>
      <c r="V666" s="344">
        <v>189</v>
      </c>
      <c r="W666" s="344">
        <v>197.63333333333301</v>
      </c>
      <c r="X666" s="344">
        <v>196.46666666666701</v>
      </c>
      <c r="Y666" s="344">
        <v>185.5</v>
      </c>
      <c r="Z666" s="344">
        <v>185.73333333333301</v>
      </c>
      <c r="AA666" s="344">
        <v>221.9</v>
      </c>
      <c r="AB666" s="344">
        <v>230.066666666667</v>
      </c>
      <c r="AC666" s="344">
        <v>235.2</v>
      </c>
      <c r="AD666" s="344">
        <f t="shared" si="62"/>
        <v>5.1333333333329847</v>
      </c>
      <c r="AE666" s="344">
        <v>51</v>
      </c>
      <c r="AF666" s="344">
        <v>0</v>
      </c>
      <c r="AG666" s="346">
        <v>51</v>
      </c>
      <c r="AH666" s="346">
        <v>51</v>
      </c>
      <c r="AI666" s="346">
        <v>51</v>
      </c>
      <c r="AJ666" s="346">
        <v>51</v>
      </c>
      <c r="AK666" s="346">
        <v>51</v>
      </c>
      <c r="AL666" s="346">
        <v>51</v>
      </c>
      <c r="AM666" s="346">
        <v>51</v>
      </c>
      <c r="AN666" s="346">
        <v>51</v>
      </c>
      <c r="AO666" s="346">
        <v>51</v>
      </c>
      <c r="AP666" s="211">
        <v>51</v>
      </c>
      <c r="AQ666" s="211">
        <v>51</v>
      </c>
      <c r="AR666" s="211">
        <v>51</v>
      </c>
      <c r="AS666" s="211">
        <v>51</v>
      </c>
      <c r="AT666" s="211">
        <v>51</v>
      </c>
      <c r="AU666" s="211">
        <v>51</v>
      </c>
      <c r="AV666" s="211">
        <v>51</v>
      </c>
      <c r="AW666" s="211">
        <v>51</v>
      </c>
      <c r="AX666" s="211">
        <v>51</v>
      </c>
      <c r="AY666" s="211">
        <v>51</v>
      </c>
      <c r="AZ666" s="211">
        <v>51</v>
      </c>
      <c r="BA666" s="211">
        <v>51</v>
      </c>
      <c r="BB666" s="211">
        <v>51</v>
      </c>
      <c r="BC666" s="357" t="s">
        <v>2287</v>
      </c>
    </row>
    <row r="667" spans="1:55" s="381" customFormat="1" ht="17.649999999999999" customHeight="1">
      <c r="A667" s="343">
        <v>235</v>
      </c>
      <c r="B667" s="211" t="s">
        <v>2316</v>
      </c>
      <c r="C667" s="211" t="s">
        <v>2061</v>
      </c>
      <c r="D667" s="211" t="s">
        <v>2063</v>
      </c>
      <c r="E667" s="344">
        <v>252</v>
      </c>
      <c r="F667" s="344">
        <v>264.60000000000002</v>
      </c>
      <c r="G667" s="356">
        <v>272.53333333333302</v>
      </c>
      <c r="H667" s="344">
        <v>275.8</v>
      </c>
      <c r="I667" s="344">
        <v>262.03333333333302</v>
      </c>
      <c r="J667" s="344">
        <v>242.666666666667</v>
      </c>
      <c r="K667" s="344">
        <v>215.13333333333301</v>
      </c>
      <c r="L667" s="344">
        <f t="shared" si="61"/>
        <v>61.14111111111103</v>
      </c>
      <c r="M667" s="344">
        <v>135.333333333333</v>
      </c>
      <c r="N667" s="344">
        <v>117.366666666667</v>
      </c>
      <c r="O667" s="344">
        <v>113.4</v>
      </c>
      <c r="P667" s="344">
        <v>112</v>
      </c>
      <c r="Q667" s="344">
        <v>106.4</v>
      </c>
      <c r="R667" s="344">
        <v>105.7</v>
      </c>
      <c r="S667" s="344">
        <v>97.533333333333303</v>
      </c>
      <c r="T667" s="344">
        <v>80.5</v>
      </c>
      <c r="U667" s="344">
        <v>65.566666666666706</v>
      </c>
      <c r="V667" s="344">
        <v>58.3333333333333</v>
      </c>
      <c r="W667" s="344">
        <v>49</v>
      </c>
      <c r="X667" s="344">
        <v>41.533333333333303</v>
      </c>
      <c r="Y667" s="344">
        <v>40.8333333333333</v>
      </c>
      <c r="Z667" s="344">
        <v>41.766666666666701</v>
      </c>
      <c r="AA667" s="344">
        <v>45.266666666666701</v>
      </c>
      <c r="AB667" s="344">
        <v>48.066666666666698</v>
      </c>
      <c r="AC667" s="344">
        <v>58.3333333333333</v>
      </c>
      <c r="AD667" s="344">
        <f t="shared" si="62"/>
        <v>10.266666666666602</v>
      </c>
      <c r="AE667" s="344">
        <v>51</v>
      </c>
      <c r="AF667" s="344">
        <v>0</v>
      </c>
      <c r="AG667" s="346">
        <v>51</v>
      </c>
      <c r="AH667" s="346">
        <v>18</v>
      </c>
      <c r="AI667" s="346">
        <v>22</v>
      </c>
      <c r="AJ667" s="346">
        <v>19</v>
      </c>
      <c r="AK667" s="346">
        <v>51</v>
      </c>
      <c r="AL667" s="346">
        <v>19</v>
      </c>
      <c r="AM667" s="346">
        <v>19</v>
      </c>
      <c r="AN667" s="346">
        <v>13</v>
      </c>
      <c r="AO667" s="346">
        <v>13</v>
      </c>
      <c r="AP667" s="357">
        <v>15</v>
      </c>
      <c r="AQ667" s="357">
        <v>8</v>
      </c>
      <c r="AR667" s="357">
        <v>36</v>
      </c>
      <c r="AS667" s="357">
        <v>11</v>
      </c>
      <c r="AT667" s="357">
        <v>26</v>
      </c>
      <c r="AU667" s="357">
        <v>14</v>
      </c>
      <c r="AV667" s="357">
        <v>14</v>
      </c>
      <c r="AW667" s="357">
        <v>19</v>
      </c>
      <c r="AX667" s="357">
        <v>31</v>
      </c>
      <c r="AY667" s="357">
        <v>16</v>
      </c>
      <c r="AZ667" s="357">
        <v>31</v>
      </c>
      <c r="BA667" s="357">
        <v>28</v>
      </c>
      <c r="BB667" s="357">
        <v>30</v>
      </c>
      <c r="BC667" s="357">
        <v>12</v>
      </c>
    </row>
    <row r="668" spans="1:55" s="381" customFormat="1" ht="17.649999999999999" customHeight="1">
      <c r="A668" s="343">
        <v>236</v>
      </c>
      <c r="B668" s="211" t="s">
        <v>2317</v>
      </c>
      <c r="C668" s="211" t="s">
        <v>2061</v>
      </c>
      <c r="D668" s="211" t="s">
        <v>2063</v>
      </c>
      <c r="E668" s="344">
        <v>10127</v>
      </c>
      <c r="F668" s="344">
        <v>9130.1</v>
      </c>
      <c r="G668" s="356">
        <v>9791.1333333333296</v>
      </c>
      <c r="H668" s="344">
        <v>9573.9</v>
      </c>
      <c r="I668" s="344">
        <v>22635.200000000001</v>
      </c>
      <c r="J668" s="344">
        <v>39042.033333333296</v>
      </c>
      <c r="K668" s="344">
        <v>51509.033333333296</v>
      </c>
      <c r="L668" s="344">
        <f t="shared" si="61"/>
        <v>5281.5466666666671</v>
      </c>
      <c r="M668" s="344">
        <v>66875.433333333305</v>
      </c>
      <c r="N668" s="344">
        <v>65250.033333333296</v>
      </c>
      <c r="O668" s="344">
        <v>53343.033333333296</v>
      </c>
      <c r="P668" s="344">
        <v>46971.166666666701</v>
      </c>
      <c r="Q668" s="344">
        <v>42618.566666666702</v>
      </c>
      <c r="R668" s="344">
        <v>36877.4</v>
      </c>
      <c r="S668" s="344">
        <v>57121.4</v>
      </c>
      <c r="T668" s="344">
        <v>78395.333333333299</v>
      </c>
      <c r="U668" s="344">
        <v>107149</v>
      </c>
      <c r="V668" s="344">
        <v>146709.96666666699</v>
      </c>
      <c r="W668" s="344">
        <v>201892.6</v>
      </c>
      <c r="X668" s="344">
        <v>260354.03333333301</v>
      </c>
      <c r="Y668" s="344">
        <v>294351.16666666698</v>
      </c>
      <c r="Z668" s="344">
        <v>308254.8</v>
      </c>
      <c r="AA668" s="344">
        <v>284463.66666666698</v>
      </c>
      <c r="AB668" s="344">
        <v>224108.03333333301</v>
      </c>
      <c r="AC668" s="344">
        <v>170072.933333333</v>
      </c>
      <c r="AD668" s="344">
        <f t="shared" si="62"/>
        <v>-54035.100000000006</v>
      </c>
      <c r="AE668" s="344">
        <v>51</v>
      </c>
      <c r="AF668" s="344">
        <v>0</v>
      </c>
      <c r="AG668" s="346">
        <v>31</v>
      </c>
      <c r="AH668" s="346">
        <v>1</v>
      </c>
      <c r="AI668" s="346">
        <v>1</v>
      </c>
      <c r="AJ668" s="346">
        <v>1</v>
      </c>
      <c r="AK668" s="346">
        <v>1</v>
      </c>
      <c r="AL668" s="346">
        <v>1</v>
      </c>
      <c r="AM668" s="346">
        <v>2</v>
      </c>
      <c r="AN668" s="346">
        <v>1</v>
      </c>
      <c r="AO668" s="346">
        <v>1</v>
      </c>
      <c r="AP668" s="346">
        <v>1</v>
      </c>
      <c r="AQ668" s="357">
        <v>6</v>
      </c>
      <c r="AR668" s="357">
        <v>1</v>
      </c>
      <c r="AS668" s="357">
        <v>1</v>
      </c>
      <c r="AT668" s="357">
        <v>1</v>
      </c>
      <c r="AU668" s="357">
        <v>1</v>
      </c>
      <c r="AV668" s="357">
        <v>1</v>
      </c>
      <c r="AW668" s="357">
        <v>1</v>
      </c>
      <c r="AX668" s="357">
        <v>17</v>
      </c>
      <c r="AY668" s="357">
        <v>2</v>
      </c>
      <c r="AZ668" s="357">
        <v>8</v>
      </c>
      <c r="BA668" s="357">
        <v>3</v>
      </c>
      <c r="BB668" s="357">
        <v>10</v>
      </c>
      <c r="BC668" s="357">
        <v>10</v>
      </c>
    </row>
    <row r="669" spans="1:55" s="381" customFormat="1" ht="17.649999999999999" customHeight="1">
      <c r="A669" s="343">
        <v>237</v>
      </c>
      <c r="B669" s="211" t="s">
        <v>2318</v>
      </c>
      <c r="C669" s="211" t="s">
        <v>2061</v>
      </c>
      <c r="D669" s="211" t="s">
        <v>2063</v>
      </c>
      <c r="E669" s="344">
        <v>243</v>
      </c>
      <c r="F669" s="344">
        <v>235.9</v>
      </c>
      <c r="G669" s="356">
        <v>227.03333333333299</v>
      </c>
      <c r="H669" s="344">
        <v>233.1</v>
      </c>
      <c r="I669" s="344">
        <v>240.333333333333</v>
      </c>
      <c r="J669" s="344">
        <v>209.76666666666699</v>
      </c>
      <c r="K669" s="344">
        <v>184.333333333333</v>
      </c>
      <c r="L669" s="344">
        <f t="shared" si="61"/>
        <v>56.077777777777705</v>
      </c>
      <c r="M669" s="344">
        <v>103.133333333333</v>
      </c>
      <c r="N669" s="344">
        <v>103.366666666667</v>
      </c>
      <c r="O669" s="344">
        <v>117.6</v>
      </c>
      <c r="P669" s="344">
        <v>147.933333333333</v>
      </c>
      <c r="Q669" s="344">
        <v>161.69999999999999</v>
      </c>
      <c r="R669" s="344">
        <v>150.5</v>
      </c>
      <c r="S669" s="344">
        <v>135.1</v>
      </c>
      <c r="T669" s="344">
        <v>125.533333333333</v>
      </c>
      <c r="U669" s="344">
        <v>121.1</v>
      </c>
      <c r="V669" s="344">
        <v>123.2</v>
      </c>
      <c r="W669" s="344">
        <v>123.666666666667</v>
      </c>
      <c r="X669" s="344">
        <v>128.333333333333</v>
      </c>
      <c r="Y669" s="344">
        <v>149.566666666667</v>
      </c>
      <c r="Z669" s="344">
        <v>172.666666666667</v>
      </c>
      <c r="AA669" s="344">
        <v>221.433333333333</v>
      </c>
      <c r="AB669" s="344">
        <v>226.1</v>
      </c>
      <c r="AC669" s="344">
        <v>223.066666666667</v>
      </c>
      <c r="AD669" s="344">
        <f t="shared" si="62"/>
        <v>-3.0333333333329904</v>
      </c>
      <c r="AE669" s="344">
        <v>51</v>
      </c>
      <c r="AF669" s="344">
        <v>0</v>
      </c>
      <c r="AG669" s="346">
        <v>51</v>
      </c>
      <c r="AH669" s="346">
        <v>51</v>
      </c>
      <c r="AI669" s="346">
        <v>51</v>
      </c>
      <c r="AJ669" s="346">
        <v>51</v>
      </c>
      <c r="AK669" s="346">
        <v>51</v>
      </c>
      <c r="AL669" s="346">
        <v>51</v>
      </c>
      <c r="AM669" s="346">
        <v>51</v>
      </c>
      <c r="AN669" s="346">
        <v>51</v>
      </c>
      <c r="AO669" s="346">
        <v>51</v>
      </c>
      <c r="AP669" s="211">
        <v>51</v>
      </c>
      <c r="AQ669" s="357">
        <v>9</v>
      </c>
      <c r="AR669" s="211">
        <v>51</v>
      </c>
      <c r="AS669" s="211">
        <v>51</v>
      </c>
      <c r="AT669" s="211">
        <v>51</v>
      </c>
      <c r="AU669" s="211">
        <v>51</v>
      </c>
      <c r="AV669" s="211">
        <v>51</v>
      </c>
      <c r="AW669" s="211">
        <v>51</v>
      </c>
      <c r="AX669" s="211">
        <v>51</v>
      </c>
      <c r="AY669" s="211">
        <v>51</v>
      </c>
      <c r="AZ669" s="357">
        <v>3</v>
      </c>
      <c r="BA669" s="357">
        <v>9</v>
      </c>
      <c r="BB669" s="357">
        <v>7</v>
      </c>
      <c r="BC669" s="357">
        <v>7</v>
      </c>
    </row>
    <row r="670" spans="1:55" s="381" customFormat="1" ht="17.649999999999999" customHeight="1">
      <c r="A670" s="343">
        <v>238</v>
      </c>
      <c r="B670" s="211" t="s">
        <v>2319</v>
      </c>
      <c r="C670" s="211" t="s">
        <v>2061</v>
      </c>
      <c r="D670" s="211" t="s">
        <v>2063</v>
      </c>
      <c r="E670" s="344">
        <v>350</v>
      </c>
      <c r="F670" s="344">
        <v>345.8</v>
      </c>
      <c r="G670" s="356">
        <v>343.46666666666698</v>
      </c>
      <c r="H670" s="344">
        <v>115.26666666666701</v>
      </c>
      <c r="I670" s="344">
        <v>49.466666666666697</v>
      </c>
      <c r="J670" s="344">
        <v>86.566666666666706</v>
      </c>
      <c r="K670" s="344">
        <v>88.2</v>
      </c>
      <c r="L670" s="344">
        <f t="shared" si="61"/>
        <v>11.542222222222229</v>
      </c>
      <c r="M670" s="344">
        <v>95.2</v>
      </c>
      <c r="N670" s="344">
        <v>57.1666666666667</v>
      </c>
      <c r="O670" s="344">
        <v>58.3333333333333</v>
      </c>
      <c r="P670" s="344">
        <v>68.8333333333333</v>
      </c>
      <c r="Q670" s="344">
        <v>63.233333333333299</v>
      </c>
      <c r="R670" s="344">
        <v>58.1</v>
      </c>
      <c r="S670" s="344">
        <v>55.066666666666698</v>
      </c>
      <c r="T670" s="344">
        <v>47.6</v>
      </c>
      <c r="U670" s="344">
        <v>48.533333333333303</v>
      </c>
      <c r="V670" s="344">
        <v>55.3</v>
      </c>
      <c r="W670" s="344">
        <v>53.433333333333302</v>
      </c>
      <c r="X670" s="344">
        <v>52.966666666666697</v>
      </c>
      <c r="Y670" s="344">
        <v>915.6</v>
      </c>
      <c r="Z670" s="344">
        <v>945.23333333333301</v>
      </c>
      <c r="AA670" s="344">
        <v>943.13333333333298</v>
      </c>
      <c r="AB670" s="344">
        <v>939.63333333333298</v>
      </c>
      <c r="AC670" s="344">
        <v>932.86666666666702</v>
      </c>
      <c r="AD670" s="344">
        <f t="shared" si="62"/>
        <v>-6.7666666666659694</v>
      </c>
      <c r="AE670" s="344">
        <v>51</v>
      </c>
      <c r="AF670" s="344">
        <v>0</v>
      </c>
      <c r="AG670" s="346">
        <v>51</v>
      </c>
      <c r="AH670" s="346">
        <v>51</v>
      </c>
      <c r="AI670" s="346">
        <v>51</v>
      </c>
      <c r="AJ670" s="346">
        <v>51</v>
      </c>
      <c r="AK670" s="346">
        <v>51</v>
      </c>
      <c r="AL670" s="346">
        <v>51</v>
      </c>
      <c r="AM670" s="346">
        <v>36</v>
      </c>
      <c r="AN670" s="346">
        <v>51</v>
      </c>
      <c r="AO670" s="346">
        <v>51</v>
      </c>
      <c r="AP670" s="211">
        <v>51</v>
      </c>
      <c r="AQ670" s="357">
        <v>5</v>
      </c>
      <c r="AR670" s="357">
        <v>5</v>
      </c>
      <c r="AS670" s="211">
        <v>51</v>
      </c>
      <c r="AT670" s="211">
        <v>51</v>
      </c>
      <c r="AU670" s="211">
        <v>51</v>
      </c>
      <c r="AV670" s="357">
        <v>12</v>
      </c>
      <c r="AW670" s="211">
        <v>51</v>
      </c>
      <c r="AX670" s="211">
        <v>51</v>
      </c>
      <c r="AY670" s="211">
        <v>51</v>
      </c>
      <c r="AZ670" s="211">
        <v>51</v>
      </c>
      <c r="BA670" s="357">
        <v>9</v>
      </c>
      <c r="BB670" s="357">
        <v>4</v>
      </c>
      <c r="BC670" s="357">
        <v>4</v>
      </c>
    </row>
    <row r="671" spans="1:55" s="381" customFormat="1" ht="17.649999999999999" customHeight="1">
      <c r="A671" s="343">
        <v>239</v>
      </c>
      <c r="B671" s="211" t="s">
        <v>2320</v>
      </c>
      <c r="C671" s="211" t="s">
        <v>2061</v>
      </c>
      <c r="D671" s="211" t="s">
        <v>2283</v>
      </c>
      <c r="E671" s="344">
        <v>18</v>
      </c>
      <c r="F671" s="344">
        <v>18.433333333333302</v>
      </c>
      <c r="G671" s="356">
        <v>18.899999999999999</v>
      </c>
      <c r="H671" s="344">
        <v>18.433333333333302</v>
      </c>
      <c r="I671" s="344">
        <v>14.233333333333301</v>
      </c>
      <c r="J671" s="344">
        <v>14.233333333333301</v>
      </c>
      <c r="K671" s="344">
        <v>8.8666666666666707</v>
      </c>
      <c r="L671" s="344">
        <f t="shared" si="61"/>
        <v>3.3211111111111036</v>
      </c>
      <c r="M671" s="344">
        <v>11.9</v>
      </c>
      <c r="N671" s="344">
        <v>13.3</v>
      </c>
      <c r="O671" s="344">
        <v>17.733333333333299</v>
      </c>
      <c r="P671" s="344">
        <v>26.133333333333301</v>
      </c>
      <c r="Q671" s="344">
        <v>30.566666666666698</v>
      </c>
      <c r="R671" s="344">
        <v>31.033333333333299</v>
      </c>
      <c r="S671" s="344">
        <v>34.066666666666698</v>
      </c>
      <c r="T671" s="344">
        <v>25.433333333333302</v>
      </c>
      <c r="U671" s="344">
        <v>22.866666666666699</v>
      </c>
      <c r="V671" s="344">
        <v>21</v>
      </c>
      <c r="W671" s="344">
        <v>16.566666666666698</v>
      </c>
      <c r="X671" s="344">
        <v>17.266666666666701</v>
      </c>
      <c r="Y671" s="344">
        <v>16.8</v>
      </c>
      <c r="Z671" s="344">
        <v>15.4</v>
      </c>
      <c r="AA671" s="344">
        <v>14.466666666666701</v>
      </c>
      <c r="AB671" s="344">
        <v>12.133333333333301</v>
      </c>
      <c r="AC671" s="344">
        <v>13.0666666666667</v>
      </c>
      <c r="AD671" s="344">
        <f t="shared" si="62"/>
        <v>0.9333333333333993</v>
      </c>
      <c r="AE671" s="344">
        <v>51</v>
      </c>
      <c r="AF671" s="344">
        <v>0</v>
      </c>
      <c r="AG671" s="346">
        <v>51</v>
      </c>
      <c r="AH671" s="346">
        <v>51</v>
      </c>
      <c r="AI671" s="346">
        <v>51</v>
      </c>
      <c r="AJ671" s="346">
        <v>51</v>
      </c>
      <c r="AK671" s="346">
        <v>51</v>
      </c>
      <c r="AL671" s="346">
        <v>51</v>
      </c>
      <c r="AM671" s="346">
        <v>51</v>
      </c>
      <c r="AN671" s="346">
        <v>51</v>
      </c>
      <c r="AO671" s="346">
        <v>51</v>
      </c>
      <c r="AP671" s="211">
        <v>51</v>
      </c>
      <c r="AQ671" s="211">
        <v>51</v>
      </c>
      <c r="AR671" s="211">
        <v>51</v>
      </c>
      <c r="AS671" s="211">
        <v>51</v>
      </c>
      <c r="AT671" s="211">
        <v>51</v>
      </c>
      <c r="AU671" s="211">
        <v>51</v>
      </c>
      <c r="AV671" s="211">
        <v>51</v>
      </c>
      <c r="AW671" s="211">
        <v>51</v>
      </c>
      <c r="AX671" s="211">
        <v>51</v>
      </c>
      <c r="AY671" s="211">
        <v>51</v>
      </c>
      <c r="AZ671" s="211">
        <v>51</v>
      </c>
      <c r="BA671" s="211">
        <v>51</v>
      </c>
      <c r="BB671" s="211">
        <v>51</v>
      </c>
      <c r="BC671" s="357" t="s">
        <v>2287</v>
      </c>
    </row>
    <row r="672" spans="1:55" s="381" customFormat="1" ht="17.649999999999999" customHeight="1">
      <c r="A672" s="343">
        <v>240</v>
      </c>
      <c r="B672" s="211" t="s">
        <v>2321</v>
      </c>
      <c r="C672" s="211" t="s">
        <v>2061</v>
      </c>
      <c r="D672" s="211" t="s">
        <v>2063</v>
      </c>
      <c r="E672" s="344">
        <v>6302</v>
      </c>
      <c r="F672" s="344">
        <v>7318.2666666666701</v>
      </c>
      <c r="G672" s="356">
        <v>7636.3</v>
      </c>
      <c r="H672" s="344">
        <v>7728.7</v>
      </c>
      <c r="I672" s="344">
        <v>9614.5</v>
      </c>
      <c r="J672" s="344">
        <v>11886.4666666667</v>
      </c>
      <c r="K672" s="344">
        <v>11917.9666666667</v>
      </c>
      <c r="L672" s="344">
        <f t="shared" si="61"/>
        <v>2243.3833333333332</v>
      </c>
      <c r="M672" s="344">
        <v>10003.700000000001</v>
      </c>
      <c r="N672" s="344">
        <v>8683.5</v>
      </c>
      <c r="O672" s="344">
        <v>8232.7000000000007</v>
      </c>
      <c r="P672" s="344">
        <v>10693.666666666701</v>
      </c>
      <c r="Q672" s="344">
        <v>16624.5333333333</v>
      </c>
      <c r="R672" s="344">
        <v>24499.766666666699</v>
      </c>
      <c r="S672" s="344">
        <v>33695.666666666701</v>
      </c>
      <c r="T672" s="344">
        <v>35822.266666666699</v>
      </c>
      <c r="U672" s="344">
        <v>31378.433333333302</v>
      </c>
      <c r="V672" s="344">
        <v>27204.799999999999</v>
      </c>
      <c r="W672" s="344">
        <v>14703.733333333301</v>
      </c>
      <c r="X672" s="344">
        <v>15541.166666666701</v>
      </c>
      <c r="Y672" s="344">
        <v>20316.099999999999</v>
      </c>
      <c r="Z672" s="344">
        <v>36487.033333333296</v>
      </c>
      <c r="AA672" s="344">
        <v>55270.133333333302</v>
      </c>
      <c r="AB672" s="344">
        <v>56474.6</v>
      </c>
      <c r="AC672" s="344">
        <v>53311.066666666702</v>
      </c>
      <c r="AD672" s="344">
        <f t="shared" si="62"/>
        <v>-3163.5333333332965</v>
      </c>
      <c r="AE672" s="344">
        <v>51</v>
      </c>
      <c r="AF672" s="344">
        <v>0</v>
      </c>
      <c r="AG672" s="346">
        <v>51</v>
      </c>
      <c r="AH672" s="346">
        <v>51</v>
      </c>
      <c r="AI672" s="346">
        <v>12</v>
      </c>
      <c r="AJ672" s="346">
        <v>1</v>
      </c>
      <c r="AK672" s="346">
        <v>1</v>
      </c>
      <c r="AL672" s="346">
        <v>1</v>
      </c>
      <c r="AM672" s="346">
        <v>1</v>
      </c>
      <c r="AN672" s="346">
        <v>5</v>
      </c>
      <c r="AO672" s="346">
        <v>5</v>
      </c>
      <c r="AP672" s="346">
        <v>1</v>
      </c>
      <c r="AQ672" s="357">
        <v>1</v>
      </c>
      <c r="AR672" s="357">
        <v>5</v>
      </c>
      <c r="AS672" s="357">
        <v>3</v>
      </c>
      <c r="AT672" s="357">
        <v>1</v>
      </c>
      <c r="AU672" s="357">
        <v>1</v>
      </c>
      <c r="AV672" s="357">
        <v>1</v>
      </c>
      <c r="AW672" s="357">
        <v>1</v>
      </c>
      <c r="AX672" s="357">
        <v>1</v>
      </c>
      <c r="AY672" s="357">
        <v>1</v>
      </c>
      <c r="AZ672" s="357">
        <v>7</v>
      </c>
      <c r="BA672" s="357">
        <v>10</v>
      </c>
      <c r="BB672" s="357">
        <v>29</v>
      </c>
      <c r="BC672" s="357">
        <v>11</v>
      </c>
    </row>
    <row r="673" spans="1:55" s="381" customFormat="1" ht="17.649999999999999" customHeight="1">
      <c r="A673" s="343">
        <v>241</v>
      </c>
      <c r="B673" s="211" t="s">
        <v>2322</v>
      </c>
      <c r="C673" s="211" t="s">
        <v>2061</v>
      </c>
      <c r="D673" s="211" t="s">
        <v>2283</v>
      </c>
      <c r="E673" s="344">
        <v>42</v>
      </c>
      <c r="F673" s="344">
        <v>42.466666666666697</v>
      </c>
      <c r="G673" s="356">
        <v>29.866666666666699</v>
      </c>
      <c r="H673" s="344">
        <v>31.966666666666701</v>
      </c>
      <c r="I673" s="344">
        <v>36.1666666666667</v>
      </c>
      <c r="J673" s="344">
        <v>28.7</v>
      </c>
      <c r="K673" s="344">
        <v>24.266666666666701</v>
      </c>
      <c r="L673" s="344">
        <f t="shared" si="61"/>
        <v>8.4388888888888971</v>
      </c>
      <c r="M673" s="344">
        <v>15.633333333333301</v>
      </c>
      <c r="N673" s="344">
        <v>21.7</v>
      </c>
      <c r="O673" s="344">
        <v>24.966666666666701</v>
      </c>
      <c r="P673" s="344">
        <v>30.8</v>
      </c>
      <c r="Q673" s="344">
        <v>38.033333333333303</v>
      </c>
      <c r="R673" s="344">
        <v>37.566666666666698</v>
      </c>
      <c r="S673" s="344">
        <v>38.033333333333303</v>
      </c>
      <c r="T673" s="344">
        <v>41.3</v>
      </c>
      <c r="U673" s="344">
        <v>35.466666666666697</v>
      </c>
      <c r="V673" s="344">
        <v>31.733333333333299</v>
      </c>
      <c r="W673" s="344">
        <v>31.5</v>
      </c>
      <c r="X673" s="344">
        <v>24.266666666666701</v>
      </c>
      <c r="Y673" s="344">
        <v>21.7</v>
      </c>
      <c r="Z673" s="344">
        <v>20.766666666666701</v>
      </c>
      <c r="AA673" s="344">
        <v>54.6</v>
      </c>
      <c r="AB673" s="344">
        <v>59.033333333333303</v>
      </c>
      <c r="AC673" s="344">
        <v>68.133333333333297</v>
      </c>
      <c r="AD673" s="344">
        <f t="shared" si="62"/>
        <v>9.0999999999999943</v>
      </c>
      <c r="AE673" s="344">
        <v>11</v>
      </c>
      <c r="AF673" s="344">
        <v>6</v>
      </c>
      <c r="AG673" s="346">
        <v>20</v>
      </c>
      <c r="AH673" s="346">
        <v>13</v>
      </c>
      <c r="AI673" s="346">
        <v>2</v>
      </c>
      <c r="AJ673" s="346">
        <v>51</v>
      </c>
      <c r="AK673" s="346">
        <v>26</v>
      </c>
      <c r="AL673" s="346">
        <v>51</v>
      </c>
      <c r="AM673" s="346">
        <v>4</v>
      </c>
      <c r="AN673" s="346">
        <v>23</v>
      </c>
      <c r="AO673" s="346">
        <v>23</v>
      </c>
      <c r="AP673" s="346">
        <v>3</v>
      </c>
      <c r="AQ673" s="211">
        <v>51</v>
      </c>
      <c r="AR673" s="357">
        <v>4</v>
      </c>
      <c r="AS673" s="211">
        <v>51</v>
      </c>
      <c r="AT673" s="357">
        <v>45</v>
      </c>
      <c r="AU673" s="357">
        <v>2</v>
      </c>
      <c r="AV673" s="357">
        <v>4</v>
      </c>
      <c r="AW673" s="357">
        <v>4</v>
      </c>
      <c r="AX673" s="357">
        <v>5</v>
      </c>
      <c r="AY673" s="357">
        <v>7</v>
      </c>
      <c r="AZ673" s="357">
        <v>1</v>
      </c>
      <c r="BA673" s="357">
        <v>10</v>
      </c>
      <c r="BB673" s="357">
        <v>1</v>
      </c>
      <c r="BC673" s="357">
        <v>7</v>
      </c>
    </row>
    <row r="674" spans="1:55" s="381" customFormat="1" ht="17.649999999999999" customHeight="1">
      <c r="A674" s="343">
        <v>242</v>
      </c>
      <c r="B674" s="211" t="s">
        <v>2323</v>
      </c>
      <c r="C674" s="211" t="s">
        <v>2061</v>
      </c>
      <c r="D674" s="211" t="s">
        <v>2283</v>
      </c>
      <c r="E674" s="344">
        <v>43</v>
      </c>
      <c r="F674" s="344">
        <v>43.633333333333297</v>
      </c>
      <c r="G674" s="356">
        <v>39.6666666666667</v>
      </c>
      <c r="H674" s="344">
        <v>40.6</v>
      </c>
      <c r="I674" s="344">
        <v>39.6666666666667</v>
      </c>
      <c r="J674" s="344">
        <v>37.1</v>
      </c>
      <c r="K674" s="344">
        <v>38.5</v>
      </c>
      <c r="L674" s="344">
        <f t="shared" si="61"/>
        <v>9.2555555555555635</v>
      </c>
      <c r="M674" s="344">
        <v>40.8333333333333</v>
      </c>
      <c r="N674" s="344">
        <v>44.1</v>
      </c>
      <c r="O674" s="344">
        <v>46.2</v>
      </c>
      <c r="P674" s="344">
        <v>50.4</v>
      </c>
      <c r="Q674" s="344">
        <v>57.4</v>
      </c>
      <c r="R674" s="344">
        <v>57.866666666666703</v>
      </c>
      <c r="S674" s="344">
        <v>59.266666666666701</v>
      </c>
      <c r="T674" s="344">
        <v>58.566666666666698</v>
      </c>
      <c r="U674" s="344">
        <v>44.1</v>
      </c>
      <c r="V674" s="344">
        <v>43.633333333333297</v>
      </c>
      <c r="W674" s="344">
        <v>38.266666666666701</v>
      </c>
      <c r="X674" s="344">
        <v>29.4</v>
      </c>
      <c r="Y674" s="344">
        <v>29.4</v>
      </c>
      <c r="Z674" s="344">
        <v>30.3333333333333</v>
      </c>
      <c r="AA674" s="344">
        <v>31.033333333333299</v>
      </c>
      <c r="AB674" s="344">
        <v>34.299999999999997</v>
      </c>
      <c r="AC674" s="344">
        <v>33.8333333333333</v>
      </c>
      <c r="AD674" s="344">
        <f t="shared" si="62"/>
        <v>-0.46666666666669698</v>
      </c>
      <c r="AE674" s="344">
        <v>51</v>
      </c>
      <c r="AF674" s="344">
        <v>0</v>
      </c>
      <c r="AG674" s="346">
        <v>51</v>
      </c>
      <c r="AH674" s="346">
        <v>51</v>
      </c>
      <c r="AI674" s="346">
        <v>51</v>
      </c>
      <c r="AJ674" s="346">
        <v>8</v>
      </c>
      <c r="AK674" s="346">
        <v>51</v>
      </c>
      <c r="AL674" s="346">
        <v>8</v>
      </c>
      <c r="AM674" s="346">
        <v>51</v>
      </c>
      <c r="AN674" s="346">
        <v>51</v>
      </c>
      <c r="AO674" s="346">
        <v>51</v>
      </c>
      <c r="AP674" s="211">
        <v>51</v>
      </c>
      <c r="AQ674" s="211">
        <v>51</v>
      </c>
      <c r="AR674" s="211">
        <v>51</v>
      </c>
      <c r="AS674" s="211">
        <v>51</v>
      </c>
      <c r="AT674" s="211">
        <v>51</v>
      </c>
      <c r="AU674" s="211">
        <v>51</v>
      </c>
      <c r="AV674" s="211">
        <v>51</v>
      </c>
      <c r="AW674" s="211">
        <v>51</v>
      </c>
      <c r="AX674" s="211">
        <v>51</v>
      </c>
      <c r="AY674" s="211">
        <v>51</v>
      </c>
      <c r="AZ674" s="211">
        <v>51</v>
      </c>
      <c r="BA674" s="211">
        <v>51</v>
      </c>
      <c r="BB674" s="211">
        <v>51</v>
      </c>
      <c r="BC674" s="357" t="s">
        <v>2287</v>
      </c>
    </row>
    <row r="675" spans="1:55" s="381" customFormat="1" ht="17.649999999999999" customHeight="1">
      <c r="A675" s="343">
        <v>243</v>
      </c>
      <c r="B675" s="211" t="s">
        <v>2324</v>
      </c>
      <c r="C675" s="211" t="s">
        <v>2061</v>
      </c>
      <c r="D675" s="211" t="s">
        <v>2063</v>
      </c>
      <c r="E675" s="344">
        <v>723</v>
      </c>
      <c r="F675" s="344">
        <v>778.86666666666702</v>
      </c>
      <c r="G675" s="356">
        <v>1435.4666666666701</v>
      </c>
      <c r="H675" s="344">
        <v>1415.86666666667</v>
      </c>
      <c r="I675" s="344">
        <v>1393.7</v>
      </c>
      <c r="J675" s="344">
        <v>3017</v>
      </c>
      <c r="K675" s="344">
        <v>3045.9333333333302</v>
      </c>
      <c r="L675" s="344">
        <f t="shared" si="61"/>
        <v>325.19666666666672</v>
      </c>
      <c r="M675" s="344">
        <v>2088.8000000000002</v>
      </c>
      <c r="N675" s="344">
        <v>292.83333333333297</v>
      </c>
      <c r="O675" s="344">
        <v>180.833333333333</v>
      </c>
      <c r="P675" s="344">
        <v>173.36666666666699</v>
      </c>
      <c r="Q675" s="344">
        <v>157.26666666666699</v>
      </c>
      <c r="R675" s="344">
        <v>179.666666666667</v>
      </c>
      <c r="S675" s="344">
        <v>117.6</v>
      </c>
      <c r="T675" s="344">
        <v>90.066666666666706</v>
      </c>
      <c r="U675" s="344">
        <v>842.8</v>
      </c>
      <c r="V675" s="344">
        <v>850.26666666666699</v>
      </c>
      <c r="W675" s="344">
        <v>888.3</v>
      </c>
      <c r="X675" s="344">
        <v>944.3</v>
      </c>
      <c r="Y675" s="344">
        <v>821.33333333333303</v>
      </c>
      <c r="Z675" s="344">
        <v>209.3</v>
      </c>
      <c r="AA675" s="344">
        <v>199.5</v>
      </c>
      <c r="AB675" s="344">
        <v>115.5</v>
      </c>
      <c r="AC675" s="344">
        <v>88.9</v>
      </c>
      <c r="AD675" s="344">
        <f t="shared" si="62"/>
        <v>-26.599999999999994</v>
      </c>
      <c r="AE675" s="344">
        <v>51</v>
      </c>
      <c r="AF675" s="344">
        <v>0</v>
      </c>
      <c r="AG675" s="346">
        <v>39</v>
      </c>
      <c r="AH675" s="346">
        <v>18</v>
      </c>
      <c r="AI675" s="346">
        <v>21</v>
      </c>
      <c r="AJ675" s="346">
        <v>25</v>
      </c>
      <c r="AK675" s="346">
        <v>1</v>
      </c>
      <c r="AL675" s="346">
        <v>25</v>
      </c>
      <c r="AM675" s="346">
        <v>3</v>
      </c>
      <c r="AN675" s="346">
        <v>1</v>
      </c>
      <c r="AO675" s="346">
        <v>1</v>
      </c>
      <c r="AP675" s="346">
        <v>2</v>
      </c>
      <c r="AQ675" s="357">
        <v>1</v>
      </c>
      <c r="AR675" s="357">
        <v>21</v>
      </c>
      <c r="AS675" s="357">
        <v>5</v>
      </c>
      <c r="AT675" s="357">
        <v>2</v>
      </c>
      <c r="AU675" s="357">
        <v>1</v>
      </c>
      <c r="AV675" s="357">
        <v>1</v>
      </c>
      <c r="AW675" s="357">
        <v>2</v>
      </c>
      <c r="AX675" s="357">
        <v>1</v>
      </c>
      <c r="AY675" s="357">
        <v>9</v>
      </c>
      <c r="AZ675" s="357">
        <v>1</v>
      </c>
      <c r="BA675" s="357">
        <v>6</v>
      </c>
      <c r="BB675" s="357">
        <v>2</v>
      </c>
      <c r="BC675" s="357">
        <v>2</v>
      </c>
    </row>
    <row r="676" spans="1:55" s="381" customFormat="1" ht="17.649999999999999" customHeight="1">
      <c r="A676" s="343">
        <v>244</v>
      </c>
      <c r="B676" s="211" t="s">
        <v>2325</v>
      </c>
      <c r="C676" s="211" t="s">
        <v>2061</v>
      </c>
      <c r="D676" s="211" t="s">
        <v>2063</v>
      </c>
      <c r="E676" s="344">
        <v>1278</v>
      </c>
      <c r="F676" s="344">
        <v>1276.8</v>
      </c>
      <c r="G676" s="356">
        <v>60.433333333333302</v>
      </c>
      <c r="H676" s="344">
        <v>32.9</v>
      </c>
      <c r="I676" s="344">
        <v>30.566666666666698</v>
      </c>
      <c r="J676" s="344">
        <v>24.5</v>
      </c>
      <c r="K676" s="344">
        <v>21</v>
      </c>
      <c r="L676" s="344">
        <f t="shared" si="61"/>
        <v>7.1322222222222287</v>
      </c>
      <c r="M676" s="344">
        <v>11.9</v>
      </c>
      <c r="N676" s="344">
        <v>40.366666666666703</v>
      </c>
      <c r="O676" s="344">
        <v>44.8</v>
      </c>
      <c r="P676" s="344">
        <v>315</v>
      </c>
      <c r="Q676" s="344">
        <v>317.33333333333297</v>
      </c>
      <c r="R676" s="344">
        <v>314.3</v>
      </c>
      <c r="S676" s="344">
        <v>282.8</v>
      </c>
      <c r="T676" s="344">
        <v>27.533333333333299</v>
      </c>
      <c r="U676" s="344">
        <v>26.6</v>
      </c>
      <c r="V676" s="344">
        <v>30.566666666666698</v>
      </c>
      <c r="W676" s="344">
        <v>1255.3333333333301</v>
      </c>
      <c r="X676" s="344">
        <v>2543.3333333333298</v>
      </c>
      <c r="Y676" s="344">
        <v>2551.9666666666699</v>
      </c>
      <c r="Z676" s="344">
        <v>2558.7333333333299</v>
      </c>
      <c r="AA676" s="344">
        <v>2524.1999999999998</v>
      </c>
      <c r="AB676" s="344">
        <v>58.1</v>
      </c>
      <c r="AC676" s="344">
        <v>25.6666666666667</v>
      </c>
      <c r="AD676" s="344">
        <f t="shared" si="62"/>
        <v>-32.433333333333302</v>
      </c>
      <c r="AE676" s="344">
        <v>3</v>
      </c>
      <c r="AF676" s="344">
        <v>9</v>
      </c>
      <c r="AG676" s="346">
        <v>7</v>
      </c>
      <c r="AH676" s="346">
        <v>1</v>
      </c>
      <c r="AI676" s="346">
        <v>1</v>
      </c>
      <c r="AJ676" s="346">
        <v>1</v>
      </c>
      <c r="AK676" s="346">
        <v>1</v>
      </c>
      <c r="AL676" s="346">
        <v>1</v>
      </c>
      <c r="AM676" s="346">
        <v>1</v>
      </c>
      <c r="AN676" s="346">
        <v>1</v>
      </c>
      <c r="AO676" s="346">
        <v>1</v>
      </c>
      <c r="AP676" s="346">
        <v>2</v>
      </c>
      <c r="AQ676" s="357">
        <v>4</v>
      </c>
      <c r="AR676" s="357">
        <v>3</v>
      </c>
      <c r="AS676" s="357">
        <v>2</v>
      </c>
      <c r="AT676" s="357">
        <v>7</v>
      </c>
      <c r="AU676" s="211">
        <v>3</v>
      </c>
      <c r="AV676" s="357">
        <v>2</v>
      </c>
      <c r="AW676" s="357">
        <v>1</v>
      </c>
      <c r="AX676" s="357">
        <v>1</v>
      </c>
      <c r="AY676" s="357">
        <v>7</v>
      </c>
      <c r="AZ676" s="357">
        <v>8</v>
      </c>
      <c r="BA676" s="357">
        <v>1</v>
      </c>
      <c r="BB676" s="357">
        <v>8</v>
      </c>
      <c r="BC676" s="357">
        <v>1</v>
      </c>
    </row>
    <row r="677" spans="1:55" s="381" customFormat="1" ht="17.649999999999999" customHeight="1">
      <c r="A677" s="343">
        <v>245</v>
      </c>
      <c r="B677" s="211" t="s">
        <v>2326</v>
      </c>
      <c r="C677" s="211" t="s">
        <v>2061</v>
      </c>
      <c r="D677" s="211" t="s">
        <v>2063</v>
      </c>
      <c r="E677" s="344">
        <v>1285</v>
      </c>
      <c r="F677" s="344">
        <v>1280.06666666667</v>
      </c>
      <c r="G677" s="356">
        <v>1092</v>
      </c>
      <c r="H677" s="344">
        <v>397.36666666666702</v>
      </c>
      <c r="I677" s="344">
        <v>392.23333333333301</v>
      </c>
      <c r="J677" s="344">
        <v>386.16666666666703</v>
      </c>
      <c r="K677" s="344">
        <v>369.83333333333297</v>
      </c>
      <c r="L677" s="344">
        <f t="shared" si="61"/>
        <v>91.521111111111026</v>
      </c>
      <c r="M677" s="344">
        <v>98.7</v>
      </c>
      <c r="N677" s="344">
        <v>855.86666666666702</v>
      </c>
      <c r="O677" s="344">
        <v>913.5</v>
      </c>
      <c r="P677" s="344">
        <v>1110.9000000000001</v>
      </c>
      <c r="Q677" s="344">
        <v>1488.6666666666699</v>
      </c>
      <c r="R677" s="344">
        <v>836.73333333333301</v>
      </c>
      <c r="S677" s="344">
        <v>1612.1</v>
      </c>
      <c r="T677" s="344">
        <v>1493.56666666667</v>
      </c>
      <c r="U677" s="344">
        <v>1241.3333333333301</v>
      </c>
      <c r="V677" s="344">
        <v>1145.9000000000001</v>
      </c>
      <c r="W677" s="344">
        <v>1363.13333333333</v>
      </c>
      <c r="X677" s="344">
        <v>979.76666666666699</v>
      </c>
      <c r="Y677" s="344">
        <v>937.53333333333296</v>
      </c>
      <c r="Z677" s="344">
        <v>895.3</v>
      </c>
      <c r="AA677" s="344">
        <v>237.76666666666699</v>
      </c>
      <c r="AB677" s="344">
        <v>213.26666666666699</v>
      </c>
      <c r="AC677" s="344">
        <v>1140.3</v>
      </c>
      <c r="AD677" s="344">
        <f t="shared" si="62"/>
        <v>927.03333333333296</v>
      </c>
      <c r="AE677" s="344">
        <v>51</v>
      </c>
      <c r="AF677" s="344">
        <v>0</v>
      </c>
      <c r="AG677" s="346">
        <v>51</v>
      </c>
      <c r="AH677" s="346">
        <v>51</v>
      </c>
      <c r="AI677" s="346">
        <v>51</v>
      </c>
      <c r="AJ677" s="346">
        <v>51</v>
      </c>
      <c r="AK677" s="346">
        <v>51</v>
      </c>
      <c r="AL677" s="346">
        <v>51</v>
      </c>
      <c r="AM677" s="346">
        <v>32</v>
      </c>
      <c r="AN677" s="346">
        <v>51</v>
      </c>
      <c r="AO677" s="346">
        <v>51</v>
      </c>
      <c r="AP677" s="357">
        <v>4</v>
      </c>
      <c r="AQ677" s="211">
        <v>51</v>
      </c>
      <c r="AR677" s="357">
        <v>46</v>
      </c>
      <c r="AS677" s="357">
        <v>11</v>
      </c>
      <c r="AT677" s="211">
        <v>51</v>
      </c>
      <c r="AU677" s="357">
        <v>17</v>
      </c>
      <c r="AV677" s="357">
        <v>2</v>
      </c>
      <c r="AW677" s="357">
        <v>46</v>
      </c>
      <c r="AX677" s="211">
        <v>51</v>
      </c>
      <c r="AY677" s="357">
        <v>36</v>
      </c>
      <c r="AZ677" s="357">
        <v>16</v>
      </c>
      <c r="BA677" s="357">
        <v>4</v>
      </c>
      <c r="BB677" s="357">
        <v>7</v>
      </c>
      <c r="BC677" s="357">
        <v>7</v>
      </c>
    </row>
    <row r="678" spans="1:55" s="381" customFormat="1" ht="17.649999999999999" customHeight="1">
      <c r="A678" s="343">
        <v>246</v>
      </c>
      <c r="B678" s="211" t="s">
        <v>2327</v>
      </c>
      <c r="C678" s="211" t="s">
        <v>2061</v>
      </c>
      <c r="D678" s="211" t="s">
        <v>2063</v>
      </c>
      <c r="E678" s="344">
        <v>286</v>
      </c>
      <c r="F678" s="344">
        <v>290.73333333333301</v>
      </c>
      <c r="G678" s="356">
        <v>305.89999999999998</v>
      </c>
      <c r="H678" s="344">
        <v>308.46666666666698</v>
      </c>
      <c r="I678" s="344">
        <v>345.8</v>
      </c>
      <c r="J678" s="344">
        <v>454.53333333333302</v>
      </c>
      <c r="K678" s="344">
        <v>437.5</v>
      </c>
      <c r="L678" s="344">
        <f t="shared" si="61"/>
        <v>80.686666666666667</v>
      </c>
      <c r="M678" s="344">
        <v>356.53333333333302</v>
      </c>
      <c r="N678" s="344">
        <v>324.566666666667</v>
      </c>
      <c r="O678" s="344">
        <v>265.76666666666699</v>
      </c>
      <c r="P678" s="344">
        <v>269.03333333333302</v>
      </c>
      <c r="Q678" s="344">
        <v>324.8</v>
      </c>
      <c r="R678" s="344">
        <v>297.03333333333302</v>
      </c>
      <c r="S678" s="344">
        <v>253.166666666667</v>
      </c>
      <c r="T678" s="344">
        <v>236.13333333333301</v>
      </c>
      <c r="U678" s="344">
        <v>196.23333333333301</v>
      </c>
      <c r="V678" s="344">
        <v>175.7</v>
      </c>
      <c r="W678" s="344">
        <v>367.5</v>
      </c>
      <c r="X678" s="344">
        <v>383.36666666666702</v>
      </c>
      <c r="Y678" s="344">
        <v>389.2</v>
      </c>
      <c r="Z678" s="344">
        <v>415.566666666667</v>
      </c>
      <c r="AA678" s="344">
        <v>218.4</v>
      </c>
      <c r="AB678" s="344">
        <v>217.7</v>
      </c>
      <c r="AC678" s="344">
        <v>220.26666666666699</v>
      </c>
      <c r="AD678" s="344">
        <f t="shared" si="62"/>
        <v>2.5666666666670039</v>
      </c>
      <c r="AE678" s="344">
        <v>9</v>
      </c>
      <c r="AF678" s="344">
        <v>0</v>
      </c>
      <c r="AG678" s="346">
        <v>51</v>
      </c>
      <c r="AH678" s="346">
        <v>51</v>
      </c>
      <c r="AI678" s="346">
        <v>51</v>
      </c>
      <c r="AJ678" s="346">
        <v>51</v>
      </c>
      <c r="AK678" s="346">
        <v>51</v>
      </c>
      <c r="AL678" s="346">
        <v>51</v>
      </c>
      <c r="AM678" s="346">
        <v>37</v>
      </c>
      <c r="AN678" s="346">
        <v>42</v>
      </c>
      <c r="AO678" s="346">
        <v>42</v>
      </c>
      <c r="AP678" s="357">
        <v>14</v>
      </c>
      <c r="AQ678" s="357">
        <v>10</v>
      </c>
      <c r="AR678" s="357">
        <v>7</v>
      </c>
      <c r="AS678" s="357">
        <v>46</v>
      </c>
      <c r="AT678" s="211">
        <v>51</v>
      </c>
      <c r="AU678" s="357">
        <v>8</v>
      </c>
      <c r="AV678" s="357">
        <v>6</v>
      </c>
      <c r="AW678" s="211">
        <v>51</v>
      </c>
      <c r="AX678" s="211">
        <v>51</v>
      </c>
      <c r="AY678" s="357">
        <v>8</v>
      </c>
      <c r="AZ678" s="357">
        <v>6</v>
      </c>
      <c r="BA678" s="357">
        <v>4</v>
      </c>
      <c r="BB678" s="211">
        <v>51</v>
      </c>
      <c r="BC678" s="357">
        <v>31</v>
      </c>
    </row>
    <row r="679" spans="1:55" s="381" customFormat="1" ht="17.649999999999999" customHeight="1">
      <c r="A679" s="343">
        <v>247</v>
      </c>
      <c r="B679" s="211" t="s">
        <v>2328</v>
      </c>
      <c r="C679" s="211" t="s">
        <v>2061</v>
      </c>
      <c r="D679" s="211" t="s">
        <v>2283</v>
      </c>
      <c r="E679" s="344">
        <v>0</v>
      </c>
      <c r="F679" s="344">
        <v>0.233333333333333</v>
      </c>
      <c r="G679" s="356">
        <v>0.233333333333333</v>
      </c>
      <c r="H679" s="344">
        <v>0.233333333333333</v>
      </c>
      <c r="I679" s="344">
        <v>0.233333333333333</v>
      </c>
      <c r="J679" s="344">
        <v>0.233333333333333</v>
      </c>
      <c r="K679" s="344">
        <v>0.233333333333333</v>
      </c>
      <c r="L679" s="344">
        <f t="shared" si="61"/>
        <v>5.4444444444444372E-2</v>
      </c>
      <c r="M679" s="344">
        <v>2.1</v>
      </c>
      <c r="N679" s="344">
        <v>5.1333333333333302</v>
      </c>
      <c r="O679" s="344">
        <v>6.3</v>
      </c>
      <c r="P679" s="344">
        <v>5.8333333333333304</v>
      </c>
      <c r="Q679" s="344">
        <v>10.266666666666699</v>
      </c>
      <c r="R679" s="344">
        <v>13.0666666666667</v>
      </c>
      <c r="S679" s="344">
        <v>10.966666666666701</v>
      </c>
      <c r="T679" s="344">
        <v>10.733333333333301</v>
      </c>
      <c r="U679" s="344">
        <v>8.8666666666666707</v>
      </c>
      <c r="V679" s="344">
        <v>5.3666666666666698</v>
      </c>
      <c r="W679" s="344">
        <v>3.2666666666666702</v>
      </c>
      <c r="X679" s="344">
        <v>3.9666666666666699</v>
      </c>
      <c r="Y679" s="344">
        <v>5.1333333333333302</v>
      </c>
      <c r="Z679" s="344">
        <v>6.7666666666666702</v>
      </c>
      <c r="AA679" s="344">
        <v>7.7</v>
      </c>
      <c r="AB679" s="344">
        <v>8.4</v>
      </c>
      <c r="AC679" s="344">
        <v>9.56666666666667</v>
      </c>
      <c r="AD679" s="344">
        <f t="shared" si="62"/>
        <v>1.1666666666666696</v>
      </c>
      <c r="AE679" s="344">
        <v>46</v>
      </c>
      <c r="AF679" s="344">
        <v>0</v>
      </c>
      <c r="AG679" s="346">
        <v>51</v>
      </c>
      <c r="AH679" s="346">
        <v>6</v>
      </c>
      <c r="AI679" s="346">
        <v>4</v>
      </c>
      <c r="AJ679" s="346">
        <v>51</v>
      </c>
      <c r="AK679" s="346">
        <v>51</v>
      </c>
      <c r="AL679" s="346">
        <v>51</v>
      </c>
      <c r="AM679" s="346">
        <v>51</v>
      </c>
      <c r="AN679" s="346">
        <v>51</v>
      </c>
      <c r="AO679" s="346">
        <v>51</v>
      </c>
      <c r="AP679" s="357">
        <v>15</v>
      </c>
      <c r="AQ679" s="357">
        <v>19</v>
      </c>
      <c r="AR679" s="357">
        <v>4</v>
      </c>
      <c r="AS679" s="357">
        <v>10</v>
      </c>
      <c r="AT679" s="357">
        <v>28</v>
      </c>
      <c r="AU679" s="357">
        <v>31</v>
      </c>
      <c r="AV679" s="357">
        <v>25</v>
      </c>
      <c r="AW679" s="357">
        <v>44</v>
      </c>
      <c r="AX679" s="357">
        <v>34</v>
      </c>
      <c r="AY679" s="357">
        <v>46</v>
      </c>
      <c r="AZ679" s="211">
        <v>51</v>
      </c>
      <c r="BA679" s="357">
        <v>6</v>
      </c>
      <c r="BB679" s="357">
        <v>16</v>
      </c>
      <c r="BC679" s="357">
        <v>15</v>
      </c>
    </row>
    <row r="680" spans="1:55" s="381" customFormat="1" ht="17.649999999999999" customHeight="1">
      <c r="A680" s="343">
        <v>248</v>
      </c>
      <c r="B680" s="211" t="s">
        <v>2329</v>
      </c>
      <c r="C680" s="211" t="s">
        <v>2061</v>
      </c>
      <c r="D680" s="211" t="s">
        <v>2283</v>
      </c>
      <c r="E680" s="344">
        <v>58</v>
      </c>
      <c r="F680" s="344">
        <v>57.4</v>
      </c>
      <c r="G680" s="356">
        <v>52.733333333333299</v>
      </c>
      <c r="H680" s="344">
        <v>52.266666666666701</v>
      </c>
      <c r="I680" s="344">
        <v>45.966666666666697</v>
      </c>
      <c r="J680" s="344">
        <v>37.566666666666698</v>
      </c>
      <c r="K680" s="344">
        <v>38.033333333333303</v>
      </c>
      <c r="L680" s="344">
        <f t="shared" si="61"/>
        <v>10.725555555555562</v>
      </c>
      <c r="M680" s="344">
        <v>44.8</v>
      </c>
      <c r="N680" s="344">
        <v>46.2</v>
      </c>
      <c r="O680" s="344">
        <v>49.466666666666697</v>
      </c>
      <c r="P680" s="344">
        <v>47.133333333333297</v>
      </c>
      <c r="Q680" s="344">
        <v>52.5</v>
      </c>
      <c r="R680" s="344">
        <v>58.566666666666698</v>
      </c>
      <c r="S680" s="344">
        <v>63.7</v>
      </c>
      <c r="T680" s="344">
        <v>67.6666666666667</v>
      </c>
      <c r="U680" s="344">
        <v>63.933333333333302</v>
      </c>
      <c r="V680" s="344">
        <v>59.966666666666697</v>
      </c>
      <c r="W680" s="344">
        <v>56.7</v>
      </c>
      <c r="X680" s="344">
        <v>60.2</v>
      </c>
      <c r="Y680" s="344">
        <v>58.3333333333333</v>
      </c>
      <c r="Z680" s="344">
        <v>62.766666666666701</v>
      </c>
      <c r="AA680" s="344">
        <v>61.6</v>
      </c>
      <c r="AB680" s="344">
        <v>53.6666666666667</v>
      </c>
      <c r="AC680" s="344">
        <v>52.733333333333299</v>
      </c>
      <c r="AD680" s="344">
        <f t="shared" si="62"/>
        <v>-0.93333333333340107</v>
      </c>
      <c r="AE680" s="344">
        <v>10</v>
      </c>
      <c r="AF680" s="344">
        <v>35</v>
      </c>
      <c r="AG680" s="346">
        <v>3</v>
      </c>
      <c r="AH680" s="346">
        <v>4</v>
      </c>
      <c r="AI680" s="346">
        <v>1</v>
      </c>
      <c r="AJ680" s="346">
        <v>2</v>
      </c>
      <c r="AK680" s="346">
        <v>1</v>
      </c>
      <c r="AL680" s="346">
        <v>2</v>
      </c>
      <c r="AM680" s="346">
        <v>2</v>
      </c>
      <c r="AN680" s="346">
        <v>4</v>
      </c>
      <c r="AO680" s="346">
        <v>4</v>
      </c>
      <c r="AP680" s="357">
        <v>2</v>
      </c>
      <c r="AQ680" s="357">
        <v>26</v>
      </c>
      <c r="AR680" s="357">
        <v>4</v>
      </c>
      <c r="AS680" s="357">
        <v>1</v>
      </c>
      <c r="AT680" s="357">
        <v>3</v>
      </c>
      <c r="AU680" s="357">
        <v>2</v>
      </c>
      <c r="AV680" s="357">
        <v>3</v>
      </c>
      <c r="AW680" s="357">
        <v>7</v>
      </c>
      <c r="AX680" s="211">
        <v>51</v>
      </c>
      <c r="AY680" s="211">
        <v>51</v>
      </c>
      <c r="AZ680" s="357">
        <v>9</v>
      </c>
      <c r="BA680" s="357">
        <v>3</v>
      </c>
      <c r="BB680" s="357">
        <v>9</v>
      </c>
      <c r="BC680" s="357">
        <v>9</v>
      </c>
    </row>
    <row r="681" spans="1:55" s="381" customFormat="1" ht="17.649999999999999" customHeight="1">
      <c r="A681" s="343">
        <v>249</v>
      </c>
      <c r="B681" s="211" t="s">
        <v>2330</v>
      </c>
      <c r="C681" s="211" t="s">
        <v>2061</v>
      </c>
      <c r="D681" s="211" t="s">
        <v>2283</v>
      </c>
      <c r="E681" s="344">
        <v>84</v>
      </c>
      <c r="F681" s="344">
        <v>86.8</v>
      </c>
      <c r="G681" s="356">
        <v>76.066666666666706</v>
      </c>
      <c r="H681" s="344">
        <v>69.533333333333303</v>
      </c>
      <c r="I681" s="344">
        <v>63.933333333333302</v>
      </c>
      <c r="J681" s="344">
        <v>53.433333333333302</v>
      </c>
      <c r="K681" s="344">
        <v>40.8333333333333</v>
      </c>
      <c r="L681" s="344">
        <f t="shared" si="61"/>
        <v>14.917777777777768</v>
      </c>
      <c r="M681" s="344">
        <v>42.7</v>
      </c>
      <c r="N681" s="344">
        <v>49.7</v>
      </c>
      <c r="O681" s="344">
        <v>59.966666666666697</v>
      </c>
      <c r="P681" s="344">
        <v>70.466666666666697</v>
      </c>
      <c r="Q681" s="344">
        <v>65.099999999999994</v>
      </c>
      <c r="R681" s="344">
        <v>64.400000000000006</v>
      </c>
      <c r="S681" s="344">
        <v>61.133333333333297</v>
      </c>
      <c r="T681" s="344">
        <v>57.866666666666703</v>
      </c>
      <c r="U681" s="344">
        <v>63.466666666666697</v>
      </c>
      <c r="V681" s="344">
        <v>67.6666666666667</v>
      </c>
      <c r="W681" s="344">
        <v>66.966666666666697</v>
      </c>
      <c r="X681" s="344">
        <v>62.3</v>
      </c>
      <c r="Y681" s="344">
        <v>57.4</v>
      </c>
      <c r="Z681" s="344">
        <v>57.4</v>
      </c>
      <c r="AA681" s="344">
        <v>49.466666666666697</v>
      </c>
      <c r="AB681" s="344">
        <v>98.466666666666697</v>
      </c>
      <c r="AC681" s="344">
        <v>97.766666666666694</v>
      </c>
      <c r="AD681" s="344">
        <f t="shared" si="62"/>
        <v>-0.70000000000000284</v>
      </c>
      <c r="AE681" s="344">
        <v>15</v>
      </c>
      <c r="AF681" s="344">
        <v>11</v>
      </c>
      <c r="AG681" s="346">
        <v>12</v>
      </c>
      <c r="AH681" s="346">
        <v>51</v>
      </c>
      <c r="AI681" s="346">
        <v>51</v>
      </c>
      <c r="AJ681" s="346">
        <v>51</v>
      </c>
      <c r="AK681" s="346">
        <v>51</v>
      </c>
      <c r="AL681" s="346">
        <v>51</v>
      </c>
      <c r="AM681" s="346">
        <v>17</v>
      </c>
      <c r="AN681" s="346">
        <v>2</v>
      </c>
      <c r="AO681" s="346">
        <v>2</v>
      </c>
      <c r="AP681" s="346">
        <v>5</v>
      </c>
      <c r="AQ681" s="357">
        <v>14</v>
      </c>
      <c r="AR681" s="357">
        <v>10</v>
      </c>
      <c r="AS681" s="211">
        <v>51</v>
      </c>
      <c r="AT681" s="357">
        <v>16</v>
      </c>
      <c r="AU681" s="357">
        <v>14</v>
      </c>
      <c r="AV681" s="211">
        <v>51</v>
      </c>
      <c r="AW681" s="357">
        <v>4</v>
      </c>
      <c r="AX681" s="211">
        <v>51</v>
      </c>
      <c r="AY681" s="357">
        <v>2</v>
      </c>
      <c r="AZ681" s="357">
        <v>2</v>
      </c>
      <c r="BA681" s="357">
        <v>2</v>
      </c>
      <c r="BB681" s="357">
        <v>6</v>
      </c>
      <c r="BC681" s="357">
        <v>6</v>
      </c>
    </row>
    <row r="682" spans="1:55" s="381" customFormat="1" ht="17.649999999999999" customHeight="1">
      <c r="A682" s="343">
        <v>250</v>
      </c>
      <c r="B682" s="211" t="s">
        <v>2331</v>
      </c>
      <c r="C682" s="211" t="s">
        <v>2061</v>
      </c>
      <c r="D682" s="211" t="s">
        <v>2283</v>
      </c>
      <c r="E682" s="344">
        <v>14</v>
      </c>
      <c r="F682" s="344">
        <v>14.233333333333301</v>
      </c>
      <c r="G682" s="356">
        <v>17.5</v>
      </c>
      <c r="H682" s="344">
        <v>15.4</v>
      </c>
      <c r="I682" s="344">
        <v>15.633333333333301</v>
      </c>
      <c r="J682" s="344">
        <v>14</v>
      </c>
      <c r="K682" s="344">
        <v>11.6666666666667</v>
      </c>
      <c r="L682" s="344">
        <f t="shared" si="61"/>
        <v>3.6477777777777707</v>
      </c>
      <c r="M682" s="344">
        <v>14.233333333333301</v>
      </c>
      <c r="N682" s="344">
        <v>17.5</v>
      </c>
      <c r="O682" s="344">
        <v>18.433333333333302</v>
      </c>
      <c r="P682" s="344">
        <v>23.1</v>
      </c>
      <c r="Q682" s="344">
        <v>23.3333333333333</v>
      </c>
      <c r="R682" s="344">
        <v>22.1666666666667</v>
      </c>
      <c r="S682" s="344">
        <v>20.766666666666701</v>
      </c>
      <c r="T682" s="344">
        <v>17.266666666666701</v>
      </c>
      <c r="U682" s="344">
        <v>14.466666666666701</v>
      </c>
      <c r="V682" s="344">
        <v>12.133333333333301</v>
      </c>
      <c r="W682" s="344">
        <v>11.6666666666667</v>
      </c>
      <c r="X682" s="344">
        <v>12.133333333333301</v>
      </c>
      <c r="Y682" s="344">
        <v>9.1</v>
      </c>
      <c r="Z682" s="344">
        <v>11.2</v>
      </c>
      <c r="AA682" s="344">
        <v>10.033333333333299</v>
      </c>
      <c r="AB682" s="344">
        <v>10.033333333333299</v>
      </c>
      <c r="AC682" s="344">
        <v>13.533333333333299</v>
      </c>
      <c r="AD682" s="344">
        <f t="shared" si="62"/>
        <v>3.5</v>
      </c>
      <c r="AE682" s="344">
        <v>51</v>
      </c>
      <c r="AF682" s="344">
        <v>0</v>
      </c>
      <c r="AG682" s="346">
        <v>51</v>
      </c>
      <c r="AH682" s="346">
        <v>51</v>
      </c>
      <c r="AI682" s="346">
        <v>51</v>
      </c>
      <c r="AJ682" s="346">
        <v>51</v>
      </c>
      <c r="AK682" s="346">
        <v>51</v>
      </c>
      <c r="AL682" s="346">
        <v>51</v>
      </c>
      <c r="AM682" s="346">
        <v>51</v>
      </c>
      <c r="AN682" s="346">
        <v>51</v>
      </c>
      <c r="AO682" s="346">
        <v>51</v>
      </c>
      <c r="AP682" s="357">
        <v>19</v>
      </c>
      <c r="AQ682" s="357">
        <v>14</v>
      </c>
      <c r="AR682" s="357">
        <v>13</v>
      </c>
      <c r="AS682" s="357">
        <v>19</v>
      </c>
      <c r="AT682" s="211">
        <v>51</v>
      </c>
      <c r="AU682" s="211">
        <v>51</v>
      </c>
      <c r="AV682" s="211">
        <v>51</v>
      </c>
      <c r="AW682" s="357">
        <v>24</v>
      </c>
      <c r="AX682" s="357">
        <v>29</v>
      </c>
      <c r="AY682" s="211">
        <v>51</v>
      </c>
      <c r="AZ682" s="211">
        <v>51</v>
      </c>
      <c r="BA682" s="211">
        <v>51</v>
      </c>
      <c r="BB682" s="357">
        <v>1</v>
      </c>
      <c r="BC682" s="357">
        <v>1</v>
      </c>
    </row>
    <row r="683" spans="1:55" s="381" customFormat="1" ht="17.649999999999999" customHeight="1">
      <c r="A683" s="343">
        <v>251</v>
      </c>
      <c r="B683" s="211" t="s">
        <v>2332</v>
      </c>
      <c r="C683" s="211" t="s">
        <v>2061</v>
      </c>
      <c r="D683" s="211" t="s">
        <v>2283</v>
      </c>
      <c r="E683" s="344">
        <v>12</v>
      </c>
      <c r="F683" s="344">
        <v>13.0666666666667</v>
      </c>
      <c r="G683" s="356">
        <v>11.2</v>
      </c>
      <c r="H683" s="344">
        <v>10.266666666666699</v>
      </c>
      <c r="I683" s="344">
        <v>12.133333333333301</v>
      </c>
      <c r="J683" s="344">
        <v>12.8333333333333</v>
      </c>
      <c r="K683" s="344">
        <v>10.033333333333299</v>
      </c>
      <c r="L683" s="344">
        <f t="shared" si="61"/>
        <v>2.8311111111111038</v>
      </c>
      <c r="M683" s="344">
        <v>8.8666666666666707</v>
      </c>
      <c r="N683" s="344">
        <v>6.3</v>
      </c>
      <c r="O683" s="344">
        <v>3.9666666666666699</v>
      </c>
      <c r="P683" s="344">
        <v>5.6</v>
      </c>
      <c r="Q683" s="344">
        <v>5.6</v>
      </c>
      <c r="R683" s="344">
        <v>6.5333333333333297</v>
      </c>
      <c r="S683" s="344">
        <v>7.7</v>
      </c>
      <c r="T683" s="344">
        <v>6.3</v>
      </c>
      <c r="U683" s="344">
        <v>7.7</v>
      </c>
      <c r="V683" s="344">
        <v>11.9</v>
      </c>
      <c r="W683" s="344">
        <v>14.9333333333333</v>
      </c>
      <c r="X683" s="344">
        <v>16.100000000000001</v>
      </c>
      <c r="Y683" s="344">
        <v>14.233333333333301</v>
      </c>
      <c r="Z683" s="344">
        <v>10.733333333333301</v>
      </c>
      <c r="AA683" s="344">
        <v>5.3666666666666698</v>
      </c>
      <c r="AB683" s="344">
        <v>5.3666666666666698</v>
      </c>
      <c r="AC683" s="344">
        <v>7</v>
      </c>
      <c r="AD683" s="344">
        <f t="shared" si="62"/>
        <v>1.6333333333333302</v>
      </c>
      <c r="AE683" s="344">
        <v>3</v>
      </c>
      <c r="AF683" s="344">
        <v>20</v>
      </c>
      <c r="AG683" s="346">
        <v>3</v>
      </c>
      <c r="AH683" s="346">
        <v>4</v>
      </c>
      <c r="AI683" s="346">
        <v>7</v>
      </c>
      <c r="AJ683" s="346">
        <v>4</v>
      </c>
      <c r="AK683" s="346">
        <v>5</v>
      </c>
      <c r="AL683" s="346">
        <v>4</v>
      </c>
      <c r="AM683" s="346">
        <v>7</v>
      </c>
      <c r="AN683" s="346">
        <v>13</v>
      </c>
      <c r="AO683" s="346">
        <v>13</v>
      </c>
      <c r="AP683" s="357">
        <v>28</v>
      </c>
      <c r="AQ683" s="357">
        <v>5</v>
      </c>
      <c r="AR683" s="357">
        <v>3</v>
      </c>
      <c r="AS683" s="357">
        <v>5</v>
      </c>
      <c r="AT683" s="357">
        <v>4</v>
      </c>
      <c r="AU683" s="357">
        <v>4</v>
      </c>
      <c r="AV683" s="357">
        <v>6</v>
      </c>
      <c r="AW683" s="357">
        <v>3</v>
      </c>
      <c r="AX683" s="357">
        <v>4</v>
      </c>
      <c r="AY683" s="357">
        <v>4</v>
      </c>
      <c r="AZ683" s="357">
        <v>2</v>
      </c>
      <c r="BA683" s="357">
        <v>2</v>
      </c>
      <c r="BB683" s="357">
        <v>10</v>
      </c>
      <c r="BC683" s="357">
        <v>1</v>
      </c>
    </row>
    <row r="684" spans="1:55" s="381" customFormat="1" ht="17.649999999999999" customHeight="1">
      <c r="A684" s="343">
        <v>252</v>
      </c>
      <c r="B684" s="211" t="s">
        <v>2333</v>
      </c>
      <c r="C684" s="211" t="s">
        <v>2061</v>
      </c>
      <c r="D684" s="211" t="s">
        <v>2283</v>
      </c>
      <c r="E684" s="344">
        <v>45</v>
      </c>
      <c r="F684" s="344">
        <v>45.733333333333299</v>
      </c>
      <c r="G684" s="356">
        <v>45.733333333333299</v>
      </c>
      <c r="H684" s="344">
        <v>38.5</v>
      </c>
      <c r="I684" s="344">
        <v>34.066666666666698</v>
      </c>
      <c r="J684" s="344">
        <v>25.433333333333302</v>
      </c>
      <c r="K684" s="344">
        <v>20.533333333333299</v>
      </c>
      <c r="L684" s="344">
        <f t="shared" si="61"/>
        <v>7.948888888888896</v>
      </c>
      <c r="M684" s="344">
        <v>17.966666666666701</v>
      </c>
      <c r="N684" s="344">
        <v>20.533333333333299</v>
      </c>
      <c r="O684" s="344">
        <v>22.866666666666699</v>
      </c>
      <c r="P684" s="344">
        <v>22.866666666666699</v>
      </c>
      <c r="Q684" s="344">
        <v>22.866666666666699</v>
      </c>
      <c r="R684" s="344">
        <v>20.066666666666698</v>
      </c>
      <c r="S684" s="344">
        <v>20.066666666666698</v>
      </c>
      <c r="T684" s="344">
        <v>28.933333333333302</v>
      </c>
      <c r="U684" s="344">
        <v>35.933333333333302</v>
      </c>
      <c r="V684" s="344">
        <v>36.1666666666667</v>
      </c>
      <c r="W684" s="344">
        <v>34.299999999999997</v>
      </c>
      <c r="X684" s="344">
        <v>29.4</v>
      </c>
      <c r="Y684" s="344">
        <v>17.733333333333299</v>
      </c>
      <c r="Z684" s="344">
        <v>28.233333333333299</v>
      </c>
      <c r="AA684" s="344">
        <v>33.8333333333333</v>
      </c>
      <c r="AB684" s="344">
        <v>61.366666666666703</v>
      </c>
      <c r="AC684" s="344">
        <v>65.099999999999994</v>
      </c>
      <c r="AD684" s="344">
        <f t="shared" si="62"/>
        <v>3.7333333333332916</v>
      </c>
      <c r="AE684" s="344">
        <v>19</v>
      </c>
      <c r="AF684" s="344">
        <v>11</v>
      </c>
      <c r="AG684" s="346">
        <v>40</v>
      </c>
      <c r="AH684" s="346">
        <v>4</v>
      </c>
      <c r="AI684" s="346">
        <v>5</v>
      </c>
      <c r="AJ684" s="346">
        <v>9</v>
      </c>
      <c r="AK684" s="346">
        <v>4</v>
      </c>
      <c r="AL684" s="346">
        <v>9</v>
      </c>
      <c r="AM684" s="346">
        <v>7</v>
      </c>
      <c r="AN684" s="346">
        <v>5</v>
      </c>
      <c r="AO684" s="346">
        <v>5</v>
      </c>
      <c r="AP684" s="346">
        <v>4</v>
      </c>
      <c r="AQ684" s="357">
        <v>4</v>
      </c>
      <c r="AR684" s="357">
        <v>4</v>
      </c>
      <c r="AS684" s="357">
        <v>2</v>
      </c>
      <c r="AT684" s="357">
        <v>4</v>
      </c>
      <c r="AU684" s="357">
        <v>5</v>
      </c>
      <c r="AV684" s="357">
        <v>4</v>
      </c>
      <c r="AW684" s="357">
        <v>8</v>
      </c>
      <c r="AX684" s="357">
        <v>9</v>
      </c>
      <c r="AY684" s="357">
        <v>3</v>
      </c>
      <c r="AZ684" s="357">
        <v>1</v>
      </c>
      <c r="BA684" s="357">
        <v>1</v>
      </c>
      <c r="BB684" s="357">
        <v>1</v>
      </c>
      <c r="BC684" s="357">
        <v>10</v>
      </c>
    </row>
    <row r="685" spans="1:55" s="381" customFormat="1" ht="17.649999999999999" customHeight="1">
      <c r="A685" s="343">
        <v>253</v>
      </c>
      <c r="B685" s="211" t="s">
        <v>2334</v>
      </c>
      <c r="C685" s="211" t="s">
        <v>2061</v>
      </c>
      <c r="D685" s="211" t="s">
        <v>2283</v>
      </c>
      <c r="E685" s="344">
        <v>21</v>
      </c>
      <c r="F685" s="344">
        <v>21.7</v>
      </c>
      <c r="G685" s="356">
        <v>19.8333333333333</v>
      </c>
      <c r="H685" s="344">
        <v>19.8333333333333</v>
      </c>
      <c r="I685" s="344">
        <v>18.6666666666667</v>
      </c>
      <c r="J685" s="344">
        <v>18.433333333333302</v>
      </c>
      <c r="K685" s="344">
        <v>16.566666666666698</v>
      </c>
      <c r="L685" s="344">
        <f t="shared" si="61"/>
        <v>4.3555555555555632</v>
      </c>
      <c r="M685" s="344">
        <v>8.8666666666666707</v>
      </c>
      <c r="N685" s="344">
        <v>11.9</v>
      </c>
      <c r="O685" s="344">
        <v>15.4</v>
      </c>
      <c r="P685" s="344">
        <v>14</v>
      </c>
      <c r="Q685" s="344">
        <v>16.566666666666698</v>
      </c>
      <c r="R685" s="344">
        <v>14</v>
      </c>
      <c r="S685" s="344">
        <v>9.8000000000000007</v>
      </c>
      <c r="T685" s="344">
        <v>9.56666666666667</v>
      </c>
      <c r="U685" s="344">
        <v>6.5333333333333297</v>
      </c>
      <c r="V685" s="344">
        <v>5.8333333333333304</v>
      </c>
      <c r="W685" s="344">
        <v>6.3</v>
      </c>
      <c r="X685" s="344">
        <v>5.1333333333333302</v>
      </c>
      <c r="Y685" s="344">
        <v>6.3</v>
      </c>
      <c r="Z685" s="344">
        <v>7.4666666666666703</v>
      </c>
      <c r="AA685" s="344">
        <v>8.6333333333333293</v>
      </c>
      <c r="AB685" s="344">
        <v>10.966666666666701</v>
      </c>
      <c r="AC685" s="344">
        <v>10.033333333333299</v>
      </c>
      <c r="AD685" s="344">
        <f t="shared" si="62"/>
        <v>-0.93333333333340107</v>
      </c>
      <c r="AE685" s="344">
        <v>51</v>
      </c>
      <c r="AF685" s="344">
        <v>0</v>
      </c>
      <c r="AG685" s="346">
        <v>51</v>
      </c>
      <c r="AH685" s="346">
        <v>51</v>
      </c>
      <c r="AI685" s="346">
        <v>51</v>
      </c>
      <c r="AJ685" s="346">
        <v>51</v>
      </c>
      <c r="AK685" s="346">
        <v>51</v>
      </c>
      <c r="AL685" s="346">
        <v>51</v>
      </c>
      <c r="AM685" s="346">
        <v>51</v>
      </c>
      <c r="AN685" s="346">
        <v>51</v>
      </c>
      <c r="AO685" s="346">
        <v>51</v>
      </c>
      <c r="AP685" s="211">
        <v>51</v>
      </c>
      <c r="AQ685" s="211">
        <v>51</v>
      </c>
      <c r="AR685" s="211">
        <v>51</v>
      </c>
      <c r="AS685" s="211">
        <v>51</v>
      </c>
      <c r="AT685" s="211">
        <v>51</v>
      </c>
      <c r="AU685" s="211">
        <v>51</v>
      </c>
      <c r="AV685" s="211">
        <v>51</v>
      </c>
      <c r="AW685" s="211">
        <v>51</v>
      </c>
      <c r="AX685" s="211">
        <v>51</v>
      </c>
      <c r="AY685" s="211">
        <v>51</v>
      </c>
      <c r="AZ685" s="211">
        <v>51</v>
      </c>
      <c r="BA685" s="211">
        <v>51</v>
      </c>
      <c r="BB685" s="211">
        <v>51</v>
      </c>
      <c r="BC685" s="357" t="s">
        <v>2287</v>
      </c>
    </row>
    <row r="686" spans="1:55" s="381" customFormat="1" ht="17.649999999999999" customHeight="1">
      <c r="A686" s="343">
        <v>254</v>
      </c>
      <c r="B686" s="211" t="s">
        <v>2335</v>
      </c>
      <c r="C686" s="211" t="s">
        <v>2061</v>
      </c>
      <c r="D686" s="211" t="s">
        <v>2283</v>
      </c>
      <c r="E686" s="344">
        <v>10</v>
      </c>
      <c r="F686" s="344">
        <v>11.2</v>
      </c>
      <c r="G686" s="356">
        <v>7.93333333333333</v>
      </c>
      <c r="H686" s="344">
        <v>8.4</v>
      </c>
      <c r="I686" s="344">
        <v>7</v>
      </c>
      <c r="J686" s="344">
        <v>5.8333333333333304</v>
      </c>
      <c r="K686" s="344">
        <v>3.9666666666666699</v>
      </c>
      <c r="L686" s="344">
        <f t="shared" si="61"/>
        <v>1.6333333333333333</v>
      </c>
      <c r="M686" s="344">
        <v>7</v>
      </c>
      <c r="N686" s="344">
        <v>8.6333333333333293</v>
      </c>
      <c r="O686" s="344">
        <v>9.8000000000000007</v>
      </c>
      <c r="P686" s="344">
        <v>10.966666666666701</v>
      </c>
      <c r="Q686" s="344">
        <v>14</v>
      </c>
      <c r="R686" s="344">
        <v>16.8</v>
      </c>
      <c r="S686" s="344">
        <v>20.533333333333299</v>
      </c>
      <c r="T686" s="344">
        <v>22.866666666666699</v>
      </c>
      <c r="U686" s="344">
        <v>23.1</v>
      </c>
      <c r="V686" s="344">
        <v>20.533333333333299</v>
      </c>
      <c r="W686" s="344">
        <v>16.100000000000001</v>
      </c>
      <c r="X686" s="344">
        <v>11.9</v>
      </c>
      <c r="Y686" s="344">
        <v>7.93333333333333</v>
      </c>
      <c r="Z686" s="344">
        <v>5.6</v>
      </c>
      <c r="AA686" s="344">
        <v>7.4666666666666703</v>
      </c>
      <c r="AB686" s="344">
        <v>7.7</v>
      </c>
      <c r="AC686" s="344">
        <v>6.5333333333333297</v>
      </c>
      <c r="AD686" s="344">
        <f t="shared" si="62"/>
        <v>-1.1666666666666705</v>
      </c>
      <c r="AE686" s="344">
        <v>18</v>
      </c>
      <c r="AF686" s="344">
        <v>28</v>
      </c>
      <c r="AG686" s="346">
        <v>9</v>
      </c>
      <c r="AH686" s="346">
        <v>1</v>
      </c>
      <c r="AI686" s="346">
        <v>1</v>
      </c>
      <c r="AJ686" s="346">
        <v>9</v>
      </c>
      <c r="AK686" s="346">
        <v>2</v>
      </c>
      <c r="AL686" s="346">
        <v>9</v>
      </c>
      <c r="AM686" s="346">
        <v>4</v>
      </c>
      <c r="AN686" s="346">
        <v>1</v>
      </c>
      <c r="AO686" s="346">
        <v>1</v>
      </c>
      <c r="AP686" s="346">
        <v>1</v>
      </c>
      <c r="AQ686" s="357">
        <v>2</v>
      </c>
      <c r="AR686" s="357">
        <v>1</v>
      </c>
      <c r="AS686" s="357">
        <v>1</v>
      </c>
      <c r="AT686" s="357">
        <v>1</v>
      </c>
      <c r="AU686" s="357">
        <v>3</v>
      </c>
      <c r="AV686" s="357">
        <v>6</v>
      </c>
      <c r="AW686" s="357">
        <v>1</v>
      </c>
      <c r="AX686" s="357">
        <v>1</v>
      </c>
      <c r="AY686" s="357">
        <v>5</v>
      </c>
      <c r="AZ686" s="357">
        <v>6</v>
      </c>
      <c r="BA686" s="357">
        <v>9</v>
      </c>
      <c r="BB686" s="357">
        <v>10</v>
      </c>
      <c r="BC686" s="357">
        <v>10</v>
      </c>
    </row>
    <row r="687" spans="1:55" s="381" customFormat="1" ht="17.649999999999999" customHeight="1">
      <c r="A687" s="343">
        <v>255</v>
      </c>
      <c r="B687" s="211" t="s">
        <v>2336</v>
      </c>
      <c r="C687" s="211" t="s">
        <v>2061</v>
      </c>
      <c r="D687" s="211" t="s">
        <v>2283</v>
      </c>
      <c r="E687" s="344">
        <v>18</v>
      </c>
      <c r="F687" s="344">
        <v>16.566666666666698</v>
      </c>
      <c r="G687" s="356">
        <v>15.4</v>
      </c>
      <c r="H687" s="344">
        <v>11.9</v>
      </c>
      <c r="I687" s="344">
        <v>11.2</v>
      </c>
      <c r="J687" s="344">
        <v>11.6666666666667</v>
      </c>
      <c r="K687" s="344">
        <v>13.3</v>
      </c>
      <c r="L687" s="344">
        <f t="shared" si="61"/>
        <v>2.6133333333333333</v>
      </c>
      <c r="M687" s="344">
        <v>18.6666666666667</v>
      </c>
      <c r="N687" s="344">
        <v>20.066666666666698</v>
      </c>
      <c r="O687" s="344">
        <v>21</v>
      </c>
      <c r="P687" s="344">
        <v>22.633333333333301</v>
      </c>
      <c r="Q687" s="344">
        <v>24.966666666666701</v>
      </c>
      <c r="R687" s="344">
        <v>25.6666666666667</v>
      </c>
      <c r="S687" s="344">
        <v>22.866666666666699</v>
      </c>
      <c r="T687" s="344">
        <v>21.933333333333302</v>
      </c>
      <c r="U687" s="344">
        <v>21</v>
      </c>
      <c r="V687" s="344">
        <v>18.899999999999999</v>
      </c>
      <c r="W687" s="344">
        <v>18.6666666666667</v>
      </c>
      <c r="X687" s="344">
        <v>15.4</v>
      </c>
      <c r="Y687" s="344">
        <v>16.3333333333333</v>
      </c>
      <c r="Z687" s="344">
        <v>18.433333333333302</v>
      </c>
      <c r="AA687" s="344">
        <v>18.6666666666667</v>
      </c>
      <c r="AB687" s="344">
        <v>21</v>
      </c>
      <c r="AC687" s="344">
        <v>18.6666666666667</v>
      </c>
      <c r="AD687" s="344">
        <f t="shared" si="62"/>
        <v>-2.3333333333333002</v>
      </c>
      <c r="AE687" s="344">
        <v>51</v>
      </c>
      <c r="AF687" s="344">
        <v>0</v>
      </c>
      <c r="AG687" s="346">
        <v>51</v>
      </c>
      <c r="AH687" s="346">
        <v>51</v>
      </c>
      <c r="AI687" s="346">
        <v>51</v>
      </c>
      <c r="AJ687" s="346">
        <v>51</v>
      </c>
      <c r="AK687" s="346">
        <v>51</v>
      </c>
      <c r="AL687" s="346">
        <v>51</v>
      </c>
      <c r="AM687" s="346">
        <v>51</v>
      </c>
      <c r="AN687" s="346">
        <v>51</v>
      </c>
      <c r="AO687" s="346">
        <v>51</v>
      </c>
      <c r="AP687" s="211">
        <v>51</v>
      </c>
      <c r="AQ687" s="211">
        <v>51</v>
      </c>
      <c r="AR687" s="211">
        <v>51</v>
      </c>
      <c r="AS687" s="211">
        <v>51</v>
      </c>
      <c r="AT687" s="211">
        <v>51</v>
      </c>
      <c r="AU687" s="211">
        <v>51</v>
      </c>
      <c r="AV687" s="211">
        <v>51</v>
      </c>
      <c r="AW687" s="211">
        <v>51</v>
      </c>
      <c r="AX687" s="211">
        <v>51</v>
      </c>
      <c r="AY687" s="211">
        <v>51</v>
      </c>
      <c r="AZ687" s="211">
        <v>51</v>
      </c>
      <c r="BA687" s="211">
        <v>51</v>
      </c>
      <c r="BB687" s="357">
        <v>7</v>
      </c>
      <c r="BC687" s="357">
        <v>7</v>
      </c>
    </row>
    <row r="688" spans="1:55" s="381" customFormat="1" ht="17.649999999999999" customHeight="1">
      <c r="A688" s="343">
        <v>256</v>
      </c>
      <c r="B688" s="211" t="s">
        <v>2337</v>
      </c>
      <c r="C688" s="211" t="s">
        <v>2061</v>
      </c>
      <c r="D688" s="211" t="s">
        <v>2283</v>
      </c>
      <c r="E688" s="344">
        <v>18</v>
      </c>
      <c r="F688" s="344">
        <v>17.5</v>
      </c>
      <c r="G688" s="356">
        <v>15.633333333333301</v>
      </c>
      <c r="H688" s="344">
        <v>14</v>
      </c>
      <c r="I688" s="344">
        <v>11.6666666666667</v>
      </c>
      <c r="J688" s="344">
        <v>9.56666666666667</v>
      </c>
      <c r="K688" s="344">
        <v>8.8666666666666707</v>
      </c>
      <c r="L688" s="344">
        <f t="shared" si="61"/>
        <v>2.7222222222222299</v>
      </c>
      <c r="M688" s="344">
        <v>6.7666666666666702</v>
      </c>
      <c r="N688" s="344">
        <v>7.93333333333333</v>
      </c>
      <c r="O688" s="344">
        <v>9.1</v>
      </c>
      <c r="P688" s="344">
        <v>10.733333333333301</v>
      </c>
      <c r="Q688" s="344">
        <v>14.466666666666701</v>
      </c>
      <c r="R688" s="344">
        <v>15.633333333333301</v>
      </c>
      <c r="S688" s="344">
        <v>15.4</v>
      </c>
      <c r="T688" s="344">
        <v>12.366666666666699</v>
      </c>
      <c r="U688" s="344">
        <v>15.4</v>
      </c>
      <c r="V688" s="344">
        <v>14.466666666666701</v>
      </c>
      <c r="W688" s="344">
        <v>14.9333333333333</v>
      </c>
      <c r="X688" s="344">
        <v>17.5</v>
      </c>
      <c r="Y688" s="344">
        <v>16.566666666666698</v>
      </c>
      <c r="Z688" s="344">
        <v>11.9</v>
      </c>
      <c r="AA688" s="344">
        <v>12.366666666666699</v>
      </c>
      <c r="AB688" s="344">
        <v>10.733333333333301</v>
      </c>
      <c r="AC688" s="344">
        <v>12.8333333333333</v>
      </c>
      <c r="AD688" s="344">
        <f t="shared" si="62"/>
        <v>2.0999999999999996</v>
      </c>
      <c r="AE688" s="344">
        <v>51</v>
      </c>
      <c r="AF688" s="344">
        <v>0</v>
      </c>
      <c r="AG688" s="346">
        <v>51</v>
      </c>
      <c r="AH688" s="346">
        <v>51</v>
      </c>
      <c r="AI688" s="346">
        <v>51</v>
      </c>
      <c r="AJ688" s="346">
        <v>51</v>
      </c>
      <c r="AK688" s="346">
        <v>51</v>
      </c>
      <c r="AL688" s="346">
        <v>51</v>
      </c>
      <c r="AM688" s="346">
        <v>51</v>
      </c>
      <c r="AN688" s="346">
        <v>51</v>
      </c>
      <c r="AO688" s="346">
        <v>51</v>
      </c>
      <c r="AP688" s="211">
        <v>51</v>
      </c>
      <c r="AQ688" s="211">
        <v>51</v>
      </c>
      <c r="AR688" s="211">
        <v>51</v>
      </c>
      <c r="AS688" s="211">
        <v>51</v>
      </c>
      <c r="AT688" s="211">
        <v>51</v>
      </c>
      <c r="AU688" s="211">
        <v>51</v>
      </c>
      <c r="AV688" s="357">
        <v>8</v>
      </c>
      <c r="AW688" s="211">
        <v>51</v>
      </c>
      <c r="AX688" s="211">
        <v>51</v>
      </c>
      <c r="AY688" s="211">
        <v>51</v>
      </c>
      <c r="AZ688" s="211">
        <v>51</v>
      </c>
      <c r="BA688" s="211">
        <v>51</v>
      </c>
      <c r="BB688" s="357">
        <v>1</v>
      </c>
      <c r="BC688" s="357">
        <v>1</v>
      </c>
    </row>
    <row r="689" spans="1:55" s="381" customFormat="1" ht="17.649999999999999" customHeight="1">
      <c r="A689" s="343">
        <v>257</v>
      </c>
      <c r="B689" s="211" t="s">
        <v>2338</v>
      </c>
      <c r="C689" s="211" t="s">
        <v>2061</v>
      </c>
      <c r="D689" s="211" t="s">
        <v>2283</v>
      </c>
      <c r="E689" s="344">
        <v>10</v>
      </c>
      <c r="F689" s="344">
        <v>9.8000000000000007</v>
      </c>
      <c r="G689" s="356">
        <v>6.5333333333333297</v>
      </c>
      <c r="H689" s="344">
        <v>6.7666666666666702</v>
      </c>
      <c r="I689" s="344">
        <v>8.4</v>
      </c>
      <c r="J689" s="344">
        <v>8.8666666666666707</v>
      </c>
      <c r="K689" s="344">
        <v>7.7</v>
      </c>
      <c r="L689" s="344">
        <f t="shared" ref="L689:L712" si="63">I689/30*7</f>
        <v>1.9600000000000002</v>
      </c>
      <c r="M689" s="344">
        <v>7.7</v>
      </c>
      <c r="N689" s="344">
        <v>9.56666666666667</v>
      </c>
      <c r="O689" s="344">
        <v>10.266666666666699</v>
      </c>
      <c r="P689" s="344">
        <v>10.266666666666699</v>
      </c>
      <c r="Q689" s="344">
        <v>12.133333333333301</v>
      </c>
      <c r="R689" s="344">
        <v>13.3</v>
      </c>
      <c r="S689" s="344">
        <v>9.1</v>
      </c>
      <c r="T689" s="344">
        <v>13.0666666666667</v>
      </c>
      <c r="U689" s="344">
        <v>10.033333333333299</v>
      </c>
      <c r="V689" s="344">
        <v>7.4666666666666703</v>
      </c>
      <c r="W689" s="344">
        <v>10.033333333333299</v>
      </c>
      <c r="X689" s="344">
        <v>8.4</v>
      </c>
      <c r="Y689" s="344">
        <v>8.4</v>
      </c>
      <c r="Z689" s="344">
        <v>8.6333333333333293</v>
      </c>
      <c r="AA689" s="344">
        <v>8.4</v>
      </c>
      <c r="AB689" s="344">
        <v>6.3</v>
      </c>
      <c r="AC689" s="344">
        <v>4.43333333333333</v>
      </c>
      <c r="AD689" s="344">
        <f t="shared" ref="AD689:AD752" si="64">AC689-AB689</f>
        <v>-1.8666666666666698</v>
      </c>
      <c r="AE689" s="344">
        <v>17</v>
      </c>
      <c r="AF689" s="344">
        <v>0</v>
      </c>
      <c r="AG689" s="346">
        <v>51</v>
      </c>
      <c r="AH689" s="346">
        <v>11</v>
      </c>
      <c r="AI689" s="346">
        <v>51</v>
      </c>
      <c r="AJ689" s="346">
        <v>11</v>
      </c>
      <c r="AK689" s="346">
        <v>12</v>
      </c>
      <c r="AL689" s="346">
        <v>11</v>
      </c>
      <c r="AM689" s="346">
        <v>51</v>
      </c>
      <c r="AN689" s="346">
        <v>51</v>
      </c>
      <c r="AO689" s="346">
        <v>51</v>
      </c>
      <c r="AP689" s="211">
        <v>51</v>
      </c>
      <c r="AQ689" s="211">
        <v>51</v>
      </c>
      <c r="AR689" s="211">
        <v>51</v>
      </c>
      <c r="AS689" s="211">
        <v>51</v>
      </c>
      <c r="AT689" s="211">
        <v>51</v>
      </c>
      <c r="AU689" s="211">
        <v>51</v>
      </c>
      <c r="AV689" s="211">
        <v>51</v>
      </c>
      <c r="AW689" s="211">
        <v>51</v>
      </c>
      <c r="AX689" s="211">
        <v>51</v>
      </c>
      <c r="AY689" s="211">
        <v>51</v>
      </c>
      <c r="AZ689" s="211">
        <v>51</v>
      </c>
      <c r="BA689" s="211">
        <v>51</v>
      </c>
      <c r="BB689" s="211">
        <v>51</v>
      </c>
      <c r="BC689" s="357" t="s">
        <v>2287</v>
      </c>
    </row>
    <row r="690" spans="1:55" s="381" customFormat="1" ht="17.649999999999999" customHeight="1">
      <c r="A690" s="343">
        <v>258</v>
      </c>
      <c r="B690" s="211" t="s">
        <v>2339</v>
      </c>
      <c r="C690" s="211" t="s">
        <v>2061</v>
      </c>
      <c r="D690" s="211" t="s">
        <v>2283</v>
      </c>
      <c r="E690" s="344">
        <v>12</v>
      </c>
      <c r="F690" s="344">
        <v>12.366666666666699</v>
      </c>
      <c r="G690" s="356">
        <v>10.033333333333299</v>
      </c>
      <c r="H690" s="344">
        <v>8.4</v>
      </c>
      <c r="I690" s="344">
        <v>4.2</v>
      </c>
      <c r="J690" s="344">
        <v>4.2</v>
      </c>
      <c r="K690" s="344">
        <v>3.5</v>
      </c>
      <c r="L690" s="344">
        <f t="shared" si="63"/>
        <v>0.98000000000000009</v>
      </c>
      <c r="M690" s="344">
        <v>7.7</v>
      </c>
      <c r="N690" s="344">
        <v>14.233333333333301</v>
      </c>
      <c r="O690" s="344">
        <v>17.733333333333299</v>
      </c>
      <c r="P690" s="344">
        <v>18.899999999999999</v>
      </c>
      <c r="Q690" s="344">
        <v>20.066666666666698</v>
      </c>
      <c r="R690" s="344">
        <v>15.633333333333301</v>
      </c>
      <c r="S690" s="344">
        <v>9.56666666666667</v>
      </c>
      <c r="T690" s="344">
        <v>7</v>
      </c>
      <c r="U690" s="344">
        <v>6.7666666666666702</v>
      </c>
      <c r="V690" s="344">
        <v>8.4</v>
      </c>
      <c r="W690" s="344">
        <v>11.9</v>
      </c>
      <c r="X690" s="344">
        <v>13.3</v>
      </c>
      <c r="Y690" s="344">
        <v>12.8333333333333</v>
      </c>
      <c r="Z690" s="344">
        <v>16.100000000000001</v>
      </c>
      <c r="AA690" s="344">
        <v>15.633333333333301</v>
      </c>
      <c r="AB690" s="344">
        <v>15.1666666666667</v>
      </c>
      <c r="AC690" s="344">
        <v>16.3333333333333</v>
      </c>
      <c r="AD690" s="344">
        <f t="shared" si="64"/>
        <v>1.1666666666666003</v>
      </c>
      <c r="AE690" s="344">
        <v>21</v>
      </c>
      <c r="AF690" s="344">
        <v>5</v>
      </c>
      <c r="AG690" s="346">
        <v>2</v>
      </c>
      <c r="AH690" s="346">
        <v>11</v>
      </c>
      <c r="AI690" s="346">
        <v>18</v>
      </c>
      <c r="AJ690" s="346">
        <v>9</v>
      </c>
      <c r="AK690" s="346">
        <v>35</v>
      </c>
      <c r="AL690" s="346">
        <v>9</v>
      </c>
      <c r="AM690" s="346">
        <v>7</v>
      </c>
      <c r="AN690" s="346">
        <v>3</v>
      </c>
      <c r="AO690" s="346">
        <v>3</v>
      </c>
      <c r="AP690" s="346">
        <v>9</v>
      </c>
      <c r="AQ690" s="357">
        <v>9</v>
      </c>
      <c r="AR690" s="357">
        <v>1</v>
      </c>
      <c r="AS690" s="357">
        <v>13</v>
      </c>
      <c r="AT690" s="357">
        <v>9</v>
      </c>
      <c r="AU690" s="357">
        <v>9</v>
      </c>
      <c r="AV690" s="357">
        <v>10</v>
      </c>
      <c r="AW690" s="357">
        <v>37</v>
      </c>
      <c r="AX690" s="357">
        <v>16</v>
      </c>
      <c r="AY690" s="357">
        <v>15</v>
      </c>
      <c r="AZ690" s="357">
        <v>2</v>
      </c>
      <c r="BA690" s="357">
        <v>5</v>
      </c>
      <c r="BB690" s="357">
        <v>9</v>
      </c>
      <c r="BC690" s="357">
        <v>10</v>
      </c>
    </row>
    <row r="691" spans="1:55" s="381" customFormat="1" ht="17.649999999999999" customHeight="1">
      <c r="A691" s="343">
        <v>259</v>
      </c>
      <c r="B691" s="211" t="s">
        <v>2340</v>
      </c>
      <c r="C691" s="211" t="s">
        <v>2061</v>
      </c>
      <c r="D691" s="211" t="s">
        <v>2283</v>
      </c>
      <c r="E691" s="344">
        <v>3</v>
      </c>
      <c r="F691" s="344">
        <v>3.2666666666666702</v>
      </c>
      <c r="G691" s="356">
        <v>4.43333333333333</v>
      </c>
      <c r="H691" s="344">
        <v>4.6666666666666696</v>
      </c>
      <c r="I691" s="344">
        <v>3.0333333333333301</v>
      </c>
      <c r="J691" s="344">
        <v>3.2666666666666702</v>
      </c>
      <c r="K691" s="344">
        <v>2.3333333333333299</v>
      </c>
      <c r="L691" s="344">
        <f t="shared" si="63"/>
        <v>0.70777777777777695</v>
      </c>
      <c r="M691" s="344">
        <v>5.8333333333333304</v>
      </c>
      <c r="N691" s="344">
        <v>7.7</v>
      </c>
      <c r="O691" s="344">
        <v>9.56666666666667</v>
      </c>
      <c r="P691" s="344">
        <v>6.3</v>
      </c>
      <c r="Q691" s="344">
        <v>6.7666666666666702</v>
      </c>
      <c r="R691" s="344">
        <v>8.4</v>
      </c>
      <c r="S691" s="344">
        <v>7</v>
      </c>
      <c r="T691" s="344">
        <v>7.4666666666666703</v>
      </c>
      <c r="U691" s="344">
        <v>6.5333333333333297</v>
      </c>
      <c r="V691" s="344">
        <v>5.6</v>
      </c>
      <c r="W691" s="344">
        <v>5.6</v>
      </c>
      <c r="X691" s="344">
        <v>5.3666666666666698</v>
      </c>
      <c r="Y691" s="344">
        <v>5.3666666666666698</v>
      </c>
      <c r="Z691" s="344">
        <v>5.8333333333333304</v>
      </c>
      <c r="AA691" s="344">
        <v>7.7</v>
      </c>
      <c r="AB691" s="344">
        <v>7.7</v>
      </c>
      <c r="AC691" s="344">
        <v>8.6333333333333293</v>
      </c>
      <c r="AD691" s="344">
        <f t="shared" si="64"/>
        <v>0.93333333333332913</v>
      </c>
      <c r="AE691" s="344">
        <v>3</v>
      </c>
      <c r="AF691" s="344">
        <v>6</v>
      </c>
      <c r="AG691" s="346">
        <v>3</v>
      </c>
      <c r="AH691" s="346">
        <v>3</v>
      </c>
      <c r="AI691" s="346">
        <v>2</v>
      </c>
      <c r="AJ691" s="346">
        <v>2</v>
      </c>
      <c r="AK691" s="346">
        <v>9</v>
      </c>
      <c r="AL691" s="346">
        <v>2</v>
      </c>
      <c r="AM691" s="346">
        <v>3</v>
      </c>
      <c r="AN691" s="346">
        <v>8</v>
      </c>
      <c r="AO691" s="346">
        <v>8</v>
      </c>
      <c r="AP691" s="346">
        <v>4</v>
      </c>
      <c r="AQ691" s="357">
        <v>5</v>
      </c>
      <c r="AR691" s="357">
        <v>4</v>
      </c>
      <c r="AS691" s="357">
        <v>5</v>
      </c>
      <c r="AT691" s="357">
        <v>10</v>
      </c>
      <c r="AU691" s="357">
        <v>3</v>
      </c>
      <c r="AV691" s="357">
        <v>2</v>
      </c>
      <c r="AW691" s="357">
        <v>10</v>
      </c>
      <c r="AX691" s="357">
        <v>2</v>
      </c>
      <c r="AY691" s="357">
        <v>2</v>
      </c>
      <c r="AZ691" s="357">
        <v>28</v>
      </c>
      <c r="BA691" s="357">
        <v>2</v>
      </c>
      <c r="BB691" s="357">
        <v>9</v>
      </c>
      <c r="BC691" s="357">
        <v>2</v>
      </c>
    </row>
    <row r="692" spans="1:55" s="381" customFormat="1" ht="17.649999999999999" customHeight="1">
      <c r="A692" s="343">
        <v>260</v>
      </c>
      <c r="B692" s="211" t="s">
        <v>2341</v>
      </c>
      <c r="C692" s="211" t="s">
        <v>2061</v>
      </c>
      <c r="D692" s="211" t="s">
        <v>2283</v>
      </c>
      <c r="E692" s="344">
        <v>46</v>
      </c>
      <c r="F692" s="344">
        <v>38.733333333333299</v>
      </c>
      <c r="G692" s="356">
        <v>35.466666666666697</v>
      </c>
      <c r="H692" s="344">
        <v>35.233333333333299</v>
      </c>
      <c r="I692" s="344">
        <v>36.633333333333297</v>
      </c>
      <c r="J692" s="344">
        <v>36.1666666666667</v>
      </c>
      <c r="K692" s="344">
        <v>35.233333333333299</v>
      </c>
      <c r="L692" s="344">
        <f t="shared" si="63"/>
        <v>8.5477777777777693</v>
      </c>
      <c r="M692" s="344">
        <v>34.299999999999997</v>
      </c>
      <c r="N692" s="344">
        <v>40.6</v>
      </c>
      <c r="O692" s="344">
        <v>45.733333333333299</v>
      </c>
      <c r="P692" s="344">
        <v>43.866666666666703</v>
      </c>
      <c r="Q692" s="344">
        <v>39.200000000000003</v>
      </c>
      <c r="R692" s="344">
        <v>28.7</v>
      </c>
      <c r="S692" s="344">
        <v>20.766666666666701</v>
      </c>
      <c r="T692" s="344">
        <v>17.966666666666701</v>
      </c>
      <c r="U692" s="344">
        <v>20.066666666666698</v>
      </c>
      <c r="V692" s="344">
        <v>21</v>
      </c>
      <c r="W692" s="344">
        <v>19.600000000000001</v>
      </c>
      <c r="X692" s="344">
        <v>21</v>
      </c>
      <c r="Y692" s="344">
        <v>21.7</v>
      </c>
      <c r="Z692" s="344">
        <v>18.899999999999999</v>
      </c>
      <c r="AA692" s="344">
        <v>20.533333333333299</v>
      </c>
      <c r="AB692" s="344">
        <v>21.233333333333299</v>
      </c>
      <c r="AC692" s="344">
        <v>21.933333333333302</v>
      </c>
      <c r="AD692" s="344">
        <f t="shared" si="64"/>
        <v>0.70000000000000284</v>
      </c>
      <c r="AE692" s="344">
        <v>19</v>
      </c>
      <c r="AF692" s="344">
        <v>17</v>
      </c>
      <c r="AG692" s="346">
        <v>9</v>
      </c>
      <c r="AH692" s="346">
        <v>51</v>
      </c>
      <c r="AI692" s="346">
        <v>35</v>
      </c>
      <c r="AJ692" s="346">
        <v>25</v>
      </c>
      <c r="AK692" s="346">
        <v>35</v>
      </c>
      <c r="AL692" s="346">
        <v>25</v>
      </c>
      <c r="AM692" s="346">
        <v>18</v>
      </c>
      <c r="AN692" s="346">
        <v>27</v>
      </c>
      <c r="AO692" s="346">
        <v>27</v>
      </c>
      <c r="AP692" s="211">
        <v>51</v>
      </c>
      <c r="AQ692" s="357">
        <v>22</v>
      </c>
      <c r="AR692" s="357">
        <v>4</v>
      </c>
      <c r="AS692" s="357">
        <v>2</v>
      </c>
      <c r="AT692" s="211">
        <v>51</v>
      </c>
      <c r="AU692" s="211">
        <v>51</v>
      </c>
      <c r="AV692" s="357">
        <v>23</v>
      </c>
      <c r="AW692" s="211">
        <v>51</v>
      </c>
      <c r="AX692" s="211">
        <v>51</v>
      </c>
      <c r="AY692" s="211">
        <v>51</v>
      </c>
      <c r="AZ692" s="357">
        <v>5</v>
      </c>
      <c r="BA692" s="357">
        <v>4</v>
      </c>
      <c r="BB692" s="357">
        <v>4</v>
      </c>
      <c r="BC692" s="357">
        <v>4</v>
      </c>
    </row>
    <row r="693" spans="1:55" s="381" customFormat="1" ht="17.649999999999999" customHeight="1">
      <c r="A693" s="343">
        <v>261</v>
      </c>
      <c r="B693" s="211" t="s">
        <v>2342</v>
      </c>
      <c r="C693" s="211" t="s">
        <v>2061</v>
      </c>
      <c r="D693" s="211" t="s">
        <v>2283</v>
      </c>
      <c r="E693" s="344">
        <v>6</v>
      </c>
      <c r="F693" s="344">
        <v>6.7666666666666702</v>
      </c>
      <c r="G693" s="356">
        <v>5.6</v>
      </c>
      <c r="H693" s="344">
        <v>5.1333333333333302</v>
      </c>
      <c r="I693" s="344">
        <v>6.7666666666666702</v>
      </c>
      <c r="J693" s="344">
        <v>5.8333333333333304</v>
      </c>
      <c r="K693" s="344">
        <v>6.3</v>
      </c>
      <c r="L693" s="344">
        <f t="shared" si="63"/>
        <v>1.5788888888888897</v>
      </c>
      <c r="M693" s="344">
        <v>7.93333333333333</v>
      </c>
      <c r="N693" s="344">
        <v>8.4</v>
      </c>
      <c r="O693" s="344">
        <v>10.033333333333299</v>
      </c>
      <c r="P693" s="344">
        <v>9.56666666666667</v>
      </c>
      <c r="Q693" s="344">
        <v>10.033333333333299</v>
      </c>
      <c r="R693" s="344">
        <v>11.6666666666667</v>
      </c>
      <c r="S693" s="344">
        <v>10.033333333333299</v>
      </c>
      <c r="T693" s="344">
        <v>10.266666666666699</v>
      </c>
      <c r="U693" s="344">
        <v>11.2</v>
      </c>
      <c r="V693" s="344">
        <v>10.966666666666701</v>
      </c>
      <c r="W693" s="344">
        <v>10.966666666666701</v>
      </c>
      <c r="X693" s="344">
        <v>11.6666666666667</v>
      </c>
      <c r="Y693" s="344">
        <v>10.033333333333299</v>
      </c>
      <c r="Z693" s="344">
        <v>9.56666666666667</v>
      </c>
      <c r="AA693" s="344">
        <v>9.56666666666667</v>
      </c>
      <c r="AB693" s="344">
        <v>11.9</v>
      </c>
      <c r="AC693" s="344">
        <v>10.266666666666699</v>
      </c>
      <c r="AD693" s="344">
        <f t="shared" si="64"/>
        <v>-1.6333333333333009</v>
      </c>
      <c r="AE693" s="344">
        <v>1</v>
      </c>
      <c r="AF693" s="344">
        <v>3</v>
      </c>
      <c r="AG693" s="346">
        <v>24</v>
      </c>
      <c r="AH693" s="346">
        <v>51</v>
      </c>
      <c r="AI693" s="346">
        <v>51</v>
      </c>
      <c r="AJ693" s="346">
        <v>51</v>
      </c>
      <c r="AK693" s="346">
        <v>1</v>
      </c>
      <c r="AL693" s="346">
        <v>51</v>
      </c>
      <c r="AM693" s="346">
        <v>1</v>
      </c>
      <c r="AN693" s="346">
        <v>1</v>
      </c>
      <c r="AO693" s="346">
        <v>1</v>
      </c>
      <c r="AP693" s="346">
        <v>1</v>
      </c>
      <c r="AQ693" s="357">
        <v>1</v>
      </c>
      <c r="AR693" s="357">
        <v>1</v>
      </c>
      <c r="AS693" s="357">
        <v>1</v>
      </c>
      <c r="AT693" s="357">
        <v>1</v>
      </c>
      <c r="AU693" s="357">
        <v>1</v>
      </c>
      <c r="AV693" s="357">
        <v>1</v>
      </c>
      <c r="AW693" s="357">
        <v>1</v>
      </c>
      <c r="AX693" s="357">
        <v>1</v>
      </c>
      <c r="AY693" s="357">
        <v>1</v>
      </c>
      <c r="AZ693" s="357">
        <v>1</v>
      </c>
      <c r="BA693" s="357">
        <v>1</v>
      </c>
      <c r="BB693" s="357">
        <v>1</v>
      </c>
      <c r="BC693" s="357">
        <v>1</v>
      </c>
    </row>
    <row r="694" spans="1:55" s="381" customFormat="1" ht="17.649999999999999" customHeight="1">
      <c r="A694" s="343">
        <v>262</v>
      </c>
      <c r="B694" s="211" t="s">
        <v>2343</v>
      </c>
      <c r="C694" s="211" t="s">
        <v>2061</v>
      </c>
      <c r="D694" s="211" t="s">
        <v>2283</v>
      </c>
      <c r="E694" s="344">
        <v>10</v>
      </c>
      <c r="F694" s="344">
        <v>9.1</v>
      </c>
      <c r="G694" s="356">
        <v>6.3</v>
      </c>
      <c r="H694" s="344">
        <v>5.3666666666666698</v>
      </c>
      <c r="I694" s="344">
        <v>4.43333333333333</v>
      </c>
      <c r="J694" s="344">
        <v>7</v>
      </c>
      <c r="K694" s="344">
        <v>9.1</v>
      </c>
      <c r="L694" s="344">
        <f t="shared" si="63"/>
        <v>1.0344444444444436</v>
      </c>
      <c r="M694" s="344">
        <v>13.0666666666667</v>
      </c>
      <c r="N694" s="344">
        <v>11.9</v>
      </c>
      <c r="O694" s="344">
        <v>10.733333333333301</v>
      </c>
      <c r="P694" s="344">
        <v>7.93333333333333</v>
      </c>
      <c r="Q694" s="344">
        <v>8.6333333333333293</v>
      </c>
      <c r="R694" s="344">
        <v>6.5333333333333297</v>
      </c>
      <c r="S694" s="344">
        <v>7</v>
      </c>
      <c r="T694" s="344">
        <v>6.5333333333333297</v>
      </c>
      <c r="U694" s="344">
        <v>5.3666666666666698</v>
      </c>
      <c r="V694" s="344">
        <v>7</v>
      </c>
      <c r="W694" s="344">
        <v>6.5333333333333297</v>
      </c>
      <c r="X694" s="344">
        <v>5.3666666666666698</v>
      </c>
      <c r="Y694" s="344">
        <v>6.5333333333333297</v>
      </c>
      <c r="Z694" s="344">
        <v>5.3666666666666698</v>
      </c>
      <c r="AA694" s="344">
        <v>6.7666666666666702</v>
      </c>
      <c r="AB694" s="344">
        <v>7.4666666666666703</v>
      </c>
      <c r="AC694" s="344">
        <v>5.8333333333333304</v>
      </c>
      <c r="AD694" s="344">
        <f t="shared" si="64"/>
        <v>-1.63333333333334</v>
      </c>
      <c r="AE694" s="344">
        <v>51</v>
      </c>
      <c r="AF694" s="344">
        <v>0</v>
      </c>
      <c r="AG694" s="346">
        <v>51</v>
      </c>
      <c r="AH694" s="346">
        <v>51</v>
      </c>
      <c r="AI694" s="346">
        <v>15</v>
      </c>
      <c r="AJ694" s="346">
        <v>15</v>
      </c>
      <c r="AK694" s="346">
        <v>51</v>
      </c>
      <c r="AL694" s="346">
        <v>15</v>
      </c>
      <c r="AM694" s="346">
        <v>42</v>
      </c>
      <c r="AN694" s="346">
        <v>23</v>
      </c>
      <c r="AO694" s="346">
        <v>23</v>
      </c>
      <c r="AP694" s="357">
        <v>2</v>
      </c>
      <c r="AQ694" s="357">
        <v>17</v>
      </c>
      <c r="AR694" s="357">
        <v>46</v>
      </c>
      <c r="AS694" s="357">
        <v>2</v>
      </c>
      <c r="AT694" s="357">
        <v>14</v>
      </c>
      <c r="AU694" s="357">
        <v>14</v>
      </c>
      <c r="AV694" s="357">
        <v>6</v>
      </c>
      <c r="AW694" s="357">
        <v>1</v>
      </c>
      <c r="AX694" s="211">
        <v>51</v>
      </c>
      <c r="AY694" s="357">
        <v>5</v>
      </c>
      <c r="AZ694" s="357">
        <v>14</v>
      </c>
      <c r="BA694" s="357">
        <v>6</v>
      </c>
      <c r="BB694" s="357">
        <v>7</v>
      </c>
      <c r="BC694" s="357">
        <v>7</v>
      </c>
    </row>
    <row r="695" spans="1:55" s="381" customFormat="1" ht="17.649999999999999" customHeight="1">
      <c r="A695" s="343">
        <v>263</v>
      </c>
      <c r="B695" s="211" t="s">
        <v>2344</v>
      </c>
      <c r="C695" s="211" t="s">
        <v>2061</v>
      </c>
      <c r="D695" s="211" t="s">
        <v>2283</v>
      </c>
      <c r="E695" s="344">
        <v>5</v>
      </c>
      <c r="F695" s="344">
        <v>6.5333333333333297</v>
      </c>
      <c r="G695" s="356">
        <v>7.4666666666666703</v>
      </c>
      <c r="H695" s="344">
        <v>7.7</v>
      </c>
      <c r="I695" s="344">
        <v>10.033333333333299</v>
      </c>
      <c r="J695" s="344">
        <v>10.266666666666699</v>
      </c>
      <c r="K695" s="344">
        <v>8.8666666666666707</v>
      </c>
      <c r="L695" s="344">
        <f t="shared" si="63"/>
        <v>2.3411111111111031</v>
      </c>
      <c r="M695" s="344">
        <v>10.733333333333301</v>
      </c>
      <c r="N695" s="344">
        <v>10.266666666666699</v>
      </c>
      <c r="O695" s="344">
        <v>9.56666666666667</v>
      </c>
      <c r="P695" s="344">
        <v>7.7</v>
      </c>
      <c r="Q695" s="344">
        <v>9.8000000000000007</v>
      </c>
      <c r="R695" s="344">
        <v>7.4666666666666703</v>
      </c>
      <c r="S695" s="344">
        <v>10.733333333333301</v>
      </c>
      <c r="T695" s="344">
        <v>12.366666666666699</v>
      </c>
      <c r="U695" s="344">
        <v>13.0666666666667</v>
      </c>
      <c r="V695" s="344">
        <v>12.8333333333333</v>
      </c>
      <c r="W695" s="344">
        <v>11.2</v>
      </c>
      <c r="X695" s="344">
        <v>9.8000000000000007</v>
      </c>
      <c r="Y695" s="344">
        <v>13.533333333333299</v>
      </c>
      <c r="Z695" s="344">
        <v>11.2</v>
      </c>
      <c r="AA695" s="344">
        <v>9.56666666666667</v>
      </c>
      <c r="AB695" s="344">
        <v>11.2</v>
      </c>
      <c r="AC695" s="344">
        <v>8.6333333333333293</v>
      </c>
      <c r="AD695" s="344">
        <f t="shared" si="64"/>
        <v>-2.56666666666667</v>
      </c>
      <c r="AE695" s="344">
        <v>5</v>
      </c>
      <c r="AF695" s="344">
        <v>6</v>
      </c>
      <c r="AG695" s="346">
        <v>5</v>
      </c>
      <c r="AH695" s="346">
        <v>3</v>
      </c>
      <c r="AI695" s="346">
        <v>2</v>
      </c>
      <c r="AJ695" s="346">
        <v>5</v>
      </c>
      <c r="AK695" s="346">
        <v>5</v>
      </c>
      <c r="AL695" s="346">
        <v>5</v>
      </c>
      <c r="AM695" s="346">
        <v>9</v>
      </c>
      <c r="AN695" s="346">
        <v>9</v>
      </c>
      <c r="AO695" s="346">
        <v>9</v>
      </c>
      <c r="AP695" s="346">
        <v>5</v>
      </c>
      <c r="AQ695" s="357">
        <v>10</v>
      </c>
      <c r="AR695" s="357">
        <v>1</v>
      </c>
      <c r="AS695" s="357">
        <v>2</v>
      </c>
      <c r="AT695" s="357">
        <v>2</v>
      </c>
      <c r="AU695" s="357">
        <v>1</v>
      </c>
      <c r="AV695" s="357">
        <v>2</v>
      </c>
      <c r="AW695" s="357">
        <v>7</v>
      </c>
      <c r="AX695" s="357">
        <v>2</v>
      </c>
      <c r="AY695" s="357">
        <v>8</v>
      </c>
      <c r="AZ695" s="357">
        <v>3</v>
      </c>
      <c r="BA695" s="357">
        <v>8</v>
      </c>
      <c r="BB695" s="357">
        <v>3</v>
      </c>
      <c r="BC695" s="357">
        <v>10</v>
      </c>
    </row>
    <row r="696" spans="1:55" s="381" customFormat="1" ht="17.649999999999999" customHeight="1">
      <c r="A696" s="343">
        <v>264</v>
      </c>
      <c r="B696" s="211" t="s">
        <v>2345</v>
      </c>
      <c r="C696" s="211" t="s">
        <v>2061</v>
      </c>
      <c r="D696" s="211" t="s">
        <v>2283</v>
      </c>
      <c r="E696" s="344">
        <v>18</v>
      </c>
      <c r="F696" s="344">
        <v>17.5</v>
      </c>
      <c r="G696" s="356">
        <v>16.3333333333333</v>
      </c>
      <c r="H696" s="344">
        <v>16.566666666666698</v>
      </c>
      <c r="I696" s="344">
        <v>20.533333333333299</v>
      </c>
      <c r="J696" s="344">
        <v>24.266666666666701</v>
      </c>
      <c r="K696" s="344">
        <v>20.533333333333299</v>
      </c>
      <c r="L696" s="344">
        <f t="shared" si="63"/>
        <v>4.7911111111111033</v>
      </c>
      <c r="M696" s="344">
        <v>17.266666666666701</v>
      </c>
      <c r="N696" s="344">
        <v>15.4</v>
      </c>
      <c r="O696" s="344">
        <v>16.566666666666698</v>
      </c>
      <c r="P696" s="344">
        <v>12.8333333333333</v>
      </c>
      <c r="Q696" s="344">
        <v>15.1666666666667</v>
      </c>
      <c r="R696" s="344">
        <v>14.466666666666701</v>
      </c>
      <c r="S696" s="344">
        <v>14.233333333333301</v>
      </c>
      <c r="T696" s="344">
        <v>12.366666666666699</v>
      </c>
      <c r="U696" s="344">
        <v>13.3</v>
      </c>
      <c r="V696" s="344">
        <v>12.8333333333333</v>
      </c>
      <c r="W696" s="344">
        <v>9.8000000000000007</v>
      </c>
      <c r="X696" s="344">
        <v>13.0666666666667</v>
      </c>
      <c r="Y696" s="344">
        <v>14.233333333333301</v>
      </c>
      <c r="Z696" s="344">
        <v>14</v>
      </c>
      <c r="AA696" s="344">
        <v>15.4</v>
      </c>
      <c r="AB696" s="344">
        <v>15.4</v>
      </c>
      <c r="AC696" s="344">
        <v>13.533333333333299</v>
      </c>
      <c r="AD696" s="344">
        <f t="shared" si="64"/>
        <v>-1.8666666666667009</v>
      </c>
      <c r="AE696" s="344">
        <v>51</v>
      </c>
      <c r="AF696" s="344">
        <v>0</v>
      </c>
      <c r="AG696" s="346">
        <v>51</v>
      </c>
      <c r="AH696" s="346">
        <v>51</v>
      </c>
      <c r="AI696" s="346">
        <v>51</v>
      </c>
      <c r="AJ696" s="346">
        <v>51</v>
      </c>
      <c r="AK696" s="346">
        <v>51</v>
      </c>
      <c r="AL696" s="346">
        <v>51</v>
      </c>
      <c r="AM696" s="346">
        <v>51</v>
      </c>
      <c r="AN696" s="346">
        <v>51</v>
      </c>
      <c r="AO696" s="346">
        <v>51</v>
      </c>
      <c r="AP696" s="346">
        <v>8</v>
      </c>
      <c r="AQ696" s="357">
        <v>33</v>
      </c>
      <c r="AR696" s="357">
        <v>30</v>
      </c>
      <c r="AS696" s="357">
        <v>4</v>
      </c>
      <c r="AT696" s="211">
        <v>51</v>
      </c>
      <c r="AU696" s="357">
        <v>11</v>
      </c>
      <c r="AV696" s="357">
        <v>20</v>
      </c>
      <c r="AW696" s="211">
        <v>51</v>
      </c>
      <c r="AX696" s="211">
        <v>51</v>
      </c>
      <c r="AY696" s="211">
        <v>51</v>
      </c>
      <c r="AZ696" s="357">
        <v>38</v>
      </c>
      <c r="BA696" s="211">
        <v>51</v>
      </c>
      <c r="BB696" s="211">
        <v>51</v>
      </c>
      <c r="BC696" s="357" t="s">
        <v>2287</v>
      </c>
    </row>
    <row r="697" spans="1:55" s="381" customFormat="1" ht="17.649999999999999" customHeight="1">
      <c r="A697" s="343">
        <v>265</v>
      </c>
      <c r="B697" s="211" t="s">
        <v>2346</v>
      </c>
      <c r="C697" s="211" t="s">
        <v>2061</v>
      </c>
      <c r="D697" s="211" t="s">
        <v>2283</v>
      </c>
      <c r="E697" s="344">
        <v>0</v>
      </c>
      <c r="F697" s="344">
        <v>0.233333333333333</v>
      </c>
      <c r="G697" s="356">
        <v>0.233333333333333</v>
      </c>
      <c r="H697" s="344">
        <v>1.1666666666666701</v>
      </c>
      <c r="I697" s="344">
        <v>1.4</v>
      </c>
      <c r="J697" s="344">
        <v>1.1666666666666701</v>
      </c>
      <c r="K697" s="344">
        <v>0.233333333333333</v>
      </c>
      <c r="L697" s="344">
        <f t="shared" si="63"/>
        <v>0.32666666666666666</v>
      </c>
      <c r="M697" s="344">
        <v>3.5</v>
      </c>
      <c r="N697" s="344">
        <v>4.2</v>
      </c>
      <c r="O697" s="344">
        <v>6.5333333333333297</v>
      </c>
      <c r="P697" s="344">
        <v>7</v>
      </c>
      <c r="Q697" s="344">
        <v>9.56666666666667</v>
      </c>
      <c r="R697" s="344">
        <v>10.266666666666699</v>
      </c>
      <c r="S697" s="344">
        <v>11.2</v>
      </c>
      <c r="T697" s="344">
        <v>12.366666666666699</v>
      </c>
      <c r="U697" s="344">
        <v>10.033333333333299</v>
      </c>
      <c r="V697" s="344">
        <v>9.1</v>
      </c>
      <c r="W697" s="344">
        <v>8.8666666666666707</v>
      </c>
      <c r="X697" s="344">
        <v>9.56666666666667</v>
      </c>
      <c r="Y697" s="344">
        <v>12.366666666666699</v>
      </c>
      <c r="Z697" s="344">
        <v>10.266666666666699</v>
      </c>
      <c r="AA697" s="344">
        <v>10.033333333333299</v>
      </c>
      <c r="AB697" s="344">
        <v>9.1</v>
      </c>
      <c r="AC697" s="344">
        <v>6.7666666666666702</v>
      </c>
      <c r="AD697" s="344">
        <f t="shared" si="64"/>
        <v>-2.3333333333333295</v>
      </c>
      <c r="AE697" s="344">
        <v>51</v>
      </c>
      <c r="AF697" s="344">
        <v>0</v>
      </c>
      <c r="AG697" s="346">
        <v>51</v>
      </c>
      <c r="AH697" s="346">
        <v>51</v>
      </c>
      <c r="AI697" s="346">
        <v>51</v>
      </c>
      <c r="AJ697" s="346">
        <v>51</v>
      </c>
      <c r="AK697" s="346">
        <v>51</v>
      </c>
      <c r="AL697" s="346">
        <v>51</v>
      </c>
      <c r="AM697" s="346">
        <v>51</v>
      </c>
      <c r="AN697" s="346">
        <v>51</v>
      </c>
      <c r="AO697" s="346">
        <v>51</v>
      </c>
      <c r="AP697" s="211">
        <v>51</v>
      </c>
      <c r="AQ697" s="211">
        <v>51</v>
      </c>
      <c r="AR697" s="357">
        <v>2</v>
      </c>
      <c r="AS697" s="211">
        <v>51</v>
      </c>
      <c r="AT697" s="357">
        <v>9</v>
      </c>
      <c r="AU697" s="211">
        <v>51</v>
      </c>
      <c r="AV697" s="211">
        <v>51</v>
      </c>
      <c r="AW697" s="357">
        <v>38</v>
      </c>
      <c r="AX697" s="357">
        <v>5</v>
      </c>
      <c r="AY697" s="211">
        <v>51</v>
      </c>
      <c r="AZ697" s="357">
        <v>12</v>
      </c>
      <c r="BA697" s="211">
        <v>51</v>
      </c>
      <c r="BB697" s="357">
        <v>3</v>
      </c>
      <c r="BC697" s="357">
        <v>3</v>
      </c>
    </row>
    <row r="698" spans="1:55" s="381" customFormat="1" ht="17.649999999999999" customHeight="1">
      <c r="A698" s="343">
        <v>266</v>
      </c>
      <c r="B698" s="211" t="s">
        <v>2347</v>
      </c>
      <c r="C698" s="211" t="s">
        <v>2061</v>
      </c>
      <c r="D698" s="211" t="s">
        <v>2283</v>
      </c>
      <c r="E698" s="344">
        <v>8</v>
      </c>
      <c r="F698" s="344">
        <v>9.1</v>
      </c>
      <c r="G698" s="356">
        <v>9.8000000000000007</v>
      </c>
      <c r="H698" s="344">
        <v>10.266666666666699</v>
      </c>
      <c r="I698" s="344">
        <v>7.4666666666666703</v>
      </c>
      <c r="J698" s="344">
        <v>6.7666666666666702</v>
      </c>
      <c r="K698" s="344">
        <v>5.8333333333333304</v>
      </c>
      <c r="L698" s="344">
        <f t="shared" si="63"/>
        <v>1.7422222222222232</v>
      </c>
      <c r="M698" s="344">
        <v>7.7</v>
      </c>
      <c r="N698" s="344">
        <v>9.56666666666667</v>
      </c>
      <c r="O698" s="344">
        <v>10.266666666666699</v>
      </c>
      <c r="P698" s="344">
        <v>11.9</v>
      </c>
      <c r="Q698" s="344">
        <v>14.233333333333301</v>
      </c>
      <c r="R698" s="344">
        <v>15.1666666666667</v>
      </c>
      <c r="S698" s="344">
        <v>13.533333333333299</v>
      </c>
      <c r="T698" s="344">
        <v>11.9</v>
      </c>
      <c r="U698" s="344">
        <v>11.2</v>
      </c>
      <c r="V698" s="344">
        <v>11.2</v>
      </c>
      <c r="W698" s="344">
        <v>12.8333333333333</v>
      </c>
      <c r="X698" s="344">
        <v>14.466666666666701</v>
      </c>
      <c r="Y698" s="344">
        <v>17.733333333333299</v>
      </c>
      <c r="Z698" s="344">
        <v>18.433333333333302</v>
      </c>
      <c r="AA698" s="344">
        <v>19.366666666666699</v>
      </c>
      <c r="AB698" s="344">
        <v>17.733333333333299</v>
      </c>
      <c r="AC698" s="344">
        <v>15.1666666666667</v>
      </c>
      <c r="AD698" s="344">
        <f t="shared" si="64"/>
        <v>-2.5666666666665989</v>
      </c>
      <c r="AE698" s="344">
        <v>7</v>
      </c>
      <c r="AF698" s="344">
        <v>0</v>
      </c>
      <c r="AG698" s="346">
        <v>51</v>
      </c>
      <c r="AH698" s="346">
        <v>8</v>
      </c>
      <c r="AI698" s="346">
        <v>7</v>
      </c>
      <c r="AJ698" s="346">
        <v>51</v>
      </c>
      <c r="AK698" s="346">
        <v>14</v>
      </c>
      <c r="AL698" s="346">
        <v>51</v>
      </c>
      <c r="AM698" s="346">
        <v>11</v>
      </c>
      <c r="AN698" s="346">
        <v>11</v>
      </c>
      <c r="AO698" s="346">
        <v>11</v>
      </c>
      <c r="AP698" s="357">
        <v>15</v>
      </c>
      <c r="AQ698" s="357">
        <v>9</v>
      </c>
      <c r="AR698" s="357">
        <v>9</v>
      </c>
      <c r="AS698" s="357">
        <v>6</v>
      </c>
      <c r="AT698" s="357">
        <v>9</v>
      </c>
      <c r="AU698" s="357">
        <v>10</v>
      </c>
      <c r="AV698" s="357">
        <v>11</v>
      </c>
      <c r="AW698" s="357">
        <v>9</v>
      </c>
      <c r="AX698" s="357">
        <v>7</v>
      </c>
      <c r="AY698" s="357">
        <v>5</v>
      </c>
      <c r="AZ698" s="357">
        <v>9</v>
      </c>
      <c r="BA698" s="211">
        <v>51</v>
      </c>
      <c r="BB698" s="211">
        <v>51</v>
      </c>
      <c r="BC698" s="357" t="s">
        <v>2287</v>
      </c>
    </row>
    <row r="699" spans="1:55" s="381" customFormat="1" ht="17.649999999999999" customHeight="1">
      <c r="A699" s="343">
        <v>267</v>
      </c>
      <c r="B699" s="211" t="s">
        <v>2348</v>
      </c>
      <c r="C699" s="211" t="s">
        <v>2061</v>
      </c>
      <c r="D699" s="211" t="s">
        <v>2283</v>
      </c>
      <c r="E699" s="344">
        <v>6</v>
      </c>
      <c r="F699" s="344">
        <v>5.8333333333333304</v>
      </c>
      <c r="G699" s="356">
        <v>4.6666666666666696</v>
      </c>
      <c r="H699" s="344">
        <v>4.43333333333333</v>
      </c>
      <c r="I699" s="344">
        <v>3.9666666666666699</v>
      </c>
      <c r="J699" s="344">
        <v>3.2666666666666702</v>
      </c>
      <c r="K699" s="344">
        <v>3.5</v>
      </c>
      <c r="L699" s="344">
        <f t="shared" si="63"/>
        <v>0.92555555555555624</v>
      </c>
      <c r="M699" s="344">
        <v>4.6666666666666696</v>
      </c>
      <c r="N699" s="344">
        <v>7</v>
      </c>
      <c r="O699" s="344">
        <v>7.4666666666666703</v>
      </c>
      <c r="P699" s="344">
        <v>9.56666666666667</v>
      </c>
      <c r="Q699" s="344">
        <v>10.266666666666699</v>
      </c>
      <c r="R699" s="344">
        <v>11.2</v>
      </c>
      <c r="S699" s="344">
        <v>14.233333333333301</v>
      </c>
      <c r="T699" s="344">
        <v>11.9</v>
      </c>
      <c r="U699" s="344">
        <v>13.533333333333299</v>
      </c>
      <c r="V699" s="344">
        <v>14.233333333333301</v>
      </c>
      <c r="W699" s="344">
        <v>10.966666666666701</v>
      </c>
      <c r="X699" s="344">
        <v>9.8000000000000007</v>
      </c>
      <c r="Y699" s="344">
        <v>10.966666666666701</v>
      </c>
      <c r="Z699" s="344">
        <v>8.8666666666666707</v>
      </c>
      <c r="AA699" s="344">
        <v>9.8000000000000007</v>
      </c>
      <c r="AB699" s="344">
        <v>10.266666666666699</v>
      </c>
      <c r="AC699" s="344">
        <v>8.4</v>
      </c>
      <c r="AD699" s="344">
        <f t="shared" si="64"/>
        <v>-1.8666666666666991</v>
      </c>
      <c r="AE699" s="344">
        <v>40</v>
      </c>
      <c r="AF699" s="344">
        <v>0</v>
      </c>
      <c r="AG699" s="346">
        <v>35</v>
      </c>
      <c r="AH699" s="346">
        <v>28</v>
      </c>
      <c r="AI699" s="346">
        <v>17</v>
      </c>
      <c r="AJ699" s="346">
        <v>42</v>
      </c>
      <c r="AK699" s="346">
        <v>40</v>
      </c>
      <c r="AL699" s="346">
        <v>42</v>
      </c>
      <c r="AM699" s="346">
        <v>29</v>
      </c>
      <c r="AN699" s="346">
        <v>51</v>
      </c>
      <c r="AO699" s="346">
        <v>51</v>
      </c>
      <c r="AP699" s="357">
        <v>17</v>
      </c>
      <c r="AQ699" s="357">
        <v>19</v>
      </c>
      <c r="AR699" s="357">
        <v>10</v>
      </c>
      <c r="AS699" s="357">
        <v>8</v>
      </c>
      <c r="AT699" s="357">
        <v>23</v>
      </c>
      <c r="AU699" s="357">
        <v>10</v>
      </c>
      <c r="AV699" s="211">
        <v>51</v>
      </c>
      <c r="AW699" s="357">
        <v>5</v>
      </c>
      <c r="AX699" s="357">
        <v>9</v>
      </c>
      <c r="AY699" s="357">
        <v>7</v>
      </c>
      <c r="AZ699" s="357">
        <v>26</v>
      </c>
      <c r="BA699" s="211">
        <v>51</v>
      </c>
      <c r="BB699" s="357">
        <v>13</v>
      </c>
      <c r="BC699" s="357">
        <v>14</v>
      </c>
    </row>
    <row r="700" spans="1:55" s="381" customFormat="1" ht="17.649999999999999" customHeight="1">
      <c r="A700" s="343">
        <v>268</v>
      </c>
      <c r="B700" s="211" t="s">
        <v>2349</v>
      </c>
      <c r="C700" s="211" t="s">
        <v>2061</v>
      </c>
      <c r="D700" s="211" t="s">
        <v>2283</v>
      </c>
      <c r="E700" s="344">
        <v>0</v>
      </c>
      <c r="F700" s="344">
        <v>1.4</v>
      </c>
      <c r="G700" s="356">
        <v>0.233333333333333</v>
      </c>
      <c r="H700" s="344">
        <v>0.233333333333333</v>
      </c>
      <c r="I700" s="344">
        <v>2.56666666666667</v>
      </c>
      <c r="J700" s="344">
        <v>2.56666666666667</v>
      </c>
      <c r="K700" s="344">
        <v>1.86666666666667</v>
      </c>
      <c r="L700" s="344">
        <f t="shared" si="63"/>
        <v>0.59888888888888969</v>
      </c>
      <c r="M700" s="344">
        <v>2.56666666666667</v>
      </c>
      <c r="N700" s="344">
        <v>3.9666666666666699</v>
      </c>
      <c r="O700" s="344">
        <v>5.1333333333333302</v>
      </c>
      <c r="P700" s="344">
        <v>7</v>
      </c>
      <c r="Q700" s="344">
        <v>8.4</v>
      </c>
      <c r="R700" s="344">
        <v>7.93333333333333</v>
      </c>
      <c r="S700" s="344">
        <v>8.8666666666666707</v>
      </c>
      <c r="T700" s="344">
        <v>8.4</v>
      </c>
      <c r="U700" s="344">
        <v>7.7</v>
      </c>
      <c r="V700" s="344">
        <v>9.1</v>
      </c>
      <c r="W700" s="344">
        <v>12.366666666666699</v>
      </c>
      <c r="X700" s="344">
        <v>11.2</v>
      </c>
      <c r="Y700" s="344">
        <v>9.8000000000000007</v>
      </c>
      <c r="Z700" s="344">
        <v>8.6333333333333293</v>
      </c>
      <c r="AA700" s="344">
        <v>8.4</v>
      </c>
      <c r="AB700" s="344">
        <v>5.1333333333333302</v>
      </c>
      <c r="AC700" s="344">
        <v>4.43333333333333</v>
      </c>
      <c r="AD700" s="344">
        <f t="shared" si="64"/>
        <v>-0.70000000000000018</v>
      </c>
      <c r="AE700" s="344">
        <v>51</v>
      </c>
      <c r="AF700" s="344">
        <v>0</v>
      </c>
      <c r="AG700" s="346">
        <v>51</v>
      </c>
      <c r="AH700" s="346">
        <v>51</v>
      </c>
      <c r="AI700" s="346">
        <v>51</v>
      </c>
      <c r="AJ700" s="346">
        <v>51</v>
      </c>
      <c r="AK700" s="346">
        <v>51</v>
      </c>
      <c r="AL700" s="346">
        <v>51</v>
      </c>
      <c r="AM700" s="346">
        <v>51</v>
      </c>
      <c r="AN700" s="346">
        <v>51</v>
      </c>
      <c r="AO700" s="346">
        <v>51</v>
      </c>
      <c r="AP700" s="211">
        <v>51</v>
      </c>
      <c r="AQ700" s="211">
        <v>51</v>
      </c>
      <c r="AR700" s="211">
        <v>51</v>
      </c>
      <c r="AS700" s="211">
        <v>51</v>
      </c>
      <c r="AT700" s="211">
        <v>51</v>
      </c>
      <c r="AU700" s="211">
        <v>51</v>
      </c>
      <c r="AV700" s="211">
        <v>51</v>
      </c>
      <c r="AW700" s="211">
        <v>51</v>
      </c>
      <c r="AX700" s="211">
        <v>51</v>
      </c>
      <c r="AY700" s="211">
        <v>51</v>
      </c>
      <c r="AZ700" s="211">
        <v>51</v>
      </c>
      <c r="BA700" s="211">
        <v>51</v>
      </c>
      <c r="BB700" s="211">
        <v>51</v>
      </c>
      <c r="BC700" s="357" t="s">
        <v>2287</v>
      </c>
    </row>
    <row r="701" spans="1:55" s="381" customFormat="1" ht="17.649999999999999" customHeight="1">
      <c r="A701" s="343">
        <v>269</v>
      </c>
      <c r="B701" s="211" t="s">
        <v>2350</v>
      </c>
      <c r="C701" s="211" t="s">
        <v>2061</v>
      </c>
      <c r="D701" s="211" t="s">
        <v>2283</v>
      </c>
      <c r="E701" s="344">
        <v>1</v>
      </c>
      <c r="F701" s="344">
        <v>2.3333333333333299</v>
      </c>
      <c r="G701" s="356">
        <v>2.56666666666667</v>
      </c>
      <c r="H701" s="344">
        <v>2.3333333333333299</v>
      </c>
      <c r="I701" s="344">
        <v>2.3333333333333299</v>
      </c>
      <c r="J701" s="344">
        <v>1.86666666666667</v>
      </c>
      <c r="K701" s="344">
        <v>0.233333333333333</v>
      </c>
      <c r="L701" s="344">
        <f t="shared" si="63"/>
        <v>0.54444444444444362</v>
      </c>
      <c r="M701" s="344">
        <v>1.86666666666667</v>
      </c>
      <c r="N701" s="344">
        <v>1.86666666666667</v>
      </c>
      <c r="O701" s="344">
        <v>1.86666666666667</v>
      </c>
      <c r="P701" s="344">
        <v>3.2666666666666702</v>
      </c>
      <c r="Q701" s="344">
        <v>5.1333333333333302</v>
      </c>
      <c r="R701" s="344">
        <v>8.6333333333333293</v>
      </c>
      <c r="S701" s="344">
        <v>9.1</v>
      </c>
      <c r="T701" s="344">
        <v>8.4</v>
      </c>
      <c r="U701" s="344">
        <v>7.4666666666666703</v>
      </c>
      <c r="V701" s="344">
        <v>3.9666666666666699</v>
      </c>
      <c r="W701" s="344">
        <v>7.4666666666666703</v>
      </c>
      <c r="X701" s="344">
        <v>7.7</v>
      </c>
      <c r="Y701" s="344">
        <v>14</v>
      </c>
      <c r="Z701" s="344">
        <v>15.4</v>
      </c>
      <c r="AA701" s="344">
        <v>14</v>
      </c>
      <c r="AB701" s="344">
        <v>13.533333333333299</v>
      </c>
      <c r="AC701" s="344">
        <v>9.8000000000000007</v>
      </c>
      <c r="AD701" s="344">
        <f t="shared" si="64"/>
        <v>-3.7333333333332988</v>
      </c>
      <c r="AE701" s="344">
        <v>51</v>
      </c>
      <c r="AF701" s="344">
        <v>0</v>
      </c>
      <c r="AG701" s="346">
        <v>51</v>
      </c>
      <c r="AH701" s="346">
        <v>51</v>
      </c>
      <c r="AI701" s="346">
        <v>51</v>
      </c>
      <c r="AJ701" s="346">
        <v>51</v>
      </c>
      <c r="AK701" s="346">
        <v>51</v>
      </c>
      <c r="AL701" s="346">
        <v>51</v>
      </c>
      <c r="AM701" s="346">
        <v>51</v>
      </c>
      <c r="AN701" s="346">
        <v>51</v>
      </c>
      <c r="AO701" s="346">
        <v>51</v>
      </c>
      <c r="AP701" s="211">
        <v>51</v>
      </c>
      <c r="AQ701" s="211">
        <v>51</v>
      </c>
      <c r="AR701" s="211">
        <v>51</v>
      </c>
      <c r="AS701" s="357">
        <v>20</v>
      </c>
      <c r="AT701" s="211">
        <v>51</v>
      </c>
      <c r="AU701" s="211">
        <v>51</v>
      </c>
      <c r="AV701" s="211">
        <v>51</v>
      </c>
      <c r="AW701" s="211">
        <v>51</v>
      </c>
      <c r="AX701" s="357">
        <v>24</v>
      </c>
      <c r="AY701" s="211">
        <v>51</v>
      </c>
      <c r="AZ701" s="211">
        <v>51</v>
      </c>
      <c r="BA701" s="211">
        <v>51</v>
      </c>
      <c r="BB701" s="211">
        <v>51</v>
      </c>
      <c r="BC701" s="357" t="s">
        <v>2287</v>
      </c>
    </row>
    <row r="702" spans="1:55" s="381" customFormat="1" ht="17.649999999999999" customHeight="1">
      <c r="A702" s="343">
        <v>270</v>
      </c>
      <c r="B702" s="211" t="s">
        <v>2351</v>
      </c>
      <c r="C702" s="211" t="s">
        <v>2061</v>
      </c>
      <c r="D702" s="211" t="s">
        <v>2283</v>
      </c>
      <c r="E702" s="344">
        <v>26</v>
      </c>
      <c r="F702" s="344">
        <v>25.433333333333302</v>
      </c>
      <c r="G702" s="356">
        <v>26.366666666666699</v>
      </c>
      <c r="H702" s="344">
        <v>38.733333333333299</v>
      </c>
      <c r="I702" s="344">
        <v>44.1</v>
      </c>
      <c r="J702" s="344">
        <v>53.6666666666667</v>
      </c>
      <c r="K702" s="344">
        <v>55.3</v>
      </c>
      <c r="L702" s="344">
        <f t="shared" si="63"/>
        <v>10.29</v>
      </c>
      <c r="M702" s="344">
        <v>35.466666666666697</v>
      </c>
      <c r="N702" s="344">
        <v>23.3333333333333</v>
      </c>
      <c r="O702" s="344">
        <v>16.8</v>
      </c>
      <c r="P702" s="344">
        <v>15.4</v>
      </c>
      <c r="Q702" s="344">
        <v>19.8333333333333</v>
      </c>
      <c r="R702" s="344">
        <v>16.566666666666698</v>
      </c>
      <c r="S702" s="344">
        <v>20.533333333333299</v>
      </c>
      <c r="T702" s="344">
        <v>24.033333333333299</v>
      </c>
      <c r="U702" s="344">
        <v>525.70000000000005</v>
      </c>
      <c r="V702" s="344">
        <v>681.56666666666695</v>
      </c>
      <c r="W702" s="344">
        <v>681.33333333333303</v>
      </c>
      <c r="X702" s="344">
        <v>678.53333333333296</v>
      </c>
      <c r="Y702" s="344">
        <v>676.9</v>
      </c>
      <c r="Z702" s="344">
        <v>17.966666666666701</v>
      </c>
      <c r="AA702" s="344">
        <v>46.433333333333302</v>
      </c>
      <c r="AB702" s="344">
        <v>48.3</v>
      </c>
      <c r="AC702" s="344">
        <v>46.9</v>
      </c>
      <c r="AD702" s="344">
        <f t="shared" si="64"/>
        <v>-1.3999999999999986</v>
      </c>
      <c r="AE702" s="344">
        <v>51</v>
      </c>
      <c r="AF702" s="344">
        <v>0</v>
      </c>
      <c r="AG702" s="346">
        <v>51</v>
      </c>
      <c r="AH702" s="346">
        <v>51</v>
      </c>
      <c r="AI702" s="346">
        <v>51</v>
      </c>
      <c r="AJ702" s="346">
        <v>51</v>
      </c>
      <c r="AK702" s="346">
        <v>51</v>
      </c>
      <c r="AL702" s="346">
        <v>51</v>
      </c>
      <c r="AM702" s="346">
        <v>51</v>
      </c>
      <c r="AN702" s="346">
        <v>36</v>
      </c>
      <c r="AO702" s="346">
        <v>36</v>
      </c>
      <c r="AP702" s="357">
        <v>10</v>
      </c>
      <c r="AQ702" s="357">
        <v>43</v>
      </c>
      <c r="AR702" s="357">
        <v>24</v>
      </c>
      <c r="AS702" s="357">
        <v>24</v>
      </c>
      <c r="AT702" s="357">
        <v>34</v>
      </c>
      <c r="AU702" s="357">
        <v>34</v>
      </c>
      <c r="AV702" s="357">
        <v>30</v>
      </c>
      <c r="AW702" s="211">
        <v>51</v>
      </c>
      <c r="AX702" s="211">
        <v>51</v>
      </c>
      <c r="AY702" s="211">
        <v>51</v>
      </c>
      <c r="AZ702" s="357">
        <v>11</v>
      </c>
      <c r="BA702" s="357">
        <v>16</v>
      </c>
      <c r="BB702" s="211">
        <v>51</v>
      </c>
      <c r="BC702" s="357">
        <v>10</v>
      </c>
    </row>
    <row r="703" spans="1:55" s="381" customFormat="1" ht="17.649999999999999" customHeight="1">
      <c r="A703" s="343">
        <v>271</v>
      </c>
      <c r="B703" s="211" t="s">
        <v>2352</v>
      </c>
      <c r="C703" s="211" t="s">
        <v>2061</v>
      </c>
      <c r="D703" s="211" t="s">
        <v>2283</v>
      </c>
      <c r="E703" s="344">
        <v>2</v>
      </c>
      <c r="F703" s="344">
        <v>2.56666666666667</v>
      </c>
      <c r="G703" s="356">
        <v>2.56666666666667</v>
      </c>
      <c r="H703" s="344">
        <v>2.3333333333333299</v>
      </c>
      <c r="I703" s="344">
        <v>1.86666666666667</v>
      </c>
      <c r="J703" s="344">
        <v>1.86666666666667</v>
      </c>
      <c r="K703" s="344">
        <v>1.4</v>
      </c>
      <c r="L703" s="344">
        <f t="shared" si="63"/>
        <v>0.43555555555555631</v>
      </c>
      <c r="M703" s="344">
        <v>4.43333333333333</v>
      </c>
      <c r="N703" s="344">
        <v>6.7666666666666702</v>
      </c>
      <c r="O703" s="344">
        <v>7.7</v>
      </c>
      <c r="P703" s="344">
        <v>6.3</v>
      </c>
      <c r="Q703" s="344">
        <v>7</v>
      </c>
      <c r="R703" s="344">
        <v>6.3</v>
      </c>
      <c r="S703" s="344">
        <v>6.3</v>
      </c>
      <c r="T703" s="344">
        <v>7.4666666666666703</v>
      </c>
      <c r="U703" s="344">
        <v>6.5333333333333297</v>
      </c>
      <c r="V703" s="344">
        <v>7.93333333333333</v>
      </c>
      <c r="W703" s="344">
        <v>10.966666666666701</v>
      </c>
      <c r="X703" s="344">
        <v>10.733333333333301</v>
      </c>
      <c r="Y703" s="344">
        <v>11.9</v>
      </c>
      <c r="Z703" s="344">
        <v>10.733333333333301</v>
      </c>
      <c r="AA703" s="344">
        <v>7.4666666666666703</v>
      </c>
      <c r="AB703" s="344">
        <v>7.7</v>
      </c>
      <c r="AC703" s="344">
        <v>5.8333333333333304</v>
      </c>
      <c r="AD703" s="344">
        <f t="shared" si="64"/>
        <v>-1.8666666666666698</v>
      </c>
      <c r="AE703" s="344">
        <v>51</v>
      </c>
      <c r="AF703" s="344">
        <v>0</v>
      </c>
      <c r="AG703" s="346">
        <v>51</v>
      </c>
      <c r="AH703" s="346">
        <v>51</v>
      </c>
      <c r="AI703" s="346">
        <v>51</v>
      </c>
      <c r="AJ703" s="346">
        <v>51</v>
      </c>
      <c r="AK703" s="346">
        <v>51</v>
      </c>
      <c r="AL703" s="346">
        <v>51</v>
      </c>
      <c r="AM703" s="346">
        <v>51</v>
      </c>
      <c r="AN703" s="346">
        <v>51</v>
      </c>
      <c r="AO703" s="346">
        <v>51</v>
      </c>
      <c r="AP703" s="211">
        <v>51</v>
      </c>
      <c r="AQ703" s="211">
        <v>51</v>
      </c>
      <c r="AR703" s="211">
        <v>51</v>
      </c>
      <c r="AS703" s="211">
        <v>51</v>
      </c>
      <c r="AT703" s="211">
        <v>51</v>
      </c>
      <c r="AU703" s="211">
        <v>51</v>
      </c>
      <c r="AV703" s="211">
        <v>51</v>
      </c>
      <c r="AW703" s="211">
        <v>51</v>
      </c>
      <c r="AX703" s="211">
        <v>51</v>
      </c>
      <c r="AY703" s="211">
        <v>51</v>
      </c>
      <c r="AZ703" s="211">
        <v>51</v>
      </c>
      <c r="BA703" s="211">
        <v>51</v>
      </c>
      <c r="BB703" s="357">
        <v>9</v>
      </c>
      <c r="BC703" s="357">
        <v>9</v>
      </c>
    </row>
    <row r="704" spans="1:55" s="381" customFormat="1" ht="17.649999999999999" customHeight="1">
      <c r="A704" s="343">
        <v>272</v>
      </c>
      <c r="B704" s="211" t="s">
        <v>2353</v>
      </c>
      <c r="C704" s="211" t="s">
        <v>2061</v>
      </c>
      <c r="D704" s="211" t="s">
        <v>2283</v>
      </c>
      <c r="E704" s="344">
        <v>2</v>
      </c>
      <c r="F704" s="344">
        <v>3.0333333333333301</v>
      </c>
      <c r="G704" s="356">
        <v>3.9666666666666699</v>
      </c>
      <c r="H704" s="344">
        <v>3.2666666666666702</v>
      </c>
      <c r="I704" s="344">
        <v>3.0333333333333301</v>
      </c>
      <c r="J704" s="344">
        <v>2.3333333333333299</v>
      </c>
      <c r="K704" s="344">
        <v>1.4</v>
      </c>
      <c r="L704" s="344">
        <f t="shared" si="63"/>
        <v>0.70777777777777695</v>
      </c>
      <c r="M704" s="344">
        <v>3.0333333333333301</v>
      </c>
      <c r="N704" s="344">
        <v>7</v>
      </c>
      <c r="O704" s="344">
        <v>9.56666666666667</v>
      </c>
      <c r="P704" s="344">
        <v>8.6333333333333293</v>
      </c>
      <c r="Q704" s="344">
        <v>8.6333333333333293</v>
      </c>
      <c r="R704" s="344">
        <v>7.93333333333333</v>
      </c>
      <c r="S704" s="344">
        <v>3.0333333333333301</v>
      </c>
      <c r="T704" s="344">
        <v>3.9666666666666699</v>
      </c>
      <c r="U704" s="344">
        <v>5.6</v>
      </c>
      <c r="V704" s="344">
        <v>7</v>
      </c>
      <c r="W704" s="344">
        <v>7.7</v>
      </c>
      <c r="X704" s="344">
        <v>7.7</v>
      </c>
      <c r="Y704" s="344">
        <v>7.4666666666666703</v>
      </c>
      <c r="Z704" s="344">
        <v>7.4666666666666703</v>
      </c>
      <c r="AA704" s="344">
        <v>10.033333333333299</v>
      </c>
      <c r="AB704" s="344">
        <v>12.133333333333301</v>
      </c>
      <c r="AC704" s="344">
        <v>11.6666666666667</v>
      </c>
      <c r="AD704" s="344">
        <f t="shared" si="64"/>
        <v>-0.46666666666660106</v>
      </c>
      <c r="AE704" s="344">
        <v>28</v>
      </c>
      <c r="AF704" s="344">
        <v>0</v>
      </c>
      <c r="AG704" s="346">
        <v>51</v>
      </c>
      <c r="AH704" s="346">
        <v>51</v>
      </c>
      <c r="AI704" s="346">
        <v>51</v>
      </c>
      <c r="AJ704" s="346">
        <v>51</v>
      </c>
      <c r="AK704" s="346">
        <v>51</v>
      </c>
      <c r="AL704" s="346">
        <v>51</v>
      </c>
      <c r="AM704" s="346">
        <v>51</v>
      </c>
      <c r="AN704" s="346">
        <v>51</v>
      </c>
      <c r="AO704" s="346">
        <v>51</v>
      </c>
      <c r="AP704" s="211">
        <v>51</v>
      </c>
      <c r="AQ704" s="211">
        <v>51</v>
      </c>
      <c r="AR704" s="211">
        <v>51</v>
      </c>
      <c r="AS704" s="211">
        <v>51</v>
      </c>
      <c r="AT704" s="211">
        <v>51</v>
      </c>
      <c r="AU704" s="211">
        <v>51</v>
      </c>
      <c r="AV704" s="211">
        <v>51</v>
      </c>
      <c r="AW704" s="211">
        <v>51</v>
      </c>
      <c r="AX704" s="211">
        <v>51</v>
      </c>
      <c r="AY704" s="211">
        <v>51</v>
      </c>
      <c r="AZ704" s="211">
        <v>51</v>
      </c>
      <c r="BA704" s="211">
        <v>51</v>
      </c>
      <c r="BB704" s="357">
        <v>32</v>
      </c>
      <c r="BC704" s="357" t="s">
        <v>2287</v>
      </c>
    </row>
    <row r="705" spans="1:55" s="381" customFormat="1" ht="17.649999999999999" customHeight="1">
      <c r="A705" s="343">
        <v>273</v>
      </c>
      <c r="B705" s="211" t="s">
        <v>2354</v>
      </c>
      <c r="C705" s="211" t="s">
        <v>2061</v>
      </c>
      <c r="D705" s="211" t="s">
        <v>2283</v>
      </c>
      <c r="E705" s="344">
        <v>12</v>
      </c>
      <c r="F705" s="344">
        <v>10.966666666666701</v>
      </c>
      <c r="G705" s="356">
        <v>8.4</v>
      </c>
      <c r="H705" s="344">
        <v>8.6333333333333293</v>
      </c>
      <c r="I705" s="344">
        <v>5.1333333333333302</v>
      </c>
      <c r="J705" s="344">
        <v>3.2666666666666702</v>
      </c>
      <c r="K705" s="344">
        <v>3.2666666666666702</v>
      </c>
      <c r="L705" s="344">
        <f t="shared" si="63"/>
        <v>1.1977777777777772</v>
      </c>
      <c r="M705" s="344">
        <v>5.1333333333333302</v>
      </c>
      <c r="N705" s="344">
        <v>7</v>
      </c>
      <c r="O705" s="344">
        <v>8.4</v>
      </c>
      <c r="P705" s="344">
        <v>9.8000000000000007</v>
      </c>
      <c r="Q705" s="344">
        <v>9.8000000000000007</v>
      </c>
      <c r="R705" s="344">
        <v>8.8666666666666707</v>
      </c>
      <c r="S705" s="344">
        <v>8.6333333333333293</v>
      </c>
      <c r="T705" s="344">
        <v>8.4</v>
      </c>
      <c r="U705" s="344">
        <v>7.7</v>
      </c>
      <c r="V705" s="344">
        <v>7.4666666666666703</v>
      </c>
      <c r="W705" s="344">
        <v>7.93333333333333</v>
      </c>
      <c r="X705" s="344">
        <v>8.6333333333333293</v>
      </c>
      <c r="Y705" s="344">
        <v>7.7</v>
      </c>
      <c r="Z705" s="344">
        <v>9.8000000000000007</v>
      </c>
      <c r="AA705" s="344">
        <v>8.6333333333333293</v>
      </c>
      <c r="AB705" s="344">
        <v>7.93333333333333</v>
      </c>
      <c r="AC705" s="344">
        <v>7.7</v>
      </c>
      <c r="AD705" s="344">
        <f t="shared" si="64"/>
        <v>-0.23333333333332984</v>
      </c>
      <c r="AE705" s="344">
        <v>51</v>
      </c>
      <c r="AF705" s="344">
        <v>0</v>
      </c>
      <c r="AG705" s="346">
        <v>51</v>
      </c>
      <c r="AH705" s="346">
        <v>51</v>
      </c>
      <c r="AI705" s="346">
        <v>51</v>
      </c>
      <c r="AJ705" s="346">
        <v>51</v>
      </c>
      <c r="AK705" s="346">
        <v>51</v>
      </c>
      <c r="AL705" s="346">
        <v>51</v>
      </c>
      <c r="AM705" s="346">
        <v>11</v>
      </c>
      <c r="AN705" s="346">
        <v>15</v>
      </c>
      <c r="AO705" s="346">
        <v>15</v>
      </c>
      <c r="AP705" s="357">
        <v>23</v>
      </c>
      <c r="AQ705" s="357">
        <v>42</v>
      </c>
      <c r="AR705" s="357">
        <v>5</v>
      </c>
      <c r="AS705" s="357">
        <v>8</v>
      </c>
      <c r="AT705" s="357">
        <v>5</v>
      </c>
      <c r="AU705" s="357">
        <v>4</v>
      </c>
      <c r="AV705" s="357">
        <v>3</v>
      </c>
      <c r="AW705" s="357">
        <v>14</v>
      </c>
      <c r="AX705" s="357">
        <v>9</v>
      </c>
      <c r="AY705" s="357">
        <v>16</v>
      </c>
      <c r="AZ705" s="357">
        <v>7</v>
      </c>
      <c r="BA705" s="357">
        <v>9</v>
      </c>
      <c r="BB705" s="357">
        <v>10</v>
      </c>
      <c r="BC705" s="357">
        <v>10</v>
      </c>
    </row>
    <row r="706" spans="1:55" s="381" customFormat="1" ht="17.649999999999999" customHeight="1">
      <c r="A706" s="343">
        <v>274</v>
      </c>
      <c r="B706" s="211" t="s">
        <v>2355</v>
      </c>
      <c r="C706" s="211" t="s">
        <v>2061</v>
      </c>
      <c r="D706" s="211" t="s">
        <v>2283</v>
      </c>
      <c r="E706" s="344">
        <v>13</v>
      </c>
      <c r="F706" s="344">
        <v>13.0666666666667</v>
      </c>
      <c r="G706" s="356">
        <v>9.56666666666667</v>
      </c>
      <c r="H706" s="344">
        <v>7.7</v>
      </c>
      <c r="I706" s="344">
        <v>8.8666666666666707</v>
      </c>
      <c r="J706" s="344">
        <v>8.8666666666666707</v>
      </c>
      <c r="K706" s="344">
        <v>9.56666666666667</v>
      </c>
      <c r="L706" s="344">
        <f t="shared" si="63"/>
        <v>2.0688888888888899</v>
      </c>
      <c r="M706" s="344">
        <v>6.5333333333333297</v>
      </c>
      <c r="N706" s="344">
        <v>4.6666666666666696</v>
      </c>
      <c r="O706" s="344">
        <v>3.5</v>
      </c>
      <c r="P706" s="344">
        <v>4.43333333333333</v>
      </c>
      <c r="Q706" s="344">
        <v>5.8333333333333304</v>
      </c>
      <c r="R706" s="344">
        <v>8.4</v>
      </c>
      <c r="S706" s="344">
        <v>9.8000000000000007</v>
      </c>
      <c r="T706" s="344">
        <v>8.8666666666666707</v>
      </c>
      <c r="U706" s="344">
        <v>8.6333333333333293</v>
      </c>
      <c r="V706" s="344">
        <v>6.3</v>
      </c>
      <c r="W706" s="344">
        <v>7.4666666666666703</v>
      </c>
      <c r="X706" s="344">
        <v>7.4666666666666703</v>
      </c>
      <c r="Y706" s="344">
        <v>6.5333333333333297</v>
      </c>
      <c r="Z706" s="344">
        <v>7.4666666666666703</v>
      </c>
      <c r="AA706" s="344">
        <v>7</v>
      </c>
      <c r="AB706" s="344">
        <v>6.7666666666666702</v>
      </c>
      <c r="AC706" s="344">
        <v>5.6</v>
      </c>
      <c r="AD706" s="344">
        <f t="shared" si="64"/>
        <v>-1.1666666666666705</v>
      </c>
      <c r="AE706" s="344">
        <v>1</v>
      </c>
      <c r="AF706" s="344">
        <v>3</v>
      </c>
      <c r="AG706" s="346">
        <v>20</v>
      </c>
      <c r="AH706" s="346">
        <v>4</v>
      </c>
      <c r="AI706" s="346">
        <v>28</v>
      </c>
      <c r="AJ706" s="346">
        <v>24</v>
      </c>
      <c r="AK706" s="346">
        <v>17</v>
      </c>
      <c r="AL706" s="346">
        <v>24</v>
      </c>
      <c r="AM706" s="346">
        <v>15</v>
      </c>
      <c r="AN706" s="346">
        <v>14</v>
      </c>
      <c r="AO706" s="346">
        <v>14</v>
      </c>
      <c r="AP706" s="357">
        <v>12</v>
      </c>
      <c r="AQ706" s="357">
        <v>13</v>
      </c>
      <c r="AR706" s="357">
        <v>1</v>
      </c>
      <c r="AS706" s="357">
        <v>1</v>
      </c>
      <c r="AT706" s="357">
        <v>1</v>
      </c>
      <c r="AU706" s="357">
        <v>1</v>
      </c>
      <c r="AV706" s="357">
        <v>1</v>
      </c>
      <c r="AW706" s="357">
        <v>1</v>
      </c>
      <c r="AX706" s="357">
        <v>1</v>
      </c>
      <c r="AY706" s="357">
        <v>1</v>
      </c>
      <c r="AZ706" s="357">
        <v>1</v>
      </c>
      <c r="BA706" s="357">
        <v>1</v>
      </c>
      <c r="BB706" s="357">
        <v>1</v>
      </c>
      <c r="BC706" s="357">
        <v>7</v>
      </c>
    </row>
    <row r="707" spans="1:55" s="381" customFormat="1" ht="17.649999999999999" customHeight="1">
      <c r="A707" s="343">
        <v>275</v>
      </c>
      <c r="B707" s="211" t="s">
        <v>2356</v>
      </c>
      <c r="C707" s="211" t="s">
        <v>2061</v>
      </c>
      <c r="D707" s="211" t="s">
        <v>2283</v>
      </c>
      <c r="E707" s="344">
        <v>1</v>
      </c>
      <c r="F707" s="344">
        <v>1.86666666666667</v>
      </c>
      <c r="G707" s="356">
        <v>3.2666666666666702</v>
      </c>
      <c r="H707" s="344">
        <v>3.2666666666666702</v>
      </c>
      <c r="I707" s="344">
        <v>3.0333333333333301</v>
      </c>
      <c r="J707" s="344">
        <v>3.0333333333333301</v>
      </c>
      <c r="K707" s="344">
        <v>1.1666666666666701</v>
      </c>
      <c r="L707" s="344">
        <f t="shared" si="63"/>
        <v>0.70777777777777695</v>
      </c>
      <c r="M707" s="344">
        <v>4.2</v>
      </c>
      <c r="N707" s="344">
        <v>4.43333333333333</v>
      </c>
      <c r="O707" s="344">
        <v>8.6333333333333293</v>
      </c>
      <c r="P707" s="344">
        <v>6.5333333333333297</v>
      </c>
      <c r="Q707" s="344">
        <v>6.3</v>
      </c>
      <c r="R707" s="344">
        <v>7</v>
      </c>
      <c r="S707" s="344">
        <v>4.6666666666666696</v>
      </c>
      <c r="T707" s="344">
        <v>4.6666666666666696</v>
      </c>
      <c r="U707" s="344">
        <v>6.3</v>
      </c>
      <c r="V707" s="344">
        <v>5.8333333333333304</v>
      </c>
      <c r="W707" s="344">
        <v>6.7666666666666702</v>
      </c>
      <c r="X707" s="344">
        <v>7.7</v>
      </c>
      <c r="Y707" s="344">
        <v>7.4666666666666703</v>
      </c>
      <c r="Z707" s="344">
        <v>7.4666666666666703</v>
      </c>
      <c r="AA707" s="344">
        <v>6.5333333333333297</v>
      </c>
      <c r="AB707" s="344">
        <v>5.6</v>
      </c>
      <c r="AC707" s="344">
        <v>5.3666666666666698</v>
      </c>
      <c r="AD707" s="344">
        <f t="shared" si="64"/>
        <v>-0.23333333333332984</v>
      </c>
      <c r="AE707" s="344">
        <v>10</v>
      </c>
      <c r="AF707" s="344">
        <v>44</v>
      </c>
      <c r="AG707" s="346">
        <v>5</v>
      </c>
      <c r="AH707" s="346">
        <v>1</v>
      </c>
      <c r="AI707" s="346">
        <v>8</v>
      </c>
      <c r="AJ707" s="346">
        <v>18</v>
      </c>
      <c r="AK707" s="346">
        <v>19</v>
      </c>
      <c r="AL707" s="346">
        <v>18</v>
      </c>
      <c r="AM707" s="346">
        <v>4</v>
      </c>
      <c r="AN707" s="346">
        <v>3</v>
      </c>
      <c r="AO707" s="346">
        <v>3</v>
      </c>
      <c r="AP707" s="346">
        <v>6</v>
      </c>
      <c r="AQ707" s="357">
        <v>4</v>
      </c>
      <c r="AR707" s="357">
        <v>16</v>
      </c>
      <c r="AS707" s="357">
        <v>9</v>
      </c>
      <c r="AT707" s="357">
        <v>8</v>
      </c>
      <c r="AU707" s="357">
        <v>2</v>
      </c>
      <c r="AV707" s="357">
        <v>2</v>
      </c>
      <c r="AW707" s="357">
        <v>1</v>
      </c>
      <c r="AX707" s="357">
        <v>4</v>
      </c>
      <c r="AY707" s="357">
        <v>2</v>
      </c>
      <c r="AZ707" s="357">
        <v>34</v>
      </c>
      <c r="BA707" s="357">
        <v>34</v>
      </c>
      <c r="BB707" s="357">
        <v>3</v>
      </c>
      <c r="BC707" s="357">
        <v>4</v>
      </c>
    </row>
    <row r="708" spans="1:55" s="381" customFormat="1" ht="17.649999999999999" customHeight="1">
      <c r="A708" s="343">
        <v>276</v>
      </c>
      <c r="B708" s="211" t="s">
        <v>2357</v>
      </c>
      <c r="C708" s="211" t="s">
        <v>2061</v>
      </c>
      <c r="D708" s="211" t="s">
        <v>2283</v>
      </c>
      <c r="E708" s="344">
        <v>17</v>
      </c>
      <c r="F708" s="344">
        <v>15.4</v>
      </c>
      <c r="G708" s="356">
        <v>14.233333333333301</v>
      </c>
      <c r="H708" s="344">
        <v>13.0666666666667</v>
      </c>
      <c r="I708" s="344">
        <v>10.266666666666699</v>
      </c>
      <c r="J708" s="344">
        <v>8.6333333333333293</v>
      </c>
      <c r="K708" s="344">
        <v>7.93333333333333</v>
      </c>
      <c r="L708" s="344">
        <f t="shared" si="63"/>
        <v>2.3955555555555632</v>
      </c>
      <c r="M708" s="344">
        <v>14.466666666666701</v>
      </c>
      <c r="N708" s="344">
        <v>12.366666666666699</v>
      </c>
      <c r="O708" s="344">
        <v>12.8333333333333</v>
      </c>
      <c r="P708" s="344">
        <v>8.8666666666666707</v>
      </c>
      <c r="Q708" s="344">
        <v>9.1</v>
      </c>
      <c r="R708" s="344">
        <v>8.6333333333333293</v>
      </c>
      <c r="S708" s="344">
        <v>10.966666666666701</v>
      </c>
      <c r="T708" s="344">
        <v>10.266666666666699</v>
      </c>
      <c r="U708" s="344">
        <v>7.4666666666666703</v>
      </c>
      <c r="V708" s="344">
        <v>8.4</v>
      </c>
      <c r="W708" s="344">
        <v>10.033333333333299</v>
      </c>
      <c r="X708" s="344">
        <v>9.56666666666667</v>
      </c>
      <c r="Y708" s="344">
        <v>9.8000000000000007</v>
      </c>
      <c r="Z708" s="344">
        <v>10.266666666666699</v>
      </c>
      <c r="AA708" s="344">
        <v>9.8000000000000007</v>
      </c>
      <c r="AB708" s="344">
        <v>12.133333333333301</v>
      </c>
      <c r="AC708" s="344">
        <v>11.2</v>
      </c>
      <c r="AD708" s="344">
        <f t="shared" si="64"/>
        <v>-0.9333333333333016</v>
      </c>
      <c r="AE708" s="344">
        <v>51</v>
      </c>
      <c r="AF708" s="344">
        <v>0</v>
      </c>
      <c r="AG708" s="346">
        <v>51</v>
      </c>
      <c r="AH708" s="346">
        <v>51</v>
      </c>
      <c r="AI708" s="346">
        <v>51</v>
      </c>
      <c r="AJ708" s="346">
        <v>36</v>
      </c>
      <c r="AK708" s="346">
        <v>51</v>
      </c>
      <c r="AL708" s="346">
        <v>36</v>
      </c>
      <c r="AM708" s="346">
        <v>10</v>
      </c>
      <c r="AN708" s="346">
        <v>1</v>
      </c>
      <c r="AO708" s="346">
        <v>1</v>
      </c>
      <c r="AP708" s="357">
        <v>13</v>
      </c>
      <c r="AQ708" s="357">
        <v>1</v>
      </c>
      <c r="AR708" s="357">
        <v>25</v>
      </c>
      <c r="AS708" s="357">
        <v>13</v>
      </c>
      <c r="AT708" s="357">
        <v>16</v>
      </c>
      <c r="AU708" s="357">
        <v>13</v>
      </c>
      <c r="AV708" s="357">
        <v>11</v>
      </c>
      <c r="AW708" s="357">
        <v>9</v>
      </c>
      <c r="AX708" s="357">
        <v>9</v>
      </c>
      <c r="AY708" s="357">
        <v>11</v>
      </c>
      <c r="AZ708" s="357">
        <v>5</v>
      </c>
      <c r="BA708" s="357">
        <v>6</v>
      </c>
      <c r="BB708" s="357">
        <v>17</v>
      </c>
      <c r="BC708" s="357">
        <v>14</v>
      </c>
    </row>
    <row r="709" spans="1:55" s="381" customFormat="1" ht="17.649999999999999" customHeight="1">
      <c r="A709" s="343">
        <v>277</v>
      </c>
      <c r="B709" s="211" t="s">
        <v>2358</v>
      </c>
      <c r="C709" s="211" t="s">
        <v>2061</v>
      </c>
      <c r="D709" s="211" t="s">
        <v>2283</v>
      </c>
      <c r="E709" s="344">
        <v>7</v>
      </c>
      <c r="F709" s="344">
        <v>7.7</v>
      </c>
      <c r="G709" s="356">
        <v>5.3666666666666698</v>
      </c>
      <c r="H709" s="344">
        <v>5.8333333333333304</v>
      </c>
      <c r="I709" s="344">
        <v>6.5333333333333297</v>
      </c>
      <c r="J709" s="344">
        <v>6.7666666666666702</v>
      </c>
      <c r="K709" s="344">
        <v>5.6</v>
      </c>
      <c r="L709" s="344">
        <f t="shared" si="63"/>
        <v>1.5244444444444436</v>
      </c>
      <c r="M709" s="344">
        <v>6.7666666666666702</v>
      </c>
      <c r="N709" s="344">
        <v>6.3</v>
      </c>
      <c r="O709" s="344">
        <v>5.8333333333333304</v>
      </c>
      <c r="P709" s="344">
        <v>3.9666666666666699</v>
      </c>
      <c r="Q709" s="344">
        <v>3.5</v>
      </c>
      <c r="R709" s="344">
        <v>3.2666666666666702</v>
      </c>
      <c r="S709" s="344">
        <v>3.9666666666666699</v>
      </c>
      <c r="T709" s="344">
        <v>5.8333333333333304</v>
      </c>
      <c r="U709" s="344">
        <v>5.1333333333333302</v>
      </c>
      <c r="V709" s="344">
        <v>6.7666666666666702</v>
      </c>
      <c r="W709" s="344">
        <v>6.3</v>
      </c>
      <c r="X709" s="344">
        <v>5.6</v>
      </c>
      <c r="Y709" s="344">
        <v>4.43333333333333</v>
      </c>
      <c r="Z709" s="344">
        <v>3.5</v>
      </c>
      <c r="AA709" s="344">
        <v>6.5333333333333297</v>
      </c>
      <c r="AB709" s="344">
        <v>7.93333333333333</v>
      </c>
      <c r="AC709" s="344">
        <v>7.4666666666666703</v>
      </c>
      <c r="AD709" s="344">
        <f t="shared" si="64"/>
        <v>-0.46666666666665968</v>
      </c>
      <c r="AE709" s="344">
        <v>51</v>
      </c>
      <c r="AF709" s="344">
        <v>0</v>
      </c>
      <c r="AG709" s="346">
        <v>51</v>
      </c>
      <c r="AH709" s="346">
        <v>2</v>
      </c>
      <c r="AI709" s="346">
        <v>28</v>
      </c>
      <c r="AJ709" s="346">
        <v>30</v>
      </c>
      <c r="AK709" s="346">
        <v>4</v>
      </c>
      <c r="AL709" s="346">
        <v>30</v>
      </c>
      <c r="AM709" s="346">
        <v>25</v>
      </c>
      <c r="AN709" s="346">
        <v>2</v>
      </c>
      <c r="AO709" s="346">
        <v>2</v>
      </c>
      <c r="AP709" s="357">
        <v>12</v>
      </c>
      <c r="AQ709" s="357">
        <v>14</v>
      </c>
      <c r="AR709" s="357">
        <v>29</v>
      </c>
      <c r="AS709" s="357">
        <v>2</v>
      </c>
      <c r="AT709" s="357">
        <v>2</v>
      </c>
      <c r="AU709" s="357">
        <v>3</v>
      </c>
      <c r="AV709" s="357">
        <v>2</v>
      </c>
      <c r="AW709" s="357">
        <v>2</v>
      </c>
      <c r="AX709" s="357">
        <v>2</v>
      </c>
      <c r="AY709" s="357">
        <v>8</v>
      </c>
      <c r="AZ709" s="357">
        <v>6</v>
      </c>
      <c r="BA709" s="357">
        <v>5</v>
      </c>
      <c r="BB709" s="211">
        <v>51</v>
      </c>
      <c r="BC709" s="357">
        <v>7</v>
      </c>
    </row>
    <row r="710" spans="1:55" s="381" customFormat="1" ht="17.649999999999999" customHeight="1">
      <c r="A710" s="343">
        <v>278</v>
      </c>
      <c r="B710" s="211" t="s">
        <v>2359</v>
      </c>
      <c r="C710" s="211" t="s">
        <v>2061</v>
      </c>
      <c r="D710" s="211" t="s">
        <v>2283</v>
      </c>
      <c r="E710" s="344">
        <v>15</v>
      </c>
      <c r="F710" s="344">
        <v>12.8333333333333</v>
      </c>
      <c r="G710" s="356">
        <v>13.533333333333299</v>
      </c>
      <c r="H710" s="344">
        <v>12.8333333333333</v>
      </c>
      <c r="I710" s="344">
        <v>9.56666666666667</v>
      </c>
      <c r="J710" s="344">
        <v>10.966666666666701</v>
      </c>
      <c r="K710" s="344">
        <v>9.8000000000000007</v>
      </c>
      <c r="L710" s="344">
        <f t="shared" si="63"/>
        <v>2.232222222222223</v>
      </c>
      <c r="M710" s="344">
        <v>8.4</v>
      </c>
      <c r="N710" s="344">
        <v>7.4666666666666703</v>
      </c>
      <c r="O710" s="344">
        <v>5.1333333333333302</v>
      </c>
      <c r="P710" s="344">
        <v>5.6</v>
      </c>
      <c r="Q710" s="344">
        <v>5.8333333333333304</v>
      </c>
      <c r="R710" s="344">
        <v>5.8333333333333304</v>
      </c>
      <c r="S710" s="344">
        <v>7.7</v>
      </c>
      <c r="T710" s="344">
        <v>5.3666666666666698</v>
      </c>
      <c r="U710" s="344">
        <v>6.5333333333333297</v>
      </c>
      <c r="V710" s="344">
        <v>5.6</v>
      </c>
      <c r="W710" s="344">
        <v>5.8333333333333304</v>
      </c>
      <c r="X710" s="344">
        <v>5.1333333333333302</v>
      </c>
      <c r="Y710" s="344">
        <v>4.43333333333333</v>
      </c>
      <c r="Z710" s="344">
        <v>3.2666666666666702</v>
      </c>
      <c r="AA710" s="344">
        <v>6.7666666666666702</v>
      </c>
      <c r="AB710" s="344">
        <v>8.4</v>
      </c>
      <c r="AC710" s="344">
        <v>7.93333333333333</v>
      </c>
      <c r="AD710" s="344">
        <f t="shared" si="64"/>
        <v>-0.46666666666667034</v>
      </c>
      <c r="AE710" s="344">
        <v>51</v>
      </c>
      <c r="AF710" s="344">
        <v>0</v>
      </c>
      <c r="AG710" s="346">
        <v>51</v>
      </c>
      <c r="AH710" s="346">
        <v>51</v>
      </c>
      <c r="AI710" s="346">
        <v>51</v>
      </c>
      <c r="AJ710" s="346">
        <v>51</v>
      </c>
      <c r="AK710" s="346">
        <v>51</v>
      </c>
      <c r="AL710" s="346">
        <v>51</v>
      </c>
      <c r="AM710" s="346">
        <v>51</v>
      </c>
      <c r="AN710" s="346">
        <v>51</v>
      </c>
      <c r="AO710" s="346">
        <v>51</v>
      </c>
      <c r="AP710" s="211">
        <v>51</v>
      </c>
      <c r="AQ710" s="211">
        <v>51</v>
      </c>
      <c r="AR710" s="357">
        <v>46</v>
      </c>
      <c r="AS710" s="211">
        <v>51</v>
      </c>
      <c r="AT710" s="211">
        <v>51</v>
      </c>
      <c r="AU710" s="211">
        <v>51</v>
      </c>
      <c r="AV710" s="211">
        <v>51</v>
      </c>
      <c r="AW710" s="211">
        <v>51</v>
      </c>
      <c r="AX710" s="211">
        <v>51</v>
      </c>
      <c r="AY710" s="357">
        <v>4</v>
      </c>
      <c r="AZ710" s="357">
        <v>47</v>
      </c>
      <c r="BA710" s="357">
        <v>43</v>
      </c>
      <c r="BB710" s="211">
        <v>51</v>
      </c>
      <c r="BC710" s="357" t="s">
        <v>2287</v>
      </c>
    </row>
    <row r="711" spans="1:55" s="381" customFormat="1" ht="17.649999999999999" customHeight="1">
      <c r="A711" s="343">
        <v>279</v>
      </c>
      <c r="B711" s="211" t="s">
        <v>2360</v>
      </c>
      <c r="C711" s="211" t="s">
        <v>2061</v>
      </c>
      <c r="D711" s="211" t="s">
        <v>2283</v>
      </c>
      <c r="E711" s="344">
        <v>0</v>
      </c>
      <c r="F711" s="344">
        <v>0.233333333333333</v>
      </c>
      <c r="G711" s="356">
        <v>0.233333333333333</v>
      </c>
      <c r="H711" s="344">
        <v>1.1666666666666701</v>
      </c>
      <c r="I711" s="344">
        <v>1.1666666666666701</v>
      </c>
      <c r="J711" s="344">
        <v>1.1666666666666701</v>
      </c>
      <c r="K711" s="344">
        <v>0.233333333333333</v>
      </c>
      <c r="L711" s="344">
        <f t="shared" si="63"/>
        <v>0.27222222222222303</v>
      </c>
      <c r="M711" s="344">
        <v>2.1</v>
      </c>
      <c r="N711" s="344">
        <v>3.9666666666666699</v>
      </c>
      <c r="O711" s="344">
        <v>4.43333333333333</v>
      </c>
      <c r="P711" s="344">
        <v>5.3666666666666698</v>
      </c>
      <c r="Q711" s="344">
        <v>8.4</v>
      </c>
      <c r="R711" s="344">
        <v>9.1</v>
      </c>
      <c r="S711" s="344">
        <v>8.4</v>
      </c>
      <c r="T711" s="344">
        <v>8.6333333333333293</v>
      </c>
      <c r="U711" s="344">
        <v>5.3666666666666698</v>
      </c>
      <c r="V711" s="344">
        <v>4.2</v>
      </c>
      <c r="W711" s="344">
        <v>5.1333333333333302</v>
      </c>
      <c r="X711" s="344">
        <v>6.3</v>
      </c>
      <c r="Y711" s="344">
        <v>6.5333333333333297</v>
      </c>
      <c r="Z711" s="344">
        <v>7.93333333333333</v>
      </c>
      <c r="AA711" s="344">
        <v>10.266666666666699</v>
      </c>
      <c r="AB711" s="344">
        <v>9.56666666666667</v>
      </c>
      <c r="AC711" s="344">
        <v>8.6333333333333293</v>
      </c>
      <c r="AD711" s="344">
        <f t="shared" si="64"/>
        <v>-0.93333333333334068</v>
      </c>
      <c r="AE711" s="344">
        <v>51</v>
      </c>
      <c r="AF711" s="344">
        <v>0</v>
      </c>
      <c r="AG711" s="346">
        <v>51</v>
      </c>
      <c r="AH711" s="346">
        <v>51</v>
      </c>
      <c r="AI711" s="346">
        <v>51</v>
      </c>
      <c r="AJ711" s="346">
        <v>51</v>
      </c>
      <c r="AK711" s="346">
        <v>51</v>
      </c>
      <c r="AL711" s="346">
        <v>51</v>
      </c>
      <c r="AM711" s="346">
        <v>51</v>
      </c>
      <c r="AN711" s="346">
        <v>51</v>
      </c>
      <c r="AO711" s="346">
        <v>51</v>
      </c>
      <c r="AP711" s="357">
        <v>31</v>
      </c>
      <c r="AQ711" s="211">
        <v>51</v>
      </c>
      <c r="AR711" s="211">
        <v>51</v>
      </c>
      <c r="AS711" s="211">
        <v>51</v>
      </c>
      <c r="AT711" s="211">
        <v>51</v>
      </c>
      <c r="AU711" s="211">
        <v>51</v>
      </c>
      <c r="AV711" s="211">
        <v>51</v>
      </c>
      <c r="AW711" s="211">
        <v>51</v>
      </c>
      <c r="AX711" s="211">
        <v>51</v>
      </c>
      <c r="AY711" s="211">
        <v>51</v>
      </c>
      <c r="AZ711" s="211">
        <v>51</v>
      </c>
      <c r="BA711" s="211">
        <v>51</v>
      </c>
      <c r="BB711" s="211">
        <v>51</v>
      </c>
      <c r="BC711" s="357">
        <v>9</v>
      </c>
    </row>
    <row r="712" spans="1:55" s="381" customFormat="1" ht="17.649999999999999" customHeight="1">
      <c r="A712" s="343">
        <v>280</v>
      </c>
      <c r="B712" s="211" t="s">
        <v>2361</v>
      </c>
      <c r="C712" s="211" t="s">
        <v>2061</v>
      </c>
      <c r="D712" s="211" t="s">
        <v>2283</v>
      </c>
      <c r="E712" s="344">
        <v>8</v>
      </c>
      <c r="F712" s="344">
        <v>7.7</v>
      </c>
      <c r="G712" s="356">
        <v>7</v>
      </c>
      <c r="H712" s="344">
        <v>6.3</v>
      </c>
      <c r="I712" s="344">
        <v>6.5333333333333297</v>
      </c>
      <c r="J712" s="344">
        <v>5.6</v>
      </c>
      <c r="K712" s="344">
        <v>5.6</v>
      </c>
      <c r="L712" s="344">
        <f t="shared" si="63"/>
        <v>1.5244444444444436</v>
      </c>
      <c r="M712" s="344">
        <v>9.56666666666667</v>
      </c>
      <c r="N712" s="344">
        <v>9.8000000000000007</v>
      </c>
      <c r="O712" s="344">
        <v>9.56666666666667</v>
      </c>
      <c r="P712" s="344">
        <v>12.133333333333301</v>
      </c>
      <c r="Q712" s="344">
        <v>10.733333333333301</v>
      </c>
      <c r="R712" s="344">
        <v>11.6666666666667</v>
      </c>
      <c r="S712" s="344">
        <v>16.100000000000001</v>
      </c>
      <c r="T712" s="344">
        <v>14</v>
      </c>
      <c r="U712" s="344">
        <v>17.266666666666701</v>
      </c>
      <c r="V712" s="344">
        <v>15.633333333333301</v>
      </c>
      <c r="W712" s="344">
        <v>13.3</v>
      </c>
      <c r="X712" s="344">
        <v>9.56666666666667</v>
      </c>
      <c r="Y712" s="344">
        <v>8.4</v>
      </c>
      <c r="Z712" s="344">
        <v>6.3</v>
      </c>
      <c r="AA712" s="344">
        <v>7.93333333333333</v>
      </c>
      <c r="AB712" s="344">
        <v>7</v>
      </c>
      <c r="AC712" s="344">
        <v>7</v>
      </c>
      <c r="AD712" s="344">
        <f t="shared" si="64"/>
        <v>0</v>
      </c>
      <c r="AE712" s="344">
        <v>1</v>
      </c>
      <c r="AF712" s="344">
        <v>1</v>
      </c>
      <c r="AG712" s="346">
        <v>4</v>
      </c>
      <c r="AH712" s="346">
        <v>1</v>
      </c>
      <c r="AI712" s="346">
        <v>1</v>
      </c>
      <c r="AJ712" s="346">
        <v>1</v>
      </c>
      <c r="AK712" s="346">
        <v>1</v>
      </c>
      <c r="AL712" s="346">
        <v>1</v>
      </c>
      <c r="AM712" s="346">
        <v>1</v>
      </c>
      <c r="AN712" s="346">
        <v>1</v>
      </c>
      <c r="AO712" s="346">
        <v>1</v>
      </c>
      <c r="AP712" s="346">
        <v>1</v>
      </c>
      <c r="AQ712" s="357">
        <v>1</v>
      </c>
      <c r="AR712" s="357">
        <v>1</v>
      </c>
      <c r="AS712" s="357">
        <v>7</v>
      </c>
      <c r="AT712" s="357">
        <v>8</v>
      </c>
      <c r="AU712" s="357">
        <v>1</v>
      </c>
      <c r="AV712" s="357">
        <v>1</v>
      </c>
      <c r="AW712" s="357">
        <v>1</v>
      </c>
      <c r="AX712" s="357">
        <v>7</v>
      </c>
      <c r="AY712" s="357">
        <v>8</v>
      </c>
      <c r="AZ712" s="357">
        <v>1</v>
      </c>
      <c r="BA712" s="357">
        <v>1</v>
      </c>
      <c r="BB712" s="357">
        <v>1</v>
      </c>
      <c r="BC712" s="357">
        <v>1</v>
      </c>
    </row>
    <row r="713" spans="1:55" s="381" customFormat="1" ht="17.649999999999999" customHeight="1">
      <c r="A713" s="358"/>
      <c r="B713" s="197" t="s">
        <v>2362</v>
      </c>
      <c r="C713" s="211" t="s">
        <v>2055</v>
      </c>
      <c r="D713" s="211" t="s">
        <v>2056</v>
      </c>
      <c r="E713" s="359">
        <v>4736</v>
      </c>
      <c r="F713" s="359">
        <v>5683</v>
      </c>
      <c r="G713" s="359">
        <v>5919</v>
      </c>
      <c r="H713" s="344">
        <v>7892.5</v>
      </c>
      <c r="I713" s="344">
        <v>7892.5</v>
      </c>
      <c r="J713" s="359">
        <v>3946</v>
      </c>
      <c r="K713" s="344">
        <v>7892.5</v>
      </c>
      <c r="L713" s="359">
        <v>7261</v>
      </c>
      <c r="M713" s="359">
        <v>7103</v>
      </c>
      <c r="N713" s="344">
        <v>7892.5</v>
      </c>
      <c r="O713" s="344">
        <v>7892.5</v>
      </c>
      <c r="P713" s="344">
        <v>7303.1</v>
      </c>
      <c r="Q713" s="344">
        <v>6111.9333333333298</v>
      </c>
      <c r="R713" s="344">
        <v>5484.7333333333299</v>
      </c>
      <c r="S713" s="344">
        <v>6913.6666666666697</v>
      </c>
      <c r="T713" s="344">
        <v>8521.3333333333303</v>
      </c>
      <c r="U713" s="344">
        <v>9715.0666666666693</v>
      </c>
      <c r="V713" s="344">
        <v>9601.4333333333307</v>
      </c>
      <c r="W713" s="344">
        <v>9142.4666666666708</v>
      </c>
      <c r="X713" s="344">
        <v>9117.5</v>
      </c>
      <c r="Y713" s="344">
        <v>9226.9333333333307</v>
      </c>
      <c r="Z713" s="344">
        <v>8331.6333333333296</v>
      </c>
      <c r="AA713" s="344">
        <v>8513.8666666666704</v>
      </c>
      <c r="AB713" s="344">
        <v>8524.8333333333303</v>
      </c>
      <c r="AC713" s="344">
        <v>7939.1666666666697</v>
      </c>
      <c r="AD713" s="344">
        <f t="shared" si="64"/>
        <v>-585.6666666666606</v>
      </c>
      <c r="AE713" s="346">
        <v>9</v>
      </c>
      <c r="AF713" s="346">
        <v>9</v>
      </c>
      <c r="AG713" s="346">
        <v>9</v>
      </c>
      <c r="AH713" s="346">
        <v>9</v>
      </c>
      <c r="AI713" s="346">
        <v>9</v>
      </c>
      <c r="AJ713" s="346">
        <v>9</v>
      </c>
      <c r="AK713" s="346">
        <v>9</v>
      </c>
      <c r="AL713" s="346">
        <v>9</v>
      </c>
      <c r="AM713" s="346">
        <v>9</v>
      </c>
      <c r="AN713" s="346">
        <v>9</v>
      </c>
      <c r="AO713" s="346">
        <v>9</v>
      </c>
      <c r="AP713" s="346">
        <v>8</v>
      </c>
      <c r="AQ713" s="357">
        <v>8</v>
      </c>
      <c r="AR713" s="357">
        <v>5</v>
      </c>
      <c r="AS713" s="357">
        <v>4</v>
      </c>
      <c r="AT713" s="357">
        <v>8</v>
      </c>
      <c r="AU713" s="357">
        <v>9</v>
      </c>
      <c r="AV713" s="357">
        <v>9</v>
      </c>
      <c r="AW713" s="357">
        <v>8</v>
      </c>
      <c r="AX713" s="357">
        <v>8</v>
      </c>
      <c r="AY713" s="357">
        <v>8</v>
      </c>
      <c r="AZ713" s="357">
        <v>9</v>
      </c>
      <c r="BA713" s="357">
        <v>3</v>
      </c>
      <c r="BB713" s="357">
        <v>11</v>
      </c>
      <c r="BC713" s="357">
        <v>2</v>
      </c>
    </row>
    <row r="714" spans="1:55" s="381" customFormat="1" ht="17.649999999999999" customHeight="1">
      <c r="A714" s="358"/>
      <c r="B714" s="197" t="s">
        <v>2363</v>
      </c>
      <c r="C714" s="211" t="s">
        <v>2055</v>
      </c>
      <c r="D714" s="211" t="s">
        <v>2056</v>
      </c>
      <c r="E714" s="360">
        <v>294</v>
      </c>
      <c r="F714" s="360">
        <v>353</v>
      </c>
      <c r="G714" s="360">
        <v>367</v>
      </c>
      <c r="H714" s="344">
        <v>489.76666666666699</v>
      </c>
      <c r="I714" s="344">
        <v>489.76666666666699</v>
      </c>
      <c r="J714" s="360">
        <v>245</v>
      </c>
      <c r="K714" s="344">
        <v>489.76666666666699</v>
      </c>
      <c r="L714" s="360">
        <v>451</v>
      </c>
      <c r="M714" s="360">
        <v>441</v>
      </c>
      <c r="N714" s="344">
        <v>489.76666666666699</v>
      </c>
      <c r="O714" s="344">
        <v>489.76666666666699</v>
      </c>
      <c r="P714" s="344">
        <v>493.73333333333301</v>
      </c>
      <c r="Q714" s="344">
        <v>499.1</v>
      </c>
      <c r="R714" s="344">
        <v>474.83333333333297</v>
      </c>
      <c r="S714" s="344">
        <v>416.73333333333301</v>
      </c>
      <c r="T714" s="344">
        <v>387.1</v>
      </c>
      <c r="U714" s="344">
        <v>346.5</v>
      </c>
      <c r="V714" s="344">
        <v>303.33333333333297</v>
      </c>
      <c r="W714" s="344">
        <v>313.60000000000002</v>
      </c>
      <c r="X714" s="344">
        <v>307.3</v>
      </c>
      <c r="Y714" s="344">
        <v>295.63333333333298</v>
      </c>
      <c r="Z714" s="344">
        <v>264.83333333333297</v>
      </c>
      <c r="AA714" s="344">
        <v>226.8</v>
      </c>
      <c r="AB714" s="344">
        <v>217.46666666666701</v>
      </c>
      <c r="AC714" s="344">
        <v>217.46666666666701</v>
      </c>
      <c r="AD714" s="344">
        <f t="shared" si="64"/>
        <v>0</v>
      </c>
      <c r="AE714" s="346">
        <v>2</v>
      </c>
      <c r="AF714" s="346">
        <v>2</v>
      </c>
      <c r="AG714" s="346">
        <v>2</v>
      </c>
      <c r="AH714" s="346">
        <v>2</v>
      </c>
      <c r="AI714" s="346">
        <v>2</v>
      </c>
      <c r="AJ714" s="346">
        <v>2</v>
      </c>
      <c r="AK714" s="346">
        <v>2</v>
      </c>
      <c r="AL714" s="346">
        <v>2</v>
      </c>
      <c r="AM714" s="346">
        <v>2</v>
      </c>
      <c r="AN714" s="346">
        <v>2</v>
      </c>
      <c r="AO714" s="346">
        <v>2</v>
      </c>
      <c r="AP714" s="346">
        <v>1</v>
      </c>
      <c r="AQ714" s="357">
        <v>2</v>
      </c>
      <c r="AR714" s="357">
        <v>2</v>
      </c>
      <c r="AS714" s="357">
        <v>2</v>
      </c>
      <c r="AT714" s="357">
        <v>5</v>
      </c>
      <c r="AU714" s="357">
        <v>5</v>
      </c>
      <c r="AV714" s="357">
        <v>2</v>
      </c>
      <c r="AW714" s="357">
        <v>3</v>
      </c>
      <c r="AX714" s="357">
        <v>1</v>
      </c>
      <c r="AY714" s="357">
        <v>2</v>
      </c>
      <c r="AZ714" s="357">
        <v>3</v>
      </c>
      <c r="BA714" s="357">
        <v>6</v>
      </c>
      <c r="BB714" s="357">
        <v>4</v>
      </c>
      <c r="BC714" s="357">
        <v>4</v>
      </c>
    </row>
    <row r="715" spans="1:55" s="381" customFormat="1" ht="17.649999999999999" customHeight="1">
      <c r="A715" s="358"/>
      <c r="B715" s="197" t="s">
        <v>2364</v>
      </c>
      <c r="C715" s="211" t="s">
        <v>2055</v>
      </c>
      <c r="D715" s="211" t="s">
        <v>2056</v>
      </c>
      <c r="E715" s="360">
        <v>55</v>
      </c>
      <c r="F715" s="360">
        <v>66</v>
      </c>
      <c r="G715" s="360">
        <v>69</v>
      </c>
      <c r="H715" s="344">
        <v>91.466666666666697</v>
      </c>
      <c r="I715" s="344">
        <v>91.466666666666697</v>
      </c>
      <c r="J715" s="360">
        <v>46</v>
      </c>
      <c r="K715" s="344">
        <v>91.466666666666697</v>
      </c>
      <c r="L715" s="360">
        <v>84</v>
      </c>
      <c r="M715" s="360">
        <v>82</v>
      </c>
      <c r="N715" s="344">
        <v>91.466666666666697</v>
      </c>
      <c r="O715" s="344">
        <v>91.466666666666697</v>
      </c>
      <c r="P715" s="344">
        <v>97.766666666666694</v>
      </c>
      <c r="Q715" s="344">
        <v>117.133333333333</v>
      </c>
      <c r="R715" s="344">
        <v>124.833333333333</v>
      </c>
      <c r="S715" s="344">
        <v>132.066666666667</v>
      </c>
      <c r="T715" s="344">
        <v>134.166666666667</v>
      </c>
      <c r="U715" s="344">
        <v>137.433333333333</v>
      </c>
      <c r="V715" s="344">
        <v>135.80000000000001</v>
      </c>
      <c r="W715" s="344">
        <v>131.36666666666699</v>
      </c>
      <c r="X715" s="344">
        <v>125.533333333333</v>
      </c>
      <c r="Y715" s="344">
        <v>122.033333333333</v>
      </c>
      <c r="Z715" s="344">
        <v>126</v>
      </c>
      <c r="AA715" s="344">
        <v>120.4</v>
      </c>
      <c r="AB715" s="344">
        <v>122.966666666667</v>
      </c>
      <c r="AC715" s="344">
        <v>125.533333333333</v>
      </c>
      <c r="AD715" s="344">
        <f t="shared" si="64"/>
        <v>2.5666666666660092</v>
      </c>
      <c r="AE715" s="346">
        <v>16</v>
      </c>
      <c r="AF715" s="346">
        <v>16</v>
      </c>
      <c r="AG715" s="346">
        <v>16</v>
      </c>
      <c r="AH715" s="346">
        <v>16</v>
      </c>
      <c r="AI715" s="346">
        <v>16</v>
      </c>
      <c r="AJ715" s="346">
        <v>16</v>
      </c>
      <c r="AK715" s="346">
        <v>16</v>
      </c>
      <c r="AL715" s="346">
        <v>16</v>
      </c>
      <c r="AM715" s="346">
        <v>16</v>
      </c>
      <c r="AN715" s="346">
        <v>16</v>
      </c>
      <c r="AO715" s="346">
        <v>16</v>
      </c>
      <c r="AP715" s="346">
        <v>10</v>
      </c>
      <c r="AQ715" s="357">
        <v>1</v>
      </c>
      <c r="AR715" s="357">
        <v>9</v>
      </c>
      <c r="AS715" s="357">
        <v>1</v>
      </c>
      <c r="AT715" s="357">
        <v>12</v>
      </c>
      <c r="AU715" s="357">
        <v>8</v>
      </c>
      <c r="AV715" s="357">
        <v>10</v>
      </c>
      <c r="AW715" s="357">
        <v>12</v>
      </c>
      <c r="AX715" s="357">
        <v>12</v>
      </c>
      <c r="AY715" s="357">
        <v>11</v>
      </c>
      <c r="AZ715" s="357">
        <v>10</v>
      </c>
      <c r="BA715" s="357">
        <v>2</v>
      </c>
      <c r="BB715" s="357">
        <v>3</v>
      </c>
      <c r="BC715" s="357">
        <v>3</v>
      </c>
    </row>
    <row r="716" spans="1:55" s="381" customFormat="1" ht="17.649999999999999" customHeight="1">
      <c r="A716" s="358"/>
      <c r="B716" s="197" t="s">
        <v>2365</v>
      </c>
      <c r="C716" s="211" t="s">
        <v>2055</v>
      </c>
      <c r="D716" s="211" t="s">
        <v>2056</v>
      </c>
      <c r="E716" s="360">
        <v>27</v>
      </c>
      <c r="F716" s="360">
        <v>32</v>
      </c>
      <c r="G716" s="360">
        <v>34</v>
      </c>
      <c r="H716" s="344">
        <v>44.8</v>
      </c>
      <c r="I716" s="344">
        <v>44.8</v>
      </c>
      <c r="J716" s="360">
        <v>22</v>
      </c>
      <c r="K716" s="344">
        <v>44.8</v>
      </c>
      <c r="L716" s="360">
        <v>41</v>
      </c>
      <c r="M716" s="360">
        <v>40</v>
      </c>
      <c r="N716" s="344">
        <v>44.8</v>
      </c>
      <c r="O716" s="344">
        <v>44.8</v>
      </c>
      <c r="P716" s="344">
        <v>45.966666666666697</v>
      </c>
      <c r="Q716" s="344">
        <v>48.533333333333303</v>
      </c>
      <c r="R716" s="344">
        <v>50.1666666666667</v>
      </c>
      <c r="S716" s="344">
        <v>50.866666666666703</v>
      </c>
      <c r="T716" s="344">
        <v>52.5</v>
      </c>
      <c r="U716" s="344">
        <v>49.7</v>
      </c>
      <c r="V716" s="344">
        <v>52.5</v>
      </c>
      <c r="W716" s="344">
        <v>45.033333333333303</v>
      </c>
      <c r="X716" s="344">
        <v>45.033333333333303</v>
      </c>
      <c r="Y716" s="344">
        <v>39.6666666666667</v>
      </c>
      <c r="Z716" s="344">
        <v>39.6666666666667</v>
      </c>
      <c r="AA716" s="344">
        <v>38.033333333333303</v>
      </c>
      <c r="AB716" s="344">
        <v>32.9</v>
      </c>
      <c r="AC716" s="344">
        <v>29.866666666666699</v>
      </c>
      <c r="AD716" s="344">
        <f t="shared" si="64"/>
        <v>-3.0333333333332995</v>
      </c>
      <c r="AE716" s="346">
        <v>8</v>
      </c>
      <c r="AF716" s="346">
        <v>8</v>
      </c>
      <c r="AG716" s="346">
        <v>8</v>
      </c>
      <c r="AH716" s="346">
        <v>8</v>
      </c>
      <c r="AI716" s="346">
        <v>8</v>
      </c>
      <c r="AJ716" s="346">
        <v>8</v>
      </c>
      <c r="AK716" s="346">
        <v>8</v>
      </c>
      <c r="AL716" s="346">
        <v>8</v>
      </c>
      <c r="AM716" s="346">
        <v>8</v>
      </c>
      <c r="AN716" s="346">
        <v>8</v>
      </c>
      <c r="AO716" s="346">
        <v>8</v>
      </c>
      <c r="AP716" s="346">
        <v>4</v>
      </c>
      <c r="AQ716" s="357">
        <v>13</v>
      </c>
      <c r="AR716" s="357">
        <v>10</v>
      </c>
      <c r="AS716" s="357">
        <v>10</v>
      </c>
      <c r="AT716" s="357">
        <v>3</v>
      </c>
      <c r="AU716" s="357">
        <v>4</v>
      </c>
      <c r="AV716" s="357">
        <v>3</v>
      </c>
      <c r="AW716" s="357">
        <v>4</v>
      </c>
      <c r="AX716" s="357">
        <v>6</v>
      </c>
      <c r="AY716" s="357">
        <v>6</v>
      </c>
      <c r="AZ716" s="357">
        <v>5</v>
      </c>
      <c r="BA716" s="357">
        <v>6</v>
      </c>
      <c r="BB716" s="357">
        <v>5</v>
      </c>
      <c r="BC716" s="357">
        <v>7</v>
      </c>
    </row>
    <row r="717" spans="1:55" s="381" customFormat="1" ht="17.649999999999999" customHeight="1">
      <c r="A717" s="358"/>
      <c r="B717" s="197" t="s">
        <v>2366</v>
      </c>
      <c r="C717" s="211" t="s">
        <v>2055</v>
      </c>
      <c r="D717" s="211" t="s">
        <v>2056</v>
      </c>
      <c r="E717" s="360">
        <v>24</v>
      </c>
      <c r="F717" s="360">
        <v>29</v>
      </c>
      <c r="G717" s="360">
        <v>30</v>
      </c>
      <c r="H717" s="344">
        <v>39.9</v>
      </c>
      <c r="I717" s="344">
        <v>39.9</v>
      </c>
      <c r="J717" s="360">
        <v>20</v>
      </c>
      <c r="K717" s="344">
        <v>39.9</v>
      </c>
      <c r="L717" s="360">
        <v>37</v>
      </c>
      <c r="M717" s="360">
        <v>36</v>
      </c>
      <c r="N717" s="344">
        <v>39.9</v>
      </c>
      <c r="O717" s="344">
        <v>39.9</v>
      </c>
      <c r="P717" s="344">
        <v>41.766666666666701</v>
      </c>
      <c r="Q717" s="344">
        <v>48.3</v>
      </c>
      <c r="R717" s="344">
        <v>52.266666666666701</v>
      </c>
      <c r="S717" s="344">
        <v>50.1666666666667</v>
      </c>
      <c r="T717" s="344">
        <v>52.266666666666701</v>
      </c>
      <c r="U717" s="344">
        <v>55.3</v>
      </c>
      <c r="V717" s="344">
        <v>52.5</v>
      </c>
      <c r="W717" s="344">
        <v>45.266666666666701</v>
      </c>
      <c r="X717" s="344">
        <v>43.633333333333297</v>
      </c>
      <c r="Y717" s="344">
        <v>38.733333333333299</v>
      </c>
      <c r="Z717" s="344">
        <v>34.766666666666701</v>
      </c>
      <c r="AA717" s="344">
        <v>35.466666666666697</v>
      </c>
      <c r="AB717" s="344">
        <v>35.466666666666697</v>
      </c>
      <c r="AC717" s="344">
        <v>37.3333333333333</v>
      </c>
      <c r="AD717" s="344">
        <f t="shared" si="64"/>
        <v>1.8666666666666032</v>
      </c>
      <c r="AE717" s="346">
        <v>1</v>
      </c>
      <c r="AF717" s="346">
        <v>1</v>
      </c>
      <c r="AG717" s="346">
        <v>1</v>
      </c>
      <c r="AH717" s="346">
        <v>1</v>
      </c>
      <c r="AI717" s="346">
        <v>1</v>
      </c>
      <c r="AJ717" s="346">
        <v>1</v>
      </c>
      <c r="AK717" s="346">
        <v>1</v>
      </c>
      <c r="AL717" s="346">
        <v>1</v>
      </c>
      <c r="AM717" s="346">
        <v>1</v>
      </c>
      <c r="AN717" s="346">
        <v>1</v>
      </c>
      <c r="AO717" s="346">
        <v>1</v>
      </c>
      <c r="AP717" s="346">
        <v>1</v>
      </c>
      <c r="AQ717" s="357">
        <v>1</v>
      </c>
      <c r="AR717" s="357">
        <v>1</v>
      </c>
      <c r="AS717" s="357">
        <v>1</v>
      </c>
      <c r="AT717" s="357">
        <v>1</v>
      </c>
      <c r="AU717" s="357">
        <v>1</v>
      </c>
      <c r="AV717" s="357">
        <v>1</v>
      </c>
      <c r="AW717" s="357">
        <v>1</v>
      </c>
      <c r="AX717" s="357">
        <v>1</v>
      </c>
      <c r="AY717" s="357">
        <v>11</v>
      </c>
      <c r="AZ717" s="357">
        <v>2</v>
      </c>
      <c r="BA717" s="357">
        <v>1</v>
      </c>
      <c r="BB717" s="357">
        <v>1</v>
      </c>
      <c r="BC717" s="357">
        <v>1</v>
      </c>
    </row>
    <row r="718" spans="1:55" s="381" customFormat="1" ht="17.649999999999999" customHeight="1">
      <c r="A718" s="358"/>
      <c r="B718" s="197" t="s">
        <v>2367</v>
      </c>
      <c r="C718" s="211" t="s">
        <v>2055</v>
      </c>
      <c r="D718" s="211" t="s">
        <v>2056</v>
      </c>
      <c r="E718" s="360">
        <v>7</v>
      </c>
      <c r="F718" s="360">
        <v>8</v>
      </c>
      <c r="G718" s="360">
        <v>9</v>
      </c>
      <c r="H718" s="344">
        <v>11.6666666666667</v>
      </c>
      <c r="I718" s="344">
        <v>11.6666666666667</v>
      </c>
      <c r="J718" s="360">
        <v>6</v>
      </c>
      <c r="K718" s="344">
        <v>11.6666666666667</v>
      </c>
      <c r="L718" s="360">
        <v>11</v>
      </c>
      <c r="M718" s="360">
        <v>11</v>
      </c>
      <c r="N718" s="344">
        <v>11.6666666666667</v>
      </c>
      <c r="O718" s="344">
        <v>11.6666666666667</v>
      </c>
      <c r="P718" s="344">
        <v>13.3</v>
      </c>
      <c r="Q718" s="344">
        <v>13.3</v>
      </c>
      <c r="R718" s="344">
        <v>12.366666666666699</v>
      </c>
      <c r="S718" s="344">
        <v>12.366666666666699</v>
      </c>
      <c r="T718" s="344">
        <v>9.8000000000000007</v>
      </c>
      <c r="U718" s="344">
        <v>11.9</v>
      </c>
      <c r="V718" s="344">
        <v>12.133333333333301</v>
      </c>
      <c r="W718" s="344">
        <v>17.266666666666701</v>
      </c>
      <c r="X718" s="344">
        <v>17.733333333333299</v>
      </c>
      <c r="Y718" s="344">
        <v>17.266666666666701</v>
      </c>
      <c r="Z718" s="344">
        <v>17.5</v>
      </c>
      <c r="AA718" s="344">
        <v>12.366666666666699</v>
      </c>
      <c r="AB718" s="344">
        <v>10.033333333333299</v>
      </c>
      <c r="AC718" s="344">
        <v>10.266666666666699</v>
      </c>
      <c r="AD718" s="344">
        <f t="shared" si="64"/>
        <v>0.23333333333340001</v>
      </c>
      <c r="AE718" s="346">
        <v>9</v>
      </c>
      <c r="AF718" s="346">
        <v>9</v>
      </c>
      <c r="AG718" s="346">
        <v>9</v>
      </c>
      <c r="AH718" s="346">
        <v>9</v>
      </c>
      <c r="AI718" s="346">
        <v>9</v>
      </c>
      <c r="AJ718" s="346">
        <v>9</v>
      </c>
      <c r="AK718" s="346">
        <v>9</v>
      </c>
      <c r="AL718" s="346">
        <v>9</v>
      </c>
      <c r="AM718" s="346">
        <v>9</v>
      </c>
      <c r="AN718" s="346">
        <v>9</v>
      </c>
      <c r="AO718" s="346">
        <v>9</v>
      </c>
      <c r="AP718" s="346">
        <v>1</v>
      </c>
      <c r="AQ718" s="357">
        <v>1</v>
      </c>
      <c r="AR718" s="357">
        <v>2</v>
      </c>
      <c r="AS718" s="357">
        <v>2</v>
      </c>
      <c r="AT718" s="357">
        <v>2</v>
      </c>
      <c r="AU718" s="357">
        <v>2</v>
      </c>
      <c r="AV718" s="357">
        <v>2</v>
      </c>
      <c r="AW718" s="357">
        <v>1</v>
      </c>
      <c r="AX718" s="357">
        <v>10</v>
      </c>
      <c r="AY718" s="357">
        <v>3</v>
      </c>
      <c r="AZ718" s="357">
        <v>2</v>
      </c>
      <c r="BA718" s="357">
        <v>3</v>
      </c>
      <c r="BB718" s="357">
        <v>1</v>
      </c>
      <c r="BC718" s="357">
        <v>7</v>
      </c>
    </row>
    <row r="719" spans="1:55" s="381" customFormat="1" ht="17.649999999999999" customHeight="1">
      <c r="A719" s="358"/>
      <c r="B719" s="197" t="s">
        <v>2368</v>
      </c>
      <c r="C719" s="211" t="s">
        <v>2055</v>
      </c>
      <c r="D719" s="211" t="s">
        <v>2056</v>
      </c>
      <c r="E719" s="360">
        <v>2</v>
      </c>
      <c r="F719" s="360">
        <v>2</v>
      </c>
      <c r="G719" s="360">
        <v>2</v>
      </c>
      <c r="H719" s="344">
        <v>2.56666666666667</v>
      </c>
      <c r="I719" s="344">
        <v>2.56666666666667</v>
      </c>
      <c r="J719" s="360">
        <v>1</v>
      </c>
      <c r="K719" s="344">
        <v>2.56666666666667</v>
      </c>
      <c r="L719" s="360">
        <v>2</v>
      </c>
      <c r="M719" s="360">
        <v>2</v>
      </c>
      <c r="N719" s="344">
        <v>2.56666666666667</v>
      </c>
      <c r="O719" s="344">
        <v>2.56666666666667</v>
      </c>
      <c r="P719" s="344">
        <v>3.0333333333333301</v>
      </c>
      <c r="Q719" s="344">
        <v>3.2666666666666702</v>
      </c>
      <c r="R719" s="344">
        <v>2.3333333333333299</v>
      </c>
      <c r="S719" s="344">
        <v>2.56666666666667</v>
      </c>
      <c r="T719" s="344">
        <v>2.1</v>
      </c>
      <c r="U719" s="344">
        <v>2.3333333333333299</v>
      </c>
      <c r="V719" s="344">
        <v>3.0333333333333301</v>
      </c>
      <c r="W719" s="344">
        <v>3.5</v>
      </c>
      <c r="X719" s="344">
        <v>4.43333333333333</v>
      </c>
      <c r="Y719" s="344">
        <v>4.6666666666666696</v>
      </c>
      <c r="Z719" s="344">
        <v>5.3666666666666698</v>
      </c>
      <c r="AA719" s="344">
        <v>5.3666666666666698</v>
      </c>
      <c r="AB719" s="344">
        <v>5.8333333333333304</v>
      </c>
      <c r="AC719" s="344">
        <v>7</v>
      </c>
      <c r="AD719" s="344">
        <f t="shared" si="64"/>
        <v>1.1666666666666696</v>
      </c>
      <c r="AE719" s="346">
        <v>1</v>
      </c>
      <c r="AF719" s="346">
        <v>1</v>
      </c>
      <c r="AG719" s="346">
        <v>1</v>
      </c>
      <c r="AH719" s="346">
        <v>1</v>
      </c>
      <c r="AI719" s="346">
        <v>1</v>
      </c>
      <c r="AJ719" s="346">
        <v>1</v>
      </c>
      <c r="AK719" s="346">
        <v>1</v>
      </c>
      <c r="AL719" s="346">
        <v>1</v>
      </c>
      <c r="AM719" s="346">
        <v>1</v>
      </c>
      <c r="AN719" s="346">
        <v>1</v>
      </c>
      <c r="AO719" s="346">
        <v>1</v>
      </c>
      <c r="AP719" s="346">
        <v>1</v>
      </c>
      <c r="AQ719" s="357">
        <v>1</v>
      </c>
      <c r="AR719" s="357">
        <v>13</v>
      </c>
      <c r="AS719" s="357">
        <v>3</v>
      </c>
      <c r="AT719" s="357">
        <v>1</v>
      </c>
      <c r="AU719" s="357">
        <v>3</v>
      </c>
      <c r="AV719" s="357">
        <v>1</v>
      </c>
      <c r="AW719" s="357">
        <v>3</v>
      </c>
      <c r="AX719" s="357">
        <v>1</v>
      </c>
      <c r="AY719" s="357">
        <v>1</v>
      </c>
      <c r="AZ719" s="357">
        <v>1</v>
      </c>
      <c r="BA719" s="357">
        <v>1</v>
      </c>
      <c r="BB719" s="357">
        <v>1</v>
      </c>
      <c r="BC719" s="357">
        <v>1</v>
      </c>
    </row>
    <row r="720" spans="1:55" s="381" customFormat="1" ht="17.649999999999999" customHeight="1">
      <c r="A720" s="358"/>
      <c r="B720" s="197" t="s">
        <v>2369</v>
      </c>
      <c r="C720" s="211" t="s">
        <v>2055</v>
      </c>
      <c r="D720" s="211" t="s">
        <v>2056</v>
      </c>
      <c r="E720" s="360">
        <v>3</v>
      </c>
      <c r="F720" s="360">
        <v>4</v>
      </c>
      <c r="G720" s="360">
        <v>4</v>
      </c>
      <c r="H720" s="344">
        <v>5.3666666666666698</v>
      </c>
      <c r="I720" s="344">
        <v>5.3666666666666698</v>
      </c>
      <c r="J720" s="360">
        <v>3</v>
      </c>
      <c r="K720" s="344">
        <v>5.3666666666666698</v>
      </c>
      <c r="L720" s="360">
        <v>5</v>
      </c>
      <c r="M720" s="360">
        <v>5</v>
      </c>
      <c r="N720" s="344">
        <v>5.3666666666666698</v>
      </c>
      <c r="O720" s="344">
        <v>5.3666666666666698</v>
      </c>
      <c r="P720" s="344">
        <v>4.2</v>
      </c>
      <c r="Q720" s="344">
        <v>6.5333333333333297</v>
      </c>
      <c r="R720" s="344">
        <v>9.56666666666667</v>
      </c>
      <c r="S720" s="344">
        <v>10.266666666666699</v>
      </c>
      <c r="T720" s="344">
        <v>9.8000000000000007</v>
      </c>
      <c r="U720" s="344">
        <v>9.1</v>
      </c>
      <c r="V720" s="344">
        <v>5.3666666666666698</v>
      </c>
      <c r="W720" s="344">
        <v>2.56666666666667</v>
      </c>
      <c r="X720" s="344">
        <v>5.6</v>
      </c>
      <c r="Y720" s="344">
        <v>6.3</v>
      </c>
      <c r="Z720" s="344">
        <v>5.6</v>
      </c>
      <c r="AA720" s="344">
        <v>5.6</v>
      </c>
      <c r="AB720" s="344">
        <v>4.43333333333333</v>
      </c>
      <c r="AC720" s="344">
        <v>2.3333333333333299</v>
      </c>
      <c r="AD720" s="344">
        <f t="shared" si="64"/>
        <v>-2.1</v>
      </c>
      <c r="AE720" s="346">
        <v>9</v>
      </c>
      <c r="AF720" s="346">
        <v>9</v>
      </c>
      <c r="AG720" s="346">
        <v>9</v>
      </c>
      <c r="AH720" s="346">
        <v>9</v>
      </c>
      <c r="AI720" s="346">
        <v>9</v>
      </c>
      <c r="AJ720" s="346">
        <v>9</v>
      </c>
      <c r="AK720" s="346">
        <v>9</v>
      </c>
      <c r="AL720" s="346">
        <v>9</v>
      </c>
      <c r="AM720" s="346">
        <v>9</v>
      </c>
      <c r="AN720" s="346">
        <v>9</v>
      </c>
      <c r="AO720" s="346">
        <v>9</v>
      </c>
      <c r="AP720" s="346">
        <v>3</v>
      </c>
      <c r="AQ720" s="357">
        <v>9</v>
      </c>
      <c r="AR720" s="357">
        <v>9</v>
      </c>
      <c r="AS720" s="357">
        <v>3</v>
      </c>
      <c r="AT720" s="357">
        <v>6</v>
      </c>
      <c r="AU720" s="357">
        <v>6</v>
      </c>
      <c r="AV720" s="357">
        <v>2</v>
      </c>
      <c r="AW720" s="357">
        <v>3</v>
      </c>
      <c r="AX720" s="357">
        <v>6</v>
      </c>
      <c r="AY720" s="357">
        <v>3</v>
      </c>
      <c r="AZ720" s="357">
        <v>3</v>
      </c>
      <c r="BA720" s="357">
        <v>4</v>
      </c>
      <c r="BB720" s="357">
        <v>3</v>
      </c>
      <c r="BC720" s="357">
        <v>4</v>
      </c>
    </row>
    <row r="721" spans="1:55" s="381" customFormat="1" ht="17.649999999999999" customHeight="1">
      <c r="A721" s="358"/>
      <c r="B721" s="197" t="s">
        <v>2370</v>
      </c>
      <c r="C721" s="211" t="s">
        <v>2055</v>
      </c>
      <c r="D721" s="211" t="s">
        <v>2056</v>
      </c>
      <c r="E721" s="360">
        <v>2</v>
      </c>
      <c r="F721" s="360">
        <v>2</v>
      </c>
      <c r="G721" s="360">
        <v>2</v>
      </c>
      <c r="H721" s="344">
        <v>3.0333333333333301</v>
      </c>
      <c r="I721" s="344">
        <v>3.0333333333333301</v>
      </c>
      <c r="J721" s="360">
        <v>2</v>
      </c>
      <c r="K721" s="344">
        <v>3.0333333333333301</v>
      </c>
      <c r="L721" s="360">
        <v>3</v>
      </c>
      <c r="M721" s="360">
        <v>3</v>
      </c>
      <c r="N721" s="344">
        <v>3.0333333333333301</v>
      </c>
      <c r="O721" s="344">
        <v>3.0333333333333301</v>
      </c>
      <c r="P721" s="344">
        <v>1.86666666666667</v>
      </c>
      <c r="Q721" s="344">
        <v>2.1</v>
      </c>
      <c r="R721" s="344">
        <v>2.3333333333333299</v>
      </c>
      <c r="S721" s="344">
        <v>3.9666666666666699</v>
      </c>
      <c r="T721" s="344">
        <v>4.2</v>
      </c>
      <c r="U721" s="344">
        <v>6.5333333333333297</v>
      </c>
      <c r="V721" s="344">
        <v>6.3</v>
      </c>
      <c r="W721" s="344">
        <v>7</v>
      </c>
      <c r="X721" s="344">
        <v>7.4666666666666703</v>
      </c>
      <c r="Y721" s="344">
        <v>7</v>
      </c>
      <c r="Z721" s="344">
        <v>4.43333333333333</v>
      </c>
      <c r="AA721" s="344">
        <v>3.0333333333333301</v>
      </c>
      <c r="AB721" s="344">
        <v>3.0333333333333301</v>
      </c>
      <c r="AC721" s="344">
        <v>2.3333333333333299</v>
      </c>
      <c r="AD721" s="344">
        <f t="shared" si="64"/>
        <v>-0.70000000000000018</v>
      </c>
      <c r="AE721" s="346">
        <v>9</v>
      </c>
      <c r="AF721" s="346">
        <v>9</v>
      </c>
      <c r="AG721" s="346">
        <v>9</v>
      </c>
      <c r="AH721" s="346">
        <v>9</v>
      </c>
      <c r="AI721" s="346">
        <v>9</v>
      </c>
      <c r="AJ721" s="346">
        <v>9</v>
      </c>
      <c r="AK721" s="346">
        <v>9</v>
      </c>
      <c r="AL721" s="346">
        <v>9</v>
      </c>
      <c r="AM721" s="346">
        <v>9</v>
      </c>
      <c r="AN721" s="346">
        <v>9</v>
      </c>
      <c r="AO721" s="346">
        <v>9</v>
      </c>
      <c r="AP721" s="346">
        <v>9</v>
      </c>
      <c r="AQ721" s="357">
        <v>1</v>
      </c>
      <c r="AR721" s="357">
        <v>15</v>
      </c>
      <c r="AS721" s="357">
        <v>7</v>
      </c>
      <c r="AT721" s="357">
        <v>11</v>
      </c>
      <c r="AU721" s="357">
        <v>19</v>
      </c>
      <c r="AV721" s="357">
        <v>9</v>
      </c>
      <c r="AW721" s="357">
        <v>14</v>
      </c>
      <c r="AX721" s="357">
        <v>1</v>
      </c>
      <c r="AY721" s="357">
        <v>10</v>
      </c>
      <c r="AZ721" s="357">
        <v>8</v>
      </c>
      <c r="BA721" s="357">
        <v>7</v>
      </c>
      <c r="BB721" s="357">
        <v>9</v>
      </c>
      <c r="BC721" s="357">
        <v>5</v>
      </c>
    </row>
    <row r="722" spans="1:55" s="381" customFormat="1" ht="17.649999999999999" customHeight="1">
      <c r="A722" s="358"/>
      <c r="B722" s="197" t="s">
        <v>2371</v>
      </c>
      <c r="C722" s="211" t="s">
        <v>2055</v>
      </c>
      <c r="D722" s="211" t="s">
        <v>2056</v>
      </c>
      <c r="E722" s="360">
        <v>4</v>
      </c>
      <c r="F722" s="360">
        <v>5</v>
      </c>
      <c r="G722" s="360">
        <v>5</v>
      </c>
      <c r="H722" s="344">
        <v>6.3</v>
      </c>
      <c r="I722" s="344">
        <v>6.3</v>
      </c>
      <c r="J722" s="360">
        <v>3</v>
      </c>
      <c r="K722" s="344">
        <v>6.3</v>
      </c>
      <c r="L722" s="360">
        <v>6</v>
      </c>
      <c r="M722" s="360">
        <v>6</v>
      </c>
      <c r="N722" s="344">
        <v>6.3</v>
      </c>
      <c r="O722" s="344">
        <v>6.3</v>
      </c>
      <c r="P722" s="344">
        <v>7</v>
      </c>
      <c r="Q722" s="344">
        <v>6.5333333333333297</v>
      </c>
      <c r="R722" s="344">
        <v>5.6</v>
      </c>
      <c r="S722" s="344">
        <v>5.8333333333333304</v>
      </c>
      <c r="T722" s="344">
        <v>4.2</v>
      </c>
      <c r="U722" s="344">
        <v>4.43333333333333</v>
      </c>
      <c r="V722" s="344">
        <v>5.3666666666666698</v>
      </c>
      <c r="W722" s="344">
        <v>5.8333333333333304</v>
      </c>
      <c r="X722" s="344">
        <v>7.7</v>
      </c>
      <c r="Y722" s="344">
        <v>7.4666666666666703</v>
      </c>
      <c r="Z722" s="344">
        <v>7.93333333333333</v>
      </c>
      <c r="AA722" s="344">
        <v>7.7</v>
      </c>
      <c r="AB722" s="344">
        <v>5.3666666666666698</v>
      </c>
      <c r="AC722" s="344">
        <v>5.1333333333333302</v>
      </c>
      <c r="AD722" s="344">
        <f t="shared" si="64"/>
        <v>-0.23333333333333961</v>
      </c>
      <c r="AE722" s="346">
        <v>1</v>
      </c>
      <c r="AF722" s="346">
        <v>1</v>
      </c>
      <c r="AG722" s="346">
        <v>1</v>
      </c>
      <c r="AH722" s="346">
        <v>1</v>
      </c>
      <c r="AI722" s="346">
        <v>1</v>
      </c>
      <c r="AJ722" s="346">
        <v>1</v>
      </c>
      <c r="AK722" s="346">
        <v>1</v>
      </c>
      <c r="AL722" s="346">
        <v>1</v>
      </c>
      <c r="AM722" s="346">
        <v>1</v>
      </c>
      <c r="AN722" s="346">
        <v>1</v>
      </c>
      <c r="AO722" s="346">
        <v>1</v>
      </c>
      <c r="AP722" s="346">
        <v>2</v>
      </c>
      <c r="AQ722" s="357">
        <v>2</v>
      </c>
      <c r="AR722" s="357">
        <v>2</v>
      </c>
      <c r="AS722" s="357">
        <v>2</v>
      </c>
      <c r="AT722" s="357">
        <v>2</v>
      </c>
      <c r="AU722" s="357">
        <v>2</v>
      </c>
      <c r="AV722" s="357">
        <v>2</v>
      </c>
      <c r="AW722" s="357">
        <v>1</v>
      </c>
      <c r="AX722" s="357">
        <v>2</v>
      </c>
      <c r="AY722" s="357">
        <v>2</v>
      </c>
      <c r="AZ722" s="357">
        <v>1</v>
      </c>
      <c r="BA722" s="357">
        <v>1</v>
      </c>
      <c r="BB722" s="357">
        <v>2</v>
      </c>
      <c r="BC722" s="357">
        <v>2</v>
      </c>
    </row>
    <row r="723" spans="1:55" s="381" customFormat="1" ht="17.649999999999999" customHeight="1">
      <c r="A723" s="358"/>
      <c r="B723" s="197" t="s">
        <v>2372</v>
      </c>
      <c r="C723" s="211" t="s">
        <v>2055</v>
      </c>
      <c r="D723" s="211" t="s">
        <v>2056</v>
      </c>
      <c r="E723" s="360">
        <v>3</v>
      </c>
      <c r="F723" s="360">
        <v>4</v>
      </c>
      <c r="G723" s="360">
        <v>4</v>
      </c>
      <c r="H723" s="344">
        <v>5.3666666666666698</v>
      </c>
      <c r="I723" s="344">
        <v>5.3666666666666698</v>
      </c>
      <c r="J723" s="360">
        <v>3</v>
      </c>
      <c r="K723" s="344">
        <v>5.3666666666666698</v>
      </c>
      <c r="L723" s="360">
        <v>5</v>
      </c>
      <c r="M723" s="360">
        <v>5</v>
      </c>
      <c r="N723" s="344">
        <v>5.3666666666666698</v>
      </c>
      <c r="O723" s="344">
        <v>5.3666666666666698</v>
      </c>
      <c r="P723" s="344">
        <v>5.1333333333333302</v>
      </c>
      <c r="Q723" s="344">
        <v>5.3666666666666698</v>
      </c>
      <c r="R723" s="344">
        <v>5.8333333333333304</v>
      </c>
      <c r="S723" s="344">
        <v>5.1333333333333302</v>
      </c>
      <c r="T723" s="344">
        <v>4.6666666666666696</v>
      </c>
      <c r="U723" s="344">
        <v>6.7666666666666702</v>
      </c>
      <c r="V723" s="344">
        <v>7</v>
      </c>
      <c r="W723" s="344">
        <v>5.6</v>
      </c>
      <c r="X723" s="344">
        <v>5.8333333333333304</v>
      </c>
      <c r="Y723" s="344">
        <v>3.5</v>
      </c>
      <c r="Z723" s="344">
        <v>4.2</v>
      </c>
      <c r="AA723" s="344">
        <v>5.8333333333333304</v>
      </c>
      <c r="AB723" s="344">
        <v>5.3666666666666698</v>
      </c>
      <c r="AC723" s="344">
        <v>5.1333333333333302</v>
      </c>
      <c r="AD723" s="344">
        <f t="shared" si="64"/>
        <v>-0.23333333333333961</v>
      </c>
      <c r="AE723" s="346">
        <v>9</v>
      </c>
      <c r="AF723" s="346">
        <v>9</v>
      </c>
      <c r="AG723" s="346">
        <v>9</v>
      </c>
      <c r="AH723" s="346">
        <v>9</v>
      </c>
      <c r="AI723" s="346">
        <v>9</v>
      </c>
      <c r="AJ723" s="346">
        <v>9</v>
      </c>
      <c r="AK723" s="346">
        <v>9</v>
      </c>
      <c r="AL723" s="346">
        <v>9</v>
      </c>
      <c r="AM723" s="346">
        <v>9</v>
      </c>
      <c r="AN723" s="346">
        <v>9</v>
      </c>
      <c r="AO723" s="346">
        <v>9</v>
      </c>
      <c r="AP723" s="346">
        <v>9</v>
      </c>
      <c r="AQ723" s="357">
        <v>2</v>
      </c>
      <c r="AR723" s="357">
        <v>1</v>
      </c>
      <c r="AS723" s="357">
        <v>1</v>
      </c>
      <c r="AT723" s="357">
        <v>2</v>
      </c>
      <c r="AU723" s="357">
        <v>9</v>
      </c>
      <c r="AV723" s="357">
        <v>2</v>
      </c>
      <c r="AW723" s="357">
        <v>5</v>
      </c>
      <c r="AX723" s="357">
        <v>2</v>
      </c>
      <c r="AY723" s="357">
        <v>1</v>
      </c>
      <c r="AZ723" s="357">
        <v>1</v>
      </c>
      <c r="BA723" s="357">
        <v>2</v>
      </c>
      <c r="BB723" s="357">
        <v>4</v>
      </c>
      <c r="BC723" s="357">
        <v>1</v>
      </c>
    </row>
    <row r="724" spans="1:55" s="381" customFormat="1" ht="17.649999999999999" customHeight="1">
      <c r="A724" s="358"/>
      <c r="B724" s="197" t="s">
        <v>2373</v>
      </c>
      <c r="C724" s="211" t="s">
        <v>2055</v>
      </c>
      <c r="D724" s="211" t="s">
        <v>2056</v>
      </c>
      <c r="E724" s="360">
        <v>3</v>
      </c>
      <c r="F724" s="360">
        <v>4</v>
      </c>
      <c r="G724" s="360">
        <v>4</v>
      </c>
      <c r="H724" s="344">
        <v>5.3666666666666698</v>
      </c>
      <c r="I724" s="344">
        <v>5.3666666666666698</v>
      </c>
      <c r="J724" s="360">
        <v>3</v>
      </c>
      <c r="K724" s="344">
        <v>5.3666666666666698</v>
      </c>
      <c r="L724" s="360">
        <v>5</v>
      </c>
      <c r="M724" s="360">
        <v>5</v>
      </c>
      <c r="N724" s="344">
        <v>5.3666666666666698</v>
      </c>
      <c r="O724" s="344">
        <v>5.3666666666666698</v>
      </c>
      <c r="P724" s="344">
        <v>5.1333333333333302</v>
      </c>
      <c r="Q724" s="344">
        <v>4.2</v>
      </c>
      <c r="R724" s="344">
        <v>5.3666666666666698</v>
      </c>
      <c r="S724" s="344">
        <v>3.5</v>
      </c>
      <c r="T724" s="344">
        <v>4.43333333333333</v>
      </c>
      <c r="U724" s="344">
        <v>5.3666666666666698</v>
      </c>
      <c r="V724" s="344">
        <v>4.6666666666666696</v>
      </c>
      <c r="W724" s="344">
        <v>5.8333333333333304</v>
      </c>
      <c r="X724" s="344">
        <v>6.3</v>
      </c>
      <c r="Y724" s="344">
        <v>5.8333333333333304</v>
      </c>
      <c r="Z724" s="344">
        <v>4.6666666666666696</v>
      </c>
      <c r="AA724" s="344">
        <v>3.5</v>
      </c>
      <c r="AB724" s="344">
        <v>2.56666666666667</v>
      </c>
      <c r="AC724" s="344">
        <v>2.1</v>
      </c>
      <c r="AD724" s="344">
        <f t="shared" si="64"/>
        <v>-0.46666666666666989</v>
      </c>
      <c r="AE724" s="346">
        <v>1</v>
      </c>
      <c r="AF724" s="346">
        <v>1</v>
      </c>
      <c r="AG724" s="346">
        <v>1</v>
      </c>
      <c r="AH724" s="346">
        <v>1</v>
      </c>
      <c r="AI724" s="346">
        <v>1</v>
      </c>
      <c r="AJ724" s="346">
        <v>1</v>
      </c>
      <c r="AK724" s="346">
        <v>1</v>
      </c>
      <c r="AL724" s="346">
        <v>1</v>
      </c>
      <c r="AM724" s="346">
        <v>1</v>
      </c>
      <c r="AN724" s="346">
        <v>1</v>
      </c>
      <c r="AO724" s="346">
        <v>1</v>
      </c>
      <c r="AP724" s="357">
        <v>11</v>
      </c>
      <c r="AQ724" s="357">
        <v>1</v>
      </c>
      <c r="AR724" s="357">
        <v>1</v>
      </c>
      <c r="AS724" s="357">
        <v>1</v>
      </c>
      <c r="AT724" s="357">
        <v>1</v>
      </c>
      <c r="AU724" s="357">
        <v>1</v>
      </c>
      <c r="AV724" s="357">
        <v>9</v>
      </c>
      <c r="AW724" s="357">
        <v>1</v>
      </c>
      <c r="AX724" s="357">
        <v>1</v>
      </c>
      <c r="AY724" s="357">
        <v>1</v>
      </c>
      <c r="AZ724" s="357">
        <v>1</v>
      </c>
      <c r="BA724" s="357">
        <v>1</v>
      </c>
      <c r="BB724" s="357">
        <v>1</v>
      </c>
      <c r="BC724" s="357">
        <v>4</v>
      </c>
    </row>
    <row r="725" spans="1:55" s="381" customFormat="1" ht="17.649999999999999" customHeight="1">
      <c r="A725" s="358"/>
      <c r="B725" s="197" t="s">
        <v>2374</v>
      </c>
      <c r="C725" s="211" t="s">
        <v>2055</v>
      </c>
      <c r="D725" s="211" t="s">
        <v>2056</v>
      </c>
      <c r="E725" s="360">
        <v>1</v>
      </c>
      <c r="F725" s="360">
        <v>1</v>
      </c>
      <c r="G725" s="360">
        <v>1</v>
      </c>
      <c r="H725" s="344">
        <v>1.86666666666667</v>
      </c>
      <c r="I725" s="344">
        <v>1.86666666666667</v>
      </c>
      <c r="J725" s="360">
        <v>1</v>
      </c>
      <c r="K725" s="344">
        <v>1.86666666666667</v>
      </c>
      <c r="L725" s="360">
        <v>2</v>
      </c>
      <c r="M725" s="360">
        <v>2</v>
      </c>
      <c r="N725" s="344">
        <v>1.86666666666667</v>
      </c>
      <c r="O725" s="344">
        <v>1.86666666666667</v>
      </c>
      <c r="P725" s="344">
        <v>3.0333333333333301</v>
      </c>
      <c r="Q725" s="344">
        <v>2.56666666666667</v>
      </c>
      <c r="R725" s="344">
        <v>3.2666666666666702</v>
      </c>
      <c r="S725" s="344">
        <v>4.43333333333333</v>
      </c>
      <c r="T725" s="344">
        <v>3.2666666666666702</v>
      </c>
      <c r="U725" s="344">
        <v>3.2666666666666702</v>
      </c>
      <c r="V725" s="344">
        <v>3.5</v>
      </c>
      <c r="W725" s="344">
        <v>3.0333333333333301</v>
      </c>
      <c r="X725" s="344">
        <v>3.2666666666666702</v>
      </c>
      <c r="Y725" s="344">
        <v>3.9666666666666699</v>
      </c>
      <c r="Z725" s="344">
        <v>3.9666666666666699</v>
      </c>
      <c r="AA725" s="344">
        <v>4.2</v>
      </c>
      <c r="AB725" s="344">
        <v>3.5</v>
      </c>
      <c r="AC725" s="344">
        <v>3.0333333333333301</v>
      </c>
      <c r="AD725" s="344">
        <f t="shared" si="64"/>
        <v>-0.46666666666666989</v>
      </c>
      <c r="AE725" s="346">
        <v>9</v>
      </c>
      <c r="AF725" s="346">
        <v>9</v>
      </c>
      <c r="AG725" s="346">
        <v>9</v>
      </c>
      <c r="AH725" s="346">
        <v>9</v>
      </c>
      <c r="AI725" s="346">
        <v>9</v>
      </c>
      <c r="AJ725" s="346">
        <v>9</v>
      </c>
      <c r="AK725" s="346">
        <v>9</v>
      </c>
      <c r="AL725" s="346">
        <v>9</v>
      </c>
      <c r="AM725" s="346">
        <v>9</v>
      </c>
      <c r="AN725" s="346">
        <v>9</v>
      </c>
      <c r="AO725" s="346">
        <v>9</v>
      </c>
      <c r="AP725" s="346">
        <v>10</v>
      </c>
      <c r="AQ725" s="357">
        <v>2</v>
      </c>
      <c r="AR725" s="357">
        <v>7</v>
      </c>
      <c r="AS725" s="357">
        <v>9</v>
      </c>
      <c r="AT725" s="357">
        <v>8</v>
      </c>
      <c r="AU725" s="357">
        <v>10</v>
      </c>
      <c r="AV725" s="357">
        <v>8</v>
      </c>
      <c r="AW725" s="357">
        <v>6</v>
      </c>
      <c r="AX725" s="357">
        <v>5</v>
      </c>
      <c r="AY725" s="357">
        <v>5</v>
      </c>
      <c r="AZ725" s="357">
        <v>8</v>
      </c>
      <c r="BA725" s="357">
        <v>5</v>
      </c>
      <c r="BB725" s="357">
        <v>9</v>
      </c>
      <c r="BC725" s="357">
        <v>5</v>
      </c>
    </row>
    <row r="726" spans="1:55" s="381" customFormat="1" ht="17.649999999999999" customHeight="1">
      <c r="A726" s="358"/>
      <c r="B726" s="197" t="s">
        <v>2375</v>
      </c>
      <c r="C726" s="211" t="s">
        <v>2055</v>
      </c>
      <c r="D726" s="211" t="s">
        <v>2056</v>
      </c>
      <c r="E726" s="360">
        <v>13</v>
      </c>
      <c r="F726" s="360">
        <v>16</v>
      </c>
      <c r="G726" s="360">
        <v>17</v>
      </c>
      <c r="H726" s="344">
        <v>22.1666666666667</v>
      </c>
      <c r="I726" s="344">
        <v>22.1666666666667</v>
      </c>
      <c r="J726" s="360">
        <v>11</v>
      </c>
      <c r="K726" s="344">
        <v>22.1666666666667</v>
      </c>
      <c r="L726" s="360">
        <v>20</v>
      </c>
      <c r="M726" s="360">
        <v>20</v>
      </c>
      <c r="N726" s="344">
        <v>22.1666666666667</v>
      </c>
      <c r="O726" s="344">
        <v>22.1666666666667</v>
      </c>
      <c r="P726" s="344">
        <v>22.633333333333301</v>
      </c>
      <c r="Q726" s="344">
        <v>23.8</v>
      </c>
      <c r="R726" s="344">
        <v>21</v>
      </c>
      <c r="S726" s="344">
        <v>27.533333333333299</v>
      </c>
      <c r="T726" s="344">
        <v>24.033333333333299</v>
      </c>
      <c r="U726" s="344">
        <v>17.733333333333299</v>
      </c>
      <c r="V726" s="344">
        <v>14.233333333333301</v>
      </c>
      <c r="W726" s="344">
        <v>10.733333333333301</v>
      </c>
      <c r="X726" s="344">
        <v>0.233333333333333</v>
      </c>
      <c r="Y726" s="344">
        <v>0.233333333333333</v>
      </c>
      <c r="Z726" s="344">
        <v>1.4</v>
      </c>
      <c r="AA726" s="344">
        <v>2.3333333333333299</v>
      </c>
      <c r="AB726" s="344">
        <v>2.56666666666667</v>
      </c>
      <c r="AC726" s="344">
        <v>2.56666666666667</v>
      </c>
      <c r="AD726" s="344">
        <f t="shared" si="64"/>
        <v>0</v>
      </c>
      <c r="AE726" s="346">
        <v>15</v>
      </c>
      <c r="AF726" s="346">
        <v>15</v>
      </c>
      <c r="AG726" s="346">
        <v>15</v>
      </c>
      <c r="AH726" s="346">
        <v>15</v>
      </c>
      <c r="AI726" s="346">
        <v>15</v>
      </c>
      <c r="AJ726" s="346">
        <v>15</v>
      </c>
      <c r="AK726" s="346">
        <v>15</v>
      </c>
      <c r="AL726" s="346">
        <v>15</v>
      </c>
      <c r="AM726" s="346">
        <v>15</v>
      </c>
      <c r="AN726" s="346">
        <v>15</v>
      </c>
      <c r="AO726" s="346">
        <v>15</v>
      </c>
      <c r="AP726" s="346">
        <v>4</v>
      </c>
      <c r="AQ726" s="357">
        <v>3</v>
      </c>
      <c r="AR726" s="357">
        <v>1</v>
      </c>
      <c r="AS726" s="357">
        <v>8</v>
      </c>
      <c r="AT726" s="357">
        <v>3</v>
      </c>
      <c r="AU726" s="357">
        <v>14</v>
      </c>
      <c r="AV726" s="357">
        <v>15</v>
      </c>
      <c r="AW726" s="357">
        <v>3</v>
      </c>
      <c r="AX726" s="357">
        <v>1</v>
      </c>
      <c r="AY726" s="357">
        <v>3</v>
      </c>
      <c r="AZ726" s="357">
        <v>16</v>
      </c>
      <c r="BA726" s="357">
        <v>5</v>
      </c>
      <c r="BB726" s="357">
        <v>11</v>
      </c>
      <c r="BC726" s="357">
        <v>9</v>
      </c>
    </row>
    <row r="727" spans="1:55" s="381" customFormat="1" ht="17.649999999999999" customHeight="1">
      <c r="A727" s="358"/>
      <c r="B727" s="197" t="s">
        <v>2376</v>
      </c>
      <c r="C727" s="211" t="s">
        <v>2055</v>
      </c>
      <c r="D727" s="211" t="s">
        <v>2056</v>
      </c>
      <c r="E727" s="360">
        <v>2</v>
      </c>
      <c r="F727" s="360">
        <v>3</v>
      </c>
      <c r="G727" s="360">
        <v>3</v>
      </c>
      <c r="H727" s="344">
        <v>3.5</v>
      </c>
      <c r="I727" s="344">
        <v>3.5</v>
      </c>
      <c r="J727" s="360">
        <v>2</v>
      </c>
      <c r="K727" s="344">
        <v>3.5</v>
      </c>
      <c r="L727" s="360">
        <v>3</v>
      </c>
      <c r="M727" s="360">
        <v>3</v>
      </c>
      <c r="N727" s="344">
        <v>3.5</v>
      </c>
      <c r="O727" s="344">
        <v>3.5</v>
      </c>
      <c r="P727" s="344">
        <v>3.2666666666666702</v>
      </c>
      <c r="Q727" s="344">
        <v>4.43333333333333</v>
      </c>
      <c r="R727" s="344">
        <v>3.9666666666666699</v>
      </c>
      <c r="S727" s="344">
        <v>4.43333333333333</v>
      </c>
      <c r="T727" s="344">
        <v>6.5333333333333297</v>
      </c>
      <c r="U727" s="344">
        <v>7.7</v>
      </c>
      <c r="V727" s="344">
        <v>7</v>
      </c>
      <c r="W727" s="344">
        <v>6.5333333333333297</v>
      </c>
      <c r="X727" s="344">
        <v>5.1333333333333302</v>
      </c>
      <c r="Y727" s="344">
        <v>6.7666666666666702</v>
      </c>
      <c r="Z727" s="344">
        <v>7.7</v>
      </c>
      <c r="AA727" s="344">
        <v>6.7666666666666702</v>
      </c>
      <c r="AB727" s="344">
        <v>7.93333333333333</v>
      </c>
      <c r="AC727" s="344">
        <v>7.4666666666666703</v>
      </c>
      <c r="AD727" s="344">
        <f t="shared" si="64"/>
        <v>-0.46666666666665968</v>
      </c>
      <c r="AE727" s="346">
        <v>1</v>
      </c>
      <c r="AF727" s="346">
        <v>1</v>
      </c>
      <c r="AG727" s="346">
        <v>1</v>
      </c>
      <c r="AH727" s="346">
        <v>1</v>
      </c>
      <c r="AI727" s="346">
        <v>1</v>
      </c>
      <c r="AJ727" s="346">
        <v>1</v>
      </c>
      <c r="AK727" s="346">
        <v>1</v>
      </c>
      <c r="AL727" s="346">
        <v>1</v>
      </c>
      <c r="AM727" s="346">
        <v>1</v>
      </c>
      <c r="AN727" s="346">
        <v>1</v>
      </c>
      <c r="AO727" s="346">
        <v>1</v>
      </c>
      <c r="AP727" s="346">
        <v>1</v>
      </c>
      <c r="AQ727" s="357">
        <v>1</v>
      </c>
      <c r="AR727" s="357">
        <v>1</v>
      </c>
      <c r="AS727" s="357">
        <v>9</v>
      </c>
      <c r="AT727" s="357">
        <v>2</v>
      </c>
      <c r="AU727" s="357">
        <v>1</v>
      </c>
      <c r="AV727" s="357">
        <v>1</v>
      </c>
      <c r="AW727" s="357">
        <v>1</v>
      </c>
      <c r="AX727" s="357">
        <v>1</v>
      </c>
      <c r="AY727" s="357">
        <v>1</v>
      </c>
      <c r="AZ727" s="357">
        <v>2</v>
      </c>
      <c r="BA727" s="357">
        <v>2</v>
      </c>
      <c r="BB727" s="357">
        <v>2</v>
      </c>
      <c r="BC727" s="357">
        <v>2</v>
      </c>
    </row>
    <row r="728" spans="1:55" s="381" customFormat="1" ht="17.649999999999999" customHeight="1">
      <c r="A728" s="358"/>
      <c r="B728" s="197" t="s">
        <v>2377</v>
      </c>
      <c r="C728" s="211" t="s">
        <v>2055</v>
      </c>
      <c r="D728" s="211" t="s">
        <v>2056</v>
      </c>
      <c r="E728" s="360">
        <v>3</v>
      </c>
      <c r="F728" s="360">
        <v>4</v>
      </c>
      <c r="G728" s="360">
        <v>4</v>
      </c>
      <c r="H728" s="344">
        <v>5.6</v>
      </c>
      <c r="I728" s="344">
        <v>5.6</v>
      </c>
      <c r="J728" s="360">
        <v>3</v>
      </c>
      <c r="K728" s="344">
        <v>5.6</v>
      </c>
      <c r="L728" s="360">
        <v>5</v>
      </c>
      <c r="M728" s="360">
        <v>5</v>
      </c>
      <c r="N728" s="344">
        <v>5.6</v>
      </c>
      <c r="O728" s="344">
        <v>5.6</v>
      </c>
      <c r="P728" s="344">
        <v>6.3</v>
      </c>
      <c r="Q728" s="344">
        <v>6.3</v>
      </c>
      <c r="R728" s="344">
        <v>6.7666666666666702</v>
      </c>
      <c r="S728" s="344">
        <v>9.1</v>
      </c>
      <c r="T728" s="344">
        <v>12.133333333333301</v>
      </c>
      <c r="U728" s="344">
        <v>13.3</v>
      </c>
      <c r="V728" s="344">
        <v>12.8333333333333</v>
      </c>
      <c r="W728" s="344">
        <v>11.6666666666667</v>
      </c>
      <c r="X728" s="344">
        <v>12.8333333333333</v>
      </c>
      <c r="Y728" s="344">
        <v>13.533333333333299</v>
      </c>
      <c r="Z728" s="344">
        <v>12.8333333333333</v>
      </c>
      <c r="AA728" s="344">
        <v>10.033333333333299</v>
      </c>
      <c r="AB728" s="344">
        <v>9.56666666666667</v>
      </c>
      <c r="AC728" s="344">
        <v>6.7666666666666702</v>
      </c>
      <c r="AD728" s="344">
        <f t="shared" si="64"/>
        <v>-2.8</v>
      </c>
      <c r="AE728" s="346">
        <v>1</v>
      </c>
      <c r="AF728" s="346">
        <v>1</v>
      </c>
      <c r="AG728" s="346">
        <v>1</v>
      </c>
      <c r="AH728" s="346">
        <v>1</v>
      </c>
      <c r="AI728" s="346">
        <v>1</v>
      </c>
      <c r="AJ728" s="346">
        <v>1</v>
      </c>
      <c r="AK728" s="346">
        <v>1</v>
      </c>
      <c r="AL728" s="346">
        <v>1</v>
      </c>
      <c r="AM728" s="346">
        <v>1</v>
      </c>
      <c r="AN728" s="346">
        <v>1</v>
      </c>
      <c r="AO728" s="346">
        <v>1</v>
      </c>
      <c r="AP728" s="346">
        <v>10</v>
      </c>
      <c r="AQ728" s="357">
        <v>12</v>
      </c>
      <c r="AR728" s="357">
        <v>1</v>
      </c>
      <c r="AS728" s="357">
        <v>1</v>
      </c>
      <c r="AT728" s="357">
        <v>1</v>
      </c>
      <c r="AU728" s="357">
        <v>1</v>
      </c>
      <c r="AV728" s="357">
        <v>1</v>
      </c>
      <c r="AW728" s="357">
        <v>1</v>
      </c>
      <c r="AX728" s="357">
        <v>1</v>
      </c>
      <c r="AY728" s="357">
        <v>1</v>
      </c>
      <c r="AZ728" s="357">
        <v>6</v>
      </c>
      <c r="BA728" s="357">
        <v>9</v>
      </c>
      <c r="BB728" s="357">
        <v>1</v>
      </c>
      <c r="BC728" s="357">
        <v>2</v>
      </c>
    </row>
    <row r="729" spans="1:55" s="381" customFormat="1" ht="17.649999999999999" customHeight="1">
      <c r="A729" s="358"/>
      <c r="B729" s="197" t="s">
        <v>2378</v>
      </c>
      <c r="C729" s="211" t="s">
        <v>2055</v>
      </c>
      <c r="D729" s="211" t="s">
        <v>2056</v>
      </c>
      <c r="E729" s="360">
        <v>6</v>
      </c>
      <c r="F729" s="360">
        <v>7</v>
      </c>
      <c r="G729" s="360">
        <v>7</v>
      </c>
      <c r="H729" s="344">
        <v>9.56666666666667</v>
      </c>
      <c r="I729" s="344">
        <v>9.56666666666667</v>
      </c>
      <c r="J729" s="360">
        <v>5</v>
      </c>
      <c r="K729" s="344">
        <v>9.56666666666667</v>
      </c>
      <c r="L729" s="360">
        <v>9</v>
      </c>
      <c r="M729" s="360">
        <v>9</v>
      </c>
      <c r="N729" s="344">
        <v>9.56666666666667</v>
      </c>
      <c r="O729" s="344">
        <v>9.56666666666667</v>
      </c>
      <c r="P729" s="344">
        <v>11.6666666666667</v>
      </c>
      <c r="Q729" s="344">
        <v>11.2</v>
      </c>
      <c r="R729" s="344">
        <v>9.56666666666667</v>
      </c>
      <c r="S729" s="344">
        <v>11.2</v>
      </c>
      <c r="T729" s="344">
        <v>8.6333333333333293</v>
      </c>
      <c r="U729" s="344">
        <v>7</v>
      </c>
      <c r="V729" s="344">
        <v>7.4666666666666703</v>
      </c>
      <c r="W729" s="344">
        <v>5.8333333333333304</v>
      </c>
      <c r="X729" s="344">
        <v>7.7</v>
      </c>
      <c r="Y729" s="344">
        <v>8.6333333333333293</v>
      </c>
      <c r="Z729" s="344">
        <v>7.7</v>
      </c>
      <c r="AA729" s="344">
        <v>9.1</v>
      </c>
      <c r="AB729" s="344">
        <v>7.4666666666666703</v>
      </c>
      <c r="AC729" s="344">
        <v>6.3</v>
      </c>
      <c r="AD729" s="344">
        <f t="shared" si="64"/>
        <v>-1.1666666666666705</v>
      </c>
      <c r="AE729" s="346">
        <v>19</v>
      </c>
      <c r="AF729" s="346">
        <v>19</v>
      </c>
      <c r="AG729" s="346">
        <v>19</v>
      </c>
      <c r="AH729" s="346">
        <v>19</v>
      </c>
      <c r="AI729" s="346">
        <v>19</v>
      </c>
      <c r="AJ729" s="346">
        <v>19</v>
      </c>
      <c r="AK729" s="346">
        <v>19</v>
      </c>
      <c r="AL729" s="346">
        <v>19</v>
      </c>
      <c r="AM729" s="346">
        <v>19</v>
      </c>
      <c r="AN729" s="346">
        <v>19</v>
      </c>
      <c r="AO729" s="346">
        <v>19</v>
      </c>
      <c r="AP729" s="346">
        <v>1</v>
      </c>
      <c r="AQ729" s="357">
        <v>1</v>
      </c>
      <c r="AR729" s="357">
        <v>1</v>
      </c>
      <c r="AS729" s="357">
        <v>13</v>
      </c>
      <c r="AT729" s="357">
        <v>1</v>
      </c>
      <c r="AU729" s="211">
        <v>1</v>
      </c>
      <c r="AV729" s="357">
        <v>1</v>
      </c>
      <c r="AW729" s="357">
        <v>1</v>
      </c>
      <c r="AX729" s="357">
        <v>1</v>
      </c>
      <c r="AY729" s="357">
        <v>1</v>
      </c>
      <c r="AZ729" s="357">
        <v>1</v>
      </c>
      <c r="BA729" s="357">
        <v>10</v>
      </c>
      <c r="BB729" s="357">
        <v>1</v>
      </c>
      <c r="BC729" s="357">
        <v>1</v>
      </c>
    </row>
    <row r="730" spans="1:55" s="381" customFormat="1" ht="17.649999999999999" customHeight="1">
      <c r="A730" s="358"/>
      <c r="B730" s="197" t="s">
        <v>2379</v>
      </c>
      <c r="C730" s="211" t="s">
        <v>2055</v>
      </c>
      <c r="D730" s="211" t="s">
        <v>2056</v>
      </c>
      <c r="E730" s="360">
        <v>2</v>
      </c>
      <c r="F730" s="360">
        <v>3</v>
      </c>
      <c r="G730" s="360">
        <v>3</v>
      </c>
      <c r="H730" s="344">
        <v>3.5</v>
      </c>
      <c r="I730" s="344">
        <v>3.5</v>
      </c>
      <c r="J730" s="360">
        <v>2</v>
      </c>
      <c r="K730" s="344">
        <v>3.5</v>
      </c>
      <c r="L730" s="360">
        <v>3</v>
      </c>
      <c r="M730" s="360">
        <v>3</v>
      </c>
      <c r="N730" s="344">
        <v>3.5</v>
      </c>
      <c r="O730" s="344">
        <v>3.5</v>
      </c>
      <c r="P730" s="344">
        <v>3.5</v>
      </c>
      <c r="Q730" s="344">
        <v>3.5</v>
      </c>
      <c r="R730" s="344">
        <v>4.6666666666666696</v>
      </c>
      <c r="S730" s="344">
        <v>8.4</v>
      </c>
      <c r="T730" s="344">
        <v>9.56666666666667</v>
      </c>
      <c r="U730" s="344">
        <v>8.8666666666666707</v>
      </c>
      <c r="V730" s="344">
        <v>9.1</v>
      </c>
      <c r="W730" s="344">
        <v>7.4666666666666703</v>
      </c>
      <c r="X730" s="344">
        <v>5.3666666666666698</v>
      </c>
      <c r="Y730" s="344">
        <v>5.3666666666666698</v>
      </c>
      <c r="Z730" s="344">
        <v>5.1333333333333302</v>
      </c>
      <c r="AA730" s="344">
        <v>7.4666666666666703</v>
      </c>
      <c r="AB730" s="344">
        <v>8.6333333333333293</v>
      </c>
      <c r="AC730" s="344">
        <v>8.4</v>
      </c>
      <c r="AD730" s="344">
        <f t="shared" si="64"/>
        <v>-0.23333333333332895</v>
      </c>
      <c r="AE730" s="346">
        <v>2</v>
      </c>
      <c r="AF730" s="346">
        <v>2</v>
      </c>
      <c r="AG730" s="346">
        <v>2</v>
      </c>
      <c r="AH730" s="346">
        <v>2</v>
      </c>
      <c r="AI730" s="346">
        <v>2</v>
      </c>
      <c r="AJ730" s="346">
        <v>2</v>
      </c>
      <c r="AK730" s="346">
        <v>2</v>
      </c>
      <c r="AL730" s="346">
        <v>2</v>
      </c>
      <c r="AM730" s="346">
        <v>2</v>
      </c>
      <c r="AN730" s="346">
        <v>2</v>
      </c>
      <c r="AO730" s="346">
        <v>2</v>
      </c>
      <c r="AP730" s="346">
        <v>1</v>
      </c>
      <c r="AQ730" s="357">
        <v>1</v>
      </c>
      <c r="AR730" s="357">
        <v>1</v>
      </c>
      <c r="AS730" s="357">
        <v>10</v>
      </c>
      <c r="AT730" s="357">
        <v>1</v>
      </c>
      <c r="AU730" s="357">
        <v>1</v>
      </c>
      <c r="AV730" s="357">
        <v>1</v>
      </c>
      <c r="AW730" s="357">
        <v>1</v>
      </c>
      <c r="AX730" s="357">
        <v>1</v>
      </c>
      <c r="AY730" s="357">
        <v>1</v>
      </c>
      <c r="AZ730" s="357">
        <v>1</v>
      </c>
      <c r="BA730" s="357">
        <v>1</v>
      </c>
      <c r="BB730" s="357">
        <v>1</v>
      </c>
      <c r="BC730" s="357">
        <v>1</v>
      </c>
    </row>
    <row r="731" spans="1:55" s="381" customFormat="1" ht="17.649999999999999" customHeight="1">
      <c r="A731" s="358"/>
      <c r="B731" s="197" t="s">
        <v>2380</v>
      </c>
      <c r="C731" s="211" t="s">
        <v>2055</v>
      </c>
      <c r="D731" s="211" t="s">
        <v>2056</v>
      </c>
      <c r="E731" s="360">
        <v>0</v>
      </c>
      <c r="F731" s="360">
        <v>0</v>
      </c>
      <c r="G731" s="360">
        <v>0</v>
      </c>
      <c r="H731" s="344">
        <v>0.233333333333333</v>
      </c>
      <c r="I731" s="344">
        <v>0.233333333333333</v>
      </c>
      <c r="J731" s="360">
        <v>0</v>
      </c>
      <c r="K731" s="344">
        <v>0.233333333333333</v>
      </c>
      <c r="L731" s="360">
        <v>0</v>
      </c>
      <c r="M731" s="360">
        <v>0</v>
      </c>
      <c r="N731" s="344">
        <v>0.233333333333333</v>
      </c>
      <c r="O731" s="344">
        <v>0.233333333333333</v>
      </c>
      <c r="P731" s="344">
        <v>0.233333333333333</v>
      </c>
      <c r="Q731" s="344">
        <v>0.233333333333333</v>
      </c>
      <c r="R731" s="344">
        <v>0.233333333333333</v>
      </c>
      <c r="S731" s="344">
        <v>0.233333333333333</v>
      </c>
      <c r="T731" s="344">
        <v>0.233333333333333</v>
      </c>
      <c r="U731" s="344">
        <v>0.233333333333333</v>
      </c>
      <c r="V731" s="344">
        <v>0.233333333333333</v>
      </c>
      <c r="W731" s="344">
        <v>0.233333333333333</v>
      </c>
      <c r="X731" s="344">
        <v>0.233333333333333</v>
      </c>
      <c r="Y731" s="344">
        <v>0.233333333333333</v>
      </c>
      <c r="Z731" s="344">
        <v>0.233333333333333</v>
      </c>
      <c r="AA731" s="344">
        <v>0.233333333333333</v>
      </c>
      <c r="AB731" s="344">
        <v>0.233333333333333</v>
      </c>
      <c r="AC731" s="344">
        <v>0.233333333333333</v>
      </c>
      <c r="AD731" s="344">
        <f t="shared" si="64"/>
        <v>0</v>
      </c>
      <c r="AE731" s="346">
        <v>8</v>
      </c>
      <c r="AF731" s="346">
        <v>8</v>
      </c>
      <c r="AG731" s="346">
        <v>8</v>
      </c>
      <c r="AH731" s="346">
        <v>8</v>
      </c>
      <c r="AI731" s="346">
        <v>8</v>
      </c>
      <c r="AJ731" s="346">
        <v>8</v>
      </c>
      <c r="AK731" s="346">
        <v>8</v>
      </c>
      <c r="AL731" s="346">
        <v>8</v>
      </c>
      <c r="AM731" s="346">
        <v>8</v>
      </c>
      <c r="AN731" s="346">
        <v>8</v>
      </c>
      <c r="AO731" s="346">
        <v>8</v>
      </c>
      <c r="AP731" s="346">
        <v>9</v>
      </c>
      <c r="AQ731" s="357">
        <v>9</v>
      </c>
      <c r="AR731" s="357">
        <v>3</v>
      </c>
      <c r="AS731" s="357">
        <v>4</v>
      </c>
      <c r="AT731" s="357">
        <v>4</v>
      </c>
      <c r="AU731" s="357">
        <v>3</v>
      </c>
      <c r="AV731" s="357">
        <v>3</v>
      </c>
      <c r="AW731" s="357">
        <v>3</v>
      </c>
      <c r="AX731" s="357">
        <v>7</v>
      </c>
      <c r="AY731" s="357">
        <v>8</v>
      </c>
      <c r="AZ731" s="357">
        <v>8</v>
      </c>
      <c r="BA731" s="357">
        <v>3</v>
      </c>
      <c r="BB731" s="357">
        <v>3</v>
      </c>
      <c r="BC731" s="357">
        <v>3</v>
      </c>
    </row>
    <row r="732" spans="1:55" s="381" customFormat="1" ht="17.649999999999999" customHeight="1">
      <c r="A732" s="358"/>
      <c r="B732" s="197" t="s">
        <v>2381</v>
      </c>
      <c r="C732" s="211" t="s">
        <v>2055</v>
      </c>
      <c r="D732" s="211" t="s">
        <v>2056</v>
      </c>
      <c r="E732" s="360">
        <v>1</v>
      </c>
      <c r="F732" s="360">
        <v>1</v>
      </c>
      <c r="G732" s="360">
        <v>1</v>
      </c>
      <c r="H732" s="344">
        <v>1.86666666666667</v>
      </c>
      <c r="I732" s="344">
        <v>1.86666666666667</v>
      </c>
      <c r="J732" s="360">
        <v>1</v>
      </c>
      <c r="K732" s="344">
        <v>1.86666666666667</v>
      </c>
      <c r="L732" s="360">
        <v>2</v>
      </c>
      <c r="M732" s="360">
        <v>2</v>
      </c>
      <c r="N732" s="344">
        <v>1.86666666666667</v>
      </c>
      <c r="O732" s="344">
        <v>1.86666666666667</v>
      </c>
      <c r="P732" s="344">
        <v>1.86666666666667</v>
      </c>
      <c r="Q732" s="344">
        <v>1.86666666666667</v>
      </c>
      <c r="R732" s="344">
        <v>2.1</v>
      </c>
      <c r="S732" s="344">
        <v>2.1</v>
      </c>
      <c r="T732" s="344">
        <v>1.86666666666667</v>
      </c>
      <c r="U732" s="344">
        <v>1.86666666666667</v>
      </c>
      <c r="V732" s="344">
        <v>1.86666666666667</v>
      </c>
      <c r="W732" s="344">
        <v>1.4</v>
      </c>
      <c r="X732" s="344">
        <v>1.86666666666667</v>
      </c>
      <c r="Y732" s="344">
        <v>1.86666666666667</v>
      </c>
      <c r="Z732" s="344">
        <v>2.1</v>
      </c>
      <c r="AA732" s="344">
        <v>2.3333333333333299</v>
      </c>
      <c r="AB732" s="344">
        <v>2.3333333333333299</v>
      </c>
      <c r="AC732" s="344">
        <v>2.56666666666667</v>
      </c>
      <c r="AD732" s="344">
        <f t="shared" si="64"/>
        <v>0.23333333333334005</v>
      </c>
      <c r="AE732" s="346">
        <v>9</v>
      </c>
      <c r="AF732" s="346">
        <v>9</v>
      </c>
      <c r="AG732" s="346">
        <v>9</v>
      </c>
      <c r="AH732" s="346">
        <v>9</v>
      </c>
      <c r="AI732" s="346">
        <v>9</v>
      </c>
      <c r="AJ732" s="346">
        <v>9</v>
      </c>
      <c r="AK732" s="346">
        <v>9</v>
      </c>
      <c r="AL732" s="346">
        <v>9</v>
      </c>
      <c r="AM732" s="346">
        <v>9</v>
      </c>
      <c r="AN732" s="346">
        <v>9</v>
      </c>
      <c r="AO732" s="346">
        <v>9</v>
      </c>
      <c r="AP732" s="346">
        <v>2</v>
      </c>
      <c r="AQ732" s="357">
        <v>2</v>
      </c>
      <c r="AR732" s="357">
        <v>1</v>
      </c>
      <c r="AS732" s="357">
        <v>1</v>
      </c>
      <c r="AT732" s="357">
        <v>8</v>
      </c>
      <c r="AU732" s="357">
        <v>1</v>
      </c>
      <c r="AV732" s="357">
        <v>9</v>
      </c>
      <c r="AW732" s="357">
        <v>1</v>
      </c>
      <c r="AX732" s="357">
        <v>1</v>
      </c>
      <c r="AY732" s="357">
        <v>2</v>
      </c>
      <c r="AZ732" s="357">
        <v>3</v>
      </c>
      <c r="BA732" s="357">
        <v>4</v>
      </c>
      <c r="BB732" s="357">
        <v>10</v>
      </c>
      <c r="BC732" s="357">
        <v>9</v>
      </c>
    </row>
    <row r="733" spans="1:55" s="381" customFormat="1" ht="17.649999999999999" customHeight="1">
      <c r="A733" s="358"/>
      <c r="B733" s="197" t="s">
        <v>2382</v>
      </c>
      <c r="C733" s="211" t="s">
        <v>2055</v>
      </c>
      <c r="D733" s="211" t="s">
        <v>2056</v>
      </c>
      <c r="E733" s="360">
        <v>2</v>
      </c>
      <c r="F733" s="360">
        <v>3</v>
      </c>
      <c r="G733" s="360">
        <v>3</v>
      </c>
      <c r="H733" s="344">
        <v>3.9666666666666699</v>
      </c>
      <c r="I733" s="344">
        <v>3.9666666666666699</v>
      </c>
      <c r="J733" s="360">
        <v>2</v>
      </c>
      <c r="K733" s="344">
        <v>3.9666666666666699</v>
      </c>
      <c r="L733" s="360">
        <v>4</v>
      </c>
      <c r="M733" s="360">
        <v>4</v>
      </c>
      <c r="N733" s="344">
        <v>3.9666666666666699</v>
      </c>
      <c r="O733" s="344">
        <v>3.9666666666666699</v>
      </c>
      <c r="P733" s="344">
        <v>3.2666666666666702</v>
      </c>
      <c r="Q733" s="344">
        <v>3.0333333333333301</v>
      </c>
      <c r="R733" s="344">
        <v>3.5</v>
      </c>
      <c r="S733" s="344">
        <v>3.2666666666666702</v>
      </c>
      <c r="T733" s="344">
        <v>3.2666666666666702</v>
      </c>
      <c r="U733" s="344">
        <v>3.2666666666666702</v>
      </c>
      <c r="V733" s="344">
        <v>3.2666666666666702</v>
      </c>
      <c r="W733" s="344">
        <v>2.56666666666667</v>
      </c>
      <c r="X733" s="344">
        <v>3.5</v>
      </c>
      <c r="Y733" s="344">
        <v>3.0333333333333301</v>
      </c>
      <c r="Z733" s="344">
        <v>1.86666666666667</v>
      </c>
      <c r="AA733" s="344">
        <v>2.56666666666667</v>
      </c>
      <c r="AB733" s="344">
        <v>2.56666666666667</v>
      </c>
      <c r="AC733" s="344">
        <v>1.86666666666667</v>
      </c>
      <c r="AD733" s="344">
        <f t="shared" si="64"/>
        <v>-0.7</v>
      </c>
      <c r="AE733" s="346">
        <v>11</v>
      </c>
      <c r="AF733" s="346">
        <v>11</v>
      </c>
      <c r="AG733" s="346">
        <v>11</v>
      </c>
      <c r="AH733" s="346">
        <v>11</v>
      </c>
      <c r="AI733" s="346">
        <v>11</v>
      </c>
      <c r="AJ733" s="346">
        <v>11</v>
      </c>
      <c r="AK733" s="346">
        <v>11</v>
      </c>
      <c r="AL733" s="346">
        <v>11</v>
      </c>
      <c r="AM733" s="346">
        <v>11</v>
      </c>
      <c r="AN733" s="346">
        <v>11</v>
      </c>
      <c r="AO733" s="346">
        <v>11</v>
      </c>
      <c r="AP733" s="346">
        <v>1</v>
      </c>
      <c r="AQ733" s="357">
        <v>8</v>
      </c>
      <c r="AR733" s="357">
        <v>2</v>
      </c>
      <c r="AS733" s="357">
        <v>2</v>
      </c>
      <c r="AT733" s="357">
        <v>10</v>
      </c>
      <c r="AU733" s="357">
        <v>2</v>
      </c>
      <c r="AV733" s="357">
        <v>2</v>
      </c>
      <c r="AW733" s="357">
        <v>2</v>
      </c>
      <c r="AX733" s="357">
        <v>2</v>
      </c>
      <c r="AY733" s="357">
        <v>2</v>
      </c>
      <c r="AZ733" s="357">
        <v>2</v>
      </c>
      <c r="BA733" s="357">
        <v>2</v>
      </c>
      <c r="BB733" s="357">
        <v>2</v>
      </c>
      <c r="BC733" s="357">
        <v>2</v>
      </c>
    </row>
    <row r="734" spans="1:55" s="381" customFormat="1" ht="17.649999999999999" customHeight="1">
      <c r="A734" s="358"/>
      <c r="B734" s="197" t="s">
        <v>2383</v>
      </c>
      <c r="C734" s="211" t="s">
        <v>2055</v>
      </c>
      <c r="D734" s="211" t="s">
        <v>2056</v>
      </c>
      <c r="E734" s="360">
        <v>0</v>
      </c>
      <c r="F734" s="360">
        <v>0</v>
      </c>
      <c r="G734" s="360">
        <v>0</v>
      </c>
      <c r="H734" s="344">
        <v>0.233333333333333</v>
      </c>
      <c r="I734" s="344">
        <v>0.233333333333333</v>
      </c>
      <c r="J734" s="360">
        <v>0</v>
      </c>
      <c r="K734" s="344">
        <v>0.233333333333333</v>
      </c>
      <c r="L734" s="360">
        <v>0</v>
      </c>
      <c r="M734" s="360">
        <v>0</v>
      </c>
      <c r="N734" s="344">
        <v>0.233333333333333</v>
      </c>
      <c r="O734" s="344">
        <v>0.233333333333333</v>
      </c>
      <c r="P734" s="344">
        <v>0.233333333333333</v>
      </c>
      <c r="Q734" s="344">
        <v>0.233333333333333</v>
      </c>
      <c r="R734" s="344">
        <v>0.233333333333333</v>
      </c>
      <c r="S734" s="344">
        <v>0.233333333333333</v>
      </c>
      <c r="T734" s="344">
        <v>0.233333333333333</v>
      </c>
      <c r="U734" s="344">
        <v>0.233333333333333</v>
      </c>
      <c r="V734" s="344">
        <v>0.233333333333333</v>
      </c>
      <c r="W734" s="344">
        <v>0.233333333333333</v>
      </c>
      <c r="X734" s="344">
        <v>0.233333333333333</v>
      </c>
      <c r="Y734" s="344">
        <v>0.233333333333333</v>
      </c>
      <c r="Z734" s="344">
        <v>0.233333333333333</v>
      </c>
      <c r="AA734" s="344">
        <v>0.233333333333333</v>
      </c>
      <c r="AB734" s="344">
        <v>0.233333333333333</v>
      </c>
      <c r="AC734" s="344">
        <v>0.233333333333333</v>
      </c>
      <c r="AD734" s="344">
        <f t="shared" si="64"/>
        <v>0</v>
      </c>
      <c r="AE734" s="346">
        <v>2</v>
      </c>
      <c r="AF734" s="346">
        <v>2</v>
      </c>
      <c r="AG734" s="346">
        <v>2</v>
      </c>
      <c r="AH734" s="346">
        <v>2</v>
      </c>
      <c r="AI734" s="346">
        <v>2</v>
      </c>
      <c r="AJ734" s="346">
        <v>2</v>
      </c>
      <c r="AK734" s="346">
        <v>2</v>
      </c>
      <c r="AL734" s="346">
        <v>2</v>
      </c>
      <c r="AM734" s="346">
        <v>2</v>
      </c>
      <c r="AN734" s="346">
        <v>2</v>
      </c>
      <c r="AO734" s="346">
        <v>2</v>
      </c>
      <c r="AP734" s="357">
        <v>5</v>
      </c>
      <c r="AQ734" s="357">
        <v>2</v>
      </c>
      <c r="AR734" s="357">
        <v>2</v>
      </c>
      <c r="AS734" s="357">
        <v>2</v>
      </c>
      <c r="AT734" s="357">
        <v>9</v>
      </c>
      <c r="AU734" s="357">
        <v>2</v>
      </c>
      <c r="AV734" s="357">
        <v>4</v>
      </c>
      <c r="AW734" s="357">
        <v>2</v>
      </c>
      <c r="AX734" s="357">
        <v>2</v>
      </c>
      <c r="AY734" s="357">
        <v>1</v>
      </c>
      <c r="AZ734" s="357">
        <v>9</v>
      </c>
      <c r="BA734" s="357">
        <v>3</v>
      </c>
      <c r="BB734" s="357">
        <v>3</v>
      </c>
      <c r="BC734" s="357">
        <v>3</v>
      </c>
    </row>
    <row r="735" spans="1:55" s="381" customFormat="1" ht="17.649999999999999" customHeight="1">
      <c r="A735" s="358"/>
      <c r="B735" s="197" t="s">
        <v>2384</v>
      </c>
      <c r="C735" s="211" t="s">
        <v>2055</v>
      </c>
      <c r="D735" s="211" t="s">
        <v>2056</v>
      </c>
      <c r="E735" s="360">
        <v>1</v>
      </c>
      <c r="F735" s="360">
        <v>2</v>
      </c>
      <c r="G735" s="360">
        <v>2</v>
      </c>
      <c r="H735" s="344">
        <v>2.3333333333333299</v>
      </c>
      <c r="I735" s="344">
        <v>2.3333333333333299</v>
      </c>
      <c r="J735" s="360">
        <v>1</v>
      </c>
      <c r="K735" s="344">
        <v>2.3333333333333299</v>
      </c>
      <c r="L735" s="360">
        <v>2</v>
      </c>
      <c r="M735" s="360">
        <v>2</v>
      </c>
      <c r="N735" s="344">
        <v>2.3333333333333299</v>
      </c>
      <c r="O735" s="344">
        <v>2.3333333333333299</v>
      </c>
      <c r="P735" s="344">
        <v>2.1</v>
      </c>
      <c r="Q735" s="344">
        <v>1.86666666666667</v>
      </c>
      <c r="R735" s="344">
        <v>1.86666666666667</v>
      </c>
      <c r="S735" s="344">
        <v>1.86666666666667</v>
      </c>
      <c r="T735" s="344">
        <v>1.86666666666667</v>
      </c>
      <c r="U735" s="344">
        <v>2.1</v>
      </c>
      <c r="V735" s="344">
        <v>2.1</v>
      </c>
      <c r="W735" s="344">
        <v>1.1666666666666701</v>
      </c>
      <c r="X735" s="344">
        <v>1.1666666666666701</v>
      </c>
      <c r="Y735" s="344">
        <v>1.1666666666666701</v>
      </c>
      <c r="Z735" s="344">
        <v>0.233333333333333</v>
      </c>
      <c r="AA735" s="344">
        <v>0.233333333333333</v>
      </c>
      <c r="AB735" s="344">
        <v>0.233333333333333</v>
      </c>
      <c r="AC735" s="344">
        <v>0.233333333333333</v>
      </c>
      <c r="AD735" s="344">
        <f t="shared" si="64"/>
        <v>0</v>
      </c>
      <c r="AE735" s="346">
        <v>8</v>
      </c>
      <c r="AF735" s="346">
        <v>8</v>
      </c>
      <c r="AG735" s="346">
        <v>8</v>
      </c>
      <c r="AH735" s="346">
        <v>8</v>
      </c>
      <c r="AI735" s="346">
        <v>8</v>
      </c>
      <c r="AJ735" s="346">
        <v>8</v>
      </c>
      <c r="AK735" s="346">
        <v>8</v>
      </c>
      <c r="AL735" s="346">
        <v>8</v>
      </c>
      <c r="AM735" s="346">
        <v>8</v>
      </c>
      <c r="AN735" s="346">
        <v>8</v>
      </c>
      <c r="AO735" s="346">
        <v>8</v>
      </c>
      <c r="AP735" s="346">
        <v>2</v>
      </c>
      <c r="AQ735" s="357">
        <v>2</v>
      </c>
      <c r="AR735" s="357">
        <v>2</v>
      </c>
      <c r="AS735" s="357">
        <v>2</v>
      </c>
      <c r="AT735" s="357">
        <v>3</v>
      </c>
      <c r="AU735" s="357">
        <v>4</v>
      </c>
      <c r="AV735" s="357">
        <v>3</v>
      </c>
      <c r="AW735" s="357">
        <v>7</v>
      </c>
      <c r="AX735" s="357">
        <v>7</v>
      </c>
      <c r="AY735" s="357">
        <v>7</v>
      </c>
      <c r="AZ735" s="357">
        <v>2</v>
      </c>
      <c r="BA735" s="357">
        <v>2</v>
      </c>
      <c r="BB735" s="357">
        <v>2</v>
      </c>
      <c r="BC735" s="357">
        <v>1</v>
      </c>
    </row>
    <row r="736" spans="1:55" s="381" customFormat="1" ht="17.649999999999999" customHeight="1">
      <c r="A736" s="358"/>
      <c r="B736" s="197" t="s">
        <v>2385</v>
      </c>
      <c r="C736" s="211" t="s">
        <v>2055</v>
      </c>
      <c r="D736" s="211" t="s">
        <v>2056</v>
      </c>
      <c r="E736" s="360">
        <v>0</v>
      </c>
      <c r="F736" s="360">
        <v>0</v>
      </c>
      <c r="G736" s="360">
        <v>0</v>
      </c>
      <c r="H736" s="344">
        <v>0.233333333333333</v>
      </c>
      <c r="I736" s="344">
        <v>0.233333333333333</v>
      </c>
      <c r="J736" s="360">
        <v>0</v>
      </c>
      <c r="K736" s="344">
        <v>0.233333333333333</v>
      </c>
      <c r="L736" s="360">
        <v>0</v>
      </c>
      <c r="M736" s="360">
        <v>0</v>
      </c>
      <c r="N736" s="344">
        <v>0.233333333333333</v>
      </c>
      <c r="O736" s="344">
        <v>0.233333333333333</v>
      </c>
      <c r="P736" s="344">
        <v>0.233333333333333</v>
      </c>
      <c r="Q736" s="344">
        <v>0.233333333333333</v>
      </c>
      <c r="R736" s="344">
        <v>0.233333333333333</v>
      </c>
      <c r="S736" s="344">
        <v>0.233333333333333</v>
      </c>
      <c r="T736" s="344">
        <v>0.233333333333333</v>
      </c>
      <c r="U736" s="344">
        <v>0.233333333333333</v>
      </c>
      <c r="V736" s="344">
        <v>0.233333333333333</v>
      </c>
      <c r="W736" s="344">
        <v>0.233333333333333</v>
      </c>
      <c r="X736" s="344">
        <v>0.233333333333333</v>
      </c>
      <c r="Y736" s="344">
        <v>0.233333333333333</v>
      </c>
      <c r="Z736" s="344">
        <v>0.233333333333333</v>
      </c>
      <c r="AA736" s="344">
        <v>1.4</v>
      </c>
      <c r="AB736" s="344">
        <v>1.4</v>
      </c>
      <c r="AC736" s="344">
        <v>0.233333333333333</v>
      </c>
      <c r="AD736" s="344">
        <f t="shared" si="64"/>
        <v>-1.166666666666667</v>
      </c>
      <c r="AE736" s="346">
        <v>12</v>
      </c>
      <c r="AF736" s="346">
        <v>12</v>
      </c>
      <c r="AG736" s="346">
        <v>12</v>
      </c>
      <c r="AH736" s="346">
        <v>12</v>
      </c>
      <c r="AI736" s="346">
        <v>12</v>
      </c>
      <c r="AJ736" s="346">
        <v>12</v>
      </c>
      <c r="AK736" s="346">
        <v>12</v>
      </c>
      <c r="AL736" s="346">
        <v>12</v>
      </c>
      <c r="AM736" s="346">
        <v>12</v>
      </c>
      <c r="AN736" s="346">
        <v>12</v>
      </c>
      <c r="AO736" s="346">
        <v>12</v>
      </c>
      <c r="AP736" s="346">
        <v>1</v>
      </c>
      <c r="AQ736" s="357">
        <v>1</v>
      </c>
      <c r="AR736" s="357">
        <v>1</v>
      </c>
      <c r="AS736" s="357">
        <v>1</v>
      </c>
      <c r="AT736" s="357">
        <v>1</v>
      </c>
      <c r="AU736" s="357">
        <v>1</v>
      </c>
      <c r="AV736" s="357">
        <v>1</v>
      </c>
      <c r="AW736" s="357">
        <v>8</v>
      </c>
      <c r="AX736" s="357">
        <v>1</v>
      </c>
      <c r="AY736" s="357">
        <v>1</v>
      </c>
      <c r="AZ736" s="357">
        <v>10</v>
      </c>
      <c r="BA736" s="357">
        <v>1</v>
      </c>
      <c r="BB736" s="357">
        <v>1</v>
      </c>
      <c r="BC736" s="357">
        <v>9</v>
      </c>
    </row>
    <row r="737" spans="1:55" s="381" customFormat="1" ht="17.649999999999999" customHeight="1">
      <c r="A737" s="358"/>
      <c r="B737" s="197" t="s">
        <v>2386</v>
      </c>
      <c r="C737" s="211" t="s">
        <v>2055</v>
      </c>
      <c r="D737" s="211" t="s">
        <v>2056</v>
      </c>
      <c r="E737" s="360">
        <v>0</v>
      </c>
      <c r="F737" s="360">
        <v>0</v>
      </c>
      <c r="G737" s="360">
        <v>0</v>
      </c>
      <c r="H737" s="344">
        <v>0.233333333333333</v>
      </c>
      <c r="I737" s="344">
        <v>0.233333333333333</v>
      </c>
      <c r="J737" s="360">
        <v>0</v>
      </c>
      <c r="K737" s="344">
        <v>0.233333333333333</v>
      </c>
      <c r="L737" s="360">
        <v>0</v>
      </c>
      <c r="M737" s="360">
        <v>0</v>
      </c>
      <c r="N737" s="344">
        <v>0.233333333333333</v>
      </c>
      <c r="O737" s="344">
        <v>0.233333333333333</v>
      </c>
      <c r="P737" s="344">
        <v>0.233333333333333</v>
      </c>
      <c r="Q737" s="344">
        <v>0.233333333333333</v>
      </c>
      <c r="R737" s="344">
        <v>0.233333333333333</v>
      </c>
      <c r="S737" s="344">
        <v>0.233333333333333</v>
      </c>
      <c r="T737" s="344">
        <v>0.233333333333333</v>
      </c>
      <c r="U737" s="344">
        <v>0.233333333333333</v>
      </c>
      <c r="V737" s="344">
        <v>0.233333333333333</v>
      </c>
      <c r="W737" s="344">
        <v>0.233333333333333</v>
      </c>
      <c r="X737" s="344">
        <v>0.233333333333333</v>
      </c>
      <c r="Y737" s="344">
        <v>0.233333333333333</v>
      </c>
      <c r="Z737" s="344">
        <v>0.233333333333333</v>
      </c>
      <c r="AA737" s="344">
        <v>0.233333333333333</v>
      </c>
      <c r="AB737" s="344">
        <v>0.233333333333333</v>
      </c>
      <c r="AC737" s="344">
        <v>0.233333333333333</v>
      </c>
      <c r="AD737" s="344">
        <f t="shared" si="64"/>
        <v>0</v>
      </c>
      <c r="AE737" s="346">
        <v>1</v>
      </c>
      <c r="AF737" s="346">
        <v>1</v>
      </c>
      <c r="AG737" s="346">
        <v>1</v>
      </c>
      <c r="AH737" s="346">
        <v>1</v>
      </c>
      <c r="AI737" s="346">
        <v>1</v>
      </c>
      <c r="AJ737" s="346">
        <v>1</v>
      </c>
      <c r="AK737" s="346">
        <v>1</v>
      </c>
      <c r="AL737" s="346">
        <v>1</v>
      </c>
      <c r="AM737" s="346">
        <v>1</v>
      </c>
      <c r="AN737" s="346">
        <v>1</v>
      </c>
      <c r="AO737" s="346">
        <v>1</v>
      </c>
      <c r="AP737" s="211">
        <v>1</v>
      </c>
      <c r="AQ737" s="357">
        <v>1</v>
      </c>
      <c r="AR737" s="357">
        <v>1</v>
      </c>
      <c r="AS737" s="357">
        <v>1</v>
      </c>
      <c r="AT737" s="357">
        <v>1</v>
      </c>
      <c r="AU737" s="357">
        <v>1</v>
      </c>
      <c r="AV737" s="357">
        <v>1</v>
      </c>
      <c r="AW737" s="357">
        <v>9</v>
      </c>
      <c r="AX737" s="357">
        <v>1</v>
      </c>
      <c r="AY737" s="357">
        <v>1</v>
      </c>
      <c r="AZ737" s="357">
        <v>1</v>
      </c>
      <c r="BA737" s="357">
        <v>10</v>
      </c>
      <c r="BB737" s="357">
        <v>8</v>
      </c>
      <c r="BC737" s="357">
        <v>1</v>
      </c>
    </row>
    <row r="738" spans="1:55" s="381" customFormat="1" ht="17.649999999999999" customHeight="1">
      <c r="A738" s="358"/>
      <c r="B738" s="197" t="s">
        <v>2387</v>
      </c>
      <c r="C738" s="211" t="s">
        <v>2055</v>
      </c>
      <c r="D738" s="211" t="s">
        <v>2056</v>
      </c>
      <c r="E738" s="360">
        <v>0</v>
      </c>
      <c r="F738" s="360">
        <v>0</v>
      </c>
      <c r="G738" s="360">
        <v>0</v>
      </c>
      <c r="H738" s="344">
        <v>0.233333333333333</v>
      </c>
      <c r="I738" s="344">
        <v>0.233333333333333</v>
      </c>
      <c r="J738" s="360">
        <v>0</v>
      </c>
      <c r="K738" s="344">
        <v>0.233333333333333</v>
      </c>
      <c r="L738" s="360">
        <v>0</v>
      </c>
      <c r="M738" s="360">
        <v>0</v>
      </c>
      <c r="N738" s="344">
        <v>0.233333333333333</v>
      </c>
      <c r="O738" s="344">
        <v>0.233333333333333</v>
      </c>
      <c r="P738" s="344">
        <v>0.233333333333333</v>
      </c>
      <c r="Q738" s="344">
        <v>0.233333333333333</v>
      </c>
      <c r="R738" s="344">
        <v>0.233333333333333</v>
      </c>
      <c r="S738" s="344">
        <v>0.233333333333333</v>
      </c>
      <c r="T738" s="344">
        <v>0.233333333333333</v>
      </c>
      <c r="U738" s="344">
        <v>0.233333333333333</v>
      </c>
      <c r="V738" s="344">
        <v>0.233333333333333</v>
      </c>
      <c r="W738" s="344">
        <v>0.233333333333333</v>
      </c>
      <c r="X738" s="344">
        <v>0.233333333333333</v>
      </c>
      <c r="Y738" s="344">
        <v>1.1666666666666701</v>
      </c>
      <c r="Z738" s="344">
        <v>0.233333333333333</v>
      </c>
      <c r="AA738" s="344">
        <v>0.233333333333333</v>
      </c>
      <c r="AB738" s="344">
        <v>0.233333333333333</v>
      </c>
      <c r="AC738" s="344">
        <v>0.233333333333333</v>
      </c>
      <c r="AD738" s="344">
        <f t="shared" si="64"/>
        <v>0</v>
      </c>
      <c r="AE738" s="346">
        <v>32</v>
      </c>
      <c r="AF738" s="346">
        <v>32</v>
      </c>
      <c r="AG738" s="346">
        <v>32</v>
      </c>
      <c r="AH738" s="346">
        <v>32</v>
      </c>
      <c r="AI738" s="346">
        <v>32</v>
      </c>
      <c r="AJ738" s="346">
        <v>32</v>
      </c>
      <c r="AK738" s="346">
        <v>32</v>
      </c>
      <c r="AL738" s="346">
        <v>32</v>
      </c>
      <c r="AM738" s="346">
        <v>32</v>
      </c>
      <c r="AN738" s="346">
        <v>32</v>
      </c>
      <c r="AO738" s="346">
        <v>32</v>
      </c>
      <c r="AP738" s="346">
        <v>8</v>
      </c>
      <c r="AQ738" s="357">
        <v>12</v>
      </c>
      <c r="AR738" s="357">
        <v>4</v>
      </c>
      <c r="AS738" s="357">
        <v>4</v>
      </c>
      <c r="AT738" s="357">
        <v>6</v>
      </c>
      <c r="AU738" s="357">
        <v>4</v>
      </c>
      <c r="AV738" s="357">
        <v>6</v>
      </c>
      <c r="AW738" s="357">
        <v>4</v>
      </c>
      <c r="AX738" s="357">
        <v>4</v>
      </c>
      <c r="AY738" s="357">
        <v>6</v>
      </c>
      <c r="AZ738" s="357">
        <v>4</v>
      </c>
      <c r="BA738" s="357">
        <v>8</v>
      </c>
      <c r="BB738" s="357">
        <v>5</v>
      </c>
      <c r="BC738" s="357">
        <v>4</v>
      </c>
    </row>
    <row r="739" spans="1:55" s="381" customFormat="1" ht="17.649999999999999" customHeight="1">
      <c r="A739" s="358"/>
      <c r="B739" s="197" t="s">
        <v>2388</v>
      </c>
      <c r="C739" s="211" t="s">
        <v>2055</v>
      </c>
      <c r="D739" s="211" t="s">
        <v>2056</v>
      </c>
      <c r="E739" s="360">
        <v>0</v>
      </c>
      <c r="F739" s="360">
        <v>0</v>
      </c>
      <c r="G739" s="360">
        <v>0</v>
      </c>
      <c r="H739" s="344">
        <v>0.233333333333333</v>
      </c>
      <c r="I739" s="344">
        <v>0.233333333333333</v>
      </c>
      <c r="J739" s="360">
        <v>0</v>
      </c>
      <c r="K739" s="344">
        <v>0.233333333333333</v>
      </c>
      <c r="L739" s="360">
        <v>0</v>
      </c>
      <c r="M739" s="360">
        <v>0</v>
      </c>
      <c r="N739" s="344">
        <v>0.233333333333333</v>
      </c>
      <c r="O739" s="344">
        <v>0.233333333333333</v>
      </c>
      <c r="P739" s="344">
        <v>0.233333333333333</v>
      </c>
      <c r="Q739" s="344">
        <v>0.233333333333333</v>
      </c>
      <c r="R739" s="344">
        <v>0.233333333333333</v>
      </c>
      <c r="S739" s="344">
        <v>0.233333333333333</v>
      </c>
      <c r="T739" s="344">
        <v>0.233333333333333</v>
      </c>
      <c r="U739" s="344">
        <v>0.233333333333333</v>
      </c>
      <c r="V739" s="344">
        <v>0.233333333333333</v>
      </c>
      <c r="W739" s="344">
        <v>0.233333333333333</v>
      </c>
      <c r="X739" s="344">
        <v>0.233333333333333</v>
      </c>
      <c r="Y739" s="344">
        <v>0.233333333333333</v>
      </c>
      <c r="Z739" s="344">
        <v>0.233333333333333</v>
      </c>
      <c r="AA739" s="344">
        <v>0.233333333333333</v>
      </c>
      <c r="AB739" s="344">
        <v>0.233333333333333</v>
      </c>
      <c r="AC739" s="344">
        <v>0.233333333333333</v>
      </c>
      <c r="AD739" s="344">
        <f t="shared" si="64"/>
        <v>0</v>
      </c>
      <c r="AE739" s="346">
        <v>2</v>
      </c>
      <c r="AF739" s="346">
        <v>2</v>
      </c>
      <c r="AG739" s="346">
        <v>2</v>
      </c>
      <c r="AH739" s="346">
        <v>2</v>
      </c>
      <c r="AI739" s="346">
        <v>2</v>
      </c>
      <c r="AJ739" s="346">
        <v>2</v>
      </c>
      <c r="AK739" s="346">
        <v>2</v>
      </c>
      <c r="AL739" s="346">
        <v>2</v>
      </c>
      <c r="AM739" s="346">
        <v>2</v>
      </c>
      <c r="AN739" s="346">
        <v>2</v>
      </c>
      <c r="AO739" s="346">
        <v>2</v>
      </c>
      <c r="AP739" s="357">
        <v>7</v>
      </c>
      <c r="AQ739" s="357">
        <v>2</v>
      </c>
      <c r="AR739" s="357">
        <v>2</v>
      </c>
      <c r="AS739" s="357">
        <v>2</v>
      </c>
      <c r="AT739" s="357">
        <v>2</v>
      </c>
      <c r="AU739" s="357">
        <v>2</v>
      </c>
      <c r="AV739" s="357">
        <v>2</v>
      </c>
      <c r="AW739" s="357">
        <v>2</v>
      </c>
      <c r="AX739" s="357">
        <v>1</v>
      </c>
      <c r="AY739" s="357">
        <v>1</v>
      </c>
      <c r="AZ739" s="357">
        <v>2</v>
      </c>
      <c r="BA739" s="357">
        <v>1</v>
      </c>
      <c r="BB739" s="357">
        <v>1</v>
      </c>
      <c r="BC739" s="357">
        <v>1</v>
      </c>
    </row>
    <row r="740" spans="1:55" s="381" customFormat="1" ht="17.649999999999999" customHeight="1">
      <c r="A740" s="358"/>
      <c r="B740" s="197" t="s">
        <v>2389</v>
      </c>
      <c r="C740" s="211" t="s">
        <v>2055</v>
      </c>
      <c r="D740" s="211" t="s">
        <v>2056</v>
      </c>
      <c r="E740" s="360">
        <v>1</v>
      </c>
      <c r="F740" s="360">
        <v>1</v>
      </c>
      <c r="G740" s="360">
        <v>1</v>
      </c>
      <c r="H740" s="344">
        <v>1.1666666666666701</v>
      </c>
      <c r="I740" s="344">
        <v>1.1666666666666701</v>
      </c>
      <c r="J740" s="360">
        <v>1</v>
      </c>
      <c r="K740" s="344">
        <v>1.1666666666666701</v>
      </c>
      <c r="L740" s="360">
        <v>1</v>
      </c>
      <c r="M740" s="360">
        <v>1</v>
      </c>
      <c r="N740" s="344">
        <v>1.1666666666666701</v>
      </c>
      <c r="O740" s="344">
        <v>1.1666666666666701</v>
      </c>
      <c r="P740" s="344">
        <v>0.233333333333333</v>
      </c>
      <c r="Q740" s="344">
        <v>0.233333333333333</v>
      </c>
      <c r="R740" s="344">
        <v>0.233333333333333</v>
      </c>
      <c r="S740" s="344">
        <v>0.233333333333333</v>
      </c>
      <c r="T740" s="344">
        <v>1.86666666666667</v>
      </c>
      <c r="U740" s="344">
        <v>2.1</v>
      </c>
      <c r="V740" s="344">
        <v>2.3333333333333299</v>
      </c>
      <c r="W740" s="344">
        <v>2.56666666666667</v>
      </c>
      <c r="X740" s="344">
        <v>2.1</v>
      </c>
      <c r="Y740" s="344">
        <v>1.1666666666666701</v>
      </c>
      <c r="Z740" s="344">
        <v>0.233333333333333</v>
      </c>
      <c r="AA740" s="344">
        <v>0.233333333333333</v>
      </c>
      <c r="AB740" s="344">
        <v>0.233333333333333</v>
      </c>
      <c r="AC740" s="344">
        <v>0.233333333333333</v>
      </c>
      <c r="AD740" s="344">
        <f t="shared" si="64"/>
        <v>0</v>
      </c>
      <c r="AE740" s="346">
        <v>3</v>
      </c>
      <c r="AF740" s="346">
        <v>3</v>
      </c>
      <c r="AG740" s="346">
        <v>3</v>
      </c>
      <c r="AH740" s="346">
        <v>3</v>
      </c>
      <c r="AI740" s="346">
        <v>3</v>
      </c>
      <c r="AJ740" s="346">
        <v>3</v>
      </c>
      <c r="AK740" s="346">
        <v>3</v>
      </c>
      <c r="AL740" s="346">
        <v>3</v>
      </c>
      <c r="AM740" s="346">
        <v>3</v>
      </c>
      <c r="AN740" s="346">
        <v>3</v>
      </c>
      <c r="AO740" s="346">
        <v>3</v>
      </c>
      <c r="AP740" s="346">
        <v>3</v>
      </c>
      <c r="AQ740" s="357">
        <v>3</v>
      </c>
      <c r="AR740" s="357">
        <v>3</v>
      </c>
      <c r="AS740" s="357">
        <v>3</v>
      </c>
      <c r="AT740" s="357">
        <v>3</v>
      </c>
      <c r="AU740" s="357">
        <v>3</v>
      </c>
      <c r="AV740" s="357">
        <v>3</v>
      </c>
      <c r="AW740" s="357">
        <v>3</v>
      </c>
      <c r="AX740" s="357">
        <v>3</v>
      </c>
      <c r="AY740" s="357">
        <v>3</v>
      </c>
      <c r="AZ740" s="357">
        <v>2</v>
      </c>
      <c r="BA740" s="357">
        <v>5</v>
      </c>
      <c r="BB740" s="357">
        <v>2</v>
      </c>
      <c r="BC740" s="357">
        <v>6</v>
      </c>
    </row>
    <row r="741" spans="1:55" s="381" customFormat="1" ht="17.649999999999999" customHeight="1">
      <c r="A741" s="358"/>
      <c r="B741" s="197" t="s">
        <v>2390</v>
      </c>
      <c r="C741" s="211" t="s">
        <v>2055</v>
      </c>
      <c r="D741" s="211" t="s">
        <v>2056</v>
      </c>
      <c r="E741" s="360">
        <v>0</v>
      </c>
      <c r="F741" s="360">
        <v>0</v>
      </c>
      <c r="G741" s="360">
        <v>0</v>
      </c>
      <c r="H741" s="344">
        <v>0.233333333333333</v>
      </c>
      <c r="I741" s="344">
        <v>0.233333333333333</v>
      </c>
      <c r="J741" s="360">
        <v>0</v>
      </c>
      <c r="K741" s="344">
        <v>0.233333333333333</v>
      </c>
      <c r="L741" s="360">
        <v>0</v>
      </c>
      <c r="M741" s="360">
        <v>0</v>
      </c>
      <c r="N741" s="344">
        <v>0.233333333333333</v>
      </c>
      <c r="O741" s="344">
        <v>0.233333333333333</v>
      </c>
      <c r="P741" s="344">
        <v>0.233333333333333</v>
      </c>
      <c r="Q741" s="344">
        <v>0.233333333333333</v>
      </c>
      <c r="R741" s="344">
        <v>0.233333333333333</v>
      </c>
      <c r="S741" s="344">
        <v>0.233333333333333</v>
      </c>
      <c r="T741" s="344">
        <v>0.233333333333333</v>
      </c>
      <c r="U741" s="344">
        <v>0.233333333333333</v>
      </c>
      <c r="V741" s="344">
        <v>0.233333333333333</v>
      </c>
      <c r="W741" s="344">
        <v>0.233333333333333</v>
      </c>
      <c r="X741" s="344">
        <v>0.233333333333333</v>
      </c>
      <c r="Y741" s="344">
        <v>0.233333333333333</v>
      </c>
      <c r="Z741" s="344">
        <v>0.233333333333333</v>
      </c>
      <c r="AA741" s="344">
        <v>0.233333333333333</v>
      </c>
      <c r="AB741" s="344">
        <v>0.233333333333333</v>
      </c>
      <c r="AC741" s="344">
        <v>0.233333333333333</v>
      </c>
      <c r="AD741" s="344">
        <f t="shared" si="64"/>
        <v>0</v>
      </c>
      <c r="AE741" s="346">
        <v>1</v>
      </c>
      <c r="AF741" s="346">
        <v>1</v>
      </c>
      <c r="AG741" s="346">
        <v>1</v>
      </c>
      <c r="AH741" s="346">
        <v>1</v>
      </c>
      <c r="AI741" s="346">
        <v>1</v>
      </c>
      <c r="AJ741" s="346">
        <v>1</v>
      </c>
      <c r="AK741" s="346">
        <v>1</v>
      </c>
      <c r="AL741" s="346">
        <v>1</v>
      </c>
      <c r="AM741" s="346">
        <v>1</v>
      </c>
      <c r="AN741" s="346">
        <v>1</v>
      </c>
      <c r="AO741" s="346">
        <v>1</v>
      </c>
      <c r="AP741" s="357">
        <v>1</v>
      </c>
      <c r="AQ741" s="357">
        <v>1</v>
      </c>
      <c r="AR741" s="357">
        <v>1</v>
      </c>
      <c r="AS741" s="357">
        <v>1</v>
      </c>
      <c r="AT741" s="357">
        <v>1</v>
      </c>
      <c r="AU741" s="357">
        <v>1</v>
      </c>
      <c r="AV741" s="357">
        <v>1</v>
      </c>
      <c r="AW741" s="357">
        <v>1</v>
      </c>
      <c r="AX741" s="357">
        <v>1</v>
      </c>
      <c r="AY741" s="357">
        <v>1</v>
      </c>
      <c r="AZ741" s="357">
        <v>1</v>
      </c>
      <c r="BA741" s="357">
        <v>1</v>
      </c>
      <c r="BB741" s="357">
        <v>1</v>
      </c>
      <c r="BC741" s="357">
        <v>1</v>
      </c>
    </row>
    <row r="742" spans="1:55" s="381" customFormat="1" ht="17.649999999999999" customHeight="1">
      <c r="A742" s="358"/>
      <c r="B742" s="197" t="s">
        <v>2391</v>
      </c>
      <c r="C742" s="211" t="s">
        <v>2055</v>
      </c>
      <c r="D742" s="211" t="s">
        <v>2056</v>
      </c>
      <c r="E742" s="360">
        <v>0</v>
      </c>
      <c r="F742" s="360">
        <v>0</v>
      </c>
      <c r="G742" s="360">
        <v>0</v>
      </c>
      <c r="H742" s="344">
        <v>0.233333333333333</v>
      </c>
      <c r="I742" s="344">
        <v>0.233333333333333</v>
      </c>
      <c r="J742" s="360">
        <v>0</v>
      </c>
      <c r="K742" s="344">
        <v>0.233333333333333</v>
      </c>
      <c r="L742" s="360">
        <v>0</v>
      </c>
      <c r="M742" s="360">
        <v>0</v>
      </c>
      <c r="N742" s="344">
        <v>0.233333333333333</v>
      </c>
      <c r="O742" s="344">
        <v>0.233333333333333</v>
      </c>
      <c r="P742" s="344">
        <v>0.233333333333333</v>
      </c>
      <c r="Q742" s="344">
        <v>0.233333333333333</v>
      </c>
      <c r="R742" s="344">
        <v>0.233333333333333</v>
      </c>
      <c r="S742" s="344">
        <v>0.233333333333333</v>
      </c>
      <c r="T742" s="344">
        <v>0.233333333333333</v>
      </c>
      <c r="U742" s="344">
        <v>0.233333333333333</v>
      </c>
      <c r="V742" s="344">
        <v>0.233333333333333</v>
      </c>
      <c r="W742" s="344">
        <v>0.233333333333333</v>
      </c>
      <c r="X742" s="344">
        <v>0.233333333333333</v>
      </c>
      <c r="Y742" s="344">
        <v>0.233333333333333</v>
      </c>
      <c r="Z742" s="344">
        <v>0.233333333333333</v>
      </c>
      <c r="AA742" s="344">
        <v>0.233333333333333</v>
      </c>
      <c r="AB742" s="344">
        <v>0.233333333333333</v>
      </c>
      <c r="AC742" s="344">
        <v>0.233333333333333</v>
      </c>
      <c r="AD742" s="344">
        <f t="shared" si="64"/>
        <v>0</v>
      </c>
      <c r="AE742" s="346">
        <v>2</v>
      </c>
      <c r="AF742" s="346">
        <v>2</v>
      </c>
      <c r="AG742" s="346">
        <v>2</v>
      </c>
      <c r="AH742" s="346">
        <v>2</v>
      </c>
      <c r="AI742" s="346">
        <v>2</v>
      </c>
      <c r="AJ742" s="346">
        <v>2</v>
      </c>
      <c r="AK742" s="346">
        <v>2</v>
      </c>
      <c r="AL742" s="346">
        <v>2</v>
      </c>
      <c r="AM742" s="346">
        <v>2</v>
      </c>
      <c r="AN742" s="346">
        <v>2</v>
      </c>
      <c r="AO742" s="346">
        <v>2</v>
      </c>
      <c r="AP742" s="346">
        <v>2</v>
      </c>
      <c r="AQ742" s="357">
        <v>2</v>
      </c>
      <c r="AR742" s="357">
        <v>2</v>
      </c>
      <c r="AS742" s="357">
        <v>2</v>
      </c>
      <c r="AT742" s="357">
        <v>2</v>
      </c>
      <c r="AU742" s="357">
        <v>9</v>
      </c>
      <c r="AV742" s="357">
        <v>2</v>
      </c>
      <c r="AW742" s="357">
        <v>2</v>
      </c>
      <c r="AX742" s="357">
        <v>2</v>
      </c>
      <c r="AY742" s="357">
        <v>2</v>
      </c>
      <c r="AZ742" s="357">
        <v>2</v>
      </c>
      <c r="BA742" s="357">
        <v>2</v>
      </c>
      <c r="BB742" s="357">
        <v>3</v>
      </c>
      <c r="BC742" s="357">
        <v>8</v>
      </c>
    </row>
    <row r="743" spans="1:55" s="381" customFormat="1" ht="17.649999999999999" customHeight="1">
      <c r="A743" s="358"/>
      <c r="B743" s="197" t="s">
        <v>2392</v>
      </c>
      <c r="C743" s="211" t="s">
        <v>2055</v>
      </c>
      <c r="D743" s="211" t="s">
        <v>2056</v>
      </c>
      <c r="E743" s="360">
        <v>0</v>
      </c>
      <c r="F743" s="360">
        <v>0</v>
      </c>
      <c r="G743" s="360">
        <v>0</v>
      </c>
      <c r="H743" s="344">
        <v>0.233333333333333</v>
      </c>
      <c r="I743" s="344">
        <v>0.233333333333333</v>
      </c>
      <c r="J743" s="360">
        <v>0</v>
      </c>
      <c r="K743" s="344">
        <v>0.233333333333333</v>
      </c>
      <c r="L743" s="360">
        <v>0</v>
      </c>
      <c r="M743" s="360">
        <v>0</v>
      </c>
      <c r="N743" s="344">
        <v>0.233333333333333</v>
      </c>
      <c r="O743" s="344">
        <v>0.233333333333333</v>
      </c>
      <c r="P743" s="344">
        <v>0.233333333333333</v>
      </c>
      <c r="Q743" s="344">
        <v>0.233333333333333</v>
      </c>
      <c r="R743" s="344">
        <v>0.233333333333333</v>
      </c>
      <c r="S743" s="344">
        <v>0.233333333333333</v>
      </c>
      <c r="T743" s="344">
        <v>0.233333333333333</v>
      </c>
      <c r="U743" s="344">
        <v>0.233333333333333</v>
      </c>
      <c r="V743" s="344">
        <v>0.233333333333333</v>
      </c>
      <c r="W743" s="344">
        <v>0.233333333333333</v>
      </c>
      <c r="X743" s="344">
        <v>0.233333333333333</v>
      </c>
      <c r="Y743" s="344">
        <v>0.233333333333333</v>
      </c>
      <c r="Z743" s="344">
        <v>0.233333333333333</v>
      </c>
      <c r="AA743" s="344">
        <v>0.233333333333333</v>
      </c>
      <c r="AB743" s="344">
        <v>0.233333333333333</v>
      </c>
      <c r="AC743" s="344">
        <v>0.233333333333333</v>
      </c>
      <c r="AD743" s="344">
        <f t="shared" si="64"/>
        <v>0</v>
      </c>
      <c r="AE743" s="346">
        <v>4</v>
      </c>
      <c r="AF743" s="346">
        <v>4</v>
      </c>
      <c r="AG743" s="346">
        <v>4</v>
      </c>
      <c r="AH743" s="346">
        <v>4</v>
      </c>
      <c r="AI743" s="346">
        <v>4</v>
      </c>
      <c r="AJ743" s="346">
        <v>4</v>
      </c>
      <c r="AK743" s="346">
        <v>4</v>
      </c>
      <c r="AL743" s="346">
        <v>4</v>
      </c>
      <c r="AM743" s="346">
        <v>4</v>
      </c>
      <c r="AN743" s="346">
        <v>4</v>
      </c>
      <c r="AO743" s="346">
        <v>4</v>
      </c>
      <c r="AP743" s="346">
        <v>4</v>
      </c>
      <c r="AQ743" s="357">
        <v>6</v>
      </c>
      <c r="AR743" s="357">
        <v>4</v>
      </c>
      <c r="AS743" s="357">
        <v>10</v>
      </c>
      <c r="AT743" s="357">
        <v>4</v>
      </c>
      <c r="AU743" s="357">
        <v>4</v>
      </c>
      <c r="AV743" s="357">
        <v>10</v>
      </c>
      <c r="AW743" s="357">
        <v>4</v>
      </c>
      <c r="AX743" s="357">
        <v>4</v>
      </c>
      <c r="AY743" s="357">
        <v>4</v>
      </c>
      <c r="AZ743" s="357">
        <v>3</v>
      </c>
      <c r="BA743" s="357">
        <v>7</v>
      </c>
      <c r="BB743" s="357">
        <v>2</v>
      </c>
      <c r="BC743" s="357">
        <v>10</v>
      </c>
    </row>
    <row r="744" spans="1:55" s="381" customFormat="1" ht="17.649999999999999" customHeight="1">
      <c r="A744" s="358"/>
      <c r="B744" s="197" t="s">
        <v>2393</v>
      </c>
      <c r="C744" s="211" t="s">
        <v>2055</v>
      </c>
      <c r="D744" s="211" t="s">
        <v>2056</v>
      </c>
      <c r="E744" s="360">
        <v>0</v>
      </c>
      <c r="F744" s="360">
        <v>0</v>
      </c>
      <c r="G744" s="360">
        <v>0</v>
      </c>
      <c r="H744" s="344">
        <v>0.233333333333333</v>
      </c>
      <c r="I744" s="344">
        <v>0.233333333333333</v>
      </c>
      <c r="J744" s="360">
        <v>0</v>
      </c>
      <c r="K744" s="344">
        <v>0.233333333333333</v>
      </c>
      <c r="L744" s="360">
        <v>0</v>
      </c>
      <c r="M744" s="360">
        <v>0</v>
      </c>
      <c r="N744" s="344">
        <v>0.233333333333333</v>
      </c>
      <c r="O744" s="344">
        <v>0.233333333333333</v>
      </c>
      <c r="P744" s="344">
        <v>0.233333333333333</v>
      </c>
      <c r="Q744" s="344">
        <v>0.233333333333333</v>
      </c>
      <c r="R744" s="344">
        <v>0.233333333333333</v>
      </c>
      <c r="S744" s="344">
        <v>0.233333333333333</v>
      </c>
      <c r="T744" s="344">
        <v>1.1666666666666701</v>
      </c>
      <c r="U744" s="344">
        <v>0.233333333333333</v>
      </c>
      <c r="V744" s="344">
        <v>0.233333333333333</v>
      </c>
      <c r="W744" s="344">
        <v>0.233333333333333</v>
      </c>
      <c r="X744" s="344">
        <v>0.233333333333333</v>
      </c>
      <c r="Y744" s="344">
        <v>0.233333333333333</v>
      </c>
      <c r="Z744" s="344">
        <v>0.233333333333333</v>
      </c>
      <c r="AA744" s="344">
        <v>0.233333333333333</v>
      </c>
      <c r="AB744" s="344">
        <v>0.233333333333333</v>
      </c>
      <c r="AC744" s="344">
        <v>0.233333333333333</v>
      </c>
      <c r="AD744" s="344">
        <f t="shared" si="64"/>
        <v>0</v>
      </c>
      <c r="AE744" s="346">
        <v>5</v>
      </c>
      <c r="AF744" s="346">
        <v>5</v>
      </c>
      <c r="AG744" s="346">
        <v>5</v>
      </c>
      <c r="AH744" s="346">
        <v>5</v>
      </c>
      <c r="AI744" s="346">
        <v>5</v>
      </c>
      <c r="AJ744" s="346">
        <v>5</v>
      </c>
      <c r="AK744" s="346">
        <v>5</v>
      </c>
      <c r="AL744" s="346">
        <v>5</v>
      </c>
      <c r="AM744" s="346">
        <v>5</v>
      </c>
      <c r="AN744" s="346">
        <v>5</v>
      </c>
      <c r="AO744" s="346">
        <v>5</v>
      </c>
      <c r="AP744" s="346">
        <v>4</v>
      </c>
      <c r="AQ744" s="357">
        <v>5</v>
      </c>
      <c r="AR744" s="357">
        <v>5</v>
      </c>
      <c r="AS744" s="357">
        <v>3</v>
      </c>
      <c r="AT744" s="357">
        <v>4</v>
      </c>
      <c r="AU744" s="357">
        <v>4</v>
      </c>
      <c r="AV744" s="357">
        <v>5</v>
      </c>
      <c r="AW744" s="357">
        <v>5</v>
      </c>
      <c r="AX744" s="357">
        <v>11</v>
      </c>
      <c r="AY744" s="357">
        <v>5</v>
      </c>
      <c r="AZ744" s="357">
        <v>11</v>
      </c>
      <c r="BA744" s="357">
        <v>4</v>
      </c>
      <c r="BB744" s="357">
        <v>3</v>
      </c>
      <c r="BC744" s="357">
        <v>4</v>
      </c>
    </row>
    <row r="745" spans="1:55" s="381" customFormat="1" ht="17.649999999999999" customHeight="1">
      <c r="A745" s="358"/>
      <c r="B745" s="197" t="s">
        <v>2394</v>
      </c>
      <c r="C745" s="211" t="s">
        <v>2055</v>
      </c>
      <c r="D745" s="211" t="s">
        <v>2056</v>
      </c>
      <c r="E745" s="360">
        <v>0</v>
      </c>
      <c r="F745" s="360">
        <v>0</v>
      </c>
      <c r="G745" s="360">
        <v>0</v>
      </c>
      <c r="H745" s="344">
        <v>0.233333333333333</v>
      </c>
      <c r="I745" s="344">
        <v>0.233333333333333</v>
      </c>
      <c r="J745" s="360">
        <v>0</v>
      </c>
      <c r="K745" s="344">
        <v>0.233333333333333</v>
      </c>
      <c r="L745" s="360">
        <v>0</v>
      </c>
      <c r="M745" s="360">
        <v>0</v>
      </c>
      <c r="N745" s="344">
        <v>0.233333333333333</v>
      </c>
      <c r="O745" s="344">
        <v>0.233333333333333</v>
      </c>
      <c r="P745" s="344">
        <v>0.233333333333333</v>
      </c>
      <c r="Q745" s="344">
        <v>0.233333333333333</v>
      </c>
      <c r="R745" s="344">
        <v>0.233333333333333</v>
      </c>
      <c r="S745" s="344">
        <v>0.233333333333333</v>
      </c>
      <c r="T745" s="344">
        <v>0.233333333333333</v>
      </c>
      <c r="U745" s="344">
        <v>1.1666666666666701</v>
      </c>
      <c r="V745" s="344">
        <v>1.1666666666666701</v>
      </c>
      <c r="W745" s="344">
        <v>1.1666666666666701</v>
      </c>
      <c r="X745" s="344">
        <v>1.4</v>
      </c>
      <c r="Y745" s="344">
        <v>0.233333333333333</v>
      </c>
      <c r="Z745" s="344">
        <v>0.233333333333333</v>
      </c>
      <c r="AA745" s="344">
        <v>0.233333333333333</v>
      </c>
      <c r="AB745" s="344">
        <v>0.233333333333333</v>
      </c>
      <c r="AC745" s="344">
        <v>0.233333333333333</v>
      </c>
      <c r="AD745" s="344">
        <f t="shared" si="64"/>
        <v>0</v>
      </c>
      <c r="AE745" s="346">
        <v>3</v>
      </c>
      <c r="AF745" s="346">
        <v>3</v>
      </c>
      <c r="AG745" s="346">
        <v>3</v>
      </c>
      <c r="AH745" s="346">
        <v>3</v>
      </c>
      <c r="AI745" s="346">
        <v>3</v>
      </c>
      <c r="AJ745" s="346">
        <v>3</v>
      </c>
      <c r="AK745" s="346">
        <v>3</v>
      </c>
      <c r="AL745" s="346">
        <v>3</v>
      </c>
      <c r="AM745" s="346">
        <v>3</v>
      </c>
      <c r="AN745" s="346">
        <v>3</v>
      </c>
      <c r="AO745" s="346">
        <v>3</v>
      </c>
      <c r="AP745" s="346">
        <v>10</v>
      </c>
      <c r="AQ745" s="357">
        <v>3</v>
      </c>
      <c r="AR745" s="357">
        <v>10</v>
      </c>
      <c r="AS745" s="357">
        <v>10</v>
      </c>
      <c r="AT745" s="357">
        <v>2</v>
      </c>
      <c r="AU745" s="357">
        <v>1</v>
      </c>
      <c r="AV745" s="357">
        <v>1</v>
      </c>
      <c r="AW745" s="357">
        <v>1</v>
      </c>
      <c r="AX745" s="357">
        <v>1</v>
      </c>
      <c r="AY745" s="357">
        <v>1</v>
      </c>
      <c r="AZ745" s="357">
        <v>1</v>
      </c>
      <c r="BA745" s="357">
        <v>8</v>
      </c>
      <c r="BB745" s="357">
        <v>1</v>
      </c>
      <c r="BC745" s="357">
        <v>9</v>
      </c>
    </row>
    <row r="746" spans="1:55" s="381" customFormat="1" ht="17.649999999999999" customHeight="1">
      <c r="A746" s="358"/>
      <c r="B746" s="197" t="s">
        <v>2395</v>
      </c>
      <c r="C746" s="211" t="s">
        <v>2055</v>
      </c>
      <c r="D746" s="211" t="s">
        <v>2056</v>
      </c>
      <c r="E746" s="360">
        <v>0</v>
      </c>
      <c r="F746" s="360">
        <v>0</v>
      </c>
      <c r="G746" s="360">
        <v>0</v>
      </c>
      <c r="H746" s="344">
        <v>0.233333333333333</v>
      </c>
      <c r="I746" s="344">
        <v>0.233333333333333</v>
      </c>
      <c r="J746" s="360">
        <v>0</v>
      </c>
      <c r="K746" s="344">
        <v>0.233333333333333</v>
      </c>
      <c r="L746" s="360">
        <v>0</v>
      </c>
      <c r="M746" s="360">
        <v>0</v>
      </c>
      <c r="N746" s="344">
        <v>0.233333333333333</v>
      </c>
      <c r="O746" s="344">
        <v>0.233333333333333</v>
      </c>
      <c r="P746" s="344">
        <v>0.233333333333333</v>
      </c>
      <c r="Q746" s="344">
        <v>0.233333333333333</v>
      </c>
      <c r="R746" s="344">
        <v>1.1666666666666701</v>
      </c>
      <c r="S746" s="344">
        <v>1.4</v>
      </c>
      <c r="T746" s="344">
        <v>2.1</v>
      </c>
      <c r="U746" s="344">
        <v>2.3333333333333299</v>
      </c>
      <c r="V746" s="344">
        <v>2.3333333333333299</v>
      </c>
      <c r="W746" s="344">
        <v>1.86666666666667</v>
      </c>
      <c r="X746" s="344">
        <v>1.4</v>
      </c>
      <c r="Y746" s="344">
        <v>1.1666666666666701</v>
      </c>
      <c r="Z746" s="344">
        <v>1.4</v>
      </c>
      <c r="AA746" s="344">
        <v>1.1666666666666701</v>
      </c>
      <c r="AB746" s="344">
        <v>1.1666666666666701</v>
      </c>
      <c r="AC746" s="344">
        <v>1.1666666666666701</v>
      </c>
      <c r="AD746" s="344">
        <f t="shared" si="64"/>
        <v>0</v>
      </c>
      <c r="AE746" s="346">
        <v>21</v>
      </c>
      <c r="AF746" s="346">
        <v>21</v>
      </c>
      <c r="AG746" s="346">
        <v>21</v>
      </c>
      <c r="AH746" s="346">
        <v>21</v>
      </c>
      <c r="AI746" s="346">
        <v>21</v>
      </c>
      <c r="AJ746" s="346">
        <v>21</v>
      </c>
      <c r="AK746" s="346">
        <v>21</v>
      </c>
      <c r="AL746" s="346">
        <v>21</v>
      </c>
      <c r="AM746" s="346">
        <v>21</v>
      </c>
      <c r="AN746" s="346">
        <v>21</v>
      </c>
      <c r="AO746" s="346">
        <v>21</v>
      </c>
      <c r="AP746" s="346">
        <v>7</v>
      </c>
      <c r="AQ746" s="357">
        <v>26</v>
      </c>
      <c r="AR746" s="357">
        <v>10</v>
      </c>
      <c r="AS746" s="357">
        <v>2</v>
      </c>
      <c r="AT746" s="357">
        <v>10</v>
      </c>
      <c r="AU746" s="357">
        <v>28</v>
      </c>
      <c r="AV746" s="357">
        <v>4</v>
      </c>
      <c r="AW746" s="357">
        <v>4</v>
      </c>
      <c r="AX746" s="357">
        <v>3</v>
      </c>
      <c r="AY746" s="357">
        <v>1</v>
      </c>
      <c r="AZ746" s="211">
        <v>51</v>
      </c>
      <c r="BA746" s="211">
        <v>51</v>
      </c>
      <c r="BB746" s="357">
        <v>1</v>
      </c>
      <c r="BC746" s="357">
        <v>1</v>
      </c>
    </row>
    <row r="747" spans="1:55" s="381" customFormat="1" ht="17.649999999999999" customHeight="1">
      <c r="A747" s="358"/>
      <c r="B747" s="197" t="s">
        <v>2396</v>
      </c>
      <c r="C747" s="211" t="s">
        <v>2055</v>
      </c>
      <c r="D747" s="211" t="s">
        <v>2056</v>
      </c>
      <c r="E747" s="360">
        <v>0</v>
      </c>
      <c r="F747" s="360">
        <v>0</v>
      </c>
      <c r="G747" s="360">
        <v>0</v>
      </c>
      <c r="H747" s="344">
        <v>0.233333333333333</v>
      </c>
      <c r="I747" s="344">
        <v>0.233333333333333</v>
      </c>
      <c r="J747" s="360">
        <v>0</v>
      </c>
      <c r="K747" s="344">
        <v>0.233333333333333</v>
      </c>
      <c r="L747" s="360">
        <v>0</v>
      </c>
      <c r="M747" s="360">
        <v>0</v>
      </c>
      <c r="N747" s="344">
        <v>0.233333333333333</v>
      </c>
      <c r="O747" s="344">
        <v>0.233333333333333</v>
      </c>
      <c r="P747" s="344">
        <v>0.233333333333333</v>
      </c>
      <c r="Q747" s="344">
        <v>0.233333333333333</v>
      </c>
      <c r="R747" s="344">
        <v>0.233333333333333</v>
      </c>
      <c r="S747" s="344">
        <v>0.233333333333333</v>
      </c>
      <c r="T747" s="344">
        <v>0.233333333333333</v>
      </c>
      <c r="U747" s="344">
        <v>0.233333333333333</v>
      </c>
      <c r="V747" s="344">
        <v>0.233333333333333</v>
      </c>
      <c r="W747" s="344">
        <v>0.233333333333333</v>
      </c>
      <c r="X747" s="344">
        <v>0.233333333333333</v>
      </c>
      <c r="Y747" s="344">
        <v>0.233333333333333</v>
      </c>
      <c r="Z747" s="344">
        <v>0.233333333333333</v>
      </c>
      <c r="AA747" s="344">
        <v>0.233333333333333</v>
      </c>
      <c r="AB747" s="344">
        <v>0.233333333333333</v>
      </c>
      <c r="AC747" s="344">
        <v>0.233333333333333</v>
      </c>
      <c r="AD747" s="344">
        <f t="shared" si="64"/>
        <v>0</v>
      </c>
      <c r="AE747" s="346">
        <v>6</v>
      </c>
      <c r="AF747" s="346">
        <v>6</v>
      </c>
      <c r="AG747" s="346">
        <v>6</v>
      </c>
      <c r="AH747" s="346">
        <v>6</v>
      </c>
      <c r="AI747" s="346">
        <v>6</v>
      </c>
      <c r="AJ747" s="346">
        <v>6</v>
      </c>
      <c r="AK747" s="346">
        <v>6</v>
      </c>
      <c r="AL747" s="346">
        <v>6</v>
      </c>
      <c r="AM747" s="346">
        <v>6</v>
      </c>
      <c r="AN747" s="346">
        <v>6</v>
      </c>
      <c r="AO747" s="346">
        <v>6</v>
      </c>
      <c r="AP747" s="346">
        <v>1</v>
      </c>
      <c r="AQ747" s="357">
        <v>1</v>
      </c>
      <c r="AR747" s="357">
        <v>1</v>
      </c>
      <c r="AS747" s="357">
        <v>1</v>
      </c>
      <c r="AT747" s="357">
        <v>1</v>
      </c>
      <c r="AU747" s="211">
        <v>1</v>
      </c>
      <c r="AV747" s="357">
        <v>1</v>
      </c>
      <c r="AW747" s="357">
        <v>1</v>
      </c>
      <c r="AX747" s="357">
        <v>1</v>
      </c>
      <c r="AY747" s="357">
        <v>9</v>
      </c>
      <c r="AZ747" s="357">
        <v>2</v>
      </c>
      <c r="BA747" s="357">
        <v>1</v>
      </c>
      <c r="BB747" s="357">
        <v>1</v>
      </c>
      <c r="BC747" s="357">
        <v>2</v>
      </c>
    </row>
    <row r="748" spans="1:55" s="381" customFormat="1" ht="17.649999999999999" customHeight="1">
      <c r="A748" s="358"/>
      <c r="B748" s="197" t="s">
        <v>2397</v>
      </c>
      <c r="C748" s="211" t="s">
        <v>2055</v>
      </c>
      <c r="D748" s="211" t="s">
        <v>2056</v>
      </c>
      <c r="E748" s="360">
        <v>54</v>
      </c>
      <c r="F748" s="360">
        <v>65</v>
      </c>
      <c r="G748" s="360">
        <v>68</v>
      </c>
      <c r="H748" s="344">
        <v>90.066666666666706</v>
      </c>
      <c r="I748" s="344">
        <v>90.066666666666706</v>
      </c>
      <c r="J748" s="360">
        <v>45</v>
      </c>
      <c r="K748" s="344">
        <v>90.066666666666706</v>
      </c>
      <c r="L748" s="360">
        <v>83</v>
      </c>
      <c r="M748" s="360">
        <v>81</v>
      </c>
      <c r="N748" s="344">
        <v>90.066666666666706</v>
      </c>
      <c r="O748" s="344">
        <v>90.066666666666706</v>
      </c>
      <c r="P748" s="344">
        <v>90.066666666666706</v>
      </c>
      <c r="Q748" s="344">
        <v>96.6</v>
      </c>
      <c r="R748" s="344">
        <v>83.533333333333303</v>
      </c>
      <c r="S748" s="344">
        <v>80.5</v>
      </c>
      <c r="T748" s="344">
        <v>74.6666666666667</v>
      </c>
      <c r="U748" s="344">
        <v>74.900000000000006</v>
      </c>
      <c r="V748" s="344">
        <v>103.366666666667</v>
      </c>
      <c r="W748" s="344">
        <v>112.7</v>
      </c>
      <c r="X748" s="344">
        <v>130.9</v>
      </c>
      <c r="Y748" s="344">
        <v>153.53333333333299</v>
      </c>
      <c r="Z748" s="344">
        <v>151.433333333333</v>
      </c>
      <c r="AA748" s="344">
        <v>157.26666666666699</v>
      </c>
      <c r="AB748" s="344">
        <v>166.13333333333301</v>
      </c>
      <c r="AC748" s="344">
        <v>162.4</v>
      </c>
      <c r="AD748" s="344">
        <f t="shared" si="64"/>
        <v>-3.7333333333330074</v>
      </c>
      <c r="AE748" s="346">
        <v>4</v>
      </c>
      <c r="AF748" s="346">
        <v>4</v>
      </c>
      <c r="AG748" s="346">
        <v>4</v>
      </c>
      <c r="AH748" s="346">
        <v>4</v>
      </c>
      <c r="AI748" s="346">
        <v>4</v>
      </c>
      <c r="AJ748" s="346">
        <v>4</v>
      </c>
      <c r="AK748" s="346">
        <v>4</v>
      </c>
      <c r="AL748" s="346">
        <v>4</v>
      </c>
      <c r="AM748" s="346">
        <v>4</v>
      </c>
      <c r="AN748" s="346">
        <v>4</v>
      </c>
      <c r="AO748" s="346">
        <v>4</v>
      </c>
      <c r="AP748" s="346">
        <v>4</v>
      </c>
      <c r="AQ748" s="357">
        <v>6</v>
      </c>
      <c r="AR748" s="357">
        <v>4</v>
      </c>
      <c r="AS748" s="357">
        <v>6</v>
      </c>
      <c r="AT748" s="357">
        <v>7</v>
      </c>
      <c r="AU748" s="357">
        <v>6</v>
      </c>
      <c r="AV748" s="357">
        <v>8</v>
      </c>
      <c r="AW748" s="357">
        <v>9</v>
      </c>
      <c r="AX748" s="357">
        <v>1</v>
      </c>
      <c r="AY748" s="357">
        <v>6</v>
      </c>
      <c r="AZ748" s="357">
        <v>8</v>
      </c>
      <c r="BA748" s="357">
        <v>7</v>
      </c>
      <c r="BB748" s="357">
        <v>5</v>
      </c>
      <c r="BC748" s="357">
        <v>5</v>
      </c>
    </row>
    <row r="749" spans="1:55" s="381" customFormat="1" ht="17.649999999999999" customHeight="1">
      <c r="A749" s="358"/>
      <c r="B749" s="197" t="s">
        <v>2398</v>
      </c>
      <c r="C749" s="211" t="s">
        <v>2055</v>
      </c>
      <c r="D749" s="211" t="s">
        <v>2056</v>
      </c>
      <c r="E749" s="360">
        <v>1</v>
      </c>
      <c r="F749" s="360">
        <v>2</v>
      </c>
      <c r="G749" s="360">
        <v>2</v>
      </c>
      <c r="H749" s="344">
        <v>2.3333333333333299</v>
      </c>
      <c r="I749" s="344">
        <v>2.3333333333333299</v>
      </c>
      <c r="J749" s="360">
        <v>1</v>
      </c>
      <c r="K749" s="344">
        <v>2.3333333333333299</v>
      </c>
      <c r="L749" s="360">
        <v>2</v>
      </c>
      <c r="M749" s="360">
        <v>2</v>
      </c>
      <c r="N749" s="344">
        <v>2.3333333333333299</v>
      </c>
      <c r="O749" s="344">
        <v>2.3333333333333299</v>
      </c>
      <c r="P749" s="344">
        <v>2.3333333333333299</v>
      </c>
      <c r="Q749" s="344">
        <v>1.86666666666667</v>
      </c>
      <c r="R749" s="344">
        <v>1.1666666666666701</v>
      </c>
      <c r="S749" s="344">
        <v>2.3333333333333299</v>
      </c>
      <c r="T749" s="344">
        <v>4.43333333333333</v>
      </c>
      <c r="U749" s="344">
        <v>6.3</v>
      </c>
      <c r="V749" s="344">
        <v>8.6333333333333293</v>
      </c>
      <c r="W749" s="344">
        <v>10.966666666666701</v>
      </c>
      <c r="X749" s="344">
        <v>16.8</v>
      </c>
      <c r="Y749" s="344">
        <v>17.966666666666701</v>
      </c>
      <c r="Z749" s="344">
        <v>16.3333333333333</v>
      </c>
      <c r="AA749" s="344">
        <v>12.8333333333333</v>
      </c>
      <c r="AB749" s="344">
        <v>8.4</v>
      </c>
      <c r="AC749" s="344">
        <v>3.9666666666666699</v>
      </c>
      <c r="AD749" s="344">
        <f t="shared" si="64"/>
        <v>-4.43333333333333</v>
      </c>
      <c r="AE749" s="346">
        <v>3</v>
      </c>
      <c r="AF749" s="346">
        <v>3</v>
      </c>
      <c r="AG749" s="346">
        <v>3</v>
      </c>
      <c r="AH749" s="346">
        <v>3</v>
      </c>
      <c r="AI749" s="346">
        <v>3</v>
      </c>
      <c r="AJ749" s="346">
        <v>3</v>
      </c>
      <c r="AK749" s="346">
        <v>3</v>
      </c>
      <c r="AL749" s="346">
        <v>3</v>
      </c>
      <c r="AM749" s="346">
        <v>3</v>
      </c>
      <c r="AN749" s="346">
        <v>3</v>
      </c>
      <c r="AO749" s="346">
        <v>3</v>
      </c>
      <c r="AP749" s="346">
        <v>2</v>
      </c>
      <c r="AQ749" s="357">
        <v>2</v>
      </c>
      <c r="AR749" s="357">
        <v>2</v>
      </c>
      <c r="AS749" s="357">
        <v>2</v>
      </c>
      <c r="AT749" s="357">
        <v>9</v>
      </c>
      <c r="AU749" s="357">
        <v>3</v>
      </c>
      <c r="AV749" s="357">
        <v>3</v>
      </c>
      <c r="AW749" s="357">
        <v>4</v>
      </c>
      <c r="AX749" s="357">
        <v>8</v>
      </c>
      <c r="AY749" s="357">
        <v>3</v>
      </c>
      <c r="AZ749" s="357">
        <v>2</v>
      </c>
      <c r="BA749" s="357">
        <v>3</v>
      </c>
      <c r="BB749" s="357">
        <v>2</v>
      </c>
      <c r="BC749" s="357">
        <v>3</v>
      </c>
    </row>
    <row r="750" spans="1:55" s="381" customFormat="1" ht="17.649999999999999" customHeight="1">
      <c r="A750" s="358"/>
      <c r="B750" s="197" t="s">
        <v>2399</v>
      </c>
      <c r="C750" s="211" t="s">
        <v>2055</v>
      </c>
      <c r="D750" s="211" t="s">
        <v>2056</v>
      </c>
      <c r="E750" s="360">
        <v>1830</v>
      </c>
      <c r="F750" s="360">
        <v>2196</v>
      </c>
      <c r="G750" s="360">
        <v>2287</v>
      </c>
      <c r="H750" s="344">
        <v>3049.6666666666702</v>
      </c>
      <c r="I750" s="344">
        <v>3049.6666666666702</v>
      </c>
      <c r="J750" s="360">
        <v>1525</v>
      </c>
      <c r="K750" s="344">
        <v>3049.6666666666702</v>
      </c>
      <c r="L750" s="360">
        <v>2806</v>
      </c>
      <c r="M750" s="360">
        <v>2745</v>
      </c>
      <c r="N750" s="344">
        <v>3049.6666666666702</v>
      </c>
      <c r="O750" s="344">
        <v>3049.6666666666702</v>
      </c>
      <c r="P750" s="344">
        <v>3120.36666666667</v>
      </c>
      <c r="Q750" s="344">
        <v>3146.2666666666701</v>
      </c>
      <c r="R750" s="344">
        <v>3100.3</v>
      </c>
      <c r="S750" s="344">
        <v>3069.5</v>
      </c>
      <c r="T750" s="344">
        <v>3762.5</v>
      </c>
      <c r="U750" s="344">
        <v>3787.9333333333302</v>
      </c>
      <c r="V750" s="344">
        <v>3341.8</v>
      </c>
      <c r="W750" s="344">
        <v>4724.0666666666702</v>
      </c>
      <c r="X750" s="344">
        <v>3552.0333333333301</v>
      </c>
      <c r="Y750" s="344">
        <v>3103.1</v>
      </c>
      <c r="Z750" s="344">
        <v>3300.0333333333301</v>
      </c>
      <c r="AA750" s="344">
        <v>2167.4333333333302</v>
      </c>
      <c r="AB750" s="344">
        <v>2523.2666666666701</v>
      </c>
      <c r="AC750" s="344">
        <v>2705.5</v>
      </c>
      <c r="AD750" s="344">
        <f t="shared" si="64"/>
        <v>182.23333333332994</v>
      </c>
      <c r="AE750" s="346">
        <v>1</v>
      </c>
      <c r="AF750" s="346">
        <v>1</v>
      </c>
      <c r="AG750" s="346">
        <v>1</v>
      </c>
      <c r="AH750" s="346">
        <v>1</v>
      </c>
      <c r="AI750" s="346">
        <v>1</v>
      </c>
      <c r="AJ750" s="346">
        <v>1</v>
      </c>
      <c r="AK750" s="346">
        <v>1</v>
      </c>
      <c r="AL750" s="346">
        <v>1</v>
      </c>
      <c r="AM750" s="346">
        <v>1</v>
      </c>
      <c r="AN750" s="346">
        <v>1</v>
      </c>
      <c r="AO750" s="346">
        <v>1</v>
      </c>
      <c r="AP750" s="346">
        <v>1</v>
      </c>
      <c r="AQ750" s="357">
        <v>1</v>
      </c>
      <c r="AR750" s="357">
        <v>1</v>
      </c>
      <c r="AS750" s="357">
        <v>1</v>
      </c>
      <c r="AT750" s="357">
        <v>1</v>
      </c>
      <c r="AU750" s="357">
        <v>6</v>
      </c>
      <c r="AV750" s="357">
        <v>1</v>
      </c>
      <c r="AW750" s="357">
        <v>1</v>
      </c>
      <c r="AX750" s="357">
        <v>1</v>
      </c>
      <c r="AY750" s="357">
        <v>1</v>
      </c>
      <c r="AZ750" s="357">
        <v>3</v>
      </c>
      <c r="BA750" s="357">
        <v>4</v>
      </c>
      <c r="BB750" s="357">
        <v>1</v>
      </c>
      <c r="BC750" s="357">
        <v>1</v>
      </c>
    </row>
    <row r="751" spans="1:55" s="381" customFormat="1" ht="17.649999999999999" customHeight="1">
      <c r="A751" s="358"/>
      <c r="B751" s="197" t="s">
        <v>2400</v>
      </c>
      <c r="C751" s="211" t="s">
        <v>2055</v>
      </c>
      <c r="D751" s="211" t="s">
        <v>2056</v>
      </c>
      <c r="E751" s="360">
        <v>557</v>
      </c>
      <c r="F751" s="360">
        <v>668</v>
      </c>
      <c r="G751" s="360">
        <v>696</v>
      </c>
      <c r="H751" s="344">
        <v>928.43333333333305</v>
      </c>
      <c r="I751" s="344">
        <v>928.43333333333305</v>
      </c>
      <c r="J751" s="360">
        <v>464</v>
      </c>
      <c r="K751" s="344">
        <v>928.43333333333305</v>
      </c>
      <c r="L751" s="360">
        <v>854</v>
      </c>
      <c r="M751" s="360">
        <v>836</v>
      </c>
      <c r="N751" s="344">
        <v>928.43333333333305</v>
      </c>
      <c r="O751" s="344">
        <v>928.43333333333305</v>
      </c>
      <c r="P751" s="344">
        <v>990.03333333333296</v>
      </c>
      <c r="Q751" s="344">
        <v>1058.86666666667</v>
      </c>
      <c r="R751" s="344">
        <v>960.63333333333298</v>
      </c>
      <c r="S751" s="344">
        <v>866.36666666666702</v>
      </c>
      <c r="T751" s="344">
        <v>779.56666666666695</v>
      </c>
      <c r="U751" s="344">
        <v>782.6</v>
      </c>
      <c r="V751" s="344">
        <v>792.63333333333298</v>
      </c>
      <c r="W751" s="344">
        <v>791</v>
      </c>
      <c r="X751" s="344">
        <v>801.96666666666704</v>
      </c>
      <c r="Y751" s="344">
        <v>760.2</v>
      </c>
      <c r="Z751" s="344">
        <v>765.1</v>
      </c>
      <c r="AA751" s="344">
        <v>838.13333333333298</v>
      </c>
      <c r="AB751" s="344">
        <v>881.3</v>
      </c>
      <c r="AC751" s="344">
        <v>882.23333333333301</v>
      </c>
      <c r="AD751" s="344">
        <f t="shared" si="64"/>
        <v>0.93333333333305291</v>
      </c>
      <c r="AE751" s="346">
        <v>1</v>
      </c>
      <c r="AF751" s="346">
        <v>1</v>
      </c>
      <c r="AG751" s="346">
        <v>1</v>
      </c>
      <c r="AH751" s="346">
        <v>1</v>
      </c>
      <c r="AI751" s="346">
        <v>1</v>
      </c>
      <c r="AJ751" s="346">
        <v>1</v>
      </c>
      <c r="AK751" s="346">
        <v>1</v>
      </c>
      <c r="AL751" s="346">
        <v>1</v>
      </c>
      <c r="AM751" s="346">
        <v>1</v>
      </c>
      <c r="AN751" s="346">
        <v>1</v>
      </c>
      <c r="AO751" s="346">
        <v>1</v>
      </c>
      <c r="AP751" s="346">
        <v>1</v>
      </c>
      <c r="AQ751" s="357">
        <v>5</v>
      </c>
      <c r="AR751" s="357">
        <v>9</v>
      </c>
      <c r="AS751" s="357">
        <v>2</v>
      </c>
      <c r="AT751" s="357">
        <v>2</v>
      </c>
      <c r="AU751" s="357">
        <v>1</v>
      </c>
      <c r="AV751" s="357">
        <v>3</v>
      </c>
      <c r="AW751" s="357">
        <v>1</v>
      </c>
      <c r="AX751" s="357">
        <v>8</v>
      </c>
      <c r="AY751" s="357">
        <v>2</v>
      </c>
      <c r="AZ751" s="357">
        <v>8</v>
      </c>
      <c r="BA751" s="357">
        <v>1</v>
      </c>
      <c r="BB751" s="357">
        <v>7</v>
      </c>
      <c r="BC751" s="357">
        <v>1</v>
      </c>
    </row>
    <row r="752" spans="1:55" s="381" customFormat="1" ht="17.649999999999999" customHeight="1">
      <c r="A752" s="358"/>
      <c r="B752" s="197" t="s">
        <v>2401</v>
      </c>
      <c r="C752" s="211" t="s">
        <v>2055</v>
      </c>
      <c r="D752" s="211" t="s">
        <v>2056</v>
      </c>
      <c r="E752" s="360">
        <v>98</v>
      </c>
      <c r="F752" s="360">
        <v>118</v>
      </c>
      <c r="G752" s="360">
        <v>123</v>
      </c>
      <c r="H752" s="344">
        <v>163.80000000000001</v>
      </c>
      <c r="I752" s="344">
        <v>163.80000000000001</v>
      </c>
      <c r="J752" s="360">
        <v>82</v>
      </c>
      <c r="K752" s="344">
        <v>163.80000000000001</v>
      </c>
      <c r="L752" s="360">
        <v>151</v>
      </c>
      <c r="M752" s="360">
        <v>147</v>
      </c>
      <c r="N752" s="344">
        <v>163.80000000000001</v>
      </c>
      <c r="O752" s="344">
        <v>163.80000000000001</v>
      </c>
      <c r="P752" s="344">
        <v>182</v>
      </c>
      <c r="Q752" s="344">
        <v>203</v>
      </c>
      <c r="R752" s="344">
        <v>192.03333333333299</v>
      </c>
      <c r="S752" s="344">
        <v>163.566666666667</v>
      </c>
      <c r="T752" s="344">
        <v>139.76666666666699</v>
      </c>
      <c r="U752" s="344">
        <v>149.333333333333</v>
      </c>
      <c r="V752" s="344">
        <v>133.933333333333</v>
      </c>
      <c r="W752" s="344">
        <v>128.80000000000001</v>
      </c>
      <c r="X752" s="344">
        <v>124.366666666667</v>
      </c>
      <c r="Y752" s="344">
        <v>105.23333333333299</v>
      </c>
      <c r="Z752" s="344">
        <v>91.466666666666697</v>
      </c>
      <c r="AA752" s="344">
        <v>88.9</v>
      </c>
      <c r="AB752" s="344">
        <v>91.466666666666697</v>
      </c>
      <c r="AC752" s="344">
        <v>87.5</v>
      </c>
      <c r="AD752" s="344">
        <f t="shared" si="64"/>
        <v>-3.966666666666697</v>
      </c>
      <c r="AE752" s="346">
        <v>3</v>
      </c>
      <c r="AF752" s="346">
        <v>3</v>
      </c>
      <c r="AG752" s="346">
        <v>3</v>
      </c>
      <c r="AH752" s="346">
        <v>3</v>
      </c>
      <c r="AI752" s="346">
        <v>3</v>
      </c>
      <c r="AJ752" s="346">
        <v>3</v>
      </c>
      <c r="AK752" s="346">
        <v>3</v>
      </c>
      <c r="AL752" s="346">
        <v>3</v>
      </c>
      <c r="AM752" s="346">
        <v>3</v>
      </c>
      <c r="AN752" s="346">
        <v>3</v>
      </c>
      <c r="AO752" s="346">
        <v>3</v>
      </c>
      <c r="AP752" s="346">
        <v>6</v>
      </c>
      <c r="AQ752" s="357">
        <v>1</v>
      </c>
      <c r="AR752" s="357">
        <v>1</v>
      </c>
      <c r="AS752" s="357">
        <v>9</v>
      </c>
      <c r="AT752" s="357">
        <v>1</v>
      </c>
      <c r="AU752" s="357">
        <v>3</v>
      </c>
      <c r="AV752" s="357">
        <v>8</v>
      </c>
      <c r="AW752" s="357">
        <v>3</v>
      </c>
      <c r="AX752" s="357">
        <v>3</v>
      </c>
      <c r="AY752" s="357">
        <v>7</v>
      </c>
      <c r="AZ752" s="357">
        <v>5</v>
      </c>
      <c r="BA752" s="357">
        <v>1</v>
      </c>
      <c r="BB752" s="357">
        <v>1</v>
      </c>
      <c r="BC752" s="357">
        <v>1</v>
      </c>
    </row>
    <row r="753" spans="1:55" s="381" customFormat="1" ht="17.649999999999999" customHeight="1">
      <c r="A753" s="358"/>
      <c r="B753" s="197" t="s">
        <v>2402</v>
      </c>
      <c r="C753" s="211" t="s">
        <v>2055</v>
      </c>
      <c r="D753" s="211" t="s">
        <v>2056</v>
      </c>
      <c r="E753" s="360">
        <v>96</v>
      </c>
      <c r="F753" s="360">
        <v>115</v>
      </c>
      <c r="G753" s="360">
        <v>120</v>
      </c>
      <c r="H753" s="344">
        <v>160.066666666667</v>
      </c>
      <c r="I753" s="344">
        <v>160.066666666667</v>
      </c>
      <c r="J753" s="360">
        <v>80</v>
      </c>
      <c r="K753" s="344">
        <v>160.066666666667</v>
      </c>
      <c r="L753" s="360">
        <v>147</v>
      </c>
      <c r="M753" s="360">
        <v>144</v>
      </c>
      <c r="N753" s="344">
        <v>160.066666666667</v>
      </c>
      <c r="O753" s="344">
        <v>160.066666666667</v>
      </c>
      <c r="P753" s="344">
        <v>123.9</v>
      </c>
      <c r="Q753" s="344">
        <v>82.133333333333297</v>
      </c>
      <c r="R753" s="344">
        <v>82.133333333333297</v>
      </c>
      <c r="S753" s="344">
        <v>63.466666666666697</v>
      </c>
      <c r="T753" s="344">
        <v>52.733333333333299</v>
      </c>
      <c r="U753" s="344">
        <v>41.533333333333303</v>
      </c>
      <c r="V753" s="344">
        <v>32.200000000000003</v>
      </c>
      <c r="W753" s="344">
        <v>21.233333333333299</v>
      </c>
      <c r="X753" s="344">
        <v>18.899999999999999</v>
      </c>
      <c r="Y753" s="344">
        <v>16.566666666666698</v>
      </c>
      <c r="Z753" s="344">
        <v>14.233333333333301</v>
      </c>
      <c r="AA753" s="344">
        <v>13.3</v>
      </c>
      <c r="AB753" s="344">
        <v>13.533333333333299</v>
      </c>
      <c r="AC753" s="344">
        <v>15.1666666666667</v>
      </c>
      <c r="AD753" s="344">
        <f t="shared" ref="AD753:AD816" si="65">AC753-AB753</f>
        <v>1.6333333333334004</v>
      </c>
      <c r="AE753" s="346">
        <v>3</v>
      </c>
      <c r="AF753" s="346">
        <v>3</v>
      </c>
      <c r="AG753" s="346">
        <v>3</v>
      </c>
      <c r="AH753" s="346">
        <v>3</v>
      </c>
      <c r="AI753" s="346">
        <v>3</v>
      </c>
      <c r="AJ753" s="346">
        <v>3</v>
      </c>
      <c r="AK753" s="346">
        <v>3</v>
      </c>
      <c r="AL753" s="346">
        <v>3</v>
      </c>
      <c r="AM753" s="346">
        <v>3</v>
      </c>
      <c r="AN753" s="346">
        <v>3</v>
      </c>
      <c r="AO753" s="346">
        <v>3</v>
      </c>
      <c r="AP753" s="346">
        <v>3</v>
      </c>
      <c r="AQ753" s="357">
        <v>9</v>
      </c>
      <c r="AR753" s="357">
        <v>8</v>
      </c>
      <c r="AS753" s="357">
        <v>2</v>
      </c>
      <c r="AT753" s="357">
        <v>2</v>
      </c>
      <c r="AU753" s="357">
        <v>1</v>
      </c>
      <c r="AV753" s="357">
        <v>2</v>
      </c>
      <c r="AW753" s="357">
        <v>3</v>
      </c>
      <c r="AX753" s="357">
        <v>2</v>
      </c>
      <c r="AY753" s="357">
        <v>8</v>
      </c>
      <c r="AZ753" s="357">
        <v>3</v>
      </c>
      <c r="BA753" s="357">
        <v>2</v>
      </c>
      <c r="BB753" s="357">
        <v>2</v>
      </c>
      <c r="BC753" s="357">
        <v>2</v>
      </c>
    </row>
    <row r="754" spans="1:55" s="381" customFormat="1" ht="17.649999999999999" customHeight="1">
      <c r="A754" s="358"/>
      <c r="B754" s="197" t="s">
        <v>2403</v>
      </c>
      <c r="C754" s="211" t="s">
        <v>2055</v>
      </c>
      <c r="D754" s="211" t="s">
        <v>2056</v>
      </c>
      <c r="E754" s="360">
        <v>24</v>
      </c>
      <c r="F754" s="360">
        <v>28</v>
      </c>
      <c r="G754" s="360">
        <v>30</v>
      </c>
      <c r="H754" s="344">
        <v>39.433333333333302</v>
      </c>
      <c r="I754" s="344">
        <v>39.433333333333302</v>
      </c>
      <c r="J754" s="360">
        <v>20</v>
      </c>
      <c r="K754" s="344">
        <v>39.433333333333302</v>
      </c>
      <c r="L754" s="360">
        <v>36</v>
      </c>
      <c r="M754" s="360">
        <v>35</v>
      </c>
      <c r="N754" s="344">
        <v>39.433333333333302</v>
      </c>
      <c r="O754" s="344">
        <v>39.433333333333302</v>
      </c>
      <c r="P754" s="344">
        <v>44.8</v>
      </c>
      <c r="Q754" s="344">
        <v>49.7</v>
      </c>
      <c r="R754" s="344">
        <v>49</v>
      </c>
      <c r="S754" s="344">
        <v>47.133333333333297</v>
      </c>
      <c r="T754" s="344">
        <v>45.966666666666697</v>
      </c>
      <c r="U754" s="344">
        <v>50.4</v>
      </c>
      <c r="V754" s="344">
        <v>50.866666666666703</v>
      </c>
      <c r="W754" s="344">
        <v>46.9</v>
      </c>
      <c r="X754" s="344">
        <v>58.566666666666698</v>
      </c>
      <c r="Y754" s="344">
        <v>61.133333333333297</v>
      </c>
      <c r="Z754" s="344">
        <v>64.633333333333297</v>
      </c>
      <c r="AA754" s="344">
        <v>67.6666666666667</v>
      </c>
      <c r="AB754" s="344">
        <v>62.533333333333303</v>
      </c>
      <c r="AC754" s="344">
        <v>66.033333333333303</v>
      </c>
      <c r="AD754" s="344">
        <f t="shared" si="65"/>
        <v>3.5</v>
      </c>
      <c r="AE754" s="346">
        <v>1</v>
      </c>
      <c r="AF754" s="346">
        <v>1</v>
      </c>
      <c r="AG754" s="346">
        <v>1</v>
      </c>
      <c r="AH754" s="346">
        <v>1</v>
      </c>
      <c r="AI754" s="346">
        <v>1</v>
      </c>
      <c r="AJ754" s="346">
        <v>1</v>
      </c>
      <c r="AK754" s="346">
        <v>1</v>
      </c>
      <c r="AL754" s="346">
        <v>1</v>
      </c>
      <c r="AM754" s="346">
        <v>1</v>
      </c>
      <c r="AN754" s="346">
        <v>1</v>
      </c>
      <c r="AO754" s="346">
        <v>1</v>
      </c>
      <c r="AP754" s="346">
        <v>10</v>
      </c>
      <c r="AQ754" s="357">
        <v>1</v>
      </c>
      <c r="AR754" s="357">
        <v>1</v>
      </c>
      <c r="AS754" s="357">
        <v>1</v>
      </c>
      <c r="AT754" s="357">
        <v>9</v>
      </c>
      <c r="AU754" s="357">
        <v>1</v>
      </c>
      <c r="AV754" s="357">
        <v>1</v>
      </c>
      <c r="AW754" s="357">
        <v>1</v>
      </c>
      <c r="AX754" s="357">
        <v>1</v>
      </c>
      <c r="AY754" s="357">
        <v>1</v>
      </c>
      <c r="AZ754" s="357">
        <v>1</v>
      </c>
      <c r="BA754" s="357">
        <v>1</v>
      </c>
      <c r="BB754" s="357">
        <v>1</v>
      </c>
      <c r="BC754" s="357">
        <v>1</v>
      </c>
    </row>
    <row r="755" spans="1:55" s="381" customFormat="1" ht="17.649999999999999" customHeight="1">
      <c r="A755" s="358"/>
      <c r="B755" s="197" t="s">
        <v>135</v>
      </c>
      <c r="C755" s="211" t="s">
        <v>2055</v>
      </c>
      <c r="D755" s="211" t="s">
        <v>2056</v>
      </c>
      <c r="E755" s="360">
        <v>23</v>
      </c>
      <c r="F755" s="360">
        <v>28</v>
      </c>
      <c r="G755" s="360">
        <v>29</v>
      </c>
      <c r="H755" s="344">
        <v>38.733333333333299</v>
      </c>
      <c r="I755" s="344">
        <v>38.733333333333299</v>
      </c>
      <c r="J755" s="360">
        <v>19</v>
      </c>
      <c r="K755" s="344">
        <v>38.733333333333299</v>
      </c>
      <c r="L755" s="360">
        <v>36</v>
      </c>
      <c r="M755" s="360">
        <v>35</v>
      </c>
      <c r="N755" s="344">
        <v>38.733333333333299</v>
      </c>
      <c r="O755" s="344">
        <v>38.733333333333299</v>
      </c>
      <c r="P755" s="344">
        <v>47.6</v>
      </c>
      <c r="Q755" s="344">
        <v>61.6</v>
      </c>
      <c r="R755" s="344">
        <v>69.066666666666706</v>
      </c>
      <c r="S755" s="344">
        <v>79.8</v>
      </c>
      <c r="T755" s="344">
        <v>103.833333333333</v>
      </c>
      <c r="U755" s="344">
        <v>157.03333333333299</v>
      </c>
      <c r="V755" s="344">
        <v>152.6</v>
      </c>
      <c r="W755" s="344">
        <v>143.96666666666701</v>
      </c>
      <c r="X755" s="344">
        <v>141.86666666666699</v>
      </c>
      <c r="Y755" s="344">
        <v>76.066666666666706</v>
      </c>
      <c r="Z755" s="344">
        <v>67.2</v>
      </c>
      <c r="AA755" s="344">
        <v>76.766666666666694</v>
      </c>
      <c r="AB755" s="344">
        <v>92.866666666666703</v>
      </c>
      <c r="AC755" s="344">
        <v>89.133333333333297</v>
      </c>
      <c r="AD755" s="344">
        <f t="shared" si="65"/>
        <v>-3.7333333333334053</v>
      </c>
      <c r="AE755" s="346">
        <v>11</v>
      </c>
      <c r="AF755" s="346">
        <v>11</v>
      </c>
      <c r="AG755" s="346">
        <v>11</v>
      </c>
      <c r="AH755" s="346">
        <v>11</v>
      </c>
      <c r="AI755" s="346">
        <v>11</v>
      </c>
      <c r="AJ755" s="346">
        <v>11</v>
      </c>
      <c r="AK755" s="346">
        <v>11</v>
      </c>
      <c r="AL755" s="346">
        <v>11</v>
      </c>
      <c r="AM755" s="346">
        <v>11</v>
      </c>
      <c r="AN755" s="346">
        <v>11</v>
      </c>
      <c r="AO755" s="346">
        <v>11</v>
      </c>
      <c r="AP755" s="346">
        <v>1</v>
      </c>
      <c r="AQ755" s="357">
        <v>1</v>
      </c>
      <c r="AR755" s="357">
        <v>9</v>
      </c>
      <c r="AS755" s="357">
        <v>1</v>
      </c>
      <c r="AT755" s="357">
        <v>1</v>
      </c>
      <c r="AU755" s="357">
        <v>1</v>
      </c>
      <c r="AV755" s="357">
        <v>1</v>
      </c>
      <c r="AW755" s="357">
        <v>1</v>
      </c>
      <c r="AX755" s="357">
        <v>1</v>
      </c>
      <c r="AY755" s="357">
        <v>1</v>
      </c>
      <c r="AZ755" s="357">
        <v>1</v>
      </c>
      <c r="BA755" s="357">
        <v>1</v>
      </c>
      <c r="BB755" s="357">
        <v>1</v>
      </c>
      <c r="BC755" s="357">
        <v>1</v>
      </c>
    </row>
    <row r="756" spans="1:55" s="381" customFormat="1" ht="17.649999999999999" customHeight="1">
      <c r="A756" s="358"/>
      <c r="B756" s="197" t="s">
        <v>2404</v>
      </c>
      <c r="C756" s="211" t="s">
        <v>2055</v>
      </c>
      <c r="D756" s="211" t="s">
        <v>2056</v>
      </c>
      <c r="E756" s="360">
        <v>416</v>
      </c>
      <c r="F756" s="360">
        <v>499</v>
      </c>
      <c r="G756" s="360">
        <v>520</v>
      </c>
      <c r="H756" s="344">
        <v>692.76666666666699</v>
      </c>
      <c r="I756" s="344">
        <v>692.76666666666699</v>
      </c>
      <c r="J756" s="360">
        <v>346</v>
      </c>
      <c r="K756" s="344">
        <v>692.76666666666699</v>
      </c>
      <c r="L756" s="360">
        <v>637</v>
      </c>
      <c r="M756" s="360">
        <v>623</v>
      </c>
      <c r="N756" s="344">
        <v>692.76666666666699</v>
      </c>
      <c r="O756" s="344">
        <v>692.76666666666699</v>
      </c>
      <c r="P756" s="344">
        <v>1409.56666666667</v>
      </c>
      <c r="Q756" s="344">
        <v>1862.7</v>
      </c>
      <c r="R756" s="344">
        <v>1892.56666666667</v>
      </c>
      <c r="S756" s="344">
        <v>3104.0333333333301</v>
      </c>
      <c r="T756" s="344">
        <v>2076.1999999999998</v>
      </c>
      <c r="U756" s="344">
        <v>1502.9</v>
      </c>
      <c r="V756" s="344">
        <v>1513.1666666666699</v>
      </c>
      <c r="W756" s="344">
        <v>700.23333333333301</v>
      </c>
      <c r="X756" s="344">
        <v>312.433333333333</v>
      </c>
      <c r="Y756" s="344">
        <v>268.8</v>
      </c>
      <c r="Z756" s="344">
        <v>203.23333333333301</v>
      </c>
      <c r="AA756" s="344">
        <v>141.63333333333301</v>
      </c>
      <c r="AB756" s="344">
        <v>98</v>
      </c>
      <c r="AC756" s="344">
        <v>85.4</v>
      </c>
      <c r="AD756" s="344">
        <f t="shared" si="65"/>
        <v>-12.599999999999994</v>
      </c>
      <c r="AE756" s="346">
        <v>2</v>
      </c>
      <c r="AF756" s="346">
        <v>2</v>
      </c>
      <c r="AG756" s="346">
        <v>2</v>
      </c>
      <c r="AH756" s="346">
        <v>2</v>
      </c>
      <c r="AI756" s="346">
        <v>2</v>
      </c>
      <c r="AJ756" s="346">
        <v>2</v>
      </c>
      <c r="AK756" s="346">
        <v>2</v>
      </c>
      <c r="AL756" s="346">
        <v>2</v>
      </c>
      <c r="AM756" s="346">
        <v>2</v>
      </c>
      <c r="AN756" s="346">
        <v>2</v>
      </c>
      <c r="AO756" s="346">
        <v>2</v>
      </c>
      <c r="AP756" s="346">
        <v>1</v>
      </c>
      <c r="AQ756" s="357">
        <v>9</v>
      </c>
      <c r="AR756" s="357">
        <v>10</v>
      </c>
      <c r="AS756" s="357">
        <v>1</v>
      </c>
      <c r="AT756" s="357">
        <v>10</v>
      </c>
      <c r="AU756" s="357">
        <v>1</v>
      </c>
      <c r="AV756" s="357">
        <v>1</v>
      </c>
      <c r="AW756" s="357">
        <v>1</v>
      </c>
      <c r="AX756" s="357">
        <v>1</v>
      </c>
      <c r="AY756" s="357">
        <v>1</v>
      </c>
      <c r="AZ756" s="357">
        <v>9</v>
      </c>
      <c r="BA756" s="357">
        <v>9</v>
      </c>
      <c r="BB756" s="357">
        <v>1</v>
      </c>
      <c r="BC756" s="357">
        <v>1</v>
      </c>
    </row>
    <row r="757" spans="1:55" s="381" customFormat="1" ht="17.649999999999999" customHeight="1">
      <c r="A757" s="358"/>
      <c r="B757" s="197" t="s">
        <v>2405</v>
      </c>
      <c r="C757" s="211" t="s">
        <v>2055</v>
      </c>
      <c r="D757" s="211" t="s">
        <v>2056</v>
      </c>
      <c r="E757" s="360">
        <v>34</v>
      </c>
      <c r="F757" s="360">
        <v>41</v>
      </c>
      <c r="G757" s="360">
        <v>43</v>
      </c>
      <c r="H757" s="344">
        <v>56.933333333333302</v>
      </c>
      <c r="I757" s="344">
        <v>56.933333333333302</v>
      </c>
      <c r="J757" s="360">
        <v>28</v>
      </c>
      <c r="K757" s="344">
        <v>56.933333333333302</v>
      </c>
      <c r="L757" s="360">
        <v>52</v>
      </c>
      <c r="M757" s="360">
        <v>51</v>
      </c>
      <c r="N757" s="344">
        <v>56.933333333333302</v>
      </c>
      <c r="O757" s="344">
        <v>56.933333333333302</v>
      </c>
      <c r="P757" s="344">
        <v>59.966666666666697</v>
      </c>
      <c r="Q757" s="344">
        <v>67.900000000000006</v>
      </c>
      <c r="R757" s="344">
        <v>73.5</v>
      </c>
      <c r="S757" s="344">
        <v>68.366666666666703</v>
      </c>
      <c r="T757" s="344">
        <v>37.1</v>
      </c>
      <c r="U757" s="344">
        <v>33.133333333333297</v>
      </c>
      <c r="V757" s="344">
        <v>23.8</v>
      </c>
      <c r="W757" s="344">
        <v>25.6666666666667</v>
      </c>
      <c r="X757" s="344">
        <v>28.466666666666701</v>
      </c>
      <c r="Y757" s="344">
        <v>24.966666666666701</v>
      </c>
      <c r="Z757" s="344">
        <v>24.966666666666701</v>
      </c>
      <c r="AA757" s="344">
        <v>27.066666666666698</v>
      </c>
      <c r="AB757" s="344">
        <v>27.533333333333299</v>
      </c>
      <c r="AC757" s="344">
        <v>33.8333333333333</v>
      </c>
      <c r="AD757" s="344">
        <f t="shared" si="65"/>
        <v>6.3000000000000007</v>
      </c>
      <c r="AE757" s="346">
        <v>1</v>
      </c>
      <c r="AF757" s="346">
        <v>1</v>
      </c>
      <c r="AG757" s="346">
        <v>1</v>
      </c>
      <c r="AH757" s="346">
        <v>1</v>
      </c>
      <c r="AI757" s="346">
        <v>1</v>
      </c>
      <c r="AJ757" s="346">
        <v>1</v>
      </c>
      <c r="AK757" s="346">
        <v>1</v>
      </c>
      <c r="AL757" s="346">
        <v>1</v>
      </c>
      <c r="AM757" s="346">
        <v>1</v>
      </c>
      <c r="AN757" s="346">
        <v>1</v>
      </c>
      <c r="AO757" s="346">
        <v>1</v>
      </c>
      <c r="AP757" s="346">
        <v>10</v>
      </c>
      <c r="AQ757" s="357">
        <v>1</v>
      </c>
      <c r="AR757" s="357">
        <v>1</v>
      </c>
      <c r="AS757" s="357">
        <v>1</v>
      </c>
      <c r="AT757" s="357">
        <v>8</v>
      </c>
      <c r="AU757" s="357">
        <v>1</v>
      </c>
      <c r="AV757" s="357">
        <v>1</v>
      </c>
      <c r="AW757" s="357">
        <v>1</v>
      </c>
      <c r="AX757" s="357">
        <v>3</v>
      </c>
      <c r="AY757" s="357">
        <v>1</v>
      </c>
      <c r="AZ757" s="357">
        <v>1</v>
      </c>
      <c r="BA757" s="357">
        <v>1</v>
      </c>
      <c r="BB757" s="357">
        <v>2</v>
      </c>
      <c r="BC757" s="357">
        <v>2</v>
      </c>
    </row>
    <row r="758" spans="1:55" s="381" customFormat="1" ht="17.649999999999999" customHeight="1">
      <c r="A758" s="358"/>
      <c r="B758" s="197" t="s">
        <v>2406</v>
      </c>
      <c r="C758" s="211" t="s">
        <v>2055</v>
      </c>
      <c r="D758" s="211" t="s">
        <v>2056</v>
      </c>
      <c r="E758" s="360">
        <v>6</v>
      </c>
      <c r="F758" s="360">
        <v>8</v>
      </c>
      <c r="G758" s="360">
        <v>8</v>
      </c>
      <c r="H758" s="344">
        <v>10.733333333333301</v>
      </c>
      <c r="I758" s="344">
        <v>10.733333333333301</v>
      </c>
      <c r="J758" s="360">
        <v>5</v>
      </c>
      <c r="K758" s="344">
        <v>10.733333333333301</v>
      </c>
      <c r="L758" s="360">
        <v>10</v>
      </c>
      <c r="M758" s="360">
        <v>10</v>
      </c>
      <c r="N758" s="344">
        <v>10.733333333333301</v>
      </c>
      <c r="O758" s="344">
        <v>10.733333333333301</v>
      </c>
      <c r="P758" s="344">
        <v>11.2</v>
      </c>
      <c r="Q758" s="344">
        <v>14.466666666666701</v>
      </c>
      <c r="R758" s="344">
        <v>14.466666666666701</v>
      </c>
      <c r="S758" s="344">
        <v>15.633333333333301</v>
      </c>
      <c r="T758" s="344">
        <v>12.8333333333333</v>
      </c>
      <c r="U758" s="344">
        <v>13.533333333333299</v>
      </c>
      <c r="V758" s="344">
        <v>13.0666666666667</v>
      </c>
      <c r="W758" s="344">
        <v>14.233333333333301</v>
      </c>
      <c r="X758" s="344">
        <v>14.233333333333301</v>
      </c>
      <c r="Y758" s="344">
        <v>14.233333333333301</v>
      </c>
      <c r="Z758" s="344">
        <v>10.966666666666701</v>
      </c>
      <c r="AA758" s="344">
        <v>10.033333333333299</v>
      </c>
      <c r="AB758" s="344">
        <v>9.1</v>
      </c>
      <c r="AC758" s="344">
        <v>12.133333333333301</v>
      </c>
      <c r="AD758" s="344">
        <f t="shared" si="65"/>
        <v>3.0333333333333012</v>
      </c>
      <c r="AE758" s="346">
        <v>2</v>
      </c>
      <c r="AF758" s="346">
        <v>2</v>
      </c>
      <c r="AG758" s="346">
        <v>2</v>
      </c>
      <c r="AH758" s="346">
        <v>2</v>
      </c>
      <c r="AI758" s="346">
        <v>2</v>
      </c>
      <c r="AJ758" s="346">
        <v>2</v>
      </c>
      <c r="AK758" s="346">
        <v>2</v>
      </c>
      <c r="AL758" s="346">
        <v>2</v>
      </c>
      <c r="AM758" s="346">
        <v>2</v>
      </c>
      <c r="AN758" s="346">
        <v>2</v>
      </c>
      <c r="AO758" s="346">
        <v>2</v>
      </c>
      <c r="AP758" s="346">
        <v>2</v>
      </c>
      <c r="AQ758" s="357">
        <v>10</v>
      </c>
      <c r="AR758" s="357">
        <v>2</v>
      </c>
      <c r="AS758" s="357">
        <v>2</v>
      </c>
      <c r="AT758" s="357">
        <v>5</v>
      </c>
      <c r="AU758" s="357">
        <v>2</v>
      </c>
      <c r="AV758" s="357">
        <v>2</v>
      </c>
      <c r="AW758" s="357">
        <v>2</v>
      </c>
      <c r="AX758" s="357">
        <v>2</v>
      </c>
      <c r="AY758" s="357">
        <v>3</v>
      </c>
      <c r="AZ758" s="357">
        <v>3</v>
      </c>
      <c r="BA758" s="357">
        <v>11</v>
      </c>
      <c r="BB758" s="357">
        <v>10</v>
      </c>
      <c r="BC758" s="357">
        <v>3</v>
      </c>
    </row>
    <row r="759" spans="1:55" s="381" customFormat="1" ht="17.649999999999999" customHeight="1">
      <c r="A759" s="358"/>
      <c r="B759" s="197" t="s">
        <v>2407</v>
      </c>
      <c r="C759" s="211" t="s">
        <v>2055</v>
      </c>
      <c r="D759" s="211" t="s">
        <v>2056</v>
      </c>
      <c r="E759" s="360">
        <v>9</v>
      </c>
      <c r="F759" s="360">
        <v>10</v>
      </c>
      <c r="G759" s="360">
        <v>11</v>
      </c>
      <c r="H759" s="344">
        <v>14.466666666666701</v>
      </c>
      <c r="I759" s="344">
        <v>14.466666666666701</v>
      </c>
      <c r="J759" s="360">
        <v>7</v>
      </c>
      <c r="K759" s="344">
        <v>14.466666666666701</v>
      </c>
      <c r="L759" s="360">
        <v>13</v>
      </c>
      <c r="M759" s="360">
        <v>13</v>
      </c>
      <c r="N759" s="344">
        <v>14.466666666666701</v>
      </c>
      <c r="O759" s="344">
        <v>14.466666666666701</v>
      </c>
      <c r="P759" s="344">
        <v>14.233333333333301</v>
      </c>
      <c r="Q759" s="344">
        <v>17.5</v>
      </c>
      <c r="R759" s="344">
        <v>16.8</v>
      </c>
      <c r="S759" s="344">
        <v>20.533333333333299</v>
      </c>
      <c r="T759" s="344">
        <v>20.533333333333299</v>
      </c>
      <c r="U759" s="344">
        <v>21.7</v>
      </c>
      <c r="V759" s="344">
        <v>18.899999999999999</v>
      </c>
      <c r="W759" s="344">
        <v>16.3333333333333</v>
      </c>
      <c r="X759" s="344">
        <v>15.633333333333301</v>
      </c>
      <c r="Y759" s="344">
        <v>15.4</v>
      </c>
      <c r="Z759" s="344">
        <v>16.3333333333333</v>
      </c>
      <c r="AA759" s="344">
        <v>17.266666666666701</v>
      </c>
      <c r="AB759" s="344">
        <v>16.8</v>
      </c>
      <c r="AC759" s="344">
        <v>16.566666666666698</v>
      </c>
      <c r="AD759" s="344">
        <f t="shared" si="65"/>
        <v>-0.23333333333330231</v>
      </c>
      <c r="AE759" s="346">
        <v>12</v>
      </c>
      <c r="AF759" s="346">
        <v>12</v>
      </c>
      <c r="AG759" s="346">
        <v>12</v>
      </c>
      <c r="AH759" s="346">
        <v>12</v>
      </c>
      <c r="AI759" s="346">
        <v>12</v>
      </c>
      <c r="AJ759" s="346">
        <v>12</v>
      </c>
      <c r="AK759" s="346">
        <v>12</v>
      </c>
      <c r="AL759" s="346">
        <v>12</v>
      </c>
      <c r="AM759" s="346">
        <v>12</v>
      </c>
      <c r="AN759" s="346">
        <v>12</v>
      </c>
      <c r="AO759" s="346">
        <v>12</v>
      </c>
      <c r="AP759" s="357">
        <v>3</v>
      </c>
      <c r="AQ759" s="357">
        <v>3</v>
      </c>
      <c r="AR759" s="357">
        <v>1</v>
      </c>
      <c r="AS759" s="357">
        <v>1</v>
      </c>
      <c r="AT759" s="357">
        <v>1</v>
      </c>
      <c r="AU759" s="211">
        <v>1</v>
      </c>
      <c r="AV759" s="357">
        <v>1</v>
      </c>
      <c r="AW759" s="357">
        <v>2</v>
      </c>
      <c r="AX759" s="357">
        <v>1</v>
      </c>
      <c r="AY759" s="357">
        <v>3</v>
      </c>
      <c r="AZ759" s="357">
        <v>6</v>
      </c>
      <c r="BA759" s="357">
        <v>7</v>
      </c>
      <c r="BB759" s="357">
        <v>2</v>
      </c>
      <c r="BC759" s="357">
        <v>1</v>
      </c>
    </row>
    <row r="760" spans="1:55" s="381" customFormat="1" ht="17.649999999999999" customHeight="1">
      <c r="A760" s="358"/>
      <c r="B760" s="197" t="s">
        <v>2408</v>
      </c>
      <c r="C760" s="211" t="s">
        <v>2055</v>
      </c>
      <c r="D760" s="211" t="s">
        <v>2056</v>
      </c>
      <c r="E760" s="360">
        <v>9</v>
      </c>
      <c r="F760" s="360">
        <v>10</v>
      </c>
      <c r="G760" s="360">
        <v>11</v>
      </c>
      <c r="H760" s="344">
        <v>14.233333333333301</v>
      </c>
      <c r="I760" s="344">
        <v>14.233333333333301</v>
      </c>
      <c r="J760" s="360">
        <v>7</v>
      </c>
      <c r="K760" s="344">
        <v>14.233333333333301</v>
      </c>
      <c r="L760" s="360">
        <v>13</v>
      </c>
      <c r="M760" s="360">
        <v>13</v>
      </c>
      <c r="N760" s="344">
        <v>14.233333333333301</v>
      </c>
      <c r="O760" s="344">
        <v>14.233333333333301</v>
      </c>
      <c r="P760" s="344">
        <v>14.466666666666701</v>
      </c>
      <c r="Q760" s="344">
        <v>18.433333333333302</v>
      </c>
      <c r="R760" s="344">
        <v>20.533333333333299</v>
      </c>
      <c r="S760" s="344">
        <v>24.5</v>
      </c>
      <c r="T760" s="344">
        <v>21.933333333333302</v>
      </c>
      <c r="U760" s="344">
        <v>27.066666666666698</v>
      </c>
      <c r="V760" s="344">
        <v>26.366666666666699</v>
      </c>
      <c r="W760" s="344">
        <v>25.6666666666667</v>
      </c>
      <c r="X760" s="344">
        <v>35.933333333333302</v>
      </c>
      <c r="Y760" s="344">
        <v>32.9</v>
      </c>
      <c r="Z760" s="344">
        <v>29.633333333333301</v>
      </c>
      <c r="AA760" s="344">
        <v>24.5</v>
      </c>
      <c r="AB760" s="344">
        <v>13.533333333333299</v>
      </c>
      <c r="AC760" s="344">
        <v>11.2</v>
      </c>
      <c r="AD760" s="344">
        <f t="shared" si="65"/>
        <v>-2.3333333333333002</v>
      </c>
      <c r="AE760" s="346">
        <v>4</v>
      </c>
      <c r="AF760" s="346">
        <v>4</v>
      </c>
      <c r="AG760" s="346">
        <v>4</v>
      </c>
      <c r="AH760" s="346">
        <v>4</v>
      </c>
      <c r="AI760" s="346">
        <v>4</v>
      </c>
      <c r="AJ760" s="346">
        <v>4</v>
      </c>
      <c r="AK760" s="346">
        <v>4</v>
      </c>
      <c r="AL760" s="346">
        <v>4</v>
      </c>
      <c r="AM760" s="346">
        <v>4</v>
      </c>
      <c r="AN760" s="346">
        <v>4</v>
      </c>
      <c r="AO760" s="346">
        <v>4</v>
      </c>
      <c r="AP760" s="346">
        <v>1</v>
      </c>
      <c r="AQ760" s="357">
        <v>5</v>
      </c>
      <c r="AR760" s="357">
        <v>1</v>
      </c>
      <c r="AS760" s="357">
        <v>2</v>
      </c>
      <c r="AT760" s="357">
        <v>3</v>
      </c>
      <c r="AU760" s="357">
        <v>2</v>
      </c>
      <c r="AV760" s="357">
        <v>1</v>
      </c>
      <c r="AW760" s="357">
        <v>2</v>
      </c>
      <c r="AX760" s="357">
        <v>2</v>
      </c>
      <c r="AY760" s="357">
        <v>2</v>
      </c>
      <c r="AZ760" s="357">
        <v>2</v>
      </c>
      <c r="BA760" s="357">
        <v>2</v>
      </c>
      <c r="BB760" s="357">
        <v>2</v>
      </c>
      <c r="BC760" s="357">
        <v>2</v>
      </c>
    </row>
    <row r="761" spans="1:55" s="381" customFormat="1" ht="17.649999999999999" customHeight="1">
      <c r="A761" s="358"/>
      <c r="B761" s="197" t="s">
        <v>2409</v>
      </c>
      <c r="C761" s="211" t="s">
        <v>2055</v>
      </c>
      <c r="D761" s="211" t="s">
        <v>2056</v>
      </c>
      <c r="E761" s="360">
        <v>4</v>
      </c>
      <c r="F761" s="360">
        <v>5</v>
      </c>
      <c r="G761" s="360">
        <v>5</v>
      </c>
      <c r="H761" s="344">
        <v>7</v>
      </c>
      <c r="I761" s="344">
        <v>7</v>
      </c>
      <c r="J761" s="360">
        <v>4</v>
      </c>
      <c r="K761" s="344">
        <v>7</v>
      </c>
      <c r="L761" s="360">
        <v>6</v>
      </c>
      <c r="M761" s="360">
        <v>6</v>
      </c>
      <c r="N761" s="344">
        <v>7</v>
      </c>
      <c r="O761" s="344">
        <v>7</v>
      </c>
      <c r="P761" s="344">
        <v>5.6</v>
      </c>
      <c r="Q761" s="344">
        <v>7</v>
      </c>
      <c r="R761" s="344">
        <v>7</v>
      </c>
      <c r="S761" s="344">
        <v>7.7</v>
      </c>
      <c r="T761" s="344">
        <v>10.033333333333299</v>
      </c>
      <c r="U761" s="344">
        <v>9.1</v>
      </c>
      <c r="V761" s="344">
        <v>9.8000000000000007</v>
      </c>
      <c r="W761" s="344">
        <v>10.033333333333299</v>
      </c>
      <c r="X761" s="344">
        <v>9.56666666666667</v>
      </c>
      <c r="Y761" s="344">
        <v>6.3</v>
      </c>
      <c r="Z761" s="344">
        <v>6.7666666666666702</v>
      </c>
      <c r="AA761" s="344">
        <v>5.6</v>
      </c>
      <c r="AB761" s="344">
        <v>6.7666666666666702</v>
      </c>
      <c r="AC761" s="344">
        <v>6.5333333333333297</v>
      </c>
      <c r="AD761" s="344">
        <f t="shared" si="65"/>
        <v>-0.2333333333333405</v>
      </c>
      <c r="AE761" s="346">
        <v>1</v>
      </c>
      <c r="AF761" s="346">
        <v>1</v>
      </c>
      <c r="AG761" s="346">
        <v>1</v>
      </c>
      <c r="AH761" s="346">
        <v>1</v>
      </c>
      <c r="AI761" s="346">
        <v>1</v>
      </c>
      <c r="AJ761" s="346">
        <v>1</v>
      </c>
      <c r="AK761" s="346">
        <v>1</v>
      </c>
      <c r="AL761" s="346">
        <v>1</v>
      </c>
      <c r="AM761" s="346">
        <v>1</v>
      </c>
      <c r="AN761" s="346">
        <v>1</v>
      </c>
      <c r="AO761" s="346">
        <v>1</v>
      </c>
      <c r="AP761" s="211">
        <v>1</v>
      </c>
      <c r="AQ761" s="357">
        <v>1</v>
      </c>
      <c r="AR761" s="357">
        <v>1</v>
      </c>
      <c r="AS761" s="357">
        <v>1</v>
      </c>
      <c r="AT761" s="357">
        <v>9</v>
      </c>
      <c r="AU761" s="357">
        <v>1</v>
      </c>
      <c r="AV761" s="357">
        <v>1</v>
      </c>
      <c r="AW761" s="357">
        <v>1</v>
      </c>
      <c r="AX761" s="357">
        <v>1</v>
      </c>
      <c r="AY761" s="357">
        <v>1</v>
      </c>
      <c r="AZ761" s="357">
        <v>12</v>
      </c>
      <c r="BA761" s="357">
        <v>1</v>
      </c>
      <c r="BB761" s="357">
        <v>12</v>
      </c>
      <c r="BC761" s="357">
        <v>1</v>
      </c>
    </row>
    <row r="762" spans="1:55" s="381" customFormat="1" ht="17.649999999999999" customHeight="1">
      <c r="A762" s="358"/>
      <c r="B762" s="197" t="s">
        <v>2410</v>
      </c>
      <c r="C762" s="211" t="s">
        <v>2055</v>
      </c>
      <c r="D762" s="211" t="s">
        <v>2056</v>
      </c>
      <c r="E762" s="360">
        <v>12</v>
      </c>
      <c r="F762" s="360">
        <v>14</v>
      </c>
      <c r="G762" s="360">
        <v>15</v>
      </c>
      <c r="H762" s="344">
        <v>19.366666666666699</v>
      </c>
      <c r="I762" s="344">
        <v>19.366666666666699</v>
      </c>
      <c r="J762" s="360">
        <v>10</v>
      </c>
      <c r="K762" s="344">
        <v>19.366666666666699</v>
      </c>
      <c r="L762" s="360">
        <v>18</v>
      </c>
      <c r="M762" s="360">
        <v>17</v>
      </c>
      <c r="N762" s="344">
        <v>19.366666666666699</v>
      </c>
      <c r="O762" s="344">
        <v>19.366666666666699</v>
      </c>
      <c r="P762" s="344">
        <v>18.899999999999999</v>
      </c>
      <c r="Q762" s="344">
        <v>19.8333333333333</v>
      </c>
      <c r="R762" s="344">
        <v>16.8</v>
      </c>
      <c r="S762" s="344">
        <v>17.5</v>
      </c>
      <c r="T762" s="344">
        <v>16.3333333333333</v>
      </c>
      <c r="U762" s="344">
        <v>14.233333333333301</v>
      </c>
      <c r="V762" s="344">
        <v>13.533333333333299</v>
      </c>
      <c r="W762" s="344">
        <v>12.366666666666699</v>
      </c>
      <c r="X762" s="344">
        <v>12.133333333333301</v>
      </c>
      <c r="Y762" s="344">
        <v>14</v>
      </c>
      <c r="Z762" s="344">
        <v>14.466666666666701</v>
      </c>
      <c r="AA762" s="344">
        <v>16.100000000000001</v>
      </c>
      <c r="AB762" s="344">
        <v>15.1666666666667</v>
      </c>
      <c r="AC762" s="344">
        <v>12.8333333333333</v>
      </c>
      <c r="AD762" s="344">
        <f t="shared" si="65"/>
        <v>-2.3333333333333997</v>
      </c>
      <c r="AE762" s="346">
        <v>1</v>
      </c>
      <c r="AF762" s="346">
        <v>1</v>
      </c>
      <c r="AG762" s="346">
        <v>1</v>
      </c>
      <c r="AH762" s="346">
        <v>1</v>
      </c>
      <c r="AI762" s="346">
        <v>1</v>
      </c>
      <c r="AJ762" s="346">
        <v>1</v>
      </c>
      <c r="AK762" s="346">
        <v>1</v>
      </c>
      <c r="AL762" s="346">
        <v>1</v>
      </c>
      <c r="AM762" s="346">
        <v>1</v>
      </c>
      <c r="AN762" s="346">
        <v>1</v>
      </c>
      <c r="AO762" s="346">
        <v>1</v>
      </c>
      <c r="AP762" s="346">
        <v>1</v>
      </c>
      <c r="AQ762" s="357">
        <v>14</v>
      </c>
      <c r="AR762" s="357">
        <v>1</v>
      </c>
      <c r="AS762" s="357">
        <v>1</v>
      </c>
      <c r="AT762" s="357">
        <v>4</v>
      </c>
      <c r="AU762" s="357">
        <v>1</v>
      </c>
      <c r="AV762" s="357">
        <v>1</v>
      </c>
      <c r="AW762" s="357">
        <v>10</v>
      </c>
      <c r="AX762" s="357">
        <v>1</v>
      </c>
      <c r="AY762" s="357">
        <v>6</v>
      </c>
      <c r="AZ762" s="357">
        <v>1</v>
      </c>
      <c r="BA762" s="357">
        <v>8</v>
      </c>
      <c r="BB762" s="357">
        <v>1</v>
      </c>
      <c r="BC762" s="357">
        <v>1</v>
      </c>
    </row>
    <row r="763" spans="1:55" s="381" customFormat="1" ht="17.649999999999999" customHeight="1">
      <c r="A763" s="358"/>
      <c r="B763" s="197" t="s">
        <v>2411</v>
      </c>
      <c r="C763" s="211" t="s">
        <v>2055</v>
      </c>
      <c r="D763" s="211" t="s">
        <v>2056</v>
      </c>
      <c r="E763" s="360">
        <v>2</v>
      </c>
      <c r="F763" s="360">
        <v>3</v>
      </c>
      <c r="G763" s="360">
        <v>3</v>
      </c>
      <c r="H763" s="344">
        <v>3.9666666666666699</v>
      </c>
      <c r="I763" s="344">
        <v>3.9666666666666699</v>
      </c>
      <c r="J763" s="360">
        <v>2</v>
      </c>
      <c r="K763" s="344">
        <v>3.9666666666666699</v>
      </c>
      <c r="L763" s="360">
        <v>4</v>
      </c>
      <c r="M763" s="360">
        <v>4</v>
      </c>
      <c r="N763" s="344">
        <v>3.9666666666666699</v>
      </c>
      <c r="O763" s="344">
        <v>3.9666666666666699</v>
      </c>
      <c r="P763" s="344">
        <v>4.43333333333333</v>
      </c>
      <c r="Q763" s="344">
        <v>5.1333333333333302</v>
      </c>
      <c r="R763" s="344">
        <v>4.2</v>
      </c>
      <c r="S763" s="344">
        <v>8.6333333333333293</v>
      </c>
      <c r="T763" s="344">
        <v>6.7666666666666702</v>
      </c>
      <c r="U763" s="344">
        <v>6.3</v>
      </c>
      <c r="V763" s="344">
        <v>7</v>
      </c>
      <c r="W763" s="344">
        <v>4.43333333333333</v>
      </c>
      <c r="X763" s="344">
        <v>5.8333333333333304</v>
      </c>
      <c r="Y763" s="344">
        <v>6.3</v>
      </c>
      <c r="Z763" s="344">
        <v>8.8666666666666707</v>
      </c>
      <c r="AA763" s="344">
        <v>9.1</v>
      </c>
      <c r="AB763" s="344">
        <v>10.033333333333299</v>
      </c>
      <c r="AC763" s="344">
        <v>10.266666666666699</v>
      </c>
      <c r="AD763" s="344">
        <f t="shared" si="65"/>
        <v>0.23333333333340001</v>
      </c>
      <c r="AE763" s="346">
        <v>1</v>
      </c>
      <c r="AF763" s="346">
        <v>1</v>
      </c>
      <c r="AG763" s="346">
        <v>1</v>
      </c>
      <c r="AH763" s="346">
        <v>1</v>
      </c>
      <c r="AI763" s="346">
        <v>1</v>
      </c>
      <c r="AJ763" s="346">
        <v>1</v>
      </c>
      <c r="AK763" s="346">
        <v>1</v>
      </c>
      <c r="AL763" s="346">
        <v>1</v>
      </c>
      <c r="AM763" s="346">
        <v>1</v>
      </c>
      <c r="AN763" s="346">
        <v>1</v>
      </c>
      <c r="AO763" s="346">
        <v>1</v>
      </c>
      <c r="AP763" s="346">
        <v>1</v>
      </c>
      <c r="AQ763" s="357">
        <v>1</v>
      </c>
      <c r="AR763" s="357">
        <v>1</v>
      </c>
      <c r="AS763" s="357">
        <v>1</v>
      </c>
      <c r="AT763" s="357">
        <v>1</v>
      </c>
      <c r="AU763" s="357">
        <v>1</v>
      </c>
      <c r="AV763" s="357">
        <v>1</v>
      </c>
      <c r="AW763" s="357">
        <v>1</v>
      </c>
      <c r="AX763" s="357">
        <v>1</v>
      </c>
      <c r="AY763" s="357">
        <v>1</v>
      </c>
      <c r="AZ763" s="357">
        <v>2</v>
      </c>
      <c r="BA763" s="357">
        <v>1</v>
      </c>
      <c r="BB763" s="357">
        <v>1</v>
      </c>
      <c r="BC763" s="357">
        <v>2</v>
      </c>
    </row>
    <row r="764" spans="1:55" s="381" customFormat="1" ht="17.649999999999999" customHeight="1">
      <c r="A764" s="358"/>
      <c r="B764" s="197" t="s">
        <v>2412</v>
      </c>
      <c r="C764" s="211" t="s">
        <v>2055</v>
      </c>
      <c r="D764" s="211" t="s">
        <v>2056</v>
      </c>
      <c r="E764" s="360">
        <v>2</v>
      </c>
      <c r="F764" s="360">
        <v>2</v>
      </c>
      <c r="G764" s="360">
        <v>2</v>
      </c>
      <c r="H764" s="344">
        <v>3.0333333333333301</v>
      </c>
      <c r="I764" s="344">
        <v>3.0333333333333301</v>
      </c>
      <c r="J764" s="360">
        <v>2</v>
      </c>
      <c r="K764" s="344">
        <v>3.0333333333333301</v>
      </c>
      <c r="L764" s="360">
        <v>3</v>
      </c>
      <c r="M764" s="360">
        <v>3</v>
      </c>
      <c r="N764" s="344">
        <v>3.0333333333333301</v>
      </c>
      <c r="O764" s="344">
        <v>3.0333333333333301</v>
      </c>
      <c r="P764" s="344">
        <v>5.1333333333333302</v>
      </c>
      <c r="Q764" s="344">
        <v>6.7666666666666702</v>
      </c>
      <c r="R764" s="344">
        <v>5.8333333333333304</v>
      </c>
      <c r="S764" s="344">
        <v>7.93333333333333</v>
      </c>
      <c r="T764" s="344">
        <v>6.5333333333333297</v>
      </c>
      <c r="U764" s="344">
        <v>4.2</v>
      </c>
      <c r="V764" s="344">
        <v>5.1333333333333302</v>
      </c>
      <c r="W764" s="344">
        <v>4.43333333333333</v>
      </c>
      <c r="X764" s="344">
        <v>3.5</v>
      </c>
      <c r="Y764" s="344">
        <v>3.2666666666666702</v>
      </c>
      <c r="Z764" s="344">
        <v>4.6666666666666696</v>
      </c>
      <c r="AA764" s="344">
        <v>3.9666666666666699</v>
      </c>
      <c r="AB764" s="344">
        <v>5.1333333333333302</v>
      </c>
      <c r="AC764" s="344">
        <v>7</v>
      </c>
      <c r="AD764" s="344">
        <f t="shared" si="65"/>
        <v>1.8666666666666698</v>
      </c>
      <c r="AE764" s="346">
        <v>1</v>
      </c>
      <c r="AF764" s="346">
        <v>1</v>
      </c>
      <c r="AG764" s="346">
        <v>1</v>
      </c>
      <c r="AH764" s="346">
        <v>1</v>
      </c>
      <c r="AI764" s="346">
        <v>1</v>
      </c>
      <c r="AJ764" s="346">
        <v>1</v>
      </c>
      <c r="AK764" s="346">
        <v>1</v>
      </c>
      <c r="AL764" s="346">
        <v>1</v>
      </c>
      <c r="AM764" s="346">
        <v>1</v>
      </c>
      <c r="AN764" s="346">
        <v>1</v>
      </c>
      <c r="AO764" s="346">
        <v>1</v>
      </c>
      <c r="AP764" s="346">
        <v>1</v>
      </c>
      <c r="AQ764" s="357">
        <v>1</v>
      </c>
      <c r="AR764" s="357">
        <v>1</v>
      </c>
      <c r="AS764" s="357">
        <v>1</v>
      </c>
      <c r="AT764" s="357">
        <v>12</v>
      </c>
      <c r="AU764" s="357">
        <v>1</v>
      </c>
      <c r="AV764" s="357">
        <v>1</v>
      </c>
      <c r="AW764" s="357">
        <v>1</v>
      </c>
      <c r="AX764" s="357">
        <v>1</v>
      </c>
      <c r="AY764" s="357">
        <v>1</v>
      </c>
      <c r="AZ764" s="357">
        <v>1</v>
      </c>
      <c r="BA764" s="357">
        <v>3</v>
      </c>
      <c r="BB764" s="357">
        <v>6</v>
      </c>
      <c r="BC764" s="357">
        <v>8</v>
      </c>
    </row>
    <row r="765" spans="1:55" s="381" customFormat="1" ht="17.649999999999999" customHeight="1">
      <c r="A765" s="358"/>
      <c r="B765" s="197" t="s">
        <v>2413</v>
      </c>
      <c r="C765" s="211" t="s">
        <v>2055</v>
      </c>
      <c r="D765" s="211" t="s">
        <v>2056</v>
      </c>
      <c r="E765" s="360">
        <v>1</v>
      </c>
      <c r="F765" s="360">
        <v>1</v>
      </c>
      <c r="G765" s="360">
        <v>1</v>
      </c>
      <c r="H765" s="344">
        <v>1.4</v>
      </c>
      <c r="I765" s="344">
        <v>1.4</v>
      </c>
      <c r="J765" s="360">
        <v>1</v>
      </c>
      <c r="K765" s="344">
        <v>1.4</v>
      </c>
      <c r="L765" s="360">
        <v>1</v>
      </c>
      <c r="M765" s="360">
        <v>1</v>
      </c>
      <c r="N765" s="344">
        <v>1.4</v>
      </c>
      <c r="O765" s="344">
        <v>1.4</v>
      </c>
      <c r="P765" s="344">
        <v>1.4</v>
      </c>
      <c r="Q765" s="344">
        <v>1.1666666666666701</v>
      </c>
      <c r="R765" s="344">
        <v>1.1666666666666701</v>
      </c>
      <c r="S765" s="344">
        <v>2.1</v>
      </c>
      <c r="T765" s="344">
        <v>2.56666666666667</v>
      </c>
      <c r="U765" s="344">
        <v>3.0333333333333301</v>
      </c>
      <c r="V765" s="344">
        <v>3.9666666666666699</v>
      </c>
      <c r="W765" s="344">
        <v>3.5</v>
      </c>
      <c r="X765" s="344">
        <v>2.56666666666667</v>
      </c>
      <c r="Y765" s="344">
        <v>2.56666666666667</v>
      </c>
      <c r="Z765" s="344">
        <v>2.56666666666667</v>
      </c>
      <c r="AA765" s="344">
        <v>2.3333333333333299</v>
      </c>
      <c r="AB765" s="344">
        <v>2.56666666666667</v>
      </c>
      <c r="AC765" s="344">
        <v>3.0333333333333301</v>
      </c>
      <c r="AD765" s="344">
        <f t="shared" si="65"/>
        <v>0.46666666666666012</v>
      </c>
      <c r="AE765" s="346">
        <v>1</v>
      </c>
      <c r="AF765" s="346">
        <v>1</v>
      </c>
      <c r="AG765" s="346">
        <v>1</v>
      </c>
      <c r="AH765" s="346">
        <v>1</v>
      </c>
      <c r="AI765" s="346">
        <v>1</v>
      </c>
      <c r="AJ765" s="346">
        <v>1</v>
      </c>
      <c r="AK765" s="346">
        <v>1</v>
      </c>
      <c r="AL765" s="346">
        <v>1</v>
      </c>
      <c r="AM765" s="346">
        <v>1</v>
      </c>
      <c r="AN765" s="346">
        <v>1</v>
      </c>
      <c r="AO765" s="346">
        <v>1</v>
      </c>
      <c r="AP765" s="346">
        <v>1</v>
      </c>
      <c r="AQ765" s="357">
        <v>11</v>
      </c>
      <c r="AR765" s="357">
        <v>1</v>
      </c>
      <c r="AS765" s="357">
        <v>1</v>
      </c>
      <c r="AT765" s="357">
        <v>1</v>
      </c>
      <c r="AU765" s="357">
        <v>1</v>
      </c>
      <c r="AV765" s="357">
        <v>10</v>
      </c>
      <c r="AW765" s="357">
        <v>2</v>
      </c>
      <c r="AX765" s="357">
        <v>1</v>
      </c>
      <c r="AY765" s="357">
        <v>1</v>
      </c>
      <c r="AZ765" s="357">
        <v>2</v>
      </c>
      <c r="BA765" s="357">
        <v>2</v>
      </c>
      <c r="BB765" s="357">
        <v>8</v>
      </c>
      <c r="BC765" s="357">
        <v>2</v>
      </c>
    </row>
    <row r="766" spans="1:55" s="381" customFormat="1" ht="17.649999999999999" customHeight="1">
      <c r="A766" s="358"/>
      <c r="B766" s="197" t="s">
        <v>2414</v>
      </c>
      <c r="C766" s="211" t="s">
        <v>2055</v>
      </c>
      <c r="D766" s="211" t="s">
        <v>2056</v>
      </c>
      <c r="E766" s="360">
        <v>6</v>
      </c>
      <c r="F766" s="360">
        <v>7</v>
      </c>
      <c r="G766" s="360">
        <v>7</v>
      </c>
      <c r="H766" s="344">
        <v>9.8000000000000007</v>
      </c>
      <c r="I766" s="344">
        <v>9.8000000000000007</v>
      </c>
      <c r="J766" s="360">
        <v>5</v>
      </c>
      <c r="K766" s="344">
        <v>9.8000000000000007</v>
      </c>
      <c r="L766" s="360">
        <v>9</v>
      </c>
      <c r="M766" s="360">
        <v>9</v>
      </c>
      <c r="N766" s="344">
        <v>9.8000000000000007</v>
      </c>
      <c r="O766" s="344">
        <v>9.8000000000000007</v>
      </c>
      <c r="P766" s="344">
        <v>13.533333333333299</v>
      </c>
      <c r="Q766" s="344">
        <v>14.233333333333301</v>
      </c>
      <c r="R766" s="344">
        <v>13.533333333333299</v>
      </c>
      <c r="S766" s="344">
        <v>13.533333333333299</v>
      </c>
      <c r="T766" s="344">
        <v>13.0666666666667</v>
      </c>
      <c r="U766" s="344">
        <v>13.533333333333299</v>
      </c>
      <c r="V766" s="344">
        <v>12.366666666666699</v>
      </c>
      <c r="W766" s="344">
        <v>11.6666666666667</v>
      </c>
      <c r="X766" s="344">
        <v>10.733333333333301</v>
      </c>
      <c r="Y766" s="344">
        <v>8.8666666666666707</v>
      </c>
      <c r="Z766" s="344">
        <v>9.8000000000000007</v>
      </c>
      <c r="AA766" s="344">
        <v>12.8333333333333</v>
      </c>
      <c r="AB766" s="344">
        <v>11.2</v>
      </c>
      <c r="AC766" s="344">
        <v>11.2</v>
      </c>
      <c r="AD766" s="344">
        <f t="shared" si="65"/>
        <v>0</v>
      </c>
      <c r="AE766" s="346">
        <v>1</v>
      </c>
      <c r="AF766" s="346">
        <v>1</v>
      </c>
      <c r="AG766" s="346">
        <v>1</v>
      </c>
      <c r="AH766" s="346">
        <v>1</v>
      </c>
      <c r="AI766" s="346">
        <v>1</v>
      </c>
      <c r="AJ766" s="346">
        <v>1</v>
      </c>
      <c r="AK766" s="346">
        <v>1</v>
      </c>
      <c r="AL766" s="346">
        <v>1</v>
      </c>
      <c r="AM766" s="346">
        <v>1</v>
      </c>
      <c r="AN766" s="346">
        <v>1</v>
      </c>
      <c r="AO766" s="346">
        <v>1</v>
      </c>
      <c r="AP766" s="346">
        <v>1</v>
      </c>
      <c r="AQ766" s="357">
        <v>1</v>
      </c>
      <c r="AR766" s="357">
        <v>1</v>
      </c>
      <c r="AS766" s="357">
        <v>1</v>
      </c>
      <c r="AT766" s="357">
        <v>1</v>
      </c>
      <c r="AU766" s="357">
        <v>1</v>
      </c>
      <c r="AV766" s="357">
        <v>1</v>
      </c>
      <c r="AW766" s="357">
        <v>1</v>
      </c>
      <c r="AX766" s="357">
        <v>1</v>
      </c>
      <c r="AY766" s="357">
        <v>1</v>
      </c>
      <c r="AZ766" s="357">
        <v>1</v>
      </c>
      <c r="BA766" s="357">
        <v>1</v>
      </c>
      <c r="BB766" s="357">
        <v>1</v>
      </c>
      <c r="BC766" s="357">
        <v>1</v>
      </c>
    </row>
    <row r="767" spans="1:55" s="381" customFormat="1" ht="17.649999999999999" customHeight="1">
      <c r="A767" s="358"/>
      <c r="B767" s="197" t="s">
        <v>2415</v>
      </c>
      <c r="C767" s="211" t="s">
        <v>2055</v>
      </c>
      <c r="D767" s="211" t="s">
        <v>2056</v>
      </c>
      <c r="E767" s="360">
        <v>6</v>
      </c>
      <c r="F767" s="360">
        <v>7</v>
      </c>
      <c r="G767" s="360">
        <v>8</v>
      </c>
      <c r="H767" s="344">
        <v>10.033333333333299</v>
      </c>
      <c r="I767" s="344">
        <v>10.033333333333299</v>
      </c>
      <c r="J767" s="360">
        <v>5</v>
      </c>
      <c r="K767" s="344">
        <v>10.033333333333299</v>
      </c>
      <c r="L767" s="360">
        <v>9</v>
      </c>
      <c r="M767" s="360">
        <v>9</v>
      </c>
      <c r="N767" s="344">
        <v>10.033333333333299</v>
      </c>
      <c r="O767" s="344">
        <v>10.033333333333299</v>
      </c>
      <c r="P767" s="344">
        <v>10.266666666666699</v>
      </c>
      <c r="Q767" s="344">
        <v>9.1</v>
      </c>
      <c r="R767" s="344">
        <v>8.8666666666666707</v>
      </c>
      <c r="S767" s="344">
        <v>9.1</v>
      </c>
      <c r="T767" s="344">
        <v>10.266666666666699</v>
      </c>
      <c r="U767" s="344">
        <v>10.966666666666701</v>
      </c>
      <c r="V767" s="344">
        <v>10.733333333333301</v>
      </c>
      <c r="W767" s="344">
        <v>10.266666666666699</v>
      </c>
      <c r="X767" s="344">
        <v>6.7666666666666702</v>
      </c>
      <c r="Y767" s="344">
        <v>8.4</v>
      </c>
      <c r="Z767" s="344">
        <v>6.7666666666666702</v>
      </c>
      <c r="AA767" s="344">
        <v>6.5333333333333297</v>
      </c>
      <c r="AB767" s="344">
        <v>9.56666666666667</v>
      </c>
      <c r="AC767" s="344">
        <v>8.8666666666666707</v>
      </c>
      <c r="AD767" s="344">
        <f t="shared" si="65"/>
        <v>-0.69999999999999929</v>
      </c>
      <c r="AE767" s="346">
        <v>14</v>
      </c>
      <c r="AF767" s="346">
        <v>14</v>
      </c>
      <c r="AG767" s="346">
        <v>14</v>
      </c>
      <c r="AH767" s="346">
        <v>14</v>
      </c>
      <c r="AI767" s="346">
        <v>14</v>
      </c>
      <c r="AJ767" s="346">
        <v>14</v>
      </c>
      <c r="AK767" s="346">
        <v>14</v>
      </c>
      <c r="AL767" s="346">
        <v>14</v>
      </c>
      <c r="AM767" s="346">
        <v>14</v>
      </c>
      <c r="AN767" s="346">
        <v>14</v>
      </c>
      <c r="AO767" s="346">
        <v>14</v>
      </c>
      <c r="AP767" s="346">
        <v>2</v>
      </c>
      <c r="AQ767" s="357">
        <v>13</v>
      </c>
      <c r="AR767" s="357">
        <v>2</v>
      </c>
      <c r="AS767" s="357">
        <v>1</v>
      </c>
      <c r="AT767" s="357">
        <v>2</v>
      </c>
      <c r="AU767" s="357">
        <v>5</v>
      </c>
      <c r="AV767" s="357">
        <v>1</v>
      </c>
      <c r="AW767" s="357">
        <v>3</v>
      </c>
      <c r="AX767" s="357">
        <v>1</v>
      </c>
      <c r="AY767" s="357">
        <v>10</v>
      </c>
      <c r="AZ767" s="357">
        <v>2</v>
      </c>
      <c r="BA767" s="357">
        <v>10</v>
      </c>
      <c r="BB767" s="357">
        <v>8</v>
      </c>
      <c r="BC767" s="357">
        <v>2</v>
      </c>
    </row>
    <row r="768" spans="1:55" s="381" customFormat="1" ht="17.649999999999999" customHeight="1">
      <c r="A768" s="358"/>
      <c r="B768" s="197" t="s">
        <v>2416</v>
      </c>
      <c r="C768" s="211" t="s">
        <v>2055</v>
      </c>
      <c r="D768" s="211" t="s">
        <v>2056</v>
      </c>
      <c r="E768" s="360">
        <v>4</v>
      </c>
      <c r="F768" s="360">
        <v>4</v>
      </c>
      <c r="G768" s="360">
        <v>4</v>
      </c>
      <c r="H768" s="344">
        <v>5.8333333333333304</v>
      </c>
      <c r="I768" s="344">
        <v>5.8333333333333304</v>
      </c>
      <c r="J768" s="360">
        <v>3</v>
      </c>
      <c r="K768" s="344">
        <v>5.8333333333333304</v>
      </c>
      <c r="L768" s="360">
        <v>5</v>
      </c>
      <c r="M768" s="360">
        <v>5</v>
      </c>
      <c r="N768" s="344">
        <v>5.8333333333333304</v>
      </c>
      <c r="O768" s="344">
        <v>5.8333333333333304</v>
      </c>
      <c r="P768" s="344">
        <v>6.5333333333333297</v>
      </c>
      <c r="Q768" s="344">
        <v>9.8000000000000007</v>
      </c>
      <c r="R768" s="344">
        <v>10.033333333333299</v>
      </c>
      <c r="S768" s="344">
        <v>10.733333333333301</v>
      </c>
      <c r="T768" s="344">
        <v>10.266666666666699</v>
      </c>
      <c r="U768" s="344">
        <v>8.8666666666666707</v>
      </c>
      <c r="V768" s="344">
        <v>8.6333333333333293</v>
      </c>
      <c r="W768" s="344">
        <v>6.7666666666666702</v>
      </c>
      <c r="X768" s="344">
        <v>7</v>
      </c>
      <c r="Y768" s="344">
        <v>8.6333333333333293</v>
      </c>
      <c r="Z768" s="344">
        <v>7.7</v>
      </c>
      <c r="AA768" s="344">
        <v>8.4</v>
      </c>
      <c r="AB768" s="344">
        <v>6.7666666666666702</v>
      </c>
      <c r="AC768" s="344">
        <v>6.5333333333333297</v>
      </c>
      <c r="AD768" s="344">
        <f t="shared" si="65"/>
        <v>-0.2333333333333405</v>
      </c>
      <c r="AE768" s="346">
        <v>1</v>
      </c>
      <c r="AF768" s="346">
        <v>1</v>
      </c>
      <c r="AG768" s="346">
        <v>1</v>
      </c>
      <c r="AH768" s="346">
        <v>1</v>
      </c>
      <c r="AI768" s="346">
        <v>1</v>
      </c>
      <c r="AJ768" s="346">
        <v>1</v>
      </c>
      <c r="AK768" s="346">
        <v>1</v>
      </c>
      <c r="AL768" s="346">
        <v>1</v>
      </c>
      <c r="AM768" s="346">
        <v>1</v>
      </c>
      <c r="AN768" s="346">
        <v>1</v>
      </c>
      <c r="AO768" s="346">
        <v>1</v>
      </c>
      <c r="AP768" s="346">
        <v>7</v>
      </c>
      <c r="AQ768" s="357">
        <v>10</v>
      </c>
      <c r="AR768" s="357">
        <v>2</v>
      </c>
      <c r="AS768" s="357">
        <v>1</v>
      </c>
      <c r="AT768" s="357">
        <v>1</v>
      </c>
      <c r="AU768" s="357">
        <v>10</v>
      </c>
      <c r="AV768" s="357">
        <v>1</v>
      </c>
      <c r="AW768" s="357">
        <v>1</v>
      </c>
      <c r="AX768" s="357">
        <v>1</v>
      </c>
      <c r="AY768" s="357">
        <v>1</v>
      </c>
      <c r="AZ768" s="357">
        <v>2</v>
      </c>
      <c r="BA768" s="357">
        <v>2</v>
      </c>
      <c r="BB768" s="357">
        <v>8</v>
      </c>
      <c r="BC768" s="357">
        <v>10</v>
      </c>
    </row>
    <row r="769" spans="1:55" s="381" customFormat="1" ht="17.649999999999999" customHeight="1">
      <c r="A769" s="358"/>
      <c r="B769" s="197" t="s">
        <v>2417</v>
      </c>
      <c r="C769" s="211" t="s">
        <v>2055</v>
      </c>
      <c r="D769" s="211" t="s">
        <v>2056</v>
      </c>
      <c r="E769" s="360">
        <v>1</v>
      </c>
      <c r="F769" s="360">
        <v>1</v>
      </c>
      <c r="G769" s="360">
        <v>1</v>
      </c>
      <c r="H769" s="344">
        <v>1.4</v>
      </c>
      <c r="I769" s="344">
        <v>1.4</v>
      </c>
      <c r="J769" s="360">
        <v>1</v>
      </c>
      <c r="K769" s="344">
        <v>1.4</v>
      </c>
      <c r="L769" s="360">
        <v>1</v>
      </c>
      <c r="M769" s="360">
        <v>1</v>
      </c>
      <c r="N769" s="344">
        <v>1.4</v>
      </c>
      <c r="O769" s="344">
        <v>1.4</v>
      </c>
      <c r="P769" s="344">
        <v>1.4</v>
      </c>
      <c r="Q769" s="344">
        <v>1.1666666666666701</v>
      </c>
      <c r="R769" s="344">
        <v>1.4</v>
      </c>
      <c r="S769" s="344">
        <v>3.0333333333333301</v>
      </c>
      <c r="T769" s="344">
        <v>3.5</v>
      </c>
      <c r="U769" s="344">
        <v>3.5</v>
      </c>
      <c r="V769" s="344">
        <v>3.2666666666666702</v>
      </c>
      <c r="W769" s="344">
        <v>0.233333333333333</v>
      </c>
      <c r="X769" s="344">
        <v>0.233333333333333</v>
      </c>
      <c r="Y769" s="344">
        <v>0.233333333333333</v>
      </c>
      <c r="Z769" s="344">
        <v>0.233333333333333</v>
      </c>
      <c r="AA769" s="344">
        <v>0.233333333333333</v>
      </c>
      <c r="AB769" s="344">
        <v>0.233333333333333</v>
      </c>
      <c r="AC769" s="344">
        <v>0.233333333333333</v>
      </c>
      <c r="AD769" s="344">
        <f t="shared" si="65"/>
        <v>0</v>
      </c>
      <c r="AE769" s="346">
        <v>1</v>
      </c>
      <c r="AF769" s="346">
        <v>1</v>
      </c>
      <c r="AG769" s="346">
        <v>1</v>
      </c>
      <c r="AH769" s="346">
        <v>1</v>
      </c>
      <c r="AI769" s="346">
        <v>1</v>
      </c>
      <c r="AJ769" s="346">
        <v>1</v>
      </c>
      <c r="AK769" s="346">
        <v>1</v>
      </c>
      <c r="AL769" s="346">
        <v>1</v>
      </c>
      <c r="AM769" s="346">
        <v>1</v>
      </c>
      <c r="AN769" s="346">
        <v>1</v>
      </c>
      <c r="AO769" s="346">
        <v>1</v>
      </c>
      <c r="AP769" s="346">
        <v>7</v>
      </c>
      <c r="AQ769" s="357">
        <v>1</v>
      </c>
      <c r="AR769" s="357">
        <v>9</v>
      </c>
      <c r="AS769" s="357">
        <v>1</v>
      </c>
      <c r="AT769" s="357">
        <v>8</v>
      </c>
      <c r="AU769" s="357">
        <v>1</v>
      </c>
      <c r="AV769" s="357">
        <v>1</v>
      </c>
      <c r="AW769" s="357">
        <v>1</v>
      </c>
      <c r="AX769" s="357">
        <v>1</v>
      </c>
      <c r="AY769" s="357">
        <v>1</v>
      </c>
      <c r="AZ769" s="357">
        <v>8</v>
      </c>
      <c r="BA769" s="357">
        <v>1</v>
      </c>
      <c r="BB769" s="357">
        <v>1</v>
      </c>
      <c r="BC769" s="357">
        <v>1</v>
      </c>
    </row>
    <row r="770" spans="1:55" s="381" customFormat="1" ht="17.649999999999999" customHeight="1">
      <c r="A770" s="358"/>
      <c r="B770" s="197" t="s">
        <v>2418</v>
      </c>
      <c r="C770" s="211" t="s">
        <v>2055</v>
      </c>
      <c r="D770" s="211" t="s">
        <v>2056</v>
      </c>
      <c r="E770" s="360">
        <v>6</v>
      </c>
      <c r="F770" s="360">
        <v>7</v>
      </c>
      <c r="G770" s="360">
        <v>7</v>
      </c>
      <c r="H770" s="344">
        <v>9.56666666666667</v>
      </c>
      <c r="I770" s="344">
        <v>9.56666666666667</v>
      </c>
      <c r="J770" s="360">
        <v>5</v>
      </c>
      <c r="K770" s="344">
        <v>9.56666666666667</v>
      </c>
      <c r="L770" s="360">
        <v>9</v>
      </c>
      <c r="M770" s="360">
        <v>9</v>
      </c>
      <c r="N770" s="344">
        <v>9.56666666666667</v>
      </c>
      <c r="O770" s="344">
        <v>9.56666666666667</v>
      </c>
      <c r="P770" s="344">
        <v>9.8000000000000007</v>
      </c>
      <c r="Q770" s="344">
        <v>11.2</v>
      </c>
      <c r="R770" s="344">
        <v>11.2</v>
      </c>
      <c r="S770" s="344">
        <v>7</v>
      </c>
      <c r="T770" s="344">
        <v>4.43333333333333</v>
      </c>
      <c r="U770" s="344">
        <v>4.2</v>
      </c>
      <c r="V770" s="344">
        <v>5.3666666666666698</v>
      </c>
      <c r="W770" s="344">
        <v>6.5333333333333297</v>
      </c>
      <c r="X770" s="344">
        <v>12.366666666666699</v>
      </c>
      <c r="Y770" s="344">
        <v>12.366666666666699</v>
      </c>
      <c r="Z770" s="344">
        <v>10.733333333333301</v>
      </c>
      <c r="AA770" s="344">
        <v>10.266666666666699</v>
      </c>
      <c r="AB770" s="344">
        <v>11.6666666666667</v>
      </c>
      <c r="AC770" s="344">
        <v>7.7</v>
      </c>
      <c r="AD770" s="344">
        <f t="shared" si="65"/>
        <v>-3.9666666666666996</v>
      </c>
      <c r="AE770" s="346">
        <v>1</v>
      </c>
      <c r="AF770" s="346">
        <v>1</v>
      </c>
      <c r="AG770" s="346">
        <v>1</v>
      </c>
      <c r="AH770" s="346">
        <v>1</v>
      </c>
      <c r="AI770" s="346">
        <v>1</v>
      </c>
      <c r="AJ770" s="346">
        <v>1</v>
      </c>
      <c r="AK770" s="346">
        <v>1</v>
      </c>
      <c r="AL770" s="346">
        <v>1</v>
      </c>
      <c r="AM770" s="346">
        <v>1</v>
      </c>
      <c r="AN770" s="346">
        <v>1</v>
      </c>
      <c r="AO770" s="346">
        <v>1</v>
      </c>
      <c r="AP770" s="346">
        <v>8</v>
      </c>
      <c r="AQ770" s="357">
        <v>1</v>
      </c>
      <c r="AR770" s="357">
        <v>1</v>
      </c>
      <c r="AS770" s="357">
        <v>1</v>
      </c>
      <c r="AT770" s="357">
        <v>3</v>
      </c>
      <c r="AU770" s="357">
        <v>3</v>
      </c>
      <c r="AV770" s="357">
        <v>8</v>
      </c>
      <c r="AW770" s="357">
        <v>6</v>
      </c>
      <c r="AX770" s="357">
        <v>1</v>
      </c>
      <c r="AY770" s="357">
        <v>1</v>
      </c>
      <c r="AZ770" s="357">
        <v>1</v>
      </c>
      <c r="BA770" s="357">
        <v>3</v>
      </c>
      <c r="BB770" s="357">
        <v>2</v>
      </c>
      <c r="BC770" s="357">
        <v>5</v>
      </c>
    </row>
    <row r="771" spans="1:55" s="381" customFormat="1" ht="17.649999999999999" customHeight="1">
      <c r="A771" s="358"/>
      <c r="B771" s="197" t="s">
        <v>2419</v>
      </c>
      <c r="C771" s="211" t="s">
        <v>2055</v>
      </c>
      <c r="D771" s="211" t="s">
        <v>2056</v>
      </c>
      <c r="E771" s="360">
        <v>412</v>
      </c>
      <c r="F771" s="360">
        <v>495</v>
      </c>
      <c r="G771" s="360">
        <v>515</v>
      </c>
      <c r="H771" s="344">
        <v>686.93333333333305</v>
      </c>
      <c r="I771" s="344">
        <v>686.93333333333305</v>
      </c>
      <c r="J771" s="360">
        <v>343</v>
      </c>
      <c r="K771" s="344">
        <v>686.93333333333305</v>
      </c>
      <c r="L771" s="360">
        <v>632</v>
      </c>
      <c r="M771" s="360">
        <v>618</v>
      </c>
      <c r="N771" s="344">
        <v>686.93333333333305</v>
      </c>
      <c r="O771" s="344">
        <v>686.93333333333305</v>
      </c>
      <c r="P771" s="344">
        <v>682.5</v>
      </c>
      <c r="Q771" s="344">
        <v>715.16666666666697</v>
      </c>
      <c r="R771" s="344">
        <v>680.4</v>
      </c>
      <c r="S771" s="344">
        <v>685.53333333333296</v>
      </c>
      <c r="T771" s="344">
        <v>631.4</v>
      </c>
      <c r="U771" s="344">
        <v>568.86666666666702</v>
      </c>
      <c r="V771" s="344">
        <v>549.73333333333301</v>
      </c>
      <c r="W771" s="344">
        <v>467.13333333333298</v>
      </c>
      <c r="X771" s="344">
        <v>453.13333333333298</v>
      </c>
      <c r="Y771" s="344">
        <v>421.86666666666702</v>
      </c>
      <c r="Z771" s="344">
        <v>410.66666666666703</v>
      </c>
      <c r="AA771" s="344">
        <v>403.66666666666703</v>
      </c>
      <c r="AB771" s="344">
        <v>364.23333333333301</v>
      </c>
      <c r="AC771" s="344">
        <v>366.8</v>
      </c>
      <c r="AD771" s="344">
        <f t="shared" si="65"/>
        <v>2.5666666666670039</v>
      </c>
      <c r="AE771" s="346">
        <v>1</v>
      </c>
      <c r="AF771" s="346">
        <v>1</v>
      </c>
      <c r="AG771" s="346">
        <v>1</v>
      </c>
      <c r="AH771" s="346">
        <v>1</v>
      </c>
      <c r="AI771" s="346">
        <v>1</v>
      </c>
      <c r="AJ771" s="346">
        <v>1</v>
      </c>
      <c r="AK771" s="346">
        <v>1</v>
      </c>
      <c r="AL771" s="346">
        <v>1</v>
      </c>
      <c r="AM771" s="346">
        <v>1</v>
      </c>
      <c r="AN771" s="346">
        <v>1</v>
      </c>
      <c r="AO771" s="346">
        <v>1</v>
      </c>
      <c r="AP771" s="346">
        <v>9</v>
      </c>
      <c r="AQ771" s="357">
        <v>1</v>
      </c>
      <c r="AR771" s="357">
        <v>1</v>
      </c>
      <c r="AS771" s="357">
        <v>1</v>
      </c>
      <c r="AT771" s="357">
        <v>1</v>
      </c>
      <c r="AU771" s="357">
        <v>1</v>
      </c>
      <c r="AV771" s="357">
        <v>4</v>
      </c>
      <c r="AW771" s="357">
        <v>4</v>
      </c>
      <c r="AX771" s="357">
        <v>1</v>
      </c>
      <c r="AY771" s="357">
        <v>8</v>
      </c>
      <c r="AZ771" s="357">
        <v>8</v>
      </c>
      <c r="BA771" s="357">
        <v>1</v>
      </c>
      <c r="BB771" s="357">
        <v>1</v>
      </c>
      <c r="BC771" s="357">
        <v>1</v>
      </c>
    </row>
    <row r="772" spans="1:55" s="381" customFormat="1" ht="17.649999999999999" customHeight="1">
      <c r="A772" s="358"/>
      <c r="B772" s="197" t="s">
        <v>2420</v>
      </c>
      <c r="C772" s="211" t="s">
        <v>2055</v>
      </c>
      <c r="D772" s="211" t="s">
        <v>2056</v>
      </c>
      <c r="E772" s="360">
        <v>52</v>
      </c>
      <c r="F772" s="360">
        <v>63</v>
      </c>
      <c r="G772" s="360">
        <v>65</v>
      </c>
      <c r="H772" s="344">
        <v>87.033333333333303</v>
      </c>
      <c r="I772" s="344">
        <v>87.033333333333303</v>
      </c>
      <c r="J772" s="360">
        <v>44</v>
      </c>
      <c r="K772" s="344">
        <v>87.033333333333303</v>
      </c>
      <c r="L772" s="360">
        <v>80</v>
      </c>
      <c r="M772" s="360">
        <v>78</v>
      </c>
      <c r="N772" s="344">
        <v>87.033333333333303</v>
      </c>
      <c r="O772" s="344">
        <v>87.033333333333303</v>
      </c>
      <c r="P772" s="344">
        <v>89.133333333333297</v>
      </c>
      <c r="Q772" s="344">
        <v>101.966666666667</v>
      </c>
      <c r="R772" s="344">
        <v>72.8</v>
      </c>
      <c r="S772" s="344">
        <v>102.433333333333</v>
      </c>
      <c r="T772" s="344">
        <v>103.133333333333</v>
      </c>
      <c r="U772" s="344">
        <v>96.366666666666703</v>
      </c>
      <c r="V772" s="344">
        <v>134.166666666667</v>
      </c>
      <c r="W772" s="344">
        <v>178.96666666666701</v>
      </c>
      <c r="X772" s="344">
        <v>190.86666666666699</v>
      </c>
      <c r="Y772" s="344">
        <v>194.13333333333301</v>
      </c>
      <c r="Z772" s="344">
        <v>217.7</v>
      </c>
      <c r="AA772" s="344">
        <v>206.5</v>
      </c>
      <c r="AB772" s="344">
        <v>205.333333333333</v>
      </c>
      <c r="AC772" s="344">
        <v>196.46666666666701</v>
      </c>
      <c r="AD772" s="344">
        <f t="shared" si="65"/>
        <v>-8.8666666666659921</v>
      </c>
      <c r="AE772" s="346">
        <v>1</v>
      </c>
      <c r="AF772" s="346">
        <v>1</v>
      </c>
      <c r="AG772" s="346">
        <v>1</v>
      </c>
      <c r="AH772" s="346">
        <v>1</v>
      </c>
      <c r="AI772" s="346">
        <v>1</v>
      </c>
      <c r="AJ772" s="346">
        <v>1</v>
      </c>
      <c r="AK772" s="346">
        <v>1</v>
      </c>
      <c r="AL772" s="346">
        <v>1</v>
      </c>
      <c r="AM772" s="346">
        <v>1</v>
      </c>
      <c r="AN772" s="346">
        <v>1</v>
      </c>
      <c r="AO772" s="346">
        <v>1</v>
      </c>
      <c r="AP772" s="346">
        <v>1</v>
      </c>
      <c r="AQ772" s="357">
        <v>1</v>
      </c>
      <c r="AR772" s="357">
        <v>1</v>
      </c>
      <c r="AS772" s="357">
        <v>1</v>
      </c>
      <c r="AT772" s="357">
        <v>1</v>
      </c>
      <c r="AU772" s="357">
        <v>1</v>
      </c>
      <c r="AV772" s="357">
        <v>1</v>
      </c>
      <c r="AW772" s="357">
        <v>1</v>
      </c>
      <c r="AX772" s="357">
        <v>1</v>
      </c>
      <c r="AY772" s="357">
        <v>1</v>
      </c>
      <c r="AZ772" s="357">
        <v>1</v>
      </c>
      <c r="BA772" s="357">
        <v>1</v>
      </c>
      <c r="BB772" s="357">
        <v>6</v>
      </c>
      <c r="BC772" s="357">
        <v>1</v>
      </c>
    </row>
    <row r="773" spans="1:55" s="381" customFormat="1" ht="17.649999999999999" customHeight="1">
      <c r="A773" s="358"/>
      <c r="B773" s="197" t="s">
        <v>2421</v>
      </c>
      <c r="C773" s="211" t="s">
        <v>2055</v>
      </c>
      <c r="D773" s="211" t="s">
        <v>2056</v>
      </c>
      <c r="E773" s="360">
        <v>26583</v>
      </c>
      <c r="F773" s="360">
        <v>31900</v>
      </c>
      <c r="G773" s="360">
        <v>33229</v>
      </c>
      <c r="H773" s="344">
        <v>44305.1</v>
      </c>
      <c r="I773" s="344">
        <v>44305.1</v>
      </c>
      <c r="J773" s="360">
        <v>22153</v>
      </c>
      <c r="K773" s="344">
        <v>44305.1</v>
      </c>
      <c r="L773" s="360">
        <v>40761</v>
      </c>
      <c r="M773" s="360">
        <v>39875</v>
      </c>
      <c r="N773" s="344">
        <v>44305.1</v>
      </c>
      <c r="O773" s="344">
        <v>44305.1</v>
      </c>
      <c r="P773" s="344">
        <v>44415</v>
      </c>
      <c r="Q773" s="344">
        <v>44344.533333333296</v>
      </c>
      <c r="R773" s="344">
        <v>34716.966666666704</v>
      </c>
      <c r="S773" s="344">
        <v>29531.366666666701</v>
      </c>
      <c r="T773" s="344">
        <v>23257.5</v>
      </c>
      <c r="U773" s="344">
        <v>20486.666666666701</v>
      </c>
      <c r="V773" s="344">
        <v>22944.833333333299</v>
      </c>
      <c r="W773" s="344">
        <v>25702.366666666701</v>
      </c>
      <c r="X773" s="344">
        <v>24977.633333333299</v>
      </c>
      <c r="Y773" s="344">
        <v>36637.533333333296</v>
      </c>
      <c r="Z773" s="344">
        <v>48065.033333333296</v>
      </c>
      <c r="AA773" s="344">
        <v>46238.033333333296</v>
      </c>
      <c r="AB773" s="344">
        <v>48528.666666666701</v>
      </c>
      <c r="AC773" s="344">
        <v>47252.800000000003</v>
      </c>
      <c r="AD773" s="344">
        <f t="shared" si="65"/>
        <v>-1275.8666666666977</v>
      </c>
      <c r="AE773" s="346">
        <v>24</v>
      </c>
      <c r="AF773" s="346">
        <v>24</v>
      </c>
      <c r="AG773" s="346">
        <v>24</v>
      </c>
      <c r="AH773" s="346">
        <v>24</v>
      </c>
      <c r="AI773" s="346">
        <v>24</v>
      </c>
      <c r="AJ773" s="346">
        <v>24</v>
      </c>
      <c r="AK773" s="346">
        <v>24</v>
      </c>
      <c r="AL773" s="346">
        <v>24</v>
      </c>
      <c r="AM773" s="346">
        <v>24</v>
      </c>
      <c r="AN773" s="346">
        <v>24</v>
      </c>
      <c r="AO773" s="346">
        <v>24</v>
      </c>
      <c r="AP773" s="346">
        <v>3</v>
      </c>
      <c r="AQ773" s="357">
        <v>27</v>
      </c>
      <c r="AR773" s="357">
        <v>10</v>
      </c>
      <c r="AS773" s="357">
        <v>7</v>
      </c>
      <c r="AT773" s="357">
        <v>12</v>
      </c>
      <c r="AU773" s="357">
        <v>13</v>
      </c>
      <c r="AV773" s="357">
        <v>5</v>
      </c>
      <c r="AW773" s="357">
        <v>23</v>
      </c>
      <c r="AX773" s="357">
        <v>9</v>
      </c>
      <c r="AY773" s="357">
        <v>9</v>
      </c>
      <c r="AZ773" s="357">
        <v>9</v>
      </c>
      <c r="BA773" s="357">
        <v>6</v>
      </c>
      <c r="BB773" s="357">
        <v>6</v>
      </c>
      <c r="BC773" s="357">
        <v>6</v>
      </c>
    </row>
    <row r="774" spans="1:55" s="381" customFormat="1" ht="17.649999999999999" customHeight="1">
      <c r="A774" s="358"/>
      <c r="B774" s="197" t="s">
        <v>2422</v>
      </c>
      <c r="C774" s="211" t="s">
        <v>2055</v>
      </c>
      <c r="D774" s="211" t="s">
        <v>2056</v>
      </c>
      <c r="E774" s="360">
        <v>1769</v>
      </c>
      <c r="F774" s="360">
        <v>2123</v>
      </c>
      <c r="G774" s="360">
        <v>2211</v>
      </c>
      <c r="H774" s="344">
        <v>2948.1666666666702</v>
      </c>
      <c r="I774" s="344">
        <v>2948.1666666666702</v>
      </c>
      <c r="J774" s="360">
        <v>1474</v>
      </c>
      <c r="K774" s="344">
        <v>2948.1666666666702</v>
      </c>
      <c r="L774" s="360">
        <v>2712</v>
      </c>
      <c r="M774" s="360">
        <v>2653</v>
      </c>
      <c r="N774" s="344">
        <v>2948.1666666666702</v>
      </c>
      <c r="O774" s="344">
        <v>2948.1666666666702</v>
      </c>
      <c r="P774" s="344">
        <v>3041.5</v>
      </c>
      <c r="Q774" s="344">
        <v>3173.1</v>
      </c>
      <c r="R774" s="344">
        <v>3199.7</v>
      </c>
      <c r="S774" s="344">
        <v>3126.4333333333302</v>
      </c>
      <c r="T774" s="344">
        <v>3086.3</v>
      </c>
      <c r="U774" s="344">
        <v>2964.5</v>
      </c>
      <c r="V774" s="344">
        <v>2885.1666666666702</v>
      </c>
      <c r="W774" s="344">
        <v>2728.6</v>
      </c>
      <c r="X774" s="344">
        <v>2576</v>
      </c>
      <c r="Y774" s="344">
        <v>2505.7666666666701</v>
      </c>
      <c r="Z774" s="344">
        <v>2487.8000000000002</v>
      </c>
      <c r="AA774" s="344">
        <v>2415.6999999999998</v>
      </c>
      <c r="AB774" s="344">
        <v>2378.6</v>
      </c>
      <c r="AC774" s="344">
        <v>2359</v>
      </c>
      <c r="AD774" s="344">
        <f t="shared" si="65"/>
        <v>-19.599999999999909</v>
      </c>
      <c r="AE774" s="346">
        <v>9</v>
      </c>
      <c r="AF774" s="346">
        <v>9</v>
      </c>
      <c r="AG774" s="346">
        <v>9</v>
      </c>
      <c r="AH774" s="346">
        <v>9</v>
      </c>
      <c r="AI774" s="346">
        <v>9</v>
      </c>
      <c r="AJ774" s="346">
        <v>9</v>
      </c>
      <c r="AK774" s="346">
        <v>9</v>
      </c>
      <c r="AL774" s="346">
        <v>9</v>
      </c>
      <c r="AM774" s="346">
        <v>9</v>
      </c>
      <c r="AN774" s="346">
        <v>9</v>
      </c>
      <c r="AO774" s="346">
        <v>9</v>
      </c>
      <c r="AP774" s="346">
        <v>9</v>
      </c>
      <c r="AQ774" s="357">
        <v>5</v>
      </c>
      <c r="AR774" s="357">
        <v>4</v>
      </c>
      <c r="AS774" s="357">
        <v>1</v>
      </c>
      <c r="AT774" s="357">
        <v>4</v>
      </c>
      <c r="AU774" s="357">
        <v>3</v>
      </c>
      <c r="AV774" s="357">
        <v>4</v>
      </c>
      <c r="AW774" s="357">
        <v>7</v>
      </c>
      <c r="AX774" s="357">
        <v>6</v>
      </c>
      <c r="AY774" s="357">
        <v>5</v>
      </c>
      <c r="AZ774" s="357">
        <v>5</v>
      </c>
      <c r="BA774" s="357">
        <v>6</v>
      </c>
      <c r="BB774" s="357">
        <v>3</v>
      </c>
      <c r="BC774" s="357">
        <v>3</v>
      </c>
    </row>
    <row r="775" spans="1:55" s="381" customFormat="1" ht="17.649999999999999" customHeight="1">
      <c r="A775" s="358"/>
      <c r="B775" s="197" t="s">
        <v>2423</v>
      </c>
      <c r="C775" s="211" t="s">
        <v>2055</v>
      </c>
      <c r="D775" s="211" t="s">
        <v>2056</v>
      </c>
      <c r="E775" s="360">
        <v>3617</v>
      </c>
      <c r="F775" s="360">
        <v>4340</v>
      </c>
      <c r="G775" s="360">
        <v>4521</v>
      </c>
      <c r="H775" s="344">
        <v>6028.4</v>
      </c>
      <c r="I775" s="344">
        <v>6028.4</v>
      </c>
      <c r="J775" s="360">
        <v>3014</v>
      </c>
      <c r="K775" s="344">
        <v>6028.4</v>
      </c>
      <c r="L775" s="360">
        <v>5546</v>
      </c>
      <c r="M775" s="360">
        <v>5426</v>
      </c>
      <c r="N775" s="344">
        <v>6028.4</v>
      </c>
      <c r="O775" s="344">
        <v>6028.4</v>
      </c>
      <c r="P775" s="344">
        <v>9777.8333333333303</v>
      </c>
      <c r="Q775" s="344">
        <v>13551.0666666667</v>
      </c>
      <c r="R775" s="344">
        <v>16411.0333333333</v>
      </c>
      <c r="S775" s="344">
        <v>22583.633333333299</v>
      </c>
      <c r="T775" s="344">
        <v>23142.7</v>
      </c>
      <c r="U775" s="344">
        <v>23560.366666666701</v>
      </c>
      <c r="V775" s="344">
        <v>26269.599999999999</v>
      </c>
      <c r="W775" s="344">
        <v>30434.833333333299</v>
      </c>
      <c r="X775" s="344">
        <v>29656.2</v>
      </c>
      <c r="Y775" s="344">
        <v>26898.433333333302</v>
      </c>
      <c r="Z775" s="344">
        <v>19814.433333333302</v>
      </c>
      <c r="AA775" s="344">
        <v>12033.4666666667</v>
      </c>
      <c r="AB775" s="344">
        <v>4939.8999999999996</v>
      </c>
      <c r="AC775" s="344">
        <v>3886.63333333333</v>
      </c>
      <c r="AD775" s="344">
        <f t="shared" si="65"/>
        <v>-1053.2666666666696</v>
      </c>
      <c r="AE775" s="346">
        <v>3</v>
      </c>
      <c r="AF775" s="346">
        <v>3</v>
      </c>
      <c r="AG775" s="346">
        <v>3</v>
      </c>
      <c r="AH775" s="346">
        <v>3</v>
      </c>
      <c r="AI775" s="346">
        <v>3</v>
      </c>
      <c r="AJ775" s="346">
        <v>3</v>
      </c>
      <c r="AK775" s="346">
        <v>3</v>
      </c>
      <c r="AL775" s="346">
        <v>3</v>
      </c>
      <c r="AM775" s="346">
        <v>3</v>
      </c>
      <c r="AN775" s="346">
        <v>3</v>
      </c>
      <c r="AO775" s="346">
        <v>3</v>
      </c>
      <c r="AP775" s="346">
        <v>1</v>
      </c>
      <c r="AQ775" s="357">
        <v>3</v>
      </c>
      <c r="AR775" s="357">
        <v>3</v>
      </c>
      <c r="AS775" s="357">
        <v>3</v>
      </c>
      <c r="AT775" s="357">
        <v>3</v>
      </c>
      <c r="AU775" s="357">
        <v>2</v>
      </c>
      <c r="AV775" s="357">
        <v>3</v>
      </c>
      <c r="AW775" s="357">
        <v>4</v>
      </c>
      <c r="AX775" s="357">
        <v>1</v>
      </c>
      <c r="AY775" s="357">
        <v>1</v>
      </c>
      <c r="AZ775" s="357">
        <v>1</v>
      </c>
      <c r="BA775" s="357">
        <v>3</v>
      </c>
      <c r="BB775" s="357">
        <v>1</v>
      </c>
      <c r="BC775" s="357">
        <v>3</v>
      </c>
    </row>
    <row r="776" spans="1:55" s="381" customFormat="1" ht="17.649999999999999" customHeight="1">
      <c r="A776" s="358"/>
      <c r="B776" s="197" t="s">
        <v>2424</v>
      </c>
      <c r="C776" s="211" t="s">
        <v>2055</v>
      </c>
      <c r="D776" s="211" t="s">
        <v>2056</v>
      </c>
      <c r="E776" s="360">
        <v>1507</v>
      </c>
      <c r="F776" s="360">
        <v>1809</v>
      </c>
      <c r="G776" s="360">
        <v>1884</v>
      </c>
      <c r="H776" s="344">
        <v>2511.8333333333298</v>
      </c>
      <c r="I776" s="344">
        <v>2511.8333333333298</v>
      </c>
      <c r="J776" s="360">
        <v>1256</v>
      </c>
      <c r="K776" s="344">
        <v>2511.8333333333298</v>
      </c>
      <c r="L776" s="360">
        <v>2311</v>
      </c>
      <c r="M776" s="360">
        <v>2261</v>
      </c>
      <c r="N776" s="344">
        <v>2511.8333333333298</v>
      </c>
      <c r="O776" s="344">
        <v>2511.8333333333298</v>
      </c>
      <c r="P776" s="344">
        <v>2601.4333333333302</v>
      </c>
      <c r="Q776" s="344">
        <v>2841.3</v>
      </c>
      <c r="R776" s="344">
        <v>2905.9333333333302</v>
      </c>
      <c r="S776" s="344">
        <v>2943.7333333333299</v>
      </c>
      <c r="T776" s="344">
        <v>2953.0666666666698</v>
      </c>
      <c r="U776" s="344">
        <v>2882.8333333333298</v>
      </c>
      <c r="V776" s="344">
        <v>2792.0666666666698</v>
      </c>
      <c r="W776" s="344">
        <v>2601.1999999999998</v>
      </c>
      <c r="X776" s="344">
        <v>2593.0333333333301</v>
      </c>
      <c r="Y776" s="344">
        <v>2601.4333333333302</v>
      </c>
      <c r="Z776" s="344">
        <v>2729.3</v>
      </c>
      <c r="AA776" s="344">
        <v>3052.2333333333299</v>
      </c>
      <c r="AB776" s="344">
        <v>3181.9666666666699</v>
      </c>
      <c r="AC776" s="344">
        <v>3195.2666666666701</v>
      </c>
      <c r="AD776" s="344">
        <f t="shared" si="65"/>
        <v>13.300000000000182</v>
      </c>
      <c r="AE776" s="346">
        <v>1</v>
      </c>
      <c r="AF776" s="346">
        <v>1</v>
      </c>
      <c r="AG776" s="346">
        <v>1</v>
      </c>
      <c r="AH776" s="346">
        <v>1</v>
      </c>
      <c r="AI776" s="346">
        <v>1</v>
      </c>
      <c r="AJ776" s="346">
        <v>1</v>
      </c>
      <c r="AK776" s="346">
        <v>1</v>
      </c>
      <c r="AL776" s="346">
        <v>1</v>
      </c>
      <c r="AM776" s="346">
        <v>1</v>
      </c>
      <c r="AN776" s="346">
        <v>1</v>
      </c>
      <c r="AO776" s="346">
        <v>1</v>
      </c>
      <c r="AP776" s="357">
        <v>10</v>
      </c>
      <c r="AQ776" s="357">
        <v>10</v>
      </c>
      <c r="AR776" s="357">
        <v>15</v>
      </c>
      <c r="AS776" s="357">
        <v>18</v>
      </c>
      <c r="AT776" s="357">
        <v>11</v>
      </c>
      <c r="AU776" s="357">
        <v>2</v>
      </c>
      <c r="AV776" s="357">
        <v>1</v>
      </c>
      <c r="AW776" s="357">
        <v>16</v>
      </c>
      <c r="AX776" s="357">
        <v>9</v>
      </c>
      <c r="AY776" s="357">
        <v>8</v>
      </c>
      <c r="AZ776" s="357">
        <v>1</v>
      </c>
      <c r="BA776" s="357">
        <v>9</v>
      </c>
      <c r="BB776" s="357">
        <v>9</v>
      </c>
      <c r="BC776" s="357">
        <v>6</v>
      </c>
    </row>
    <row r="777" spans="1:55" s="381" customFormat="1" ht="17.649999999999999" customHeight="1">
      <c r="A777" s="358"/>
      <c r="B777" s="197" t="s">
        <v>2425</v>
      </c>
      <c r="C777" s="211" t="s">
        <v>2055</v>
      </c>
      <c r="D777" s="211" t="s">
        <v>2056</v>
      </c>
      <c r="E777" s="360">
        <v>12951</v>
      </c>
      <c r="F777" s="360">
        <v>15541</v>
      </c>
      <c r="G777" s="360">
        <v>16189</v>
      </c>
      <c r="H777" s="344">
        <v>21584.9666666667</v>
      </c>
      <c r="I777" s="344">
        <v>21584.9666666667</v>
      </c>
      <c r="J777" s="360">
        <v>10792</v>
      </c>
      <c r="K777" s="344">
        <v>21584.9666666667</v>
      </c>
      <c r="L777" s="360">
        <v>19858</v>
      </c>
      <c r="M777" s="360">
        <v>19426</v>
      </c>
      <c r="N777" s="344">
        <v>21584.9666666667</v>
      </c>
      <c r="O777" s="344">
        <v>21584.9666666667</v>
      </c>
      <c r="P777" s="344">
        <v>21695.566666666698</v>
      </c>
      <c r="Q777" s="344">
        <v>21259</v>
      </c>
      <c r="R777" s="344">
        <v>21079.333333333299</v>
      </c>
      <c r="S777" s="344">
        <v>19318.366666666701</v>
      </c>
      <c r="T777" s="344">
        <v>20595.400000000001</v>
      </c>
      <c r="U777" s="344">
        <v>21387.333333333299</v>
      </c>
      <c r="V777" s="344">
        <v>23874.433333333302</v>
      </c>
      <c r="W777" s="344">
        <v>24703</v>
      </c>
      <c r="X777" s="344">
        <v>26033.233333333301</v>
      </c>
      <c r="Y777" s="344">
        <v>25921.233333333301</v>
      </c>
      <c r="Z777" s="344">
        <v>22707.066666666698</v>
      </c>
      <c r="AA777" s="344">
        <v>21789.366666666701</v>
      </c>
      <c r="AB777" s="344">
        <v>19358.5</v>
      </c>
      <c r="AC777" s="344">
        <v>18112.9666666667</v>
      </c>
      <c r="AD777" s="344">
        <f t="shared" si="65"/>
        <v>-1245.5333333333001</v>
      </c>
      <c r="AE777" s="346">
        <v>3</v>
      </c>
      <c r="AF777" s="346">
        <v>3</v>
      </c>
      <c r="AG777" s="346">
        <v>3</v>
      </c>
      <c r="AH777" s="346">
        <v>3</v>
      </c>
      <c r="AI777" s="346">
        <v>3</v>
      </c>
      <c r="AJ777" s="346">
        <v>3</v>
      </c>
      <c r="AK777" s="346">
        <v>3</v>
      </c>
      <c r="AL777" s="346">
        <v>3</v>
      </c>
      <c r="AM777" s="346">
        <v>3</v>
      </c>
      <c r="AN777" s="346">
        <v>3</v>
      </c>
      <c r="AO777" s="346">
        <v>3</v>
      </c>
      <c r="AP777" s="346">
        <v>3</v>
      </c>
      <c r="AQ777" s="357">
        <v>10</v>
      </c>
      <c r="AR777" s="357">
        <v>3</v>
      </c>
      <c r="AS777" s="357">
        <v>2</v>
      </c>
      <c r="AT777" s="357">
        <v>4</v>
      </c>
      <c r="AU777" s="357">
        <v>4</v>
      </c>
      <c r="AV777" s="357">
        <v>4</v>
      </c>
      <c r="AW777" s="357">
        <v>5</v>
      </c>
      <c r="AX777" s="357">
        <v>7</v>
      </c>
      <c r="AY777" s="357">
        <v>5</v>
      </c>
      <c r="AZ777" s="357">
        <v>4</v>
      </c>
      <c r="BA777" s="357">
        <v>7</v>
      </c>
      <c r="BB777" s="357">
        <v>1</v>
      </c>
      <c r="BC777" s="357">
        <v>1</v>
      </c>
    </row>
    <row r="778" spans="1:55" s="381" customFormat="1" ht="17.649999999999999" customHeight="1">
      <c r="A778" s="358"/>
      <c r="B778" s="197" t="s">
        <v>2426</v>
      </c>
      <c r="C778" s="211" t="s">
        <v>2055</v>
      </c>
      <c r="D778" s="211" t="s">
        <v>2056</v>
      </c>
      <c r="E778" s="360">
        <v>1060</v>
      </c>
      <c r="F778" s="360">
        <v>1272</v>
      </c>
      <c r="G778" s="360">
        <v>1325</v>
      </c>
      <c r="H778" s="344">
        <v>1766.1</v>
      </c>
      <c r="I778" s="344">
        <v>1766.1</v>
      </c>
      <c r="J778" s="360">
        <v>883</v>
      </c>
      <c r="K778" s="344">
        <v>1766.1</v>
      </c>
      <c r="L778" s="360">
        <v>1625</v>
      </c>
      <c r="M778" s="360">
        <v>1589</v>
      </c>
      <c r="N778" s="344">
        <v>1766.1</v>
      </c>
      <c r="O778" s="344">
        <v>1766.1</v>
      </c>
      <c r="P778" s="344">
        <v>1962.56666666667</v>
      </c>
      <c r="Q778" s="344">
        <v>2236.7333333333299</v>
      </c>
      <c r="R778" s="344">
        <v>2292.5</v>
      </c>
      <c r="S778" s="344">
        <v>2204.7666666666701</v>
      </c>
      <c r="T778" s="344">
        <v>2061.5</v>
      </c>
      <c r="U778" s="344">
        <v>1862.2333333333299</v>
      </c>
      <c r="V778" s="344">
        <v>1891.86666666667</v>
      </c>
      <c r="W778" s="344">
        <v>2113.5333333333301</v>
      </c>
      <c r="X778" s="344">
        <v>2387.9333333333302</v>
      </c>
      <c r="Y778" s="344">
        <v>2715.5333333333301</v>
      </c>
      <c r="Z778" s="344">
        <v>4548.8333333333303</v>
      </c>
      <c r="AA778" s="344">
        <v>5943.4666666666699</v>
      </c>
      <c r="AB778" s="344">
        <v>5775</v>
      </c>
      <c r="AC778" s="344">
        <v>5322.3333333333303</v>
      </c>
      <c r="AD778" s="344">
        <f t="shared" si="65"/>
        <v>-452.6666666666697</v>
      </c>
      <c r="AE778" s="346">
        <v>9</v>
      </c>
      <c r="AF778" s="346">
        <v>9</v>
      </c>
      <c r="AG778" s="346">
        <v>9</v>
      </c>
      <c r="AH778" s="346">
        <v>9</v>
      </c>
      <c r="AI778" s="346">
        <v>9</v>
      </c>
      <c r="AJ778" s="346">
        <v>9</v>
      </c>
      <c r="AK778" s="346">
        <v>9</v>
      </c>
      <c r="AL778" s="346">
        <v>9</v>
      </c>
      <c r="AM778" s="346">
        <v>9</v>
      </c>
      <c r="AN778" s="346">
        <v>9</v>
      </c>
      <c r="AO778" s="346">
        <v>9</v>
      </c>
      <c r="AP778" s="346">
        <v>10</v>
      </c>
      <c r="AQ778" s="357">
        <v>8</v>
      </c>
      <c r="AR778" s="357">
        <v>5</v>
      </c>
      <c r="AS778" s="357">
        <v>7</v>
      </c>
      <c r="AT778" s="357">
        <v>9</v>
      </c>
      <c r="AU778" s="357">
        <v>6</v>
      </c>
      <c r="AV778" s="357">
        <v>7</v>
      </c>
      <c r="AW778" s="357">
        <v>6</v>
      </c>
      <c r="AX778" s="357">
        <v>6</v>
      </c>
      <c r="AY778" s="357">
        <v>7</v>
      </c>
      <c r="AZ778" s="357">
        <v>8</v>
      </c>
      <c r="BA778" s="357">
        <v>7</v>
      </c>
      <c r="BB778" s="357">
        <v>7</v>
      </c>
      <c r="BC778" s="357">
        <v>9</v>
      </c>
    </row>
    <row r="779" spans="1:55" s="381" customFormat="1" ht="17.649999999999999" customHeight="1">
      <c r="A779" s="358"/>
      <c r="B779" s="197" t="s">
        <v>2427</v>
      </c>
      <c r="C779" s="211" t="s">
        <v>2055</v>
      </c>
      <c r="D779" s="211" t="s">
        <v>2056</v>
      </c>
      <c r="E779" s="360">
        <v>691</v>
      </c>
      <c r="F779" s="360">
        <v>829</v>
      </c>
      <c r="G779" s="360">
        <v>863</v>
      </c>
      <c r="H779" s="344">
        <v>1151.2666666666701</v>
      </c>
      <c r="I779" s="344">
        <v>1151.2666666666701</v>
      </c>
      <c r="J779" s="360">
        <v>576</v>
      </c>
      <c r="K779" s="344">
        <v>1151.2666666666701</v>
      </c>
      <c r="L779" s="360">
        <v>1059</v>
      </c>
      <c r="M779" s="360">
        <v>1036</v>
      </c>
      <c r="N779" s="344">
        <v>1151.2666666666701</v>
      </c>
      <c r="O779" s="344">
        <v>1151.2666666666701</v>
      </c>
      <c r="P779" s="344">
        <v>1190.93333333333</v>
      </c>
      <c r="Q779" s="344">
        <v>1232.2333333333299</v>
      </c>
      <c r="R779" s="344">
        <v>1228.2666666666701</v>
      </c>
      <c r="S779" s="344">
        <v>1255.3333333333301</v>
      </c>
      <c r="T779" s="344">
        <v>1231.06666666667</v>
      </c>
      <c r="U779" s="344">
        <v>1243.6666666666699</v>
      </c>
      <c r="V779" s="344">
        <v>1246.7</v>
      </c>
      <c r="W779" s="344">
        <v>1190</v>
      </c>
      <c r="X779" s="344">
        <v>1175.06666666667</v>
      </c>
      <c r="Y779" s="344">
        <v>1129.56666666667</v>
      </c>
      <c r="Z779" s="344">
        <v>1068.2</v>
      </c>
      <c r="AA779" s="344">
        <v>1012.66666666667</v>
      </c>
      <c r="AB779" s="344">
        <v>1011.5</v>
      </c>
      <c r="AC779" s="344">
        <v>998.9</v>
      </c>
      <c r="AD779" s="344">
        <f t="shared" si="65"/>
        <v>-12.600000000000023</v>
      </c>
      <c r="AE779" s="346">
        <v>11</v>
      </c>
      <c r="AF779" s="346">
        <v>11</v>
      </c>
      <c r="AG779" s="346">
        <v>11</v>
      </c>
      <c r="AH779" s="346">
        <v>11</v>
      </c>
      <c r="AI779" s="346">
        <v>11</v>
      </c>
      <c r="AJ779" s="346">
        <v>11</v>
      </c>
      <c r="AK779" s="346">
        <v>11</v>
      </c>
      <c r="AL779" s="346">
        <v>11</v>
      </c>
      <c r="AM779" s="346">
        <v>11</v>
      </c>
      <c r="AN779" s="346">
        <v>11</v>
      </c>
      <c r="AO779" s="346">
        <v>11</v>
      </c>
      <c r="AP779" s="346">
        <v>10</v>
      </c>
      <c r="AQ779" s="357">
        <v>10</v>
      </c>
      <c r="AR779" s="357">
        <v>7</v>
      </c>
      <c r="AS779" s="357">
        <v>5</v>
      </c>
      <c r="AT779" s="357">
        <v>6</v>
      </c>
      <c r="AU779" s="357">
        <v>7</v>
      </c>
      <c r="AV779" s="357">
        <v>10</v>
      </c>
      <c r="AW779" s="357">
        <v>4</v>
      </c>
      <c r="AX779" s="357">
        <v>10</v>
      </c>
      <c r="AY779" s="357">
        <v>8</v>
      </c>
      <c r="AZ779" s="357">
        <v>2</v>
      </c>
      <c r="BA779" s="357">
        <v>3</v>
      </c>
      <c r="BB779" s="357">
        <v>10</v>
      </c>
      <c r="BC779" s="357">
        <v>10</v>
      </c>
    </row>
    <row r="780" spans="1:55" s="381" customFormat="1" ht="17.649999999999999" customHeight="1">
      <c r="A780" s="358"/>
      <c r="B780" s="197" t="s">
        <v>2428</v>
      </c>
      <c r="C780" s="211" t="s">
        <v>2055</v>
      </c>
      <c r="D780" s="211" t="s">
        <v>2056</v>
      </c>
      <c r="E780" s="360">
        <v>559</v>
      </c>
      <c r="F780" s="360">
        <v>671</v>
      </c>
      <c r="G780" s="360">
        <v>699</v>
      </c>
      <c r="H780" s="344">
        <v>931.93333333333305</v>
      </c>
      <c r="I780" s="344">
        <v>931.93333333333305</v>
      </c>
      <c r="J780" s="360">
        <v>466</v>
      </c>
      <c r="K780" s="344">
        <v>931.93333333333305</v>
      </c>
      <c r="L780" s="360">
        <v>857</v>
      </c>
      <c r="M780" s="360">
        <v>839</v>
      </c>
      <c r="N780" s="344">
        <v>931.93333333333305</v>
      </c>
      <c r="O780" s="344">
        <v>931.93333333333305</v>
      </c>
      <c r="P780" s="344">
        <v>1279.36666666667</v>
      </c>
      <c r="Q780" s="344">
        <v>1250.9000000000001</v>
      </c>
      <c r="R780" s="344">
        <v>1321.8333333333301</v>
      </c>
      <c r="S780" s="344">
        <v>1472.56666666667</v>
      </c>
      <c r="T780" s="344">
        <v>646.56666666666695</v>
      </c>
      <c r="U780" s="344">
        <v>516.6</v>
      </c>
      <c r="V780" s="344">
        <v>554.63333333333298</v>
      </c>
      <c r="W780" s="344">
        <v>379.86666666666702</v>
      </c>
      <c r="X780" s="344">
        <v>339.96666666666698</v>
      </c>
      <c r="Y780" s="344">
        <v>282.33333333333297</v>
      </c>
      <c r="Z780" s="344">
        <v>287.23333333333301</v>
      </c>
      <c r="AA780" s="344">
        <v>290.73333333333301</v>
      </c>
      <c r="AB780" s="344">
        <v>265.3</v>
      </c>
      <c r="AC780" s="344">
        <v>230.53333333333299</v>
      </c>
      <c r="AD780" s="344">
        <f t="shared" si="65"/>
        <v>-34.766666666667021</v>
      </c>
      <c r="AE780" s="346">
        <v>4</v>
      </c>
      <c r="AF780" s="346">
        <v>4</v>
      </c>
      <c r="AG780" s="346">
        <v>4</v>
      </c>
      <c r="AH780" s="346">
        <v>4</v>
      </c>
      <c r="AI780" s="346">
        <v>4</v>
      </c>
      <c r="AJ780" s="346">
        <v>4</v>
      </c>
      <c r="AK780" s="346">
        <v>4</v>
      </c>
      <c r="AL780" s="346">
        <v>4</v>
      </c>
      <c r="AM780" s="346">
        <v>4</v>
      </c>
      <c r="AN780" s="346">
        <v>4</v>
      </c>
      <c r="AO780" s="346">
        <v>4</v>
      </c>
      <c r="AP780" s="346">
        <v>8</v>
      </c>
      <c r="AQ780" s="357">
        <v>7</v>
      </c>
      <c r="AR780" s="357">
        <v>7</v>
      </c>
      <c r="AS780" s="357">
        <v>4</v>
      </c>
      <c r="AT780" s="357">
        <v>4</v>
      </c>
      <c r="AU780" s="357">
        <v>7</v>
      </c>
      <c r="AV780" s="357">
        <v>9</v>
      </c>
      <c r="AW780" s="357">
        <v>4</v>
      </c>
      <c r="AX780" s="357">
        <v>6</v>
      </c>
      <c r="AY780" s="357">
        <v>6</v>
      </c>
      <c r="AZ780" s="357">
        <v>6</v>
      </c>
      <c r="BA780" s="357">
        <v>7</v>
      </c>
      <c r="BB780" s="357">
        <v>9</v>
      </c>
      <c r="BC780" s="357">
        <v>4</v>
      </c>
    </row>
    <row r="781" spans="1:55" s="381" customFormat="1" ht="17.649999999999999" customHeight="1">
      <c r="A781" s="358"/>
      <c r="B781" s="197" t="s">
        <v>2429</v>
      </c>
      <c r="C781" s="211" t="s">
        <v>2055</v>
      </c>
      <c r="D781" s="211" t="s">
        <v>2056</v>
      </c>
      <c r="E781" s="360">
        <v>1017</v>
      </c>
      <c r="F781" s="360">
        <v>1221</v>
      </c>
      <c r="G781" s="360">
        <v>1272</v>
      </c>
      <c r="H781" s="344">
        <v>1695.4</v>
      </c>
      <c r="I781" s="344">
        <v>1695.4</v>
      </c>
      <c r="J781" s="360">
        <v>848</v>
      </c>
      <c r="K781" s="344">
        <v>1695.4</v>
      </c>
      <c r="L781" s="360">
        <v>1560</v>
      </c>
      <c r="M781" s="360">
        <v>1526</v>
      </c>
      <c r="N781" s="344">
        <v>1695.4</v>
      </c>
      <c r="O781" s="344">
        <v>1695.4</v>
      </c>
      <c r="P781" s="344">
        <v>1697.9666666666701</v>
      </c>
      <c r="Q781" s="344">
        <v>1695.63333333333</v>
      </c>
      <c r="R781" s="344">
        <v>1683.9666666666701</v>
      </c>
      <c r="S781" s="344">
        <v>288.86666666666702</v>
      </c>
      <c r="T781" s="344">
        <v>280.933333333333</v>
      </c>
      <c r="U781" s="344">
        <v>282.8</v>
      </c>
      <c r="V781" s="344">
        <v>281.86666666666702</v>
      </c>
      <c r="W781" s="344">
        <v>242.666666666667</v>
      </c>
      <c r="X781" s="344">
        <v>118.533333333333</v>
      </c>
      <c r="Y781" s="344">
        <v>126.23333333333299</v>
      </c>
      <c r="Z781" s="344">
        <v>119.23333333333299</v>
      </c>
      <c r="AA781" s="344">
        <v>42.7</v>
      </c>
      <c r="AB781" s="344">
        <v>33.133333333333297</v>
      </c>
      <c r="AC781" s="344">
        <v>56.7</v>
      </c>
      <c r="AD781" s="344">
        <f t="shared" si="65"/>
        <v>23.566666666666706</v>
      </c>
      <c r="AE781" s="346">
        <v>7</v>
      </c>
      <c r="AF781" s="346">
        <v>7</v>
      </c>
      <c r="AG781" s="346">
        <v>7</v>
      </c>
      <c r="AH781" s="346">
        <v>7</v>
      </c>
      <c r="AI781" s="346">
        <v>7</v>
      </c>
      <c r="AJ781" s="346">
        <v>7</v>
      </c>
      <c r="AK781" s="346">
        <v>7</v>
      </c>
      <c r="AL781" s="346">
        <v>7</v>
      </c>
      <c r="AM781" s="346">
        <v>7</v>
      </c>
      <c r="AN781" s="346">
        <v>7</v>
      </c>
      <c r="AO781" s="346">
        <v>7</v>
      </c>
      <c r="AP781" s="346">
        <v>1</v>
      </c>
      <c r="AQ781" s="357">
        <v>1</v>
      </c>
      <c r="AR781" s="357">
        <v>1</v>
      </c>
      <c r="AS781" s="357">
        <v>10</v>
      </c>
      <c r="AT781" s="357">
        <v>1</v>
      </c>
      <c r="AU781" s="357">
        <v>10</v>
      </c>
      <c r="AV781" s="357">
        <v>1</v>
      </c>
      <c r="AW781" s="357">
        <v>7</v>
      </c>
      <c r="AX781" s="357">
        <v>1</v>
      </c>
      <c r="AY781" s="357">
        <v>1</v>
      </c>
      <c r="AZ781" s="357">
        <v>7</v>
      </c>
      <c r="BA781" s="357">
        <v>8</v>
      </c>
      <c r="BB781" s="357">
        <v>1</v>
      </c>
      <c r="BC781" s="357">
        <v>1</v>
      </c>
    </row>
    <row r="782" spans="1:55" s="381" customFormat="1" ht="17.649999999999999" customHeight="1">
      <c r="A782" s="358"/>
      <c r="B782" s="197" t="s">
        <v>2430</v>
      </c>
      <c r="C782" s="211" t="s">
        <v>2055</v>
      </c>
      <c r="D782" s="211" t="s">
        <v>2056</v>
      </c>
      <c r="E782" s="360">
        <v>1101</v>
      </c>
      <c r="F782" s="360">
        <v>1321</v>
      </c>
      <c r="G782" s="360">
        <v>1377</v>
      </c>
      <c r="H782" s="344">
        <v>1835.4</v>
      </c>
      <c r="I782" s="344">
        <v>1835.4</v>
      </c>
      <c r="J782" s="360">
        <v>918</v>
      </c>
      <c r="K782" s="344">
        <v>1835.4</v>
      </c>
      <c r="L782" s="360">
        <v>1689</v>
      </c>
      <c r="M782" s="360">
        <v>1652</v>
      </c>
      <c r="N782" s="344">
        <v>1835.4</v>
      </c>
      <c r="O782" s="344">
        <v>1835.4</v>
      </c>
      <c r="P782" s="344">
        <v>1984.2666666666701</v>
      </c>
      <c r="Q782" s="344">
        <v>2134.5333333333301</v>
      </c>
      <c r="R782" s="344">
        <v>2029.3</v>
      </c>
      <c r="S782" s="344">
        <v>2716</v>
      </c>
      <c r="T782" s="344">
        <v>3521</v>
      </c>
      <c r="U782" s="344">
        <v>4236.3999999999996</v>
      </c>
      <c r="V782" s="344">
        <v>4432.8666666666704</v>
      </c>
      <c r="W782" s="344">
        <v>4217.0333333333301</v>
      </c>
      <c r="X782" s="344">
        <v>3505.13333333333</v>
      </c>
      <c r="Y782" s="344">
        <v>2845.7333333333299</v>
      </c>
      <c r="Z782" s="344">
        <v>2565.0333333333301</v>
      </c>
      <c r="AA782" s="344">
        <v>2458.1666666666702</v>
      </c>
      <c r="AB782" s="344">
        <v>2600.9666666666699</v>
      </c>
      <c r="AC782" s="344">
        <v>2800.7</v>
      </c>
      <c r="AD782" s="344">
        <f t="shared" si="65"/>
        <v>199.73333333332994</v>
      </c>
      <c r="AE782" s="346">
        <v>6</v>
      </c>
      <c r="AF782" s="346">
        <v>6</v>
      </c>
      <c r="AG782" s="346">
        <v>6</v>
      </c>
      <c r="AH782" s="346">
        <v>6</v>
      </c>
      <c r="AI782" s="346">
        <v>6</v>
      </c>
      <c r="AJ782" s="346">
        <v>6</v>
      </c>
      <c r="AK782" s="346">
        <v>6</v>
      </c>
      <c r="AL782" s="346">
        <v>6</v>
      </c>
      <c r="AM782" s="346">
        <v>6</v>
      </c>
      <c r="AN782" s="346">
        <v>6</v>
      </c>
      <c r="AO782" s="346">
        <v>6</v>
      </c>
      <c r="AP782" s="346">
        <v>9</v>
      </c>
      <c r="AQ782" s="357">
        <v>8</v>
      </c>
      <c r="AR782" s="357">
        <v>7</v>
      </c>
      <c r="AS782" s="357">
        <v>10</v>
      </c>
      <c r="AT782" s="357">
        <v>5</v>
      </c>
      <c r="AU782" s="357">
        <v>9</v>
      </c>
      <c r="AV782" s="357">
        <v>13</v>
      </c>
      <c r="AW782" s="357">
        <v>7</v>
      </c>
      <c r="AX782" s="357">
        <v>4</v>
      </c>
      <c r="AY782" s="357">
        <v>8</v>
      </c>
      <c r="AZ782" s="357">
        <v>9</v>
      </c>
      <c r="BA782" s="357">
        <v>7</v>
      </c>
      <c r="BB782" s="357">
        <v>8</v>
      </c>
      <c r="BC782" s="357">
        <v>9</v>
      </c>
    </row>
    <row r="783" spans="1:55" s="381" customFormat="1" ht="17.649999999999999" customHeight="1">
      <c r="A783" s="358"/>
      <c r="B783" s="197" t="s">
        <v>2431</v>
      </c>
      <c r="C783" s="211" t="s">
        <v>2055</v>
      </c>
      <c r="D783" s="211" t="s">
        <v>2056</v>
      </c>
      <c r="E783" s="360">
        <v>600</v>
      </c>
      <c r="F783" s="360">
        <v>720</v>
      </c>
      <c r="G783" s="360">
        <v>750</v>
      </c>
      <c r="H783" s="344">
        <v>1000.53333333333</v>
      </c>
      <c r="I783" s="344">
        <v>1000.53333333333</v>
      </c>
      <c r="J783" s="360">
        <v>500</v>
      </c>
      <c r="K783" s="344">
        <v>1000.53333333333</v>
      </c>
      <c r="L783" s="360">
        <v>920</v>
      </c>
      <c r="M783" s="360">
        <v>900</v>
      </c>
      <c r="N783" s="344">
        <v>1000.53333333333</v>
      </c>
      <c r="O783" s="344">
        <v>1000.53333333333</v>
      </c>
      <c r="P783" s="344">
        <v>1043.7</v>
      </c>
      <c r="Q783" s="344">
        <v>1002.86666666667</v>
      </c>
      <c r="R783" s="344">
        <v>939.4</v>
      </c>
      <c r="S783" s="344">
        <v>802.2</v>
      </c>
      <c r="T783" s="344">
        <v>717.5</v>
      </c>
      <c r="U783" s="344">
        <v>713.53333333333296</v>
      </c>
      <c r="V783" s="344">
        <v>735.46666666666704</v>
      </c>
      <c r="W783" s="344">
        <v>741.53333333333296</v>
      </c>
      <c r="X783" s="344">
        <v>763.46666666666704</v>
      </c>
      <c r="Y783" s="344">
        <v>941.96666666666704</v>
      </c>
      <c r="Z783" s="344">
        <v>1009.4</v>
      </c>
      <c r="AA783" s="344">
        <v>1024.0999999999999</v>
      </c>
      <c r="AB783" s="344">
        <v>1022.93333333333</v>
      </c>
      <c r="AC783" s="344">
        <v>913.96666666666704</v>
      </c>
      <c r="AD783" s="344">
        <f t="shared" si="65"/>
        <v>-108.96666666666295</v>
      </c>
      <c r="AE783" s="346">
        <v>13</v>
      </c>
      <c r="AF783" s="346">
        <v>13</v>
      </c>
      <c r="AG783" s="346">
        <v>13</v>
      </c>
      <c r="AH783" s="346">
        <v>13</v>
      </c>
      <c r="AI783" s="346">
        <v>13</v>
      </c>
      <c r="AJ783" s="346">
        <v>13</v>
      </c>
      <c r="AK783" s="346">
        <v>13</v>
      </c>
      <c r="AL783" s="346">
        <v>13</v>
      </c>
      <c r="AM783" s="346">
        <v>13</v>
      </c>
      <c r="AN783" s="346">
        <v>13</v>
      </c>
      <c r="AO783" s="346">
        <v>13</v>
      </c>
      <c r="AP783" s="357">
        <v>1</v>
      </c>
      <c r="AQ783" s="357">
        <v>3</v>
      </c>
      <c r="AR783" s="357">
        <v>13</v>
      </c>
      <c r="AS783" s="357">
        <v>1</v>
      </c>
      <c r="AT783" s="357">
        <v>3</v>
      </c>
      <c r="AU783" s="357">
        <v>3</v>
      </c>
      <c r="AV783" s="357">
        <v>3</v>
      </c>
      <c r="AW783" s="357">
        <v>2</v>
      </c>
      <c r="AX783" s="357">
        <v>5</v>
      </c>
      <c r="AY783" s="357">
        <v>1</v>
      </c>
      <c r="AZ783" s="357">
        <v>3</v>
      </c>
      <c r="BA783" s="357">
        <v>9</v>
      </c>
      <c r="BB783" s="357">
        <v>2</v>
      </c>
      <c r="BC783" s="357">
        <v>2</v>
      </c>
    </row>
    <row r="784" spans="1:55" s="381" customFormat="1" ht="17.649999999999999" customHeight="1">
      <c r="A784" s="358"/>
      <c r="B784" s="197" t="s">
        <v>2432</v>
      </c>
      <c r="C784" s="211" t="s">
        <v>2055</v>
      </c>
      <c r="D784" s="211" t="s">
        <v>2056</v>
      </c>
      <c r="E784" s="360">
        <v>288</v>
      </c>
      <c r="F784" s="360">
        <v>346</v>
      </c>
      <c r="G784" s="360">
        <v>360</v>
      </c>
      <c r="H784" s="344">
        <v>480.433333333333</v>
      </c>
      <c r="I784" s="344">
        <v>480.433333333333</v>
      </c>
      <c r="J784" s="360">
        <v>240</v>
      </c>
      <c r="K784" s="344">
        <v>480.433333333333</v>
      </c>
      <c r="L784" s="360">
        <v>442</v>
      </c>
      <c r="M784" s="360">
        <v>432</v>
      </c>
      <c r="N784" s="344">
        <v>480.433333333333</v>
      </c>
      <c r="O784" s="344">
        <v>480.433333333333</v>
      </c>
      <c r="P784" s="344">
        <v>501.9</v>
      </c>
      <c r="Q784" s="344">
        <v>522.20000000000005</v>
      </c>
      <c r="R784" s="344">
        <v>486.26666666666699</v>
      </c>
      <c r="S784" s="344">
        <v>452.9</v>
      </c>
      <c r="T784" s="344">
        <v>428.16666666666703</v>
      </c>
      <c r="U784" s="344">
        <v>439.83333333333297</v>
      </c>
      <c r="V784" s="344">
        <v>402.73333333333301</v>
      </c>
      <c r="W784" s="344">
        <v>476.46666666666698</v>
      </c>
      <c r="X784" s="344">
        <v>806.86666666666702</v>
      </c>
      <c r="Y784" s="344">
        <v>1153.13333333333</v>
      </c>
      <c r="Z784" s="344">
        <v>1180.6666666666699</v>
      </c>
      <c r="AA784" s="344">
        <v>1039.5</v>
      </c>
      <c r="AB784" s="344">
        <v>1009.63333333333</v>
      </c>
      <c r="AC784" s="344">
        <v>315</v>
      </c>
      <c r="AD784" s="344">
        <f t="shared" si="65"/>
        <v>-694.63333333333003</v>
      </c>
      <c r="AE784" s="346">
        <v>2</v>
      </c>
      <c r="AF784" s="346">
        <v>2</v>
      </c>
      <c r="AG784" s="346">
        <v>2</v>
      </c>
      <c r="AH784" s="346">
        <v>2</v>
      </c>
      <c r="AI784" s="346">
        <v>2</v>
      </c>
      <c r="AJ784" s="346">
        <v>2</v>
      </c>
      <c r="AK784" s="346">
        <v>2</v>
      </c>
      <c r="AL784" s="346">
        <v>2</v>
      </c>
      <c r="AM784" s="346">
        <v>2</v>
      </c>
      <c r="AN784" s="346">
        <v>2</v>
      </c>
      <c r="AO784" s="346">
        <v>2</v>
      </c>
      <c r="AP784" s="346">
        <v>3</v>
      </c>
      <c r="AQ784" s="357">
        <v>6</v>
      </c>
      <c r="AR784" s="357">
        <v>1</v>
      </c>
      <c r="AS784" s="357">
        <v>1</v>
      </c>
      <c r="AT784" s="357">
        <v>2</v>
      </c>
      <c r="AU784" s="357">
        <v>2</v>
      </c>
      <c r="AV784" s="357">
        <v>1</v>
      </c>
      <c r="AW784" s="357">
        <v>8</v>
      </c>
      <c r="AX784" s="357">
        <v>1</v>
      </c>
      <c r="AY784" s="357">
        <v>1</v>
      </c>
      <c r="AZ784" s="357">
        <v>1</v>
      </c>
      <c r="BA784" s="357">
        <v>6</v>
      </c>
      <c r="BB784" s="357">
        <v>1</v>
      </c>
      <c r="BC784" s="357">
        <v>1</v>
      </c>
    </row>
    <row r="785" spans="1:55" s="381" customFormat="1" ht="17.649999999999999" customHeight="1">
      <c r="A785" s="358"/>
      <c r="B785" s="197" t="s">
        <v>2433</v>
      </c>
      <c r="C785" s="211" t="s">
        <v>2055</v>
      </c>
      <c r="D785" s="211" t="s">
        <v>2056</v>
      </c>
      <c r="E785" s="360">
        <v>2873</v>
      </c>
      <c r="F785" s="360">
        <v>3448</v>
      </c>
      <c r="G785" s="360">
        <v>3591</v>
      </c>
      <c r="H785" s="344">
        <v>4788.4666666666699</v>
      </c>
      <c r="I785" s="344">
        <v>4788.4666666666699</v>
      </c>
      <c r="J785" s="360">
        <v>2394</v>
      </c>
      <c r="K785" s="344">
        <v>4788.4666666666699</v>
      </c>
      <c r="L785" s="360">
        <v>4405</v>
      </c>
      <c r="M785" s="360">
        <v>4310</v>
      </c>
      <c r="N785" s="344">
        <v>4788.4666666666699</v>
      </c>
      <c r="O785" s="344">
        <v>4788.4666666666699</v>
      </c>
      <c r="P785" s="344">
        <v>5246.0333333333301</v>
      </c>
      <c r="Q785" s="344">
        <v>7442.1666666666697</v>
      </c>
      <c r="R785" s="344">
        <v>7975.8</v>
      </c>
      <c r="S785" s="344">
        <v>10008.6</v>
      </c>
      <c r="T785" s="344">
        <v>10651.2</v>
      </c>
      <c r="U785" s="344">
        <v>10265.5</v>
      </c>
      <c r="V785" s="344">
        <v>10601.0333333333</v>
      </c>
      <c r="W785" s="344">
        <v>11200</v>
      </c>
      <c r="X785" s="344">
        <v>10506.766666666699</v>
      </c>
      <c r="Y785" s="344">
        <v>9124.7333333333299</v>
      </c>
      <c r="Z785" s="344">
        <v>10615.5</v>
      </c>
      <c r="AA785" s="344">
        <v>10232.1333333333</v>
      </c>
      <c r="AB785" s="344">
        <v>10143.700000000001</v>
      </c>
      <c r="AC785" s="344">
        <v>10367.700000000001</v>
      </c>
      <c r="AD785" s="344">
        <f t="shared" si="65"/>
        <v>224</v>
      </c>
      <c r="AE785" s="346">
        <v>11</v>
      </c>
      <c r="AF785" s="346">
        <v>11</v>
      </c>
      <c r="AG785" s="346">
        <v>11</v>
      </c>
      <c r="AH785" s="346">
        <v>11</v>
      </c>
      <c r="AI785" s="346">
        <v>11</v>
      </c>
      <c r="AJ785" s="346">
        <v>11</v>
      </c>
      <c r="AK785" s="346">
        <v>11</v>
      </c>
      <c r="AL785" s="346">
        <v>11</v>
      </c>
      <c r="AM785" s="346">
        <v>11</v>
      </c>
      <c r="AN785" s="346">
        <v>11</v>
      </c>
      <c r="AO785" s="346">
        <v>11</v>
      </c>
      <c r="AP785" s="346">
        <v>10</v>
      </c>
      <c r="AQ785" s="357">
        <v>9</v>
      </c>
      <c r="AR785" s="357">
        <v>9</v>
      </c>
      <c r="AS785" s="357">
        <v>2</v>
      </c>
      <c r="AT785" s="357">
        <v>1</v>
      </c>
      <c r="AU785" s="357">
        <v>1</v>
      </c>
      <c r="AV785" s="357">
        <v>1</v>
      </c>
      <c r="AW785" s="357">
        <v>1</v>
      </c>
      <c r="AX785" s="357">
        <v>1</v>
      </c>
      <c r="AY785" s="357">
        <v>1</v>
      </c>
      <c r="AZ785" s="357">
        <v>1</v>
      </c>
      <c r="BA785" s="357">
        <v>1</v>
      </c>
      <c r="BB785" s="357">
        <v>1</v>
      </c>
      <c r="BC785" s="357">
        <v>1</v>
      </c>
    </row>
    <row r="786" spans="1:55" s="381" customFormat="1" ht="17.649999999999999" customHeight="1">
      <c r="A786" s="358"/>
      <c r="B786" s="197" t="s">
        <v>2434</v>
      </c>
      <c r="C786" s="211" t="s">
        <v>2055</v>
      </c>
      <c r="D786" s="211" t="s">
        <v>2056</v>
      </c>
      <c r="E786" s="360">
        <v>591</v>
      </c>
      <c r="F786" s="360">
        <v>709</v>
      </c>
      <c r="G786" s="360">
        <v>738</v>
      </c>
      <c r="H786" s="344">
        <v>984.43333333333305</v>
      </c>
      <c r="I786" s="344">
        <v>984.43333333333305</v>
      </c>
      <c r="J786" s="360">
        <v>492</v>
      </c>
      <c r="K786" s="344">
        <v>984.43333333333305</v>
      </c>
      <c r="L786" s="360">
        <v>906</v>
      </c>
      <c r="M786" s="360">
        <v>886</v>
      </c>
      <c r="N786" s="344">
        <v>984.43333333333305</v>
      </c>
      <c r="O786" s="344">
        <v>984.43333333333305</v>
      </c>
      <c r="P786" s="344">
        <v>1037.1666666666699</v>
      </c>
      <c r="Q786" s="344">
        <v>1097.36666666667</v>
      </c>
      <c r="R786" s="344">
        <v>1062.36666666667</v>
      </c>
      <c r="S786" s="344">
        <v>998.9</v>
      </c>
      <c r="T786" s="344">
        <v>941.96666666666704</v>
      </c>
      <c r="U786" s="344">
        <v>870.33333333333303</v>
      </c>
      <c r="V786" s="344">
        <v>852.83333333333303</v>
      </c>
      <c r="W786" s="344">
        <v>836.03333333333296</v>
      </c>
      <c r="X786" s="344">
        <v>771.86666666666702</v>
      </c>
      <c r="Y786" s="344">
        <v>721.93333333333305</v>
      </c>
      <c r="Z786" s="344">
        <v>669.9</v>
      </c>
      <c r="AA786" s="344">
        <v>609.93333333333305</v>
      </c>
      <c r="AB786" s="344">
        <v>581</v>
      </c>
      <c r="AC786" s="344">
        <v>563.26666666666699</v>
      </c>
      <c r="AD786" s="344">
        <f t="shared" si="65"/>
        <v>-17.733333333333007</v>
      </c>
      <c r="AE786" s="346">
        <v>5</v>
      </c>
      <c r="AF786" s="346">
        <v>5</v>
      </c>
      <c r="AG786" s="346">
        <v>5</v>
      </c>
      <c r="AH786" s="346">
        <v>5</v>
      </c>
      <c r="AI786" s="346">
        <v>5</v>
      </c>
      <c r="AJ786" s="346">
        <v>5</v>
      </c>
      <c r="AK786" s="346">
        <v>5</v>
      </c>
      <c r="AL786" s="346">
        <v>5</v>
      </c>
      <c r="AM786" s="346">
        <v>5</v>
      </c>
      <c r="AN786" s="346">
        <v>5</v>
      </c>
      <c r="AO786" s="346">
        <v>5</v>
      </c>
      <c r="AP786" s="211">
        <v>2</v>
      </c>
      <c r="AQ786" s="357">
        <v>4</v>
      </c>
      <c r="AR786" s="357">
        <v>4</v>
      </c>
      <c r="AS786" s="357">
        <v>3</v>
      </c>
      <c r="AT786" s="357">
        <v>3</v>
      </c>
      <c r="AU786" s="357">
        <v>5</v>
      </c>
      <c r="AV786" s="357">
        <v>10</v>
      </c>
      <c r="AW786" s="357">
        <v>5</v>
      </c>
      <c r="AX786" s="357">
        <v>5</v>
      </c>
      <c r="AY786" s="357">
        <v>3</v>
      </c>
      <c r="AZ786" s="357">
        <v>8</v>
      </c>
      <c r="BA786" s="357">
        <v>10</v>
      </c>
      <c r="BB786" s="357">
        <v>4</v>
      </c>
      <c r="BC786" s="357">
        <v>6</v>
      </c>
    </row>
    <row r="787" spans="1:55" s="381" customFormat="1" ht="17.649999999999999" customHeight="1">
      <c r="A787" s="358"/>
      <c r="B787" s="197" t="s">
        <v>2435</v>
      </c>
      <c r="C787" s="211" t="s">
        <v>2055</v>
      </c>
      <c r="D787" s="211" t="s">
        <v>2056</v>
      </c>
      <c r="E787" s="360">
        <v>710</v>
      </c>
      <c r="F787" s="360">
        <v>852</v>
      </c>
      <c r="G787" s="360">
        <v>887</v>
      </c>
      <c r="H787" s="344">
        <v>1183.2333333333299</v>
      </c>
      <c r="I787" s="344">
        <v>1183.2333333333299</v>
      </c>
      <c r="J787" s="360">
        <v>592</v>
      </c>
      <c r="K787" s="344">
        <v>1183.2333333333299</v>
      </c>
      <c r="L787" s="360">
        <v>1089</v>
      </c>
      <c r="M787" s="360">
        <v>1065</v>
      </c>
      <c r="N787" s="344">
        <v>1183.2333333333299</v>
      </c>
      <c r="O787" s="344">
        <v>1183.2333333333299</v>
      </c>
      <c r="P787" s="344">
        <v>1223.8333333333301</v>
      </c>
      <c r="Q787" s="344">
        <v>1259.06666666667</v>
      </c>
      <c r="R787" s="344">
        <v>1244.8333333333301</v>
      </c>
      <c r="S787" s="344">
        <v>1251.5999999999999</v>
      </c>
      <c r="T787" s="344">
        <v>1231.7666666666701</v>
      </c>
      <c r="U787" s="344">
        <v>1214.7333333333299</v>
      </c>
      <c r="V787" s="344">
        <v>1206.3333333333301</v>
      </c>
      <c r="W787" s="344">
        <v>1172.9666666666701</v>
      </c>
      <c r="X787" s="344">
        <v>1219.4000000000001</v>
      </c>
      <c r="Y787" s="344">
        <v>1214.0333333333299</v>
      </c>
      <c r="Z787" s="344">
        <v>1195.36666666667</v>
      </c>
      <c r="AA787" s="344">
        <v>1200.7333333333299</v>
      </c>
      <c r="AB787" s="344">
        <v>1152.6666666666699</v>
      </c>
      <c r="AC787" s="344">
        <v>1099.93333333333</v>
      </c>
      <c r="AD787" s="344">
        <f t="shared" si="65"/>
        <v>-52.733333333339942</v>
      </c>
      <c r="AE787" s="346">
        <v>13</v>
      </c>
      <c r="AF787" s="346">
        <v>13</v>
      </c>
      <c r="AG787" s="346">
        <v>13</v>
      </c>
      <c r="AH787" s="346">
        <v>13</v>
      </c>
      <c r="AI787" s="346">
        <v>13</v>
      </c>
      <c r="AJ787" s="346">
        <v>13</v>
      </c>
      <c r="AK787" s="346">
        <v>13</v>
      </c>
      <c r="AL787" s="346">
        <v>13</v>
      </c>
      <c r="AM787" s="346">
        <v>13</v>
      </c>
      <c r="AN787" s="346">
        <v>13</v>
      </c>
      <c r="AO787" s="346">
        <v>13</v>
      </c>
      <c r="AP787" s="346">
        <v>6</v>
      </c>
      <c r="AQ787" s="357">
        <v>6</v>
      </c>
      <c r="AR787" s="357">
        <v>9</v>
      </c>
      <c r="AS787" s="357">
        <v>6</v>
      </c>
      <c r="AT787" s="357">
        <v>2</v>
      </c>
      <c r="AU787" s="357">
        <v>8</v>
      </c>
      <c r="AV787" s="357">
        <v>12</v>
      </c>
      <c r="AW787" s="357">
        <v>7</v>
      </c>
      <c r="AX787" s="357">
        <v>14</v>
      </c>
      <c r="AY787" s="357">
        <v>5</v>
      </c>
      <c r="AZ787" s="357">
        <v>3</v>
      </c>
      <c r="BA787" s="357">
        <v>8</v>
      </c>
      <c r="BB787" s="357">
        <v>10</v>
      </c>
      <c r="BC787" s="357">
        <v>10</v>
      </c>
    </row>
    <row r="788" spans="1:55" s="381" customFormat="1" ht="17.649999999999999" customHeight="1">
      <c r="A788" s="358"/>
      <c r="B788" s="197" t="s">
        <v>2436</v>
      </c>
      <c r="C788" s="211" t="s">
        <v>2055</v>
      </c>
      <c r="D788" s="211" t="s">
        <v>2056</v>
      </c>
      <c r="E788" s="360">
        <v>511</v>
      </c>
      <c r="F788" s="360">
        <v>613</v>
      </c>
      <c r="G788" s="360">
        <v>638</v>
      </c>
      <c r="H788" s="344">
        <v>850.96666666666704</v>
      </c>
      <c r="I788" s="344">
        <v>850.96666666666704</v>
      </c>
      <c r="J788" s="360">
        <v>425</v>
      </c>
      <c r="K788" s="344">
        <v>850.96666666666704</v>
      </c>
      <c r="L788" s="360">
        <v>783</v>
      </c>
      <c r="M788" s="360">
        <v>766</v>
      </c>
      <c r="N788" s="344">
        <v>850.96666666666704</v>
      </c>
      <c r="O788" s="344">
        <v>850.96666666666704</v>
      </c>
      <c r="P788" s="344">
        <v>823.2</v>
      </c>
      <c r="Q788" s="344">
        <v>752.03333333333296</v>
      </c>
      <c r="R788" s="344">
        <v>581.70000000000005</v>
      </c>
      <c r="S788" s="344">
        <v>424.9</v>
      </c>
      <c r="T788" s="344">
        <v>313.83333333333297</v>
      </c>
      <c r="U788" s="344">
        <v>205.333333333333</v>
      </c>
      <c r="V788" s="344">
        <v>145.6</v>
      </c>
      <c r="W788" s="344">
        <v>93.3333333333333</v>
      </c>
      <c r="X788" s="344">
        <v>77.233333333333306</v>
      </c>
      <c r="Y788" s="344">
        <v>75.8333333333333</v>
      </c>
      <c r="Z788" s="344">
        <v>70.466666666666697</v>
      </c>
      <c r="AA788" s="344">
        <v>62.766666666666701</v>
      </c>
      <c r="AB788" s="344">
        <v>61.8333333333333</v>
      </c>
      <c r="AC788" s="344">
        <v>56.233333333333299</v>
      </c>
      <c r="AD788" s="344">
        <f t="shared" si="65"/>
        <v>-5.6000000000000014</v>
      </c>
      <c r="AE788" s="346">
        <v>2</v>
      </c>
      <c r="AF788" s="346">
        <v>2</v>
      </c>
      <c r="AG788" s="346">
        <v>2</v>
      </c>
      <c r="AH788" s="346">
        <v>2</v>
      </c>
      <c r="AI788" s="346">
        <v>2</v>
      </c>
      <c r="AJ788" s="346">
        <v>2</v>
      </c>
      <c r="AK788" s="346">
        <v>2</v>
      </c>
      <c r="AL788" s="346">
        <v>2</v>
      </c>
      <c r="AM788" s="346">
        <v>2</v>
      </c>
      <c r="AN788" s="346">
        <v>2</v>
      </c>
      <c r="AO788" s="346">
        <v>2</v>
      </c>
      <c r="AP788" s="346">
        <v>2</v>
      </c>
      <c r="AQ788" s="357">
        <v>1</v>
      </c>
      <c r="AR788" s="357">
        <v>1</v>
      </c>
      <c r="AS788" s="357">
        <v>2</v>
      </c>
      <c r="AT788" s="357">
        <v>5</v>
      </c>
      <c r="AU788" s="357">
        <v>6</v>
      </c>
      <c r="AV788" s="357">
        <v>1</v>
      </c>
      <c r="AW788" s="357">
        <v>1</v>
      </c>
      <c r="AX788" s="357">
        <v>18</v>
      </c>
      <c r="AY788" s="357">
        <v>20</v>
      </c>
      <c r="AZ788" s="357">
        <v>9</v>
      </c>
      <c r="BA788" s="357">
        <v>10</v>
      </c>
      <c r="BB788" s="357">
        <v>10</v>
      </c>
      <c r="BC788" s="357">
        <v>10</v>
      </c>
    </row>
    <row r="789" spans="1:55" s="381" customFormat="1" ht="17.649999999999999" customHeight="1">
      <c r="A789" s="358"/>
      <c r="B789" s="197" t="s">
        <v>2437</v>
      </c>
      <c r="C789" s="211" t="s">
        <v>2055</v>
      </c>
      <c r="D789" s="211" t="s">
        <v>2056</v>
      </c>
      <c r="E789" s="360">
        <v>282</v>
      </c>
      <c r="F789" s="360">
        <v>338</v>
      </c>
      <c r="G789" s="360">
        <v>352</v>
      </c>
      <c r="H789" s="344">
        <v>469.7</v>
      </c>
      <c r="I789" s="344">
        <v>469.7</v>
      </c>
      <c r="J789" s="360">
        <v>235</v>
      </c>
      <c r="K789" s="344">
        <v>469.7</v>
      </c>
      <c r="L789" s="360">
        <v>432</v>
      </c>
      <c r="M789" s="360">
        <v>423</v>
      </c>
      <c r="N789" s="344">
        <v>469.7</v>
      </c>
      <c r="O789" s="344">
        <v>469.7</v>
      </c>
      <c r="P789" s="344">
        <v>496.066666666667</v>
      </c>
      <c r="Q789" s="344">
        <v>541.79999999999995</v>
      </c>
      <c r="R789" s="344">
        <v>487.66666666666703</v>
      </c>
      <c r="S789" s="344">
        <v>466.2</v>
      </c>
      <c r="T789" s="344">
        <v>484.16666666666703</v>
      </c>
      <c r="U789" s="344">
        <v>474.83333333333297</v>
      </c>
      <c r="V789" s="344">
        <v>489.53333333333302</v>
      </c>
      <c r="W789" s="344">
        <v>484.16666666666703</v>
      </c>
      <c r="X789" s="344">
        <v>484.4</v>
      </c>
      <c r="Y789" s="344">
        <v>497</v>
      </c>
      <c r="Z789" s="344">
        <v>470.63333333333298</v>
      </c>
      <c r="AA789" s="344">
        <v>463.4</v>
      </c>
      <c r="AB789" s="344">
        <v>442.4</v>
      </c>
      <c r="AC789" s="344">
        <v>409.73333333333301</v>
      </c>
      <c r="AD789" s="344">
        <f t="shared" si="65"/>
        <v>-32.66666666666697</v>
      </c>
      <c r="AE789" s="346">
        <v>5</v>
      </c>
      <c r="AF789" s="346">
        <v>5</v>
      </c>
      <c r="AG789" s="346">
        <v>5</v>
      </c>
      <c r="AH789" s="346">
        <v>5</v>
      </c>
      <c r="AI789" s="346">
        <v>5</v>
      </c>
      <c r="AJ789" s="346">
        <v>5</v>
      </c>
      <c r="AK789" s="346">
        <v>5</v>
      </c>
      <c r="AL789" s="346">
        <v>5</v>
      </c>
      <c r="AM789" s="346">
        <v>5</v>
      </c>
      <c r="AN789" s="346">
        <v>5</v>
      </c>
      <c r="AO789" s="346">
        <v>5</v>
      </c>
      <c r="AP789" s="346">
        <v>5</v>
      </c>
      <c r="AQ789" s="357">
        <v>4</v>
      </c>
      <c r="AR789" s="357">
        <v>4</v>
      </c>
      <c r="AS789" s="357">
        <v>10</v>
      </c>
      <c r="AT789" s="357">
        <v>8</v>
      </c>
      <c r="AU789" s="357">
        <v>3</v>
      </c>
      <c r="AV789" s="357">
        <v>2</v>
      </c>
      <c r="AW789" s="357">
        <v>5</v>
      </c>
      <c r="AX789" s="357">
        <v>3</v>
      </c>
      <c r="AY789" s="357">
        <v>5</v>
      </c>
      <c r="AZ789" s="357">
        <v>6</v>
      </c>
      <c r="BA789" s="357">
        <v>6</v>
      </c>
      <c r="BB789" s="357">
        <v>3</v>
      </c>
      <c r="BC789" s="357">
        <v>3</v>
      </c>
    </row>
    <row r="790" spans="1:55" s="381" customFormat="1" ht="17.649999999999999" customHeight="1">
      <c r="A790" s="358"/>
      <c r="B790" s="197" t="s">
        <v>2438</v>
      </c>
      <c r="C790" s="211" t="s">
        <v>2055</v>
      </c>
      <c r="D790" s="211" t="s">
        <v>2056</v>
      </c>
      <c r="E790" s="360">
        <v>110</v>
      </c>
      <c r="F790" s="360">
        <v>133</v>
      </c>
      <c r="G790" s="360">
        <v>138</v>
      </c>
      <c r="H790" s="344">
        <v>184.1</v>
      </c>
      <c r="I790" s="344">
        <v>184.1</v>
      </c>
      <c r="J790" s="360">
        <v>92</v>
      </c>
      <c r="K790" s="344">
        <v>184.1</v>
      </c>
      <c r="L790" s="360">
        <v>169</v>
      </c>
      <c r="M790" s="360">
        <v>166</v>
      </c>
      <c r="N790" s="344">
        <v>184.1</v>
      </c>
      <c r="O790" s="344">
        <v>184.1</v>
      </c>
      <c r="P790" s="344">
        <v>194.6</v>
      </c>
      <c r="Q790" s="344">
        <v>196.7</v>
      </c>
      <c r="R790" s="344">
        <v>205.333333333333</v>
      </c>
      <c r="S790" s="344">
        <v>204.4</v>
      </c>
      <c r="T790" s="344">
        <v>191.8</v>
      </c>
      <c r="U790" s="344">
        <v>193.433333333333</v>
      </c>
      <c r="V790" s="344">
        <v>191.1</v>
      </c>
      <c r="W790" s="344">
        <v>186.666666666667</v>
      </c>
      <c r="X790" s="344">
        <v>176.4</v>
      </c>
      <c r="Y790" s="344">
        <v>177.1</v>
      </c>
      <c r="Z790" s="344">
        <v>163.1</v>
      </c>
      <c r="AA790" s="344">
        <v>164.96666666666701</v>
      </c>
      <c r="AB790" s="344">
        <v>174.76666666666699</v>
      </c>
      <c r="AC790" s="344">
        <v>186.433333333333</v>
      </c>
      <c r="AD790" s="344">
        <f t="shared" si="65"/>
        <v>11.666666666666003</v>
      </c>
      <c r="AE790" s="346">
        <v>51</v>
      </c>
      <c r="AF790" s="346">
        <v>51</v>
      </c>
      <c r="AG790" s="346">
        <v>51</v>
      </c>
      <c r="AH790" s="346">
        <v>51</v>
      </c>
      <c r="AI790" s="346">
        <v>51</v>
      </c>
      <c r="AJ790" s="346">
        <v>51</v>
      </c>
      <c r="AK790" s="346">
        <v>51</v>
      </c>
      <c r="AL790" s="346">
        <v>51</v>
      </c>
      <c r="AM790" s="346">
        <v>51</v>
      </c>
      <c r="AN790" s="346">
        <v>51</v>
      </c>
      <c r="AO790" s="346">
        <v>51</v>
      </c>
      <c r="AP790" s="211">
        <v>51</v>
      </c>
      <c r="AQ790" s="211">
        <v>51</v>
      </c>
      <c r="AR790" s="211">
        <v>51</v>
      </c>
      <c r="AS790" s="211">
        <v>51</v>
      </c>
      <c r="AT790" s="211">
        <v>51</v>
      </c>
      <c r="AU790" s="211">
        <v>51</v>
      </c>
      <c r="AV790" s="357">
        <v>9</v>
      </c>
      <c r="AW790" s="211">
        <v>51</v>
      </c>
      <c r="AX790" s="357">
        <v>46</v>
      </c>
      <c r="AY790" s="357">
        <v>41</v>
      </c>
      <c r="AZ790" s="211">
        <v>51</v>
      </c>
      <c r="BA790" s="211">
        <v>51</v>
      </c>
      <c r="BB790" s="211">
        <v>51</v>
      </c>
      <c r="BC790" s="357" t="s">
        <v>2287</v>
      </c>
    </row>
    <row r="791" spans="1:55" s="381" customFormat="1" ht="17.649999999999999" customHeight="1">
      <c r="A791" s="358"/>
      <c r="B791" s="197" t="s">
        <v>2439</v>
      </c>
      <c r="C791" s="211" t="s">
        <v>2055</v>
      </c>
      <c r="D791" s="211" t="s">
        <v>2056</v>
      </c>
      <c r="E791" s="360">
        <v>237</v>
      </c>
      <c r="F791" s="360">
        <v>285</v>
      </c>
      <c r="G791" s="360">
        <v>296</v>
      </c>
      <c r="H791" s="344">
        <v>395.26666666666699</v>
      </c>
      <c r="I791" s="344">
        <v>395.26666666666699</v>
      </c>
      <c r="J791" s="360">
        <v>198</v>
      </c>
      <c r="K791" s="344">
        <v>395.26666666666699</v>
      </c>
      <c r="L791" s="360">
        <v>364</v>
      </c>
      <c r="M791" s="360">
        <v>356</v>
      </c>
      <c r="N791" s="344">
        <v>395.26666666666699</v>
      </c>
      <c r="O791" s="344">
        <v>395.26666666666699</v>
      </c>
      <c r="P791" s="344">
        <v>401.8</v>
      </c>
      <c r="Q791" s="344">
        <v>541.79999999999995</v>
      </c>
      <c r="R791" s="344">
        <v>735</v>
      </c>
      <c r="S791" s="344">
        <v>1159.2</v>
      </c>
      <c r="T791" s="344">
        <v>1404.6666666666699</v>
      </c>
      <c r="U791" s="344">
        <v>1545.36666666667</v>
      </c>
      <c r="V791" s="344">
        <v>1516.9</v>
      </c>
      <c r="W791" s="344">
        <v>1523.2</v>
      </c>
      <c r="X791" s="344">
        <v>1525.7666666666701</v>
      </c>
      <c r="Y791" s="344">
        <v>1537.9</v>
      </c>
      <c r="Z791" s="344">
        <v>1527.63333333333</v>
      </c>
      <c r="AA791" s="344">
        <v>1425.9</v>
      </c>
      <c r="AB791" s="344">
        <v>1289.63333333333</v>
      </c>
      <c r="AC791" s="344">
        <v>1181.13333333333</v>
      </c>
      <c r="AD791" s="344">
        <f t="shared" si="65"/>
        <v>-108.5</v>
      </c>
      <c r="AE791" s="346">
        <v>6</v>
      </c>
      <c r="AF791" s="346">
        <v>6</v>
      </c>
      <c r="AG791" s="346">
        <v>6</v>
      </c>
      <c r="AH791" s="346">
        <v>6</v>
      </c>
      <c r="AI791" s="346">
        <v>6</v>
      </c>
      <c r="AJ791" s="346">
        <v>6</v>
      </c>
      <c r="AK791" s="346">
        <v>6</v>
      </c>
      <c r="AL791" s="346">
        <v>6</v>
      </c>
      <c r="AM791" s="346">
        <v>6</v>
      </c>
      <c r="AN791" s="346">
        <v>6</v>
      </c>
      <c r="AO791" s="346">
        <v>6</v>
      </c>
      <c r="AP791" s="346">
        <v>6</v>
      </c>
      <c r="AQ791" s="357">
        <v>7</v>
      </c>
      <c r="AR791" s="357">
        <v>4</v>
      </c>
      <c r="AS791" s="357">
        <v>7</v>
      </c>
      <c r="AT791" s="357">
        <v>5</v>
      </c>
      <c r="AU791" s="357">
        <v>7</v>
      </c>
      <c r="AV791" s="357">
        <v>7</v>
      </c>
      <c r="AW791" s="357">
        <v>4</v>
      </c>
      <c r="AX791" s="357">
        <v>5</v>
      </c>
      <c r="AY791" s="357">
        <v>9</v>
      </c>
      <c r="AZ791" s="357">
        <v>4</v>
      </c>
      <c r="BA791" s="357">
        <v>4</v>
      </c>
      <c r="BB791" s="357">
        <v>8</v>
      </c>
      <c r="BC791" s="357">
        <v>3</v>
      </c>
    </row>
    <row r="792" spans="1:55" s="381" customFormat="1" ht="17.649999999999999" customHeight="1">
      <c r="A792" s="358"/>
      <c r="B792" s="197" t="s">
        <v>2440</v>
      </c>
      <c r="C792" s="211" t="s">
        <v>2055</v>
      </c>
      <c r="D792" s="211" t="s">
        <v>2056</v>
      </c>
      <c r="E792" s="360">
        <v>261</v>
      </c>
      <c r="F792" s="360">
        <v>313</v>
      </c>
      <c r="G792" s="360">
        <v>327</v>
      </c>
      <c r="H792" s="344">
        <v>435.4</v>
      </c>
      <c r="I792" s="344">
        <v>435.4</v>
      </c>
      <c r="J792" s="360">
        <v>218</v>
      </c>
      <c r="K792" s="344">
        <v>435.4</v>
      </c>
      <c r="L792" s="360">
        <v>401</v>
      </c>
      <c r="M792" s="360">
        <v>392</v>
      </c>
      <c r="N792" s="344">
        <v>435.4</v>
      </c>
      <c r="O792" s="344">
        <v>435.4</v>
      </c>
      <c r="P792" s="344">
        <v>460.13333333333298</v>
      </c>
      <c r="Q792" s="344">
        <v>521.26666666666699</v>
      </c>
      <c r="R792" s="344">
        <v>540.86666666666702</v>
      </c>
      <c r="S792" s="344">
        <v>582.63333333333298</v>
      </c>
      <c r="T792" s="344">
        <v>557.43333333333305</v>
      </c>
      <c r="U792" s="344">
        <v>530.13333333333298</v>
      </c>
      <c r="V792" s="344">
        <v>490.7</v>
      </c>
      <c r="W792" s="344">
        <v>472.96666666666698</v>
      </c>
      <c r="X792" s="344">
        <v>466.66666666666703</v>
      </c>
      <c r="Y792" s="344">
        <v>443.8</v>
      </c>
      <c r="Z792" s="344">
        <v>423.96666666666698</v>
      </c>
      <c r="AA792" s="344">
        <v>388.5</v>
      </c>
      <c r="AB792" s="344">
        <v>353.26666666666699</v>
      </c>
      <c r="AC792" s="344">
        <v>336.7</v>
      </c>
      <c r="AD792" s="344">
        <f t="shared" si="65"/>
        <v>-16.566666666667004</v>
      </c>
      <c r="AE792" s="346">
        <v>2</v>
      </c>
      <c r="AF792" s="346">
        <v>2</v>
      </c>
      <c r="AG792" s="346">
        <v>2</v>
      </c>
      <c r="AH792" s="346">
        <v>2</v>
      </c>
      <c r="AI792" s="346">
        <v>2</v>
      </c>
      <c r="AJ792" s="346">
        <v>2</v>
      </c>
      <c r="AK792" s="346">
        <v>2</v>
      </c>
      <c r="AL792" s="346">
        <v>2</v>
      </c>
      <c r="AM792" s="346">
        <v>2</v>
      </c>
      <c r="AN792" s="346">
        <v>2</v>
      </c>
      <c r="AO792" s="346">
        <v>2</v>
      </c>
      <c r="AP792" s="346">
        <v>5</v>
      </c>
      <c r="AQ792" s="357">
        <v>4</v>
      </c>
      <c r="AR792" s="357">
        <v>2</v>
      </c>
      <c r="AS792" s="357">
        <v>6</v>
      </c>
      <c r="AT792" s="357">
        <v>7</v>
      </c>
      <c r="AU792" s="357">
        <v>5</v>
      </c>
      <c r="AV792" s="357">
        <v>6</v>
      </c>
      <c r="AW792" s="357">
        <v>3</v>
      </c>
      <c r="AX792" s="357">
        <v>3</v>
      </c>
      <c r="AY792" s="357">
        <v>3</v>
      </c>
      <c r="AZ792" s="357">
        <v>4</v>
      </c>
      <c r="BA792" s="357">
        <v>7</v>
      </c>
      <c r="BB792" s="357">
        <v>6</v>
      </c>
      <c r="BC792" s="357">
        <v>6</v>
      </c>
    </row>
    <row r="793" spans="1:55" s="381" customFormat="1" ht="17.649999999999999" customHeight="1">
      <c r="A793" s="358"/>
      <c r="B793" s="197" t="s">
        <v>2441</v>
      </c>
      <c r="C793" s="211" t="s">
        <v>2055</v>
      </c>
      <c r="D793" s="211" t="s">
        <v>2056</v>
      </c>
      <c r="E793" s="360">
        <v>126</v>
      </c>
      <c r="F793" s="360">
        <v>152</v>
      </c>
      <c r="G793" s="360">
        <v>158</v>
      </c>
      <c r="H793" s="344">
        <v>210.7</v>
      </c>
      <c r="I793" s="344">
        <v>210.7</v>
      </c>
      <c r="J793" s="360">
        <v>105</v>
      </c>
      <c r="K793" s="344">
        <v>210.7</v>
      </c>
      <c r="L793" s="360">
        <v>194</v>
      </c>
      <c r="M793" s="360">
        <v>190</v>
      </c>
      <c r="N793" s="344">
        <v>210.7</v>
      </c>
      <c r="O793" s="344">
        <v>210.7</v>
      </c>
      <c r="P793" s="344">
        <v>223.066666666667</v>
      </c>
      <c r="Q793" s="344">
        <v>272.066666666667</v>
      </c>
      <c r="R793" s="344">
        <v>286.066666666667</v>
      </c>
      <c r="S793" s="344">
        <v>318.5</v>
      </c>
      <c r="T793" s="344">
        <v>322.7</v>
      </c>
      <c r="U793" s="344">
        <v>296.33333333333297</v>
      </c>
      <c r="V793" s="344">
        <v>278.36666666666702</v>
      </c>
      <c r="W793" s="344">
        <v>246.86666666666699</v>
      </c>
      <c r="X793" s="344">
        <v>232.63333333333301</v>
      </c>
      <c r="Y793" s="344">
        <v>238.933333333333</v>
      </c>
      <c r="Z793" s="344">
        <v>237.3</v>
      </c>
      <c r="AA793" s="344">
        <v>225.4</v>
      </c>
      <c r="AB793" s="344">
        <v>194.6</v>
      </c>
      <c r="AC793" s="344">
        <v>185.5</v>
      </c>
      <c r="AD793" s="344">
        <f t="shared" si="65"/>
        <v>-9.0999999999999943</v>
      </c>
      <c r="AE793" s="346">
        <v>11</v>
      </c>
      <c r="AF793" s="346">
        <v>11</v>
      </c>
      <c r="AG793" s="346">
        <v>11</v>
      </c>
      <c r="AH793" s="346">
        <v>11</v>
      </c>
      <c r="AI793" s="346">
        <v>11</v>
      </c>
      <c r="AJ793" s="346">
        <v>11</v>
      </c>
      <c r="AK793" s="346">
        <v>11</v>
      </c>
      <c r="AL793" s="346">
        <v>11</v>
      </c>
      <c r="AM793" s="346">
        <v>11</v>
      </c>
      <c r="AN793" s="346">
        <v>11</v>
      </c>
      <c r="AO793" s="346">
        <v>11</v>
      </c>
      <c r="AP793" s="346">
        <v>5</v>
      </c>
      <c r="AQ793" s="357">
        <v>6</v>
      </c>
      <c r="AR793" s="357">
        <v>4</v>
      </c>
      <c r="AS793" s="357">
        <v>5</v>
      </c>
      <c r="AT793" s="357">
        <v>6</v>
      </c>
      <c r="AU793" s="357">
        <v>7</v>
      </c>
      <c r="AV793" s="357">
        <v>5</v>
      </c>
      <c r="AW793" s="357">
        <v>6</v>
      </c>
      <c r="AX793" s="357">
        <v>8</v>
      </c>
      <c r="AY793" s="357">
        <v>6</v>
      </c>
      <c r="AZ793" s="357">
        <v>10</v>
      </c>
      <c r="BA793" s="357">
        <v>6</v>
      </c>
      <c r="BB793" s="357">
        <v>7</v>
      </c>
      <c r="BC793" s="357">
        <v>4</v>
      </c>
    </row>
    <row r="794" spans="1:55" s="381" customFormat="1" ht="17.649999999999999" customHeight="1">
      <c r="A794" s="358"/>
      <c r="B794" s="197" t="s">
        <v>2442</v>
      </c>
      <c r="C794" s="211" t="s">
        <v>2055</v>
      </c>
      <c r="D794" s="211" t="s">
        <v>2056</v>
      </c>
      <c r="E794" s="360">
        <v>344</v>
      </c>
      <c r="F794" s="360">
        <v>413</v>
      </c>
      <c r="G794" s="360">
        <v>431</v>
      </c>
      <c r="H794" s="344">
        <v>574</v>
      </c>
      <c r="I794" s="344">
        <v>574</v>
      </c>
      <c r="J794" s="360">
        <v>287</v>
      </c>
      <c r="K794" s="344">
        <v>574</v>
      </c>
      <c r="L794" s="360">
        <v>528</v>
      </c>
      <c r="M794" s="360">
        <v>517</v>
      </c>
      <c r="N794" s="344">
        <v>574</v>
      </c>
      <c r="O794" s="344">
        <v>574</v>
      </c>
      <c r="P794" s="344">
        <v>600.6</v>
      </c>
      <c r="Q794" s="344">
        <v>510.53333333333302</v>
      </c>
      <c r="R794" s="344">
        <v>478.33333333333297</v>
      </c>
      <c r="S794" s="344">
        <v>568.4</v>
      </c>
      <c r="T794" s="344">
        <v>575.4</v>
      </c>
      <c r="U794" s="344">
        <v>668.5</v>
      </c>
      <c r="V794" s="344">
        <v>764.63333333333298</v>
      </c>
      <c r="W794" s="344">
        <v>907.66666666666697</v>
      </c>
      <c r="X794" s="344">
        <v>1077.5333333333299</v>
      </c>
      <c r="Y794" s="344">
        <v>1159.2</v>
      </c>
      <c r="Z794" s="344">
        <v>995.86666666666702</v>
      </c>
      <c r="AA794" s="344">
        <v>719.83333333333303</v>
      </c>
      <c r="AB794" s="344">
        <v>395.96666666666698</v>
      </c>
      <c r="AC794" s="344">
        <v>199.03333333333299</v>
      </c>
      <c r="AD794" s="344">
        <f t="shared" si="65"/>
        <v>-196.93333333333399</v>
      </c>
      <c r="AE794" s="346">
        <v>3</v>
      </c>
      <c r="AF794" s="346">
        <v>3</v>
      </c>
      <c r="AG794" s="346">
        <v>3</v>
      </c>
      <c r="AH794" s="346">
        <v>3</v>
      </c>
      <c r="AI794" s="346">
        <v>3</v>
      </c>
      <c r="AJ794" s="346">
        <v>3</v>
      </c>
      <c r="AK794" s="346">
        <v>3</v>
      </c>
      <c r="AL794" s="346">
        <v>3</v>
      </c>
      <c r="AM794" s="346">
        <v>3</v>
      </c>
      <c r="AN794" s="346">
        <v>3</v>
      </c>
      <c r="AO794" s="346">
        <v>3</v>
      </c>
      <c r="AP794" s="346">
        <v>3</v>
      </c>
      <c r="AQ794" s="357">
        <v>9</v>
      </c>
      <c r="AR794" s="357">
        <v>8</v>
      </c>
      <c r="AS794" s="357">
        <v>2</v>
      </c>
      <c r="AT794" s="357">
        <v>9</v>
      </c>
      <c r="AU794" s="357">
        <v>2</v>
      </c>
      <c r="AV794" s="357">
        <v>2</v>
      </c>
      <c r="AW794" s="357">
        <v>2</v>
      </c>
      <c r="AX794" s="357">
        <v>1</v>
      </c>
      <c r="AY794" s="357">
        <v>5</v>
      </c>
      <c r="AZ794" s="357">
        <v>2</v>
      </c>
      <c r="BA794" s="357">
        <v>7</v>
      </c>
      <c r="BB794" s="357">
        <v>5</v>
      </c>
      <c r="BC794" s="357">
        <v>8</v>
      </c>
    </row>
    <row r="795" spans="1:55" s="381" customFormat="1" ht="17.649999999999999" customHeight="1">
      <c r="A795" s="358"/>
      <c r="B795" s="197" t="s">
        <v>2443</v>
      </c>
      <c r="C795" s="211" t="s">
        <v>2055</v>
      </c>
      <c r="D795" s="211" t="s">
        <v>2056</v>
      </c>
      <c r="E795" s="360">
        <v>259</v>
      </c>
      <c r="F795" s="360">
        <v>311</v>
      </c>
      <c r="G795" s="360">
        <v>324</v>
      </c>
      <c r="H795" s="344">
        <v>432.36666666666702</v>
      </c>
      <c r="I795" s="344">
        <v>432.36666666666702</v>
      </c>
      <c r="J795" s="360">
        <v>216</v>
      </c>
      <c r="K795" s="344">
        <v>432.36666666666702</v>
      </c>
      <c r="L795" s="360">
        <v>398</v>
      </c>
      <c r="M795" s="360">
        <v>389</v>
      </c>
      <c r="N795" s="344">
        <v>432.36666666666702</v>
      </c>
      <c r="O795" s="344">
        <v>432.36666666666702</v>
      </c>
      <c r="P795" s="344">
        <v>455.7</v>
      </c>
      <c r="Q795" s="344">
        <v>476.23333333333301</v>
      </c>
      <c r="R795" s="344">
        <v>367.5</v>
      </c>
      <c r="S795" s="344">
        <v>305.433333333333</v>
      </c>
      <c r="T795" s="344">
        <v>283.26666666666699</v>
      </c>
      <c r="U795" s="344">
        <v>248.96666666666701</v>
      </c>
      <c r="V795" s="344">
        <v>223.53333333333299</v>
      </c>
      <c r="W795" s="344">
        <v>190.86666666666699</v>
      </c>
      <c r="X795" s="344">
        <v>169.86666666666699</v>
      </c>
      <c r="Y795" s="344">
        <v>161.46666666666701</v>
      </c>
      <c r="Z795" s="344">
        <v>152.36666666666699</v>
      </c>
      <c r="AA795" s="344">
        <v>147.933333333333</v>
      </c>
      <c r="AB795" s="344">
        <v>141.4</v>
      </c>
      <c r="AC795" s="344">
        <v>127.166666666667</v>
      </c>
      <c r="AD795" s="344">
        <f t="shared" si="65"/>
        <v>-14.233333333333007</v>
      </c>
      <c r="AE795" s="346">
        <v>1</v>
      </c>
      <c r="AF795" s="346">
        <v>1</v>
      </c>
      <c r="AG795" s="346">
        <v>1</v>
      </c>
      <c r="AH795" s="346">
        <v>1</v>
      </c>
      <c r="AI795" s="346">
        <v>1</v>
      </c>
      <c r="AJ795" s="346">
        <v>1</v>
      </c>
      <c r="AK795" s="346">
        <v>1</v>
      </c>
      <c r="AL795" s="346">
        <v>1</v>
      </c>
      <c r="AM795" s="346">
        <v>1</v>
      </c>
      <c r="AN795" s="346">
        <v>1</v>
      </c>
      <c r="AO795" s="346">
        <v>1</v>
      </c>
      <c r="AP795" s="346">
        <v>4</v>
      </c>
      <c r="AQ795" s="357">
        <v>2</v>
      </c>
      <c r="AR795" s="357">
        <v>4</v>
      </c>
      <c r="AS795" s="357">
        <v>1</v>
      </c>
      <c r="AT795" s="357">
        <v>4</v>
      </c>
      <c r="AU795" s="357">
        <v>4</v>
      </c>
      <c r="AV795" s="357">
        <v>1</v>
      </c>
      <c r="AW795" s="357">
        <v>4</v>
      </c>
      <c r="AX795" s="357">
        <v>3</v>
      </c>
      <c r="AY795" s="357">
        <v>8</v>
      </c>
      <c r="AZ795" s="357">
        <v>1</v>
      </c>
      <c r="BA795" s="357">
        <v>1</v>
      </c>
      <c r="BB795" s="357">
        <v>1</v>
      </c>
      <c r="BC795" s="357">
        <v>1</v>
      </c>
    </row>
    <row r="796" spans="1:55" s="381" customFormat="1" ht="17.649999999999999" customHeight="1">
      <c r="A796" s="358"/>
      <c r="B796" s="197" t="s">
        <v>2444</v>
      </c>
      <c r="C796" s="211" t="s">
        <v>2055</v>
      </c>
      <c r="D796" s="211" t="s">
        <v>2056</v>
      </c>
      <c r="E796" s="360">
        <v>49</v>
      </c>
      <c r="F796" s="360">
        <v>59</v>
      </c>
      <c r="G796" s="360">
        <v>62</v>
      </c>
      <c r="H796" s="344">
        <v>82.133333333333297</v>
      </c>
      <c r="I796" s="344">
        <v>82.133333333333297</v>
      </c>
      <c r="J796" s="360">
        <v>41</v>
      </c>
      <c r="K796" s="344">
        <v>82.133333333333297</v>
      </c>
      <c r="L796" s="360">
        <v>76</v>
      </c>
      <c r="M796" s="360">
        <v>74</v>
      </c>
      <c r="N796" s="344">
        <v>82.133333333333297</v>
      </c>
      <c r="O796" s="344">
        <v>82.133333333333297</v>
      </c>
      <c r="P796" s="344">
        <v>87.966666666666697</v>
      </c>
      <c r="Q796" s="344">
        <v>106.4</v>
      </c>
      <c r="R796" s="344">
        <v>109.9</v>
      </c>
      <c r="S796" s="344">
        <v>194.13333333333301</v>
      </c>
      <c r="T796" s="344">
        <v>197.86666666666699</v>
      </c>
      <c r="U796" s="344">
        <v>207.666666666667</v>
      </c>
      <c r="V796" s="344">
        <v>206.03333333333299</v>
      </c>
      <c r="W796" s="344">
        <v>188.76666666666699</v>
      </c>
      <c r="X796" s="344">
        <v>213.96666666666701</v>
      </c>
      <c r="Y796" s="344">
        <v>215.833333333333</v>
      </c>
      <c r="Z796" s="344">
        <v>257.13333333333298</v>
      </c>
      <c r="AA796" s="344">
        <v>537.6</v>
      </c>
      <c r="AB796" s="344">
        <v>642.36666666666702</v>
      </c>
      <c r="AC796" s="344">
        <v>642.83333333333303</v>
      </c>
      <c r="AD796" s="344">
        <f t="shared" si="65"/>
        <v>0.46666666666601486</v>
      </c>
      <c r="AE796" s="346">
        <v>3</v>
      </c>
      <c r="AF796" s="346">
        <v>3</v>
      </c>
      <c r="AG796" s="346">
        <v>3</v>
      </c>
      <c r="AH796" s="346">
        <v>3</v>
      </c>
      <c r="AI796" s="346">
        <v>3</v>
      </c>
      <c r="AJ796" s="346">
        <v>3</v>
      </c>
      <c r="AK796" s="346">
        <v>3</v>
      </c>
      <c r="AL796" s="346">
        <v>3</v>
      </c>
      <c r="AM796" s="346">
        <v>3</v>
      </c>
      <c r="AN796" s="346">
        <v>3</v>
      </c>
      <c r="AO796" s="346">
        <v>3</v>
      </c>
      <c r="AP796" s="346">
        <v>3</v>
      </c>
      <c r="AQ796" s="357">
        <v>5</v>
      </c>
      <c r="AR796" s="357">
        <v>5</v>
      </c>
      <c r="AS796" s="357">
        <v>4</v>
      </c>
      <c r="AT796" s="357">
        <v>5</v>
      </c>
      <c r="AU796" s="357">
        <v>8</v>
      </c>
      <c r="AV796" s="357">
        <v>7</v>
      </c>
      <c r="AW796" s="357">
        <v>6</v>
      </c>
      <c r="AX796" s="357">
        <v>5</v>
      </c>
      <c r="AY796" s="357">
        <v>7</v>
      </c>
      <c r="AZ796" s="357">
        <v>8</v>
      </c>
      <c r="BA796" s="357">
        <v>5</v>
      </c>
      <c r="BB796" s="357">
        <v>7</v>
      </c>
      <c r="BC796" s="357">
        <v>4</v>
      </c>
    </row>
    <row r="797" spans="1:55" s="381" customFormat="1" ht="17.649999999999999" customHeight="1">
      <c r="A797" s="358"/>
      <c r="B797" s="197" t="s">
        <v>2445</v>
      </c>
      <c r="C797" s="211" t="s">
        <v>2055</v>
      </c>
      <c r="D797" s="211" t="s">
        <v>2056</v>
      </c>
      <c r="E797" s="360">
        <v>104</v>
      </c>
      <c r="F797" s="360">
        <v>125</v>
      </c>
      <c r="G797" s="360">
        <v>130</v>
      </c>
      <c r="H797" s="344">
        <v>173.833333333333</v>
      </c>
      <c r="I797" s="344">
        <v>173.833333333333</v>
      </c>
      <c r="J797" s="360">
        <v>87</v>
      </c>
      <c r="K797" s="344">
        <v>173.833333333333</v>
      </c>
      <c r="L797" s="360">
        <v>160</v>
      </c>
      <c r="M797" s="360">
        <v>156</v>
      </c>
      <c r="N797" s="344">
        <v>173.833333333333</v>
      </c>
      <c r="O797" s="344">
        <v>173.833333333333</v>
      </c>
      <c r="P797" s="344">
        <v>179.666666666667</v>
      </c>
      <c r="Q797" s="344">
        <v>190.86666666666699</v>
      </c>
      <c r="R797" s="344">
        <v>184.333333333333</v>
      </c>
      <c r="S797" s="344">
        <v>187.36666666666699</v>
      </c>
      <c r="T797" s="344">
        <v>204.86666666666699</v>
      </c>
      <c r="U797" s="344">
        <v>209.53333333333299</v>
      </c>
      <c r="V797" s="344">
        <v>221.9</v>
      </c>
      <c r="W797" s="344">
        <v>221.9</v>
      </c>
      <c r="X797" s="344">
        <v>202.066666666667</v>
      </c>
      <c r="Y797" s="344">
        <v>198.566666666667</v>
      </c>
      <c r="Z797" s="344">
        <v>196.46666666666701</v>
      </c>
      <c r="AA797" s="344">
        <v>186.9</v>
      </c>
      <c r="AB797" s="344">
        <v>194.6</v>
      </c>
      <c r="AC797" s="344">
        <v>186.2</v>
      </c>
      <c r="AD797" s="344">
        <f t="shared" si="65"/>
        <v>-8.4000000000000057</v>
      </c>
      <c r="AE797" s="346">
        <v>3</v>
      </c>
      <c r="AF797" s="346">
        <v>3</v>
      </c>
      <c r="AG797" s="346">
        <v>3</v>
      </c>
      <c r="AH797" s="346">
        <v>3</v>
      </c>
      <c r="AI797" s="346">
        <v>3</v>
      </c>
      <c r="AJ797" s="346">
        <v>3</v>
      </c>
      <c r="AK797" s="346">
        <v>3</v>
      </c>
      <c r="AL797" s="346">
        <v>3</v>
      </c>
      <c r="AM797" s="346">
        <v>3</v>
      </c>
      <c r="AN797" s="346">
        <v>3</v>
      </c>
      <c r="AO797" s="346">
        <v>3</v>
      </c>
      <c r="AP797" s="346">
        <v>3</v>
      </c>
      <c r="AQ797" s="357">
        <v>8</v>
      </c>
      <c r="AR797" s="357">
        <v>9</v>
      </c>
      <c r="AS797" s="357">
        <v>7</v>
      </c>
      <c r="AT797" s="357">
        <v>8</v>
      </c>
      <c r="AU797" s="357">
        <v>5</v>
      </c>
      <c r="AV797" s="357">
        <v>5</v>
      </c>
      <c r="AW797" s="357">
        <v>4</v>
      </c>
      <c r="AX797" s="357">
        <v>2</v>
      </c>
      <c r="AY797" s="357">
        <v>5</v>
      </c>
      <c r="AZ797" s="357">
        <v>5</v>
      </c>
      <c r="BA797" s="357">
        <v>4</v>
      </c>
      <c r="BB797" s="357">
        <v>10</v>
      </c>
      <c r="BC797" s="357">
        <v>4</v>
      </c>
    </row>
    <row r="798" spans="1:55" s="381" customFormat="1" ht="17.649999999999999" customHeight="1">
      <c r="B798" s="354"/>
      <c r="C798" s="354"/>
      <c r="D798" s="354"/>
      <c r="E798" s="354"/>
      <c r="F798" s="354"/>
      <c r="G798" s="354"/>
      <c r="H798" s="354"/>
      <c r="I798" s="354"/>
      <c r="J798" s="354"/>
      <c r="K798" s="354"/>
      <c r="L798" s="354"/>
      <c r="M798" s="354"/>
      <c r="N798" s="354"/>
      <c r="AH798" s="355"/>
    </row>
    <row r="799" spans="1:55" s="381" customFormat="1" ht="17.649999999999999" customHeight="1">
      <c r="B799" s="354"/>
      <c r="C799" s="354"/>
      <c r="D799" s="354"/>
      <c r="E799" s="354"/>
      <c r="F799" s="354"/>
      <c r="G799" s="354"/>
      <c r="H799" s="354"/>
      <c r="I799" s="354"/>
      <c r="J799" s="354"/>
      <c r="K799" s="354"/>
      <c r="L799" s="354"/>
      <c r="M799" s="354"/>
      <c r="N799" s="354"/>
      <c r="AH799" s="355"/>
    </row>
    <row r="800" spans="1:55" s="381" customFormat="1" ht="17.649999999999999" customHeight="1">
      <c r="B800" s="354"/>
      <c r="C800" s="354"/>
      <c r="D800" s="354"/>
      <c r="E800" s="354"/>
      <c r="F800" s="354"/>
      <c r="G800" s="354"/>
      <c r="H800" s="354"/>
      <c r="I800" s="354"/>
      <c r="J800" s="354"/>
      <c r="K800" s="354"/>
      <c r="L800" s="354"/>
      <c r="M800" s="354"/>
      <c r="N800" s="354"/>
      <c r="AH800" s="355"/>
    </row>
    <row r="801" spans="2:34" s="381" customFormat="1" ht="17.649999999999999" customHeight="1">
      <c r="B801" s="354"/>
      <c r="C801" s="354"/>
      <c r="D801" s="354"/>
      <c r="E801" s="354"/>
      <c r="F801" s="354"/>
      <c r="G801" s="354"/>
      <c r="H801" s="354"/>
      <c r="I801" s="354"/>
      <c r="J801" s="354"/>
      <c r="K801" s="354"/>
      <c r="L801" s="354"/>
      <c r="M801" s="354"/>
      <c r="N801" s="354"/>
      <c r="AH801" s="355"/>
    </row>
  </sheetData>
  <mergeCells count="164">
    <mergeCell ref="BC58:BC59"/>
    <mergeCell ref="BC430:BC431"/>
    <mergeCell ref="AX58:AX59"/>
    <mergeCell ref="AX430:AX431"/>
    <mergeCell ref="AY58:AY59"/>
    <mergeCell ref="AY430:AY431"/>
    <mergeCell ref="AZ58:AZ59"/>
    <mergeCell ref="AZ430:AZ431"/>
    <mergeCell ref="BA58:BA59"/>
    <mergeCell ref="BA430:BA431"/>
    <mergeCell ref="BB58:BB59"/>
    <mergeCell ref="BB430:BB431"/>
    <mergeCell ref="AS58:AS59"/>
    <mergeCell ref="AS430:AS431"/>
    <mergeCell ref="AT58:AT59"/>
    <mergeCell ref="AT430:AT431"/>
    <mergeCell ref="AU58:AU59"/>
    <mergeCell ref="AU430:AU431"/>
    <mergeCell ref="AV58:AV59"/>
    <mergeCell ref="AV430:AV431"/>
    <mergeCell ref="AW58:AW59"/>
    <mergeCell ref="AW430:AW431"/>
    <mergeCell ref="AN58:AN59"/>
    <mergeCell ref="AN430:AN431"/>
    <mergeCell ref="AO58:AO59"/>
    <mergeCell ref="AO430:AO431"/>
    <mergeCell ref="AP58:AP59"/>
    <mergeCell ref="AP430:AP431"/>
    <mergeCell ref="AQ58:AQ59"/>
    <mergeCell ref="AQ430:AQ431"/>
    <mergeCell ref="AR58:AR59"/>
    <mergeCell ref="AR430:AR431"/>
    <mergeCell ref="AI58:AI59"/>
    <mergeCell ref="AI430:AI431"/>
    <mergeCell ref="AJ58:AJ59"/>
    <mergeCell ref="AJ430:AJ431"/>
    <mergeCell ref="AK58:AK59"/>
    <mergeCell ref="AK430:AK431"/>
    <mergeCell ref="AL58:AL59"/>
    <mergeCell ref="AL430:AL431"/>
    <mergeCell ref="AM58:AM59"/>
    <mergeCell ref="AM430:AM431"/>
    <mergeCell ref="AE1:AE2"/>
    <mergeCell ref="AE27:AE28"/>
    <mergeCell ref="AE58:AE59"/>
    <mergeCell ref="AE430:AE431"/>
    <mergeCell ref="AF58:AF59"/>
    <mergeCell ref="AF430:AF431"/>
    <mergeCell ref="AG58:AG59"/>
    <mergeCell ref="AG430:AG431"/>
    <mergeCell ref="AH58:AH59"/>
    <mergeCell ref="AH430:AH431"/>
    <mergeCell ref="AC58:AC59"/>
    <mergeCell ref="AC430:AC431"/>
    <mergeCell ref="AD1:AD2"/>
    <mergeCell ref="AD3:AD5"/>
    <mergeCell ref="AD6:AD8"/>
    <mergeCell ref="AD9:AD11"/>
    <mergeCell ref="AD12:AD14"/>
    <mergeCell ref="AD15:AD17"/>
    <mergeCell ref="AD18:AD20"/>
    <mergeCell ref="AD23:AD24"/>
    <mergeCell ref="AD27:AD28"/>
    <mergeCell ref="AD29:AD31"/>
    <mergeCell ref="AD32:AD34"/>
    <mergeCell ref="AD35:AD37"/>
    <mergeCell ref="AD38:AD40"/>
    <mergeCell ref="AD41:AD43"/>
    <mergeCell ref="AD44:AD46"/>
    <mergeCell ref="AD49:AD50"/>
    <mergeCell ref="AD58:AD60"/>
    <mergeCell ref="AD430:AD432"/>
    <mergeCell ref="X58:X59"/>
    <mergeCell ref="X430:X431"/>
    <mergeCell ref="Y58:Y59"/>
    <mergeCell ref="Y430:Y431"/>
    <mergeCell ref="Z58:Z59"/>
    <mergeCell ref="Z430:Z431"/>
    <mergeCell ref="AA58:AA59"/>
    <mergeCell ref="AA430:AA431"/>
    <mergeCell ref="AB58:AB59"/>
    <mergeCell ref="AB430:AB431"/>
    <mergeCell ref="S58:S59"/>
    <mergeCell ref="S430:S431"/>
    <mergeCell ref="T58:T59"/>
    <mergeCell ref="T430:T431"/>
    <mergeCell ref="U58:U59"/>
    <mergeCell ref="U430:U431"/>
    <mergeCell ref="V58:V59"/>
    <mergeCell ref="V430:V431"/>
    <mergeCell ref="W58:W59"/>
    <mergeCell ref="W430:W431"/>
    <mergeCell ref="N430:N431"/>
    <mergeCell ref="O58:O59"/>
    <mergeCell ref="O430:O431"/>
    <mergeCell ref="P58:P59"/>
    <mergeCell ref="P430:P431"/>
    <mergeCell ref="Q58:Q59"/>
    <mergeCell ref="Q430:Q431"/>
    <mergeCell ref="R58:R59"/>
    <mergeCell ref="R430:R431"/>
    <mergeCell ref="I430:I431"/>
    <mergeCell ref="J58:J59"/>
    <mergeCell ref="J430:J431"/>
    <mergeCell ref="K58:K59"/>
    <mergeCell ref="K430:K431"/>
    <mergeCell ref="L58:L59"/>
    <mergeCell ref="L430:L431"/>
    <mergeCell ref="M58:M59"/>
    <mergeCell ref="M430:M431"/>
    <mergeCell ref="D429:D432"/>
    <mergeCell ref="E58:E59"/>
    <mergeCell ref="E430:E431"/>
    <mergeCell ref="F58:F59"/>
    <mergeCell ref="F430:F431"/>
    <mergeCell ref="G58:G59"/>
    <mergeCell ref="G430:G431"/>
    <mergeCell ref="H58:H59"/>
    <mergeCell ref="H430:H431"/>
    <mergeCell ref="C18:C20"/>
    <mergeCell ref="C29:C31"/>
    <mergeCell ref="C32:C34"/>
    <mergeCell ref="C35:C37"/>
    <mergeCell ref="C38:C40"/>
    <mergeCell ref="C41:C43"/>
    <mergeCell ref="C44:C46"/>
    <mergeCell ref="C57:C60"/>
    <mergeCell ref="C429:C432"/>
    <mergeCell ref="AE57:BC57"/>
    <mergeCell ref="E429:R429"/>
    <mergeCell ref="AE429:BC429"/>
    <mergeCell ref="A57:A60"/>
    <mergeCell ref="A429:A432"/>
    <mergeCell ref="B3:B5"/>
    <mergeCell ref="B6:B8"/>
    <mergeCell ref="B9:B11"/>
    <mergeCell ref="B12:B14"/>
    <mergeCell ref="B15:B17"/>
    <mergeCell ref="B18:B20"/>
    <mergeCell ref="B29:B31"/>
    <mergeCell ref="B32:B34"/>
    <mergeCell ref="B35:B37"/>
    <mergeCell ref="B38:B40"/>
    <mergeCell ref="B41:B43"/>
    <mergeCell ref="B44:B46"/>
    <mergeCell ref="B57:B60"/>
    <mergeCell ref="B429:B432"/>
    <mergeCell ref="C3:C5"/>
    <mergeCell ref="C6:C8"/>
    <mergeCell ref="C9:C11"/>
    <mergeCell ref="C12:C14"/>
    <mergeCell ref="C15:C17"/>
    <mergeCell ref="B21:C21"/>
    <mergeCell ref="B22:C22"/>
    <mergeCell ref="B23:C23"/>
    <mergeCell ref="B24:D24"/>
    <mergeCell ref="B47:C47"/>
    <mergeCell ref="B48:C48"/>
    <mergeCell ref="B49:C49"/>
    <mergeCell ref="B50:D50"/>
    <mergeCell ref="E57:O57"/>
    <mergeCell ref="D57:D60"/>
    <mergeCell ref="I58:I59"/>
    <mergeCell ref="N58:N59"/>
  </mergeCells>
  <phoneticPr fontId="96" type="noConversion"/>
  <conditionalFormatting sqref="B57">
    <cfRule type="duplicateValues" dxfId="3" priority="4"/>
  </conditionalFormatting>
  <conditionalFormatting sqref="B61:B427">
    <cfRule type="duplicateValues" dxfId="2" priority="5"/>
  </conditionalFormatting>
  <conditionalFormatting sqref="B429">
    <cfRule type="duplicateValues" dxfId="1" priority="3"/>
  </conditionalFormatting>
  <conditionalFormatting sqref="B433:B801">
    <cfRule type="duplicateValues" dxfId="0" priority="6"/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76352263-C6FF-4EEA-88BC-562BEA6DBDBC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AD61:AD427</xm:sqref>
        </x14:conditionalFormatting>
        <x14:conditionalFormatting xmlns:xm="http://schemas.microsoft.com/office/excel/2006/main">
          <x14:cfRule type="iconSet" priority="1" id="{7B7D3B6F-F650-4476-A0C1-C1AA0B557772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AD433:AD797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100"/>
  <sheetViews>
    <sheetView workbookViewId="0"/>
  </sheetViews>
  <sheetFormatPr defaultColWidth="11.7265625" defaultRowHeight="14"/>
  <cols>
    <col min="1" max="1" width="4.6328125" customWidth="1"/>
    <col min="2" max="2" width="12.6328125" customWidth="1"/>
    <col min="3" max="19" width="17.90625" customWidth="1"/>
    <col min="20" max="21" width="22.26953125" customWidth="1"/>
  </cols>
  <sheetData>
    <row r="1" spans="1:19" ht="15.75" customHeight="1">
      <c r="A1" s="361"/>
      <c r="B1" s="361"/>
      <c r="C1" s="361"/>
      <c r="D1" s="361"/>
      <c r="E1" s="361"/>
      <c r="F1" s="361"/>
      <c r="G1" s="361"/>
      <c r="H1" s="361"/>
      <c r="I1" s="361"/>
      <c r="J1" s="361"/>
      <c r="K1" s="361"/>
      <c r="L1" s="361"/>
      <c r="M1" s="361"/>
      <c r="N1" s="361"/>
      <c r="O1" s="361"/>
      <c r="P1" s="361"/>
      <c r="Q1" s="361"/>
      <c r="R1" s="361"/>
      <c r="S1" s="361"/>
    </row>
    <row r="2" spans="1:19">
      <c r="A2" s="361"/>
      <c r="B2" s="362" t="s">
        <v>1461</v>
      </c>
      <c r="C2" s="362" t="s">
        <v>296</v>
      </c>
      <c r="D2" s="362" t="s">
        <v>2458</v>
      </c>
      <c r="E2" s="362" t="s">
        <v>2459</v>
      </c>
      <c r="F2" s="362" t="s">
        <v>2460</v>
      </c>
      <c r="G2" s="362" t="s">
        <v>2461</v>
      </c>
      <c r="H2" s="362" t="s">
        <v>2462</v>
      </c>
      <c r="I2" s="362" t="s">
        <v>2463</v>
      </c>
      <c r="J2" s="362" t="s">
        <v>2464</v>
      </c>
      <c r="K2" s="362" t="s">
        <v>2465</v>
      </c>
      <c r="L2" s="362" t="s">
        <v>2466</v>
      </c>
      <c r="M2" s="362" t="s">
        <v>2467</v>
      </c>
      <c r="N2" s="362" t="s">
        <v>2468</v>
      </c>
      <c r="O2" s="362" t="s">
        <v>2469</v>
      </c>
      <c r="P2" s="362" t="s">
        <v>2470</v>
      </c>
      <c r="Q2" s="362" t="s">
        <v>2471</v>
      </c>
      <c r="R2" s="362" t="s">
        <v>2472</v>
      </c>
      <c r="S2" s="362" t="s">
        <v>2473</v>
      </c>
    </row>
    <row r="3" spans="1:19">
      <c r="A3" s="361"/>
      <c r="B3" s="363" t="s">
        <v>384</v>
      </c>
      <c r="C3" s="363" t="s">
        <v>59</v>
      </c>
      <c r="D3" s="363">
        <v>14</v>
      </c>
      <c r="E3" s="364">
        <v>0.125</v>
      </c>
      <c r="F3" s="363">
        <v>20</v>
      </c>
      <c r="G3" s="364">
        <v>0.17860000000000001</v>
      </c>
      <c r="H3" s="363">
        <v>32</v>
      </c>
      <c r="I3" s="364">
        <v>0.28570000000000001</v>
      </c>
      <c r="J3" s="363">
        <v>35</v>
      </c>
      <c r="K3" s="364">
        <v>0.3125</v>
      </c>
      <c r="L3" s="363">
        <v>45</v>
      </c>
      <c r="M3" s="364">
        <v>0.40179999999999999</v>
      </c>
      <c r="N3" s="363">
        <v>42</v>
      </c>
      <c r="O3" s="364">
        <v>0.375</v>
      </c>
      <c r="P3" s="363">
        <v>100</v>
      </c>
      <c r="Q3" s="364">
        <v>0.89290000000000003</v>
      </c>
      <c r="R3" s="363">
        <v>98</v>
      </c>
      <c r="S3" s="364">
        <v>0.875</v>
      </c>
    </row>
    <row r="4" spans="1:19">
      <c r="A4" s="361"/>
      <c r="B4" s="363" t="s">
        <v>384</v>
      </c>
      <c r="C4" s="363" t="s">
        <v>128</v>
      </c>
      <c r="D4" s="363">
        <v>16</v>
      </c>
      <c r="E4" s="364">
        <v>0.1429</v>
      </c>
      <c r="F4" s="363">
        <v>30</v>
      </c>
      <c r="G4" s="364">
        <v>0.26790000000000003</v>
      </c>
      <c r="H4" s="363">
        <v>42</v>
      </c>
      <c r="I4" s="364">
        <v>0.375</v>
      </c>
      <c r="J4" s="363">
        <v>45</v>
      </c>
      <c r="K4" s="364">
        <v>0.40179999999999999</v>
      </c>
      <c r="L4" s="363">
        <v>49</v>
      </c>
      <c r="M4" s="364">
        <v>0.4375</v>
      </c>
      <c r="N4" s="363">
        <v>32</v>
      </c>
      <c r="O4" s="364">
        <v>0.28570000000000001</v>
      </c>
      <c r="P4" s="363">
        <v>93</v>
      </c>
      <c r="Q4" s="364">
        <v>0.83040000000000003</v>
      </c>
      <c r="R4" s="363">
        <v>93</v>
      </c>
      <c r="S4" s="364">
        <v>0.83040000000000003</v>
      </c>
    </row>
    <row r="5" spans="1:19">
      <c r="A5" s="361"/>
      <c r="B5" s="363" t="s">
        <v>384</v>
      </c>
      <c r="C5" s="363" t="s">
        <v>44</v>
      </c>
      <c r="D5" s="363">
        <v>25</v>
      </c>
      <c r="E5" s="364">
        <v>0.22320000000000001</v>
      </c>
      <c r="F5" s="363">
        <v>33</v>
      </c>
      <c r="G5" s="364">
        <v>0.29459999999999997</v>
      </c>
      <c r="H5" s="363">
        <v>46</v>
      </c>
      <c r="I5" s="364">
        <v>0.41070000000000001</v>
      </c>
      <c r="J5" s="363">
        <v>47</v>
      </c>
      <c r="K5" s="364">
        <v>0.41959999999999997</v>
      </c>
      <c r="L5" s="363">
        <v>50</v>
      </c>
      <c r="M5" s="364">
        <v>0.44640000000000002</v>
      </c>
      <c r="N5" s="363">
        <v>42</v>
      </c>
      <c r="O5" s="364">
        <v>0.375</v>
      </c>
      <c r="P5" s="363">
        <v>50</v>
      </c>
      <c r="Q5" s="364">
        <v>0.44640000000000002</v>
      </c>
      <c r="R5" s="363">
        <v>68</v>
      </c>
      <c r="S5" s="364">
        <v>0.60709999999999997</v>
      </c>
    </row>
    <row r="6" spans="1:19">
      <c r="A6" s="361"/>
      <c r="B6" s="363" t="s">
        <v>384</v>
      </c>
      <c r="C6" s="363" t="s">
        <v>114</v>
      </c>
      <c r="D6" s="363">
        <v>6</v>
      </c>
      <c r="E6" s="364">
        <v>5.3600000000000002E-2</v>
      </c>
      <c r="F6" s="363">
        <v>9</v>
      </c>
      <c r="G6" s="364">
        <v>8.0399999999999999E-2</v>
      </c>
      <c r="H6" s="363">
        <v>26</v>
      </c>
      <c r="I6" s="364">
        <v>0.2321</v>
      </c>
      <c r="J6" s="363">
        <v>28</v>
      </c>
      <c r="K6" s="364">
        <v>0.25</v>
      </c>
      <c r="L6" s="363">
        <v>30</v>
      </c>
      <c r="M6" s="364">
        <v>0.26790000000000003</v>
      </c>
      <c r="N6" s="363">
        <v>39</v>
      </c>
      <c r="O6" s="364">
        <v>0.34820000000000001</v>
      </c>
      <c r="P6" s="363">
        <v>33</v>
      </c>
      <c r="Q6" s="364">
        <v>0.29459999999999997</v>
      </c>
      <c r="R6" s="363">
        <v>32</v>
      </c>
      <c r="S6" s="364">
        <v>0.28570000000000001</v>
      </c>
    </row>
    <row r="7" spans="1:19">
      <c r="A7" s="361"/>
      <c r="B7" s="363" t="s">
        <v>384</v>
      </c>
      <c r="C7" s="363" t="s">
        <v>306</v>
      </c>
      <c r="D7" s="363">
        <v>0</v>
      </c>
      <c r="E7" s="364">
        <v>0</v>
      </c>
      <c r="F7" s="363">
        <v>0</v>
      </c>
      <c r="G7" s="364">
        <v>0</v>
      </c>
      <c r="H7" s="363">
        <v>0</v>
      </c>
      <c r="I7" s="364">
        <v>0</v>
      </c>
      <c r="J7" s="363">
        <v>0</v>
      </c>
      <c r="K7" s="364">
        <v>0</v>
      </c>
      <c r="L7" s="363">
        <v>0</v>
      </c>
      <c r="M7" s="364">
        <v>0</v>
      </c>
      <c r="N7" s="363">
        <v>0</v>
      </c>
      <c r="O7" s="364">
        <v>0</v>
      </c>
      <c r="P7" s="363">
        <v>64</v>
      </c>
      <c r="Q7" s="364">
        <v>0.57140000000000002</v>
      </c>
      <c r="R7" s="363">
        <v>61</v>
      </c>
      <c r="S7" s="364">
        <v>0.54459999999999997</v>
      </c>
    </row>
    <row r="8" spans="1:19">
      <c r="A8" s="361"/>
      <c r="B8" s="363" t="s">
        <v>384</v>
      </c>
      <c r="C8" s="363" t="s">
        <v>97</v>
      </c>
      <c r="D8" s="363">
        <v>0</v>
      </c>
      <c r="E8" s="364">
        <v>0</v>
      </c>
      <c r="F8" s="363">
        <v>0</v>
      </c>
      <c r="G8" s="364">
        <v>0</v>
      </c>
      <c r="H8" s="363">
        <v>0</v>
      </c>
      <c r="I8" s="364">
        <v>0</v>
      </c>
      <c r="J8" s="363">
        <v>0</v>
      </c>
      <c r="K8" s="364">
        <v>0</v>
      </c>
      <c r="L8" s="363">
        <v>0</v>
      </c>
      <c r="M8" s="364">
        <v>0</v>
      </c>
      <c r="N8" s="363">
        <v>0</v>
      </c>
      <c r="O8" s="364">
        <v>0</v>
      </c>
      <c r="P8" s="363">
        <v>93</v>
      </c>
      <c r="Q8" s="364">
        <v>0.83040000000000003</v>
      </c>
      <c r="R8" s="363">
        <v>98</v>
      </c>
      <c r="S8" s="364">
        <v>0.875</v>
      </c>
    </row>
    <row r="9" spans="1:19">
      <c r="A9" s="361"/>
      <c r="B9" s="363" t="s">
        <v>384</v>
      </c>
      <c r="C9" s="363" t="s">
        <v>118</v>
      </c>
      <c r="D9" s="363">
        <v>0</v>
      </c>
      <c r="E9" s="364">
        <v>0</v>
      </c>
      <c r="F9" s="363">
        <v>0</v>
      </c>
      <c r="G9" s="364">
        <v>0</v>
      </c>
      <c r="H9" s="363">
        <v>0</v>
      </c>
      <c r="I9" s="364">
        <v>0</v>
      </c>
      <c r="J9" s="363">
        <v>0</v>
      </c>
      <c r="K9" s="364">
        <v>0</v>
      </c>
      <c r="L9" s="363">
        <v>0</v>
      </c>
      <c r="M9" s="364">
        <v>0</v>
      </c>
      <c r="N9" s="363">
        <v>0</v>
      </c>
      <c r="O9" s="364">
        <v>0</v>
      </c>
      <c r="P9" s="363">
        <v>69</v>
      </c>
      <c r="Q9" s="364">
        <v>0.61609999999999998</v>
      </c>
      <c r="R9" s="363">
        <v>0</v>
      </c>
      <c r="S9" s="364">
        <v>0</v>
      </c>
    </row>
    <row r="10" spans="1:19">
      <c r="A10" s="361"/>
      <c r="B10" s="363" t="s">
        <v>395</v>
      </c>
      <c r="C10" s="363" t="s">
        <v>59</v>
      </c>
      <c r="D10" s="363">
        <v>3</v>
      </c>
      <c r="E10" s="364">
        <v>1.8599999999999998E-2</v>
      </c>
      <c r="F10" s="363">
        <v>24</v>
      </c>
      <c r="G10" s="364">
        <v>0.14910000000000001</v>
      </c>
      <c r="H10" s="363">
        <v>47</v>
      </c>
      <c r="I10" s="364">
        <v>0.29189999999999999</v>
      </c>
      <c r="J10" s="363">
        <v>49</v>
      </c>
      <c r="K10" s="364">
        <v>0.30430000000000001</v>
      </c>
      <c r="L10" s="363">
        <v>63</v>
      </c>
      <c r="M10" s="364">
        <v>0.39129999999999998</v>
      </c>
      <c r="N10" s="363">
        <v>106</v>
      </c>
      <c r="O10" s="364">
        <v>0.65839999999999999</v>
      </c>
      <c r="P10" s="363">
        <v>77</v>
      </c>
      <c r="Q10" s="364">
        <v>0.4783</v>
      </c>
      <c r="R10" s="363">
        <v>83</v>
      </c>
      <c r="S10" s="364">
        <v>0.51549999999999996</v>
      </c>
    </row>
    <row r="11" spans="1:19">
      <c r="A11" s="361"/>
      <c r="B11" s="363" t="s">
        <v>395</v>
      </c>
      <c r="C11" s="363" t="s">
        <v>128</v>
      </c>
      <c r="D11" s="363">
        <v>4</v>
      </c>
      <c r="E11" s="364">
        <v>2.4799999999999999E-2</v>
      </c>
      <c r="F11" s="363">
        <v>28</v>
      </c>
      <c r="G11" s="364">
        <v>0.1739</v>
      </c>
      <c r="H11" s="363">
        <v>44</v>
      </c>
      <c r="I11" s="364">
        <v>0.27329999999999999</v>
      </c>
      <c r="J11" s="363">
        <v>50</v>
      </c>
      <c r="K11" s="364">
        <v>0.31059999999999999</v>
      </c>
      <c r="L11" s="363">
        <v>60</v>
      </c>
      <c r="M11" s="364">
        <v>0.37269999999999998</v>
      </c>
      <c r="N11" s="363">
        <v>87</v>
      </c>
      <c r="O11" s="364">
        <v>0.54039999999999999</v>
      </c>
      <c r="P11" s="363">
        <v>62</v>
      </c>
      <c r="Q11" s="364">
        <v>0.3851</v>
      </c>
      <c r="R11" s="363">
        <v>68</v>
      </c>
      <c r="S11" s="364">
        <v>0.4224</v>
      </c>
    </row>
    <row r="12" spans="1:19">
      <c r="A12" s="361"/>
      <c r="B12" s="363" t="s">
        <v>395</v>
      </c>
      <c r="C12" s="363" t="s">
        <v>44</v>
      </c>
      <c r="D12" s="363">
        <v>11</v>
      </c>
      <c r="E12" s="364">
        <v>6.83E-2</v>
      </c>
      <c r="F12" s="363">
        <v>35</v>
      </c>
      <c r="G12" s="364">
        <v>0.21740000000000001</v>
      </c>
      <c r="H12" s="363">
        <v>49</v>
      </c>
      <c r="I12" s="364">
        <v>0.30430000000000001</v>
      </c>
      <c r="J12" s="363">
        <v>52</v>
      </c>
      <c r="K12" s="364">
        <v>0.32300000000000001</v>
      </c>
      <c r="L12" s="363">
        <v>65</v>
      </c>
      <c r="M12" s="364">
        <v>0.4037</v>
      </c>
      <c r="N12" s="363">
        <v>116</v>
      </c>
      <c r="O12" s="364">
        <v>0.72050000000000003</v>
      </c>
      <c r="P12" s="363">
        <v>66</v>
      </c>
      <c r="Q12" s="364">
        <v>0.40989999999999999</v>
      </c>
      <c r="R12" s="363">
        <v>78</v>
      </c>
      <c r="S12" s="364">
        <v>0.48449999999999999</v>
      </c>
    </row>
    <row r="13" spans="1:19">
      <c r="A13" s="361"/>
      <c r="B13" s="363" t="s">
        <v>395</v>
      </c>
      <c r="C13" s="363" t="s">
        <v>114</v>
      </c>
      <c r="D13" s="363">
        <v>5</v>
      </c>
      <c r="E13" s="364">
        <v>3.1099999999999999E-2</v>
      </c>
      <c r="F13" s="363">
        <v>15</v>
      </c>
      <c r="G13" s="364">
        <v>9.3200000000000005E-2</v>
      </c>
      <c r="H13" s="363">
        <v>36</v>
      </c>
      <c r="I13" s="364">
        <v>0.22359999999999999</v>
      </c>
      <c r="J13" s="363">
        <v>37</v>
      </c>
      <c r="K13" s="364">
        <v>0.2298</v>
      </c>
      <c r="L13" s="363">
        <v>41</v>
      </c>
      <c r="M13" s="364">
        <v>0.25469999999999998</v>
      </c>
      <c r="N13" s="363">
        <v>65</v>
      </c>
      <c r="O13" s="364">
        <v>0.4037</v>
      </c>
      <c r="P13" s="363">
        <v>61</v>
      </c>
      <c r="Q13" s="364">
        <v>0.37890000000000001</v>
      </c>
      <c r="R13" s="363">
        <v>61</v>
      </c>
      <c r="S13" s="364">
        <v>0.37890000000000001</v>
      </c>
    </row>
    <row r="14" spans="1:19">
      <c r="A14" s="361"/>
      <c r="B14" s="363" t="s">
        <v>395</v>
      </c>
      <c r="C14" s="363" t="s">
        <v>306</v>
      </c>
      <c r="D14" s="363">
        <v>0</v>
      </c>
      <c r="E14" s="364">
        <v>0</v>
      </c>
      <c r="F14" s="363">
        <v>0</v>
      </c>
      <c r="G14" s="364">
        <v>0</v>
      </c>
      <c r="H14" s="363">
        <v>0</v>
      </c>
      <c r="I14" s="364">
        <v>0</v>
      </c>
      <c r="J14" s="363">
        <v>0</v>
      </c>
      <c r="K14" s="364">
        <v>0</v>
      </c>
      <c r="L14" s="363">
        <v>0</v>
      </c>
      <c r="M14" s="364">
        <v>0</v>
      </c>
      <c r="N14" s="363">
        <v>0</v>
      </c>
      <c r="O14" s="364">
        <v>0</v>
      </c>
      <c r="P14" s="363">
        <v>70</v>
      </c>
      <c r="Q14" s="364">
        <v>0.43480000000000002</v>
      </c>
      <c r="R14" s="363">
        <v>52</v>
      </c>
      <c r="S14" s="364">
        <v>0.32300000000000001</v>
      </c>
    </row>
    <row r="15" spans="1:19">
      <c r="A15" s="361"/>
      <c r="B15" s="363" t="s">
        <v>395</v>
      </c>
      <c r="C15" s="363" t="s">
        <v>97</v>
      </c>
      <c r="D15" s="363">
        <v>0</v>
      </c>
      <c r="E15" s="364">
        <v>0</v>
      </c>
      <c r="F15" s="363">
        <v>0</v>
      </c>
      <c r="G15" s="364">
        <v>0</v>
      </c>
      <c r="H15" s="363">
        <v>0</v>
      </c>
      <c r="I15" s="364">
        <v>0</v>
      </c>
      <c r="J15" s="363">
        <v>0</v>
      </c>
      <c r="K15" s="364">
        <v>0</v>
      </c>
      <c r="L15" s="363">
        <v>0</v>
      </c>
      <c r="M15" s="364">
        <v>0</v>
      </c>
      <c r="N15" s="363">
        <v>0</v>
      </c>
      <c r="O15" s="364">
        <v>0</v>
      </c>
      <c r="P15" s="363">
        <v>78</v>
      </c>
      <c r="Q15" s="364">
        <v>0.48449999999999999</v>
      </c>
      <c r="R15" s="363">
        <v>79</v>
      </c>
      <c r="S15" s="364">
        <v>0.49070000000000003</v>
      </c>
    </row>
    <row r="16" spans="1:19">
      <c r="A16" s="361"/>
      <c r="B16" s="363" t="s">
        <v>395</v>
      </c>
      <c r="C16" s="363" t="s">
        <v>118</v>
      </c>
      <c r="D16" s="363">
        <v>0</v>
      </c>
      <c r="E16" s="364">
        <v>0</v>
      </c>
      <c r="F16" s="363">
        <v>0</v>
      </c>
      <c r="G16" s="364">
        <v>0</v>
      </c>
      <c r="H16" s="363">
        <v>0</v>
      </c>
      <c r="I16" s="364">
        <v>0</v>
      </c>
      <c r="J16" s="363">
        <v>0</v>
      </c>
      <c r="K16" s="364">
        <v>0</v>
      </c>
      <c r="L16" s="363">
        <v>0</v>
      </c>
      <c r="M16" s="364">
        <v>0</v>
      </c>
      <c r="N16" s="363">
        <v>0</v>
      </c>
      <c r="O16" s="364">
        <v>0</v>
      </c>
      <c r="P16" s="363">
        <v>46</v>
      </c>
      <c r="Q16" s="364">
        <v>0.28570000000000001</v>
      </c>
      <c r="R16" s="363">
        <v>0</v>
      </c>
      <c r="S16" s="364">
        <v>0</v>
      </c>
    </row>
    <row r="17" spans="1:19">
      <c r="A17" s="361"/>
      <c r="B17" s="363" t="s">
        <v>386</v>
      </c>
      <c r="C17" s="363" t="s">
        <v>59</v>
      </c>
      <c r="D17" s="363">
        <v>18</v>
      </c>
      <c r="E17" s="364">
        <v>9.7299999999999998E-2</v>
      </c>
      <c r="F17" s="363">
        <v>48</v>
      </c>
      <c r="G17" s="364">
        <v>0.25950000000000001</v>
      </c>
      <c r="H17" s="363">
        <v>63</v>
      </c>
      <c r="I17" s="364">
        <v>0.34050000000000002</v>
      </c>
      <c r="J17" s="363">
        <v>70</v>
      </c>
      <c r="K17" s="364">
        <v>0.37840000000000001</v>
      </c>
      <c r="L17" s="363">
        <v>85</v>
      </c>
      <c r="M17" s="364">
        <v>0.45950000000000002</v>
      </c>
      <c r="N17" s="363">
        <v>87</v>
      </c>
      <c r="O17" s="364">
        <v>0.4703</v>
      </c>
      <c r="P17" s="363">
        <v>126</v>
      </c>
      <c r="Q17" s="364">
        <v>0.68110000000000004</v>
      </c>
      <c r="R17" s="363">
        <v>131</v>
      </c>
      <c r="S17" s="364">
        <v>0.70809999999999995</v>
      </c>
    </row>
    <row r="18" spans="1:19">
      <c r="A18" s="361"/>
      <c r="B18" s="363" t="s">
        <v>386</v>
      </c>
      <c r="C18" s="363" t="s">
        <v>128</v>
      </c>
      <c r="D18" s="363">
        <v>12</v>
      </c>
      <c r="E18" s="364">
        <v>6.4899999999999999E-2</v>
      </c>
      <c r="F18" s="363">
        <v>38</v>
      </c>
      <c r="G18" s="364">
        <v>0.2054</v>
      </c>
      <c r="H18" s="363">
        <v>63</v>
      </c>
      <c r="I18" s="364">
        <v>0.34050000000000002</v>
      </c>
      <c r="J18" s="363">
        <v>68</v>
      </c>
      <c r="K18" s="364">
        <v>0.36759999999999998</v>
      </c>
      <c r="L18" s="363">
        <v>74</v>
      </c>
      <c r="M18" s="364">
        <v>0.4</v>
      </c>
      <c r="N18" s="363">
        <v>73</v>
      </c>
      <c r="O18" s="364">
        <v>0.39460000000000001</v>
      </c>
      <c r="P18" s="363">
        <v>120</v>
      </c>
      <c r="Q18" s="364">
        <v>0.64859999999999995</v>
      </c>
      <c r="R18" s="363">
        <v>121</v>
      </c>
      <c r="S18" s="364">
        <v>0.65410000000000001</v>
      </c>
    </row>
    <row r="19" spans="1:19">
      <c r="A19" s="361"/>
      <c r="B19" s="363" t="s">
        <v>386</v>
      </c>
      <c r="C19" s="363" t="s">
        <v>44</v>
      </c>
      <c r="D19" s="363">
        <v>32</v>
      </c>
      <c r="E19" s="364">
        <v>0.17299999999999999</v>
      </c>
      <c r="F19" s="363">
        <v>63</v>
      </c>
      <c r="G19" s="364">
        <v>0.34050000000000002</v>
      </c>
      <c r="H19" s="363">
        <v>84</v>
      </c>
      <c r="I19" s="364">
        <v>0.4541</v>
      </c>
      <c r="J19" s="363">
        <v>84</v>
      </c>
      <c r="K19" s="364">
        <v>0.4541</v>
      </c>
      <c r="L19" s="363">
        <v>85</v>
      </c>
      <c r="M19" s="364">
        <v>0.45950000000000002</v>
      </c>
      <c r="N19" s="363">
        <v>85</v>
      </c>
      <c r="O19" s="364">
        <v>0.45950000000000002</v>
      </c>
      <c r="P19" s="363">
        <v>86</v>
      </c>
      <c r="Q19" s="364">
        <v>0.46489999999999998</v>
      </c>
      <c r="R19" s="363">
        <v>103</v>
      </c>
      <c r="S19" s="364">
        <v>0.55679999999999996</v>
      </c>
    </row>
    <row r="20" spans="1:19">
      <c r="A20" s="361"/>
      <c r="B20" s="363" t="s">
        <v>386</v>
      </c>
      <c r="C20" s="363" t="s">
        <v>114</v>
      </c>
      <c r="D20" s="363">
        <v>16</v>
      </c>
      <c r="E20" s="364">
        <v>8.6499999999999994E-2</v>
      </c>
      <c r="F20" s="363">
        <v>34</v>
      </c>
      <c r="G20" s="364">
        <v>0.18379999999999999</v>
      </c>
      <c r="H20" s="363">
        <v>42</v>
      </c>
      <c r="I20" s="364">
        <v>0.22700000000000001</v>
      </c>
      <c r="J20" s="363">
        <v>59</v>
      </c>
      <c r="K20" s="364">
        <v>0.31890000000000002</v>
      </c>
      <c r="L20" s="363">
        <v>59</v>
      </c>
      <c r="M20" s="364">
        <v>0.31890000000000002</v>
      </c>
      <c r="N20" s="363">
        <v>50</v>
      </c>
      <c r="O20" s="364">
        <v>0.27029999999999998</v>
      </c>
      <c r="P20" s="363">
        <v>43</v>
      </c>
      <c r="Q20" s="364">
        <v>0.2324</v>
      </c>
      <c r="R20" s="363">
        <v>44</v>
      </c>
      <c r="S20" s="364">
        <v>0.23780000000000001</v>
      </c>
    </row>
    <row r="21" spans="1:19">
      <c r="A21" s="361"/>
      <c r="B21" s="363" t="s">
        <v>386</v>
      </c>
      <c r="C21" s="363" t="s">
        <v>306</v>
      </c>
      <c r="D21" s="363">
        <v>0</v>
      </c>
      <c r="E21" s="364">
        <v>0</v>
      </c>
      <c r="F21" s="363">
        <v>0</v>
      </c>
      <c r="G21" s="364">
        <v>0</v>
      </c>
      <c r="H21" s="363">
        <v>0</v>
      </c>
      <c r="I21" s="364">
        <v>0</v>
      </c>
      <c r="J21" s="363">
        <v>0</v>
      </c>
      <c r="K21" s="364">
        <v>0</v>
      </c>
      <c r="L21" s="363">
        <v>0</v>
      </c>
      <c r="M21" s="364">
        <v>0</v>
      </c>
      <c r="N21" s="363">
        <v>0</v>
      </c>
      <c r="O21" s="364">
        <v>0</v>
      </c>
      <c r="P21" s="363">
        <v>113</v>
      </c>
      <c r="Q21" s="364">
        <v>0.61080000000000001</v>
      </c>
      <c r="R21" s="363">
        <v>111</v>
      </c>
      <c r="S21" s="364">
        <v>0.6</v>
      </c>
    </row>
    <row r="22" spans="1:19">
      <c r="A22" s="361"/>
      <c r="B22" s="363" t="s">
        <v>386</v>
      </c>
      <c r="C22" s="363" t="s">
        <v>97</v>
      </c>
      <c r="D22" s="363">
        <v>0</v>
      </c>
      <c r="E22" s="364">
        <v>0</v>
      </c>
      <c r="F22" s="363">
        <v>0</v>
      </c>
      <c r="G22" s="364">
        <v>0</v>
      </c>
      <c r="H22" s="363">
        <v>0</v>
      </c>
      <c r="I22" s="364">
        <v>0</v>
      </c>
      <c r="J22" s="363">
        <v>0</v>
      </c>
      <c r="K22" s="364">
        <v>0</v>
      </c>
      <c r="L22" s="363">
        <v>0</v>
      </c>
      <c r="M22" s="364">
        <v>0</v>
      </c>
      <c r="N22" s="363">
        <v>0</v>
      </c>
      <c r="O22" s="364">
        <v>0</v>
      </c>
      <c r="P22" s="363">
        <v>120</v>
      </c>
      <c r="Q22" s="364">
        <v>0.64859999999999995</v>
      </c>
      <c r="R22" s="363">
        <v>125</v>
      </c>
      <c r="S22" s="364">
        <v>0.67569999999999997</v>
      </c>
    </row>
    <row r="23" spans="1:19">
      <c r="A23" s="361"/>
      <c r="B23" s="363" t="s">
        <v>386</v>
      </c>
      <c r="C23" s="363" t="s">
        <v>118</v>
      </c>
      <c r="D23" s="363">
        <v>0</v>
      </c>
      <c r="E23" s="364">
        <v>0</v>
      </c>
      <c r="F23" s="363">
        <v>0</v>
      </c>
      <c r="G23" s="364">
        <v>0</v>
      </c>
      <c r="H23" s="363">
        <v>0</v>
      </c>
      <c r="I23" s="364">
        <v>0</v>
      </c>
      <c r="J23" s="363">
        <v>0</v>
      </c>
      <c r="K23" s="364">
        <v>0</v>
      </c>
      <c r="L23" s="363">
        <v>0</v>
      </c>
      <c r="M23" s="364">
        <v>0</v>
      </c>
      <c r="N23" s="363">
        <v>0</v>
      </c>
      <c r="O23" s="364">
        <v>0</v>
      </c>
      <c r="P23" s="363">
        <v>92</v>
      </c>
      <c r="Q23" s="364">
        <v>0.49730000000000002</v>
      </c>
      <c r="R23" s="363">
        <v>0</v>
      </c>
      <c r="S23" s="364">
        <v>0</v>
      </c>
    </row>
    <row r="24" spans="1:19">
      <c r="A24" s="361"/>
      <c r="B24" s="363" t="s">
        <v>387</v>
      </c>
      <c r="C24" s="363" t="s">
        <v>59</v>
      </c>
      <c r="D24" s="363">
        <v>1</v>
      </c>
      <c r="E24" s="364">
        <v>8.3299999999999999E-2</v>
      </c>
      <c r="F24" s="363">
        <v>0</v>
      </c>
      <c r="G24" s="364">
        <v>0</v>
      </c>
      <c r="H24" s="363">
        <v>2</v>
      </c>
      <c r="I24" s="364">
        <v>0.16669999999999999</v>
      </c>
      <c r="J24" s="363">
        <v>2</v>
      </c>
      <c r="K24" s="364">
        <v>0.16669999999999999</v>
      </c>
      <c r="L24" s="363">
        <v>3</v>
      </c>
      <c r="M24" s="364">
        <v>0.25</v>
      </c>
      <c r="N24" s="363">
        <v>7</v>
      </c>
      <c r="O24" s="364">
        <v>0.58330000000000004</v>
      </c>
      <c r="P24" s="363">
        <v>5</v>
      </c>
      <c r="Q24" s="364">
        <v>0.41670000000000001</v>
      </c>
      <c r="R24" s="363">
        <v>8</v>
      </c>
      <c r="S24" s="364">
        <v>0.66669999999999996</v>
      </c>
    </row>
    <row r="25" spans="1:19">
      <c r="A25" s="361"/>
      <c r="B25" s="363" t="s">
        <v>387</v>
      </c>
      <c r="C25" s="363" t="s">
        <v>128</v>
      </c>
      <c r="D25" s="363">
        <v>1</v>
      </c>
      <c r="E25" s="364">
        <v>8.3299999999999999E-2</v>
      </c>
      <c r="F25" s="363">
        <v>0</v>
      </c>
      <c r="G25" s="364">
        <v>0</v>
      </c>
      <c r="H25" s="363">
        <v>2</v>
      </c>
      <c r="I25" s="364">
        <v>0.16669999999999999</v>
      </c>
      <c r="J25" s="363">
        <v>2</v>
      </c>
      <c r="K25" s="364">
        <v>0.16669999999999999</v>
      </c>
      <c r="L25" s="363">
        <v>2</v>
      </c>
      <c r="M25" s="364">
        <v>0.16669999999999999</v>
      </c>
      <c r="N25" s="363">
        <v>3</v>
      </c>
      <c r="O25" s="364">
        <v>0.25</v>
      </c>
      <c r="P25" s="363">
        <v>2</v>
      </c>
      <c r="Q25" s="364">
        <v>0.16669999999999999</v>
      </c>
      <c r="R25" s="363">
        <v>3</v>
      </c>
      <c r="S25" s="364">
        <v>0.25</v>
      </c>
    </row>
    <row r="26" spans="1:19">
      <c r="A26" s="361"/>
      <c r="B26" s="363" t="s">
        <v>387</v>
      </c>
      <c r="C26" s="363" t="s">
        <v>44</v>
      </c>
      <c r="D26" s="363">
        <v>2</v>
      </c>
      <c r="E26" s="364">
        <v>0.16669999999999999</v>
      </c>
      <c r="F26" s="363">
        <v>0</v>
      </c>
      <c r="G26" s="364">
        <v>0</v>
      </c>
      <c r="H26" s="363">
        <v>3</v>
      </c>
      <c r="I26" s="364">
        <v>0.25</v>
      </c>
      <c r="J26" s="363">
        <v>3</v>
      </c>
      <c r="K26" s="364">
        <v>0.25</v>
      </c>
      <c r="L26" s="363">
        <v>5</v>
      </c>
      <c r="M26" s="364">
        <v>0.41670000000000001</v>
      </c>
      <c r="N26" s="363">
        <v>6</v>
      </c>
      <c r="O26" s="364">
        <v>0.5</v>
      </c>
      <c r="P26" s="363">
        <v>5</v>
      </c>
      <c r="Q26" s="364">
        <v>0.41670000000000001</v>
      </c>
      <c r="R26" s="363">
        <v>5</v>
      </c>
      <c r="S26" s="364">
        <v>0.41670000000000001</v>
      </c>
    </row>
    <row r="27" spans="1:19">
      <c r="A27" s="361"/>
      <c r="B27" s="363" t="s">
        <v>387</v>
      </c>
      <c r="C27" s="363" t="s">
        <v>114</v>
      </c>
      <c r="D27" s="363">
        <v>2</v>
      </c>
      <c r="E27" s="364">
        <v>0.16669999999999999</v>
      </c>
      <c r="F27" s="363">
        <v>1</v>
      </c>
      <c r="G27" s="364">
        <v>8.3299999999999999E-2</v>
      </c>
      <c r="H27" s="363">
        <v>0</v>
      </c>
      <c r="I27" s="364">
        <v>0</v>
      </c>
      <c r="J27" s="363">
        <v>1</v>
      </c>
      <c r="K27" s="364">
        <v>8.3299999999999999E-2</v>
      </c>
      <c r="L27" s="363">
        <v>1</v>
      </c>
      <c r="M27" s="364">
        <v>8.3299999999999999E-2</v>
      </c>
      <c r="N27" s="363">
        <v>4</v>
      </c>
      <c r="O27" s="364">
        <v>0.33329999999999999</v>
      </c>
      <c r="P27" s="363">
        <v>0</v>
      </c>
      <c r="Q27" s="364">
        <v>0</v>
      </c>
      <c r="R27" s="363">
        <v>0</v>
      </c>
      <c r="S27" s="364">
        <v>0</v>
      </c>
    </row>
    <row r="28" spans="1:19">
      <c r="A28" s="361"/>
      <c r="B28" s="363" t="s">
        <v>387</v>
      </c>
      <c r="C28" s="363" t="s">
        <v>306</v>
      </c>
      <c r="D28" s="363">
        <v>0</v>
      </c>
      <c r="E28" s="364">
        <v>0</v>
      </c>
      <c r="F28" s="363">
        <v>0</v>
      </c>
      <c r="G28" s="364">
        <v>0</v>
      </c>
      <c r="H28" s="363">
        <v>0</v>
      </c>
      <c r="I28" s="364">
        <v>0</v>
      </c>
      <c r="J28" s="363">
        <v>0</v>
      </c>
      <c r="K28" s="364">
        <v>0</v>
      </c>
      <c r="L28" s="363">
        <v>0</v>
      </c>
      <c r="M28" s="364">
        <v>0</v>
      </c>
      <c r="N28" s="363">
        <v>0</v>
      </c>
      <c r="O28" s="364">
        <v>0</v>
      </c>
      <c r="P28" s="363">
        <v>4</v>
      </c>
      <c r="Q28" s="364">
        <v>0.33329999999999999</v>
      </c>
      <c r="R28" s="363">
        <v>4</v>
      </c>
      <c r="S28" s="364">
        <v>0.33329999999999999</v>
      </c>
    </row>
    <row r="29" spans="1:19">
      <c r="A29" s="361"/>
      <c r="B29" s="363" t="s">
        <v>387</v>
      </c>
      <c r="C29" s="363" t="s">
        <v>97</v>
      </c>
      <c r="D29" s="363">
        <v>0</v>
      </c>
      <c r="E29" s="364">
        <v>0</v>
      </c>
      <c r="F29" s="363">
        <v>0</v>
      </c>
      <c r="G29" s="364">
        <v>0</v>
      </c>
      <c r="H29" s="363">
        <v>0</v>
      </c>
      <c r="I29" s="364">
        <v>0</v>
      </c>
      <c r="J29" s="363">
        <v>0</v>
      </c>
      <c r="K29" s="364">
        <v>0</v>
      </c>
      <c r="L29" s="363">
        <v>0</v>
      </c>
      <c r="M29" s="364">
        <v>0</v>
      </c>
      <c r="N29" s="363">
        <v>0</v>
      </c>
      <c r="O29" s="364">
        <v>0</v>
      </c>
      <c r="P29" s="363">
        <v>3</v>
      </c>
      <c r="Q29" s="364">
        <v>0.25</v>
      </c>
      <c r="R29" s="363">
        <v>4</v>
      </c>
      <c r="S29" s="364">
        <v>0.33329999999999999</v>
      </c>
    </row>
    <row r="30" spans="1:19">
      <c r="A30" s="361"/>
      <c r="B30" s="363" t="s">
        <v>387</v>
      </c>
      <c r="C30" s="363" t="s">
        <v>118</v>
      </c>
      <c r="D30" s="363">
        <v>0</v>
      </c>
      <c r="E30" s="364">
        <v>0</v>
      </c>
      <c r="F30" s="363">
        <v>0</v>
      </c>
      <c r="G30" s="364">
        <v>0</v>
      </c>
      <c r="H30" s="363">
        <v>0</v>
      </c>
      <c r="I30" s="364">
        <v>0</v>
      </c>
      <c r="J30" s="363">
        <v>0</v>
      </c>
      <c r="K30" s="364">
        <v>0</v>
      </c>
      <c r="L30" s="363">
        <v>0</v>
      </c>
      <c r="M30" s="364">
        <v>0</v>
      </c>
      <c r="N30" s="363">
        <v>0</v>
      </c>
      <c r="O30" s="364">
        <v>0</v>
      </c>
      <c r="P30" s="363">
        <v>0</v>
      </c>
      <c r="Q30" s="364">
        <v>0</v>
      </c>
      <c r="R30" s="363">
        <v>0</v>
      </c>
      <c r="S30" s="364">
        <v>0</v>
      </c>
    </row>
    <row r="31" spans="1:19">
      <c r="A31" s="361"/>
      <c r="B31" s="363" t="s">
        <v>388</v>
      </c>
      <c r="C31" s="363" t="s">
        <v>59</v>
      </c>
      <c r="D31" s="363">
        <v>0</v>
      </c>
      <c r="E31" s="364">
        <v>0</v>
      </c>
      <c r="F31" s="363">
        <v>0</v>
      </c>
      <c r="G31" s="364">
        <v>0</v>
      </c>
      <c r="H31" s="363">
        <v>0</v>
      </c>
      <c r="I31" s="364">
        <v>0</v>
      </c>
      <c r="J31" s="363">
        <v>0</v>
      </c>
      <c r="K31" s="364">
        <v>0</v>
      </c>
      <c r="L31" s="363">
        <v>0</v>
      </c>
      <c r="M31" s="364">
        <v>0</v>
      </c>
      <c r="N31" s="363">
        <v>2</v>
      </c>
      <c r="O31" s="364">
        <v>0.1333</v>
      </c>
      <c r="P31" s="363">
        <v>3</v>
      </c>
      <c r="Q31" s="364">
        <v>0.2</v>
      </c>
      <c r="R31" s="363">
        <v>4</v>
      </c>
      <c r="S31" s="364">
        <v>0.26669999999999999</v>
      </c>
    </row>
    <row r="32" spans="1:19">
      <c r="A32" s="361"/>
      <c r="B32" s="363" t="s">
        <v>388</v>
      </c>
      <c r="C32" s="363" t="s">
        <v>128</v>
      </c>
      <c r="D32" s="363">
        <v>1</v>
      </c>
      <c r="E32" s="364">
        <v>6.6699999999999995E-2</v>
      </c>
      <c r="F32" s="363">
        <v>0</v>
      </c>
      <c r="G32" s="364">
        <v>0</v>
      </c>
      <c r="H32" s="363">
        <v>0</v>
      </c>
      <c r="I32" s="364">
        <v>0</v>
      </c>
      <c r="J32" s="363">
        <v>1</v>
      </c>
      <c r="K32" s="364">
        <v>6.6699999999999995E-2</v>
      </c>
      <c r="L32" s="363">
        <v>1</v>
      </c>
      <c r="M32" s="364">
        <v>6.6699999999999995E-2</v>
      </c>
      <c r="N32" s="363">
        <v>4</v>
      </c>
      <c r="O32" s="364">
        <v>0.26669999999999999</v>
      </c>
      <c r="P32" s="363">
        <v>4</v>
      </c>
      <c r="Q32" s="364">
        <v>0.26669999999999999</v>
      </c>
      <c r="R32" s="363">
        <v>2</v>
      </c>
      <c r="S32" s="364">
        <v>0.1333</v>
      </c>
    </row>
    <row r="33" spans="1:19">
      <c r="A33" s="361"/>
      <c r="B33" s="363" t="s">
        <v>388</v>
      </c>
      <c r="C33" s="363" t="s">
        <v>44</v>
      </c>
      <c r="D33" s="363">
        <v>1</v>
      </c>
      <c r="E33" s="364">
        <v>6.6699999999999995E-2</v>
      </c>
      <c r="F33" s="363">
        <v>1</v>
      </c>
      <c r="G33" s="364">
        <v>6.6699999999999995E-2</v>
      </c>
      <c r="H33" s="363">
        <v>1</v>
      </c>
      <c r="I33" s="364">
        <v>6.6699999999999995E-2</v>
      </c>
      <c r="J33" s="363">
        <v>1</v>
      </c>
      <c r="K33" s="364">
        <v>6.6699999999999995E-2</v>
      </c>
      <c r="L33" s="363">
        <v>1</v>
      </c>
      <c r="M33" s="364">
        <v>6.6699999999999995E-2</v>
      </c>
      <c r="N33" s="363">
        <v>2</v>
      </c>
      <c r="O33" s="364">
        <v>0.1333</v>
      </c>
      <c r="P33" s="363">
        <v>4</v>
      </c>
      <c r="Q33" s="364">
        <v>0.26669999999999999</v>
      </c>
      <c r="R33" s="363">
        <v>4</v>
      </c>
      <c r="S33" s="364">
        <v>0.26669999999999999</v>
      </c>
    </row>
    <row r="34" spans="1:19">
      <c r="A34" s="361"/>
      <c r="B34" s="363" t="s">
        <v>388</v>
      </c>
      <c r="C34" s="363" t="s">
        <v>114</v>
      </c>
      <c r="D34" s="363">
        <v>1</v>
      </c>
      <c r="E34" s="364">
        <v>6.6699999999999995E-2</v>
      </c>
      <c r="F34" s="363">
        <v>1</v>
      </c>
      <c r="G34" s="364">
        <v>6.6699999999999995E-2</v>
      </c>
      <c r="H34" s="363">
        <v>0</v>
      </c>
      <c r="I34" s="364">
        <v>0</v>
      </c>
      <c r="J34" s="363">
        <v>1</v>
      </c>
      <c r="K34" s="364">
        <v>6.6699999999999995E-2</v>
      </c>
      <c r="L34" s="363">
        <v>0</v>
      </c>
      <c r="M34" s="364">
        <v>0</v>
      </c>
      <c r="N34" s="363">
        <v>0</v>
      </c>
      <c r="O34" s="364">
        <v>0</v>
      </c>
      <c r="P34" s="363">
        <v>1</v>
      </c>
      <c r="Q34" s="364">
        <v>6.6699999999999995E-2</v>
      </c>
      <c r="R34" s="363">
        <v>1</v>
      </c>
      <c r="S34" s="364">
        <v>6.6699999999999995E-2</v>
      </c>
    </row>
    <row r="35" spans="1:19">
      <c r="A35" s="361"/>
      <c r="B35" s="363" t="s">
        <v>388</v>
      </c>
      <c r="C35" s="363" t="s">
        <v>306</v>
      </c>
      <c r="D35" s="363">
        <v>0</v>
      </c>
      <c r="E35" s="364">
        <v>0</v>
      </c>
      <c r="F35" s="363">
        <v>0</v>
      </c>
      <c r="G35" s="364">
        <v>0</v>
      </c>
      <c r="H35" s="363">
        <v>0</v>
      </c>
      <c r="I35" s="364">
        <v>0</v>
      </c>
      <c r="J35" s="363">
        <v>0</v>
      </c>
      <c r="K35" s="364">
        <v>0</v>
      </c>
      <c r="L35" s="363">
        <v>0</v>
      </c>
      <c r="M35" s="364">
        <v>0</v>
      </c>
      <c r="N35" s="363">
        <v>0</v>
      </c>
      <c r="O35" s="364">
        <v>0</v>
      </c>
      <c r="P35" s="363">
        <v>8</v>
      </c>
      <c r="Q35" s="364">
        <v>0.5333</v>
      </c>
      <c r="R35" s="363">
        <v>6</v>
      </c>
      <c r="S35" s="364">
        <v>0.4</v>
      </c>
    </row>
    <row r="36" spans="1:19">
      <c r="A36" s="361"/>
      <c r="B36" s="363" t="s">
        <v>388</v>
      </c>
      <c r="C36" s="363" t="s">
        <v>97</v>
      </c>
      <c r="D36" s="363">
        <v>0</v>
      </c>
      <c r="E36" s="364">
        <v>0</v>
      </c>
      <c r="F36" s="363">
        <v>0</v>
      </c>
      <c r="G36" s="364">
        <v>0</v>
      </c>
      <c r="H36" s="363">
        <v>0</v>
      </c>
      <c r="I36" s="364">
        <v>0</v>
      </c>
      <c r="J36" s="363">
        <v>0</v>
      </c>
      <c r="K36" s="364">
        <v>0</v>
      </c>
      <c r="L36" s="363">
        <v>0</v>
      </c>
      <c r="M36" s="364">
        <v>0</v>
      </c>
      <c r="N36" s="363">
        <v>0</v>
      </c>
      <c r="O36" s="364">
        <v>0</v>
      </c>
      <c r="P36" s="363">
        <v>2</v>
      </c>
      <c r="Q36" s="364">
        <v>0.1333</v>
      </c>
      <c r="R36" s="363">
        <v>3</v>
      </c>
      <c r="S36" s="364">
        <v>0.2</v>
      </c>
    </row>
    <row r="37" spans="1:19">
      <c r="A37" s="361"/>
      <c r="B37" s="363" t="s">
        <v>388</v>
      </c>
      <c r="C37" s="363" t="s">
        <v>118</v>
      </c>
      <c r="D37" s="363">
        <v>0</v>
      </c>
      <c r="E37" s="364">
        <v>0</v>
      </c>
      <c r="F37" s="363">
        <v>0</v>
      </c>
      <c r="G37" s="364">
        <v>0</v>
      </c>
      <c r="H37" s="363">
        <v>0</v>
      </c>
      <c r="I37" s="364">
        <v>0</v>
      </c>
      <c r="J37" s="363">
        <v>0</v>
      </c>
      <c r="K37" s="364">
        <v>0</v>
      </c>
      <c r="L37" s="363">
        <v>0</v>
      </c>
      <c r="M37" s="364">
        <v>0</v>
      </c>
      <c r="N37" s="363">
        <v>0</v>
      </c>
      <c r="O37" s="364">
        <v>0</v>
      </c>
      <c r="P37" s="363">
        <v>2</v>
      </c>
      <c r="Q37" s="364">
        <v>0.1333</v>
      </c>
      <c r="R37" s="363">
        <v>0</v>
      </c>
      <c r="S37" s="364">
        <v>0</v>
      </c>
    </row>
    <row r="38" spans="1:19">
      <c r="A38" s="361"/>
      <c r="B38" s="363" t="s">
        <v>394</v>
      </c>
      <c r="C38" s="363" t="s">
        <v>59</v>
      </c>
      <c r="D38" s="363">
        <v>0</v>
      </c>
      <c r="E38" s="364">
        <v>0</v>
      </c>
      <c r="F38" s="363">
        <v>0</v>
      </c>
      <c r="G38" s="364">
        <v>0</v>
      </c>
      <c r="H38" s="363">
        <v>0</v>
      </c>
      <c r="I38" s="364">
        <v>0</v>
      </c>
      <c r="J38" s="363">
        <v>0</v>
      </c>
      <c r="K38" s="364">
        <v>0</v>
      </c>
      <c r="L38" s="363">
        <v>0</v>
      </c>
      <c r="M38" s="364">
        <v>0</v>
      </c>
      <c r="N38" s="363">
        <v>2</v>
      </c>
      <c r="O38" s="364">
        <v>5.2600000000000001E-2</v>
      </c>
      <c r="P38" s="363">
        <v>0</v>
      </c>
      <c r="Q38" s="364">
        <v>0</v>
      </c>
      <c r="R38" s="363">
        <v>27</v>
      </c>
      <c r="S38" s="364">
        <v>0.71050000000000002</v>
      </c>
    </row>
    <row r="39" spans="1:19">
      <c r="A39" s="361"/>
      <c r="B39" s="363" t="s">
        <v>394</v>
      </c>
      <c r="C39" s="363" t="s">
        <v>128</v>
      </c>
      <c r="D39" s="363">
        <v>0</v>
      </c>
      <c r="E39" s="364">
        <v>0</v>
      </c>
      <c r="F39" s="363">
        <v>0</v>
      </c>
      <c r="G39" s="364">
        <v>0</v>
      </c>
      <c r="H39" s="363">
        <v>0</v>
      </c>
      <c r="I39" s="364">
        <v>0</v>
      </c>
      <c r="J39" s="363">
        <v>0</v>
      </c>
      <c r="K39" s="364">
        <v>0</v>
      </c>
      <c r="L39" s="363">
        <v>0</v>
      </c>
      <c r="M39" s="364">
        <v>0</v>
      </c>
      <c r="N39" s="363">
        <v>2</v>
      </c>
      <c r="O39" s="364">
        <v>5.2600000000000001E-2</v>
      </c>
      <c r="P39" s="363">
        <v>0</v>
      </c>
      <c r="Q39" s="364">
        <v>0</v>
      </c>
      <c r="R39" s="363">
        <v>31</v>
      </c>
      <c r="S39" s="364">
        <v>0.81579999999999997</v>
      </c>
    </row>
    <row r="40" spans="1:19">
      <c r="A40" s="361"/>
      <c r="B40" s="363" t="s">
        <v>394</v>
      </c>
      <c r="C40" s="363" t="s">
        <v>44</v>
      </c>
      <c r="D40" s="363">
        <v>0</v>
      </c>
      <c r="E40" s="364">
        <v>0</v>
      </c>
      <c r="F40" s="363">
        <v>0</v>
      </c>
      <c r="G40" s="364">
        <v>0</v>
      </c>
      <c r="H40" s="363">
        <v>0</v>
      </c>
      <c r="I40" s="364">
        <v>0</v>
      </c>
      <c r="J40" s="363">
        <v>0</v>
      </c>
      <c r="K40" s="364">
        <v>0</v>
      </c>
      <c r="L40" s="363">
        <v>0</v>
      </c>
      <c r="M40" s="364">
        <v>0</v>
      </c>
      <c r="N40" s="363">
        <v>2</v>
      </c>
      <c r="O40" s="364">
        <v>5.2600000000000001E-2</v>
      </c>
      <c r="P40" s="363">
        <v>1</v>
      </c>
      <c r="Q40" s="364">
        <v>2.63E-2</v>
      </c>
      <c r="R40" s="363">
        <v>32</v>
      </c>
      <c r="S40" s="364">
        <v>0.84209999999999996</v>
      </c>
    </row>
    <row r="41" spans="1:19">
      <c r="A41" s="361"/>
      <c r="B41" s="363" t="s">
        <v>394</v>
      </c>
      <c r="C41" s="363" t="s">
        <v>114</v>
      </c>
      <c r="D41" s="363">
        <v>0</v>
      </c>
      <c r="E41" s="364">
        <v>0</v>
      </c>
      <c r="F41" s="363">
        <v>0</v>
      </c>
      <c r="G41" s="364">
        <v>0</v>
      </c>
      <c r="H41" s="363">
        <v>0</v>
      </c>
      <c r="I41" s="364">
        <v>0</v>
      </c>
      <c r="J41" s="363">
        <v>0</v>
      </c>
      <c r="K41" s="364">
        <v>0</v>
      </c>
      <c r="L41" s="363">
        <v>0</v>
      </c>
      <c r="M41" s="364">
        <v>0</v>
      </c>
      <c r="N41" s="363">
        <v>0</v>
      </c>
      <c r="O41" s="364">
        <v>0</v>
      </c>
      <c r="P41" s="363">
        <v>0</v>
      </c>
      <c r="Q41" s="364">
        <v>0</v>
      </c>
      <c r="R41" s="363">
        <v>31</v>
      </c>
      <c r="S41" s="364">
        <v>0.81579999999999997</v>
      </c>
    </row>
    <row r="42" spans="1:19">
      <c r="A42" s="361"/>
      <c r="B42" s="363" t="s">
        <v>394</v>
      </c>
      <c r="C42" s="363" t="s">
        <v>306</v>
      </c>
      <c r="D42" s="363">
        <v>0</v>
      </c>
      <c r="E42" s="364">
        <v>0</v>
      </c>
      <c r="F42" s="363">
        <v>0</v>
      </c>
      <c r="G42" s="364">
        <v>0</v>
      </c>
      <c r="H42" s="363">
        <v>0</v>
      </c>
      <c r="I42" s="364">
        <v>0</v>
      </c>
      <c r="J42" s="363">
        <v>0</v>
      </c>
      <c r="K42" s="364">
        <v>0</v>
      </c>
      <c r="L42" s="363">
        <v>0</v>
      </c>
      <c r="M42" s="364">
        <v>0</v>
      </c>
      <c r="N42" s="363">
        <v>0</v>
      </c>
      <c r="O42" s="364">
        <v>0</v>
      </c>
      <c r="P42" s="363">
        <v>5</v>
      </c>
      <c r="Q42" s="364">
        <v>0.13159999999999999</v>
      </c>
      <c r="R42" s="363">
        <v>31</v>
      </c>
      <c r="S42" s="364">
        <v>0.81579999999999997</v>
      </c>
    </row>
    <row r="43" spans="1:19">
      <c r="A43" s="361"/>
      <c r="B43" s="363" t="s">
        <v>394</v>
      </c>
      <c r="C43" s="363" t="s">
        <v>97</v>
      </c>
      <c r="D43" s="363">
        <v>0</v>
      </c>
      <c r="E43" s="364">
        <v>0</v>
      </c>
      <c r="F43" s="363">
        <v>0</v>
      </c>
      <c r="G43" s="364">
        <v>0</v>
      </c>
      <c r="H43" s="363">
        <v>0</v>
      </c>
      <c r="I43" s="364">
        <v>0</v>
      </c>
      <c r="J43" s="363">
        <v>0</v>
      </c>
      <c r="K43" s="364">
        <v>0</v>
      </c>
      <c r="L43" s="363">
        <v>0</v>
      </c>
      <c r="M43" s="364">
        <v>0</v>
      </c>
      <c r="N43" s="363">
        <v>0</v>
      </c>
      <c r="O43" s="364">
        <v>0</v>
      </c>
      <c r="P43" s="363">
        <v>1</v>
      </c>
      <c r="Q43" s="364">
        <v>2.63E-2</v>
      </c>
      <c r="R43" s="363">
        <v>27</v>
      </c>
      <c r="S43" s="364">
        <v>0.71050000000000002</v>
      </c>
    </row>
    <row r="44" spans="1:19">
      <c r="A44" s="361"/>
      <c r="B44" s="363" t="s">
        <v>394</v>
      </c>
      <c r="C44" s="363" t="s">
        <v>118</v>
      </c>
      <c r="D44" s="363">
        <v>0</v>
      </c>
      <c r="E44" s="364">
        <v>0</v>
      </c>
      <c r="F44" s="363">
        <v>0</v>
      </c>
      <c r="G44" s="364">
        <v>0</v>
      </c>
      <c r="H44" s="363">
        <v>0</v>
      </c>
      <c r="I44" s="364">
        <v>0</v>
      </c>
      <c r="J44" s="363">
        <v>0</v>
      </c>
      <c r="K44" s="364">
        <v>0</v>
      </c>
      <c r="L44" s="363">
        <v>0</v>
      </c>
      <c r="M44" s="364">
        <v>0</v>
      </c>
      <c r="N44" s="363">
        <v>0</v>
      </c>
      <c r="O44" s="364">
        <v>0</v>
      </c>
      <c r="P44" s="363">
        <v>1</v>
      </c>
      <c r="Q44" s="364">
        <v>2.63E-2</v>
      </c>
      <c r="R44" s="363">
        <v>0</v>
      </c>
      <c r="S44" s="364">
        <v>0</v>
      </c>
    </row>
    <row r="45" spans="1:19">
      <c r="A45" s="361"/>
      <c r="B45" s="363" t="s">
        <v>389</v>
      </c>
      <c r="C45" s="363" t="s">
        <v>59</v>
      </c>
      <c r="D45" s="363">
        <v>0</v>
      </c>
      <c r="E45" s="364">
        <v>0</v>
      </c>
      <c r="F45" s="363">
        <v>0</v>
      </c>
      <c r="G45" s="364">
        <v>0</v>
      </c>
      <c r="H45" s="363">
        <v>1</v>
      </c>
      <c r="I45" s="364">
        <v>2.1700000000000001E-2</v>
      </c>
      <c r="J45" s="363">
        <v>1</v>
      </c>
      <c r="K45" s="364">
        <v>2.1700000000000001E-2</v>
      </c>
      <c r="L45" s="363">
        <v>2</v>
      </c>
      <c r="M45" s="364">
        <v>4.3499999999999997E-2</v>
      </c>
      <c r="N45" s="363">
        <v>3</v>
      </c>
      <c r="O45" s="364">
        <v>6.5199999999999994E-2</v>
      </c>
      <c r="P45" s="363">
        <v>8</v>
      </c>
      <c r="Q45" s="364">
        <v>0.1739</v>
      </c>
      <c r="R45" s="363">
        <v>37</v>
      </c>
      <c r="S45" s="364">
        <v>0.80430000000000001</v>
      </c>
    </row>
    <row r="46" spans="1:19">
      <c r="A46" s="361"/>
      <c r="B46" s="363" t="s">
        <v>389</v>
      </c>
      <c r="C46" s="363" t="s">
        <v>128</v>
      </c>
      <c r="D46" s="363">
        <v>0</v>
      </c>
      <c r="E46" s="364">
        <v>0</v>
      </c>
      <c r="F46" s="363">
        <v>0</v>
      </c>
      <c r="G46" s="364">
        <v>0</v>
      </c>
      <c r="H46" s="363">
        <v>1</v>
      </c>
      <c r="I46" s="364">
        <v>2.1700000000000001E-2</v>
      </c>
      <c r="J46" s="363">
        <v>1</v>
      </c>
      <c r="K46" s="364">
        <v>2.1700000000000001E-2</v>
      </c>
      <c r="L46" s="363">
        <v>1</v>
      </c>
      <c r="M46" s="364">
        <v>2.1700000000000001E-2</v>
      </c>
      <c r="N46" s="363">
        <v>1</v>
      </c>
      <c r="O46" s="364">
        <v>2.1700000000000001E-2</v>
      </c>
      <c r="P46" s="363">
        <v>6</v>
      </c>
      <c r="Q46" s="364">
        <v>0.13039999999999999</v>
      </c>
      <c r="R46" s="363">
        <v>40</v>
      </c>
      <c r="S46" s="364">
        <v>0.86960000000000004</v>
      </c>
    </row>
    <row r="47" spans="1:19">
      <c r="A47" s="361"/>
      <c r="B47" s="363" t="s">
        <v>389</v>
      </c>
      <c r="C47" s="363" t="s">
        <v>44</v>
      </c>
      <c r="D47" s="363">
        <v>0</v>
      </c>
      <c r="E47" s="364">
        <v>0</v>
      </c>
      <c r="F47" s="363">
        <v>1</v>
      </c>
      <c r="G47" s="364">
        <v>2.1700000000000001E-2</v>
      </c>
      <c r="H47" s="363">
        <v>2</v>
      </c>
      <c r="I47" s="364">
        <v>4.3499999999999997E-2</v>
      </c>
      <c r="J47" s="363">
        <v>2</v>
      </c>
      <c r="K47" s="364">
        <v>4.3499999999999997E-2</v>
      </c>
      <c r="L47" s="363">
        <v>2</v>
      </c>
      <c r="M47" s="364">
        <v>4.3499999999999997E-2</v>
      </c>
      <c r="N47" s="363">
        <v>3</v>
      </c>
      <c r="O47" s="364">
        <v>6.5199999999999994E-2</v>
      </c>
      <c r="P47" s="363">
        <v>5</v>
      </c>
      <c r="Q47" s="364">
        <v>0.1087</v>
      </c>
      <c r="R47" s="363">
        <v>42</v>
      </c>
      <c r="S47" s="364">
        <v>0.91300000000000003</v>
      </c>
    </row>
    <row r="48" spans="1:19">
      <c r="A48" s="361"/>
      <c r="B48" s="363" t="s">
        <v>389</v>
      </c>
      <c r="C48" s="363" t="s">
        <v>114</v>
      </c>
      <c r="D48" s="363">
        <v>0</v>
      </c>
      <c r="E48" s="364">
        <v>0</v>
      </c>
      <c r="F48" s="363">
        <v>0</v>
      </c>
      <c r="G48" s="364">
        <v>0</v>
      </c>
      <c r="H48" s="363">
        <v>1</v>
      </c>
      <c r="I48" s="364">
        <v>2.1700000000000001E-2</v>
      </c>
      <c r="J48" s="363">
        <v>1</v>
      </c>
      <c r="K48" s="364">
        <v>2.1700000000000001E-2</v>
      </c>
      <c r="L48" s="363">
        <v>0</v>
      </c>
      <c r="M48" s="364">
        <v>0</v>
      </c>
      <c r="N48" s="363">
        <v>1</v>
      </c>
      <c r="O48" s="364">
        <v>2.1700000000000001E-2</v>
      </c>
      <c r="P48" s="363">
        <v>5</v>
      </c>
      <c r="Q48" s="364">
        <v>0.1087</v>
      </c>
      <c r="R48" s="363">
        <v>38</v>
      </c>
      <c r="S48" s="364">
        <v>0.82609999999999995</v>
      </c>
    </row>
    <row r="49" spans="1:19">
      <c r="A49" s="361"/>
      <c r="B49" s="363" t="s">
        <v>389</v>
      </c>
      <c r="C49" s="363" t="s">
        <v>306</v>
      </c>
      <c r="D49" s="363">
        <v>0</v>
      </c>
      <c r="E49" s="364">
        <v>0</v>
      </c>
      <c r="F49" s="363">
        <v>0</v>
      </c>
      <c r="G49" s="364">
        <v>0</v>
      </c>
      <c r="H49" s="363">
        <v>0</v>
      </c>
      <c r="I49" s="364">
        <v>0</v>
      </c>
      <c r="J49" s="363">
        <v>0</v>
      </c>
      <c r="K49" s="364">
        <v>0</v>
      </c>
      <c r="L49" s="363">
        <v>0</v>
      </c>
      <c r="M49" s="364">
        <v>0</v>
      </c>
      <c r="N49" s="363">
        <v>0</v>
      </c>
      <c r="O49" s="364">
        <v>0</v>
      </c>
      <c r="P49" s="363">
        <v>8</v>
      </c>
      <c r="Q49" s="364">
        <v>0.1739</v>
      </c>
      <c r="R49" s="363">
        <v>35</v>
      </c>
      <c r="S49" s="364">
        <v>0.76090000000000002</v>
      </c>
    </row>
    <row r="50" spans="1:19">
      <c r="A50" s="361"/>
      <c r="B50" s="363" t="s">
        <v>389</v>
      </c>
      <c r="C50" s="363" t="s">
        <v>97</v>
      </c>
      <c r="D50" s="363">
        <v>0</v>
      </c>
      <c r="E50" s="364">
        <v>0</v>
      </c>
      <c r="F50" s="363">
        <v>0</v>
      </c>
      <c r="G50" s="364">
        <v>0</v>
      </c>
      <c r="H50" s="363">
        <v>0</v>
      </c>
      <c r="I50" s="364">
        <v>0</v>
      </c>
      <c r="J50" s="363">
        <v>0</v>
      </c>
      <c r="K50" s="364">
        <v>0</v>
      </c>
      <c r="L50" s="363">
        <v>0</v>
      </c>
      <c r="M50" s="364">
        <v>0</v>
      </c>
      <c r="N50" s="363">
        <v>0</v>
      </c>
      <c r="O50" s="364">
        <v>0</v>
      </c>
      <c r="P50" s="363">
        <v>6</v>
      </c>
      <c r="Q50" s="364">
        <v>0.13039999999999999</v>
      </c>
      <c r="R50" s="363">
        <v>36</v>
      </c>
      <c r="S50" s="364">
        <v>0.78259999999999996</v>
      </c>
    </row>
    <row r="51" spans="1:19">
      <c r="A51" s="361"/>
      <c r="B51" s="363" t="s">
        <v>389</v>
      </c>
      <c r="C51" s="363" t="s">
        <v>118</v>
      </c>
      <c r="D51" s="363">
        <v>0</v>
      </c>
      <c r="E51" s="364">
        <v>0</v>
      </c>
      <c r="F51" s="363">
        <v>0</v>
      </c>
      <c r="G51" s="364">
        <v>0</v>
      </c>
      <c r="H51" s="363">
        <v>0</v>
      </c>
      <c r="I51" s="364">
        <v>0</v>
      </c>
      <c r="J51" s="363">
        <v>0</v>
      </c>
      <c r="K51" s="364">
        <v>0</v>
      </c>
      <c r="L51" s="363">
        <v>0</v>
      </c>
      <c r="M51" s="364">
        <v>0</v>
      </c>
      <c r="N51" s="363">
        <v>0</v>
      </c>
      <c r="O51" s="364">
        <v>0</v>
      </c>
      <c r="P51" s="363">
        <v>6</v>
      </c>
      <c r="Q51" s="364">
        <v>0.13039999999999999</v>
      </c>
      <c r="R51" s="363">
        <v>0</v>
      </c>
      <c r="S51" s="364">
        <v>0</v>
      </c>
    </row>
    <row r="52" spans="1:19">
      <c r="A52" s="361"/>
      <c r="B52" s="363" t="s">
        <v>393</v>
      </c>
      <c r="C52" s="363" t="s">
        <v>59</v>
      </c>
      <c r="D52" s="363">
        <v>0</v>
      </c>
      <c r="E52" s="364">
        <v>0</v>
      </c>
      <c r="F52" s="363">
        <v>0</v>
      </c>
      <c r="G52" s="364">
        <v>0</v>
      </c>
      <c r="H52" s="363">
        <v>0</v>
      </c>
      <c r="I52" s="364">
        <v>0</v>
      </c>
      <c r="J52" s="363">
        <v>0</v>
      </c>
      <c r="K52" s="364">
        <v>0</v>
      </c>
      <c r="L52" s="363">
        <v>0</v>
      </c>
      <c r="M52" s="364">
        <v>0</v>
      </c>
      <c r="N52" s="363">
        <v>1</v>
      </c>
      <c r="O52" s="364">
        <v>0.1429</v>
      </c>
      <c r="P52" s="363">
        <v>1</v>
      </c>
      <c r="Q52" s="364">
        <v>0.1429</v>
      </c>
      <c r="R52" s="363">
        <v>1</v>
      </c>
      <c r="S52" s="364">
        <v>0.1429</v>
      </c>
    </row>
    <row r="53" spans="1:19">
      <c r="A53" s="361"/>
      <c r="B53" s="363" t="s">
        <v>393</v>
      </c>
      <c r="C53" s="363" t="s">
        <v>128</v>
      </c>
      <c r="D53" s="363">
        <v>0</v>
      </c>
      <c r="E53" s="364">
        <v>0</v>
      </c>
      <c r="F53" s="363">
        <v>0</v>
      </c>
      <c r="G53" s="364">
        <v>0</v>
      </c>
      <c r="H53" s="363">
        <v>0</v>
      </c>
      <c r="I53" s="364">
        <v>0</v>
      </c>
      <c r="J53" s="363">
        <v>0</v>
      </c>
      <c r="K53" s="364">
        <v>0</v>
      </c>
      <c r="L53" s="363">
        <v>0</v>
      </c>
      <c r="M53" s="364">
        <v>0</v>
      </c>
      <c r="N53" s="363">
        <v>1</v>
      </c>
      <c r="O53" s="364">
        <v>0.1429</v>
      </c>
      <c r="P53" s="363">
        <v>1</v>
      </c>
      <c r="Q53" s="364">
        <v>0.1429</v>
      </c>
      <c r="R53" s="363">
        <v>1</v>
      </c>
      <c r="S53" s="364">
        <v>0.1429</v>
      </c>
    </row>
    <row r="54" spans="1:19">
      <c r="A54" s="361"/>
      <c r="B54" s="363" t="s">
        <v>393</v>
      </c>
      <c r="C54" s="363" t="s">
        <v>44</v>
      </c>
      <c r="D54" s="363">
        <v>0</v>
      </c>
      <c r="E54" s="364">
        <v>0</v>
      </c>
      <c r="F54" s="363">
        <v>0</v>
      </c>
      <c r="G54" s="364">
        <v>0</v>
      </c>
      <c r="H54" s="363">
        <v>0</v>
      </c>
      <c r="I54" s="364">
        <v>0</v>
      </c>
      <c r="J54" s="363">
        <v>0</v>
      </c>
      <c r="K54" s="364">
        <v>0</v>
      </c>
      <c r="L54" s="363">
        <v>0</v>
      </c>
      <c r="M54" s="364">
        <v>0</v>
      </c>
      <c r="N54" s="363">
        <v>1</v>
      </c>
      <c r="O54" s="364">
        <v>0.1429</v>
      </c>
      <c r="P54" s="363">
        <v>0</v>
      </c>
      <c r="Q54" s="364">
        <v>0</v>
      </c>
      <c r="R54" s="363">
        <v>1</v>
      </c>
      <c r="S54" s="364">
        <v>0.1429</v>
      </c>
    </row>
    <row r="55" spans="1:19">
      <c r="A55" s="361"/>
      <c r="B55" s="363" t="s">
        <v>393</v>
      </c>
      <c r="C55" s="363" t="s">
        <v>114</v>
      </c>
      <c r="D55" s="363">
        <v>0</v>
      </c>
      <c r="E55" s="364">
        <v>0</v>
      </c>
      <c r="F55" s="363">
        <v>0</v>
      </c>
      <c r="G55" s="364">
        <v>0</v>
      </c>
      <c r="H55" s="363">
        <v>0</v>
      </c>
      <c r="I55" s="364">
        <v>0</v>
      </c>
      <c r="J55" s="363">
        <v>0</v>
      </c>
      <c r="K55" s="364">
        <v>0</v>
      </c>
      <c r="L55" s="363">
        <v>0</v>
      </c>
      <c r="M55" s="364">
        <v>0</v>
      </c>
      <c r="N55" s="363">
        <v>0</v>
      </c>
      <c r="O55" s="364">
        <v>0</v>
      </c>
      <c r="P55" s="363">
        <v>2</v>
      </c>
      <c r="Q55" s="364">
        <v>0.28570000000000001</v>
      </c>
      <c r="R55" s="363">
        <v>2</v>
      </c>
      <c r="S55" s="364">
        <v>0.28570000000000001</v>
      </c>
    </row>
    <row r="56" spans="1:19">
      <c r="A56" s="361"/>
      <c r="B56" s="363" t="s">
        <v>393</v>
      </c>
      <c r="C56" s="363" t="s">
        <v>306</v>
      </c>
      <c r="D56" s="363">
        <v>0</v>
      </c>
      <c r="E56" s="364">
        <v>0</v>
      </c>
      <c r="F56" s="363">
        <v>0</v>
      </c>
      <c r="G56" s="364">
        <v>0</v>
      </c>
      <c r="H56" s="363">
        <v>0</v>
      </c>
      <c r="I56" s="364">
        <v>0</v>
      </c>
      <c r="J56" s="363">
        <v>0</v>
      </c>
      <c r="K56" s="364">
        <v>0</v>
      </c>
      <c r="L56" s="363">
        <v>0</v>
      </c>
      <c r="M56" s="364">
        <v>0</v>
      </c>
      <c r="N56" s="363">
        <v>0</v>
      </c>
      <c r="O56" s="364">
        <v>0</v>
      </c>
      <c r="P56" s="363">
        <v>1</v>
      </c>
      <c r="Q56" s="364">
        <v>0.1429</v>
      </c>
      <c r="R56" s="363">
        <v>2</v>
      </c>
      <c r="S56" s="364">
        <v>0.28570000000000001</v>
      </c>
    </row>
    <row r="57" spans="1:19">
      <c r="A57" s="361"/>
      <c r="B57" s="363" t="s">
        <v>393</v>
      </c>
      <c r="C57" s="363" t="s">
        <v>97</v>
      </c>
      <c r="D57" s="363">
        <v>0</v>
      </c>
      <c r="E57" s="364">
        <v>0</v>
      </c>
      <c r="F57" s="363">
        <v>0</v>
      </c>
      <c r="G57" s="364">
        <v>0</v>
      </c>
      <c r="H57" s="363">
        <v>0</v>
      </c>
      <c r="I57" s="364">
        <v>0</v>
      </c>
      <c r="J57" s="363">
        <v>0</v>
      </c>
      <c r="K57" s="364">
        <v>0</v>
      </c>
      <c r="L57" s="363">
        <v>0</v>
      </c>
      <c r="M57" s="364">
        <v>0</v>
      </c>
      <c r="N57" s="363">
        <v>0</v>
      </c>
      <c r="O57" s="364">
        <v>0</v>
      </c>
      <c r="P57" s="363">
        <v>0</v>
      </c>
      <c r="Q57" s="364">
        <v>0</v>
      </c>
      <c r="R57" s="363">
        <v>1</v>
      </c>
      <c r="S57" s="364">
        <v>0.1429</v>
      </c>
    </row>
    <row r="58" spans="1:19">
      <c r="A58" s="361"/>
      <c r="B58" s="363" t="s">
        <v>393</v>
      </c>
      <c r="C58" s="363" t="s">
        <v>118</v>
      </c>
      <c r="D58" s="363">
        <v>0</v>
      </c>
      <c r="E58" s="364">
        <v>0</v>
      </c>
      <c r="F58" s="363">
        <v>0</v>
      </c>
      <c r="G58" s="364">
        <v>0</v>
      </c>
      <c r="H58" s="363">
        <v>0</v>
      </c>
      <c r="I58" s="364">
        <v>0</v>
      </c>
      <c r="J58" s="363">
        <v>0</v>
      </c>
      <c r="K58" s="364">
        <v>0</v>
      </c>
      <c r="L58" s="363">
        <v>0</v>
      </c>
      <c r="M58" s="364">
        <v>0</v>
      </c>
      <c r="N58" s="363">
        <v>0</v>
      </c>
      <c r="O58" s="364">
        <v>0</v>
      </c>
      <c r="P58" s="363">
        <v>1</v>
      </c>
      <c r="Q58" s="364">
        <v>0.1429</v>
      </c>
      <c r="R58" s="363">
        <v>0</v>
      </c>
      <c r="S58" s="364">
        <v>0</v>
      </c>
    </row>
    <row r="59" spans="1:19">
      <c r="A59" s="361"/>
      <c r="B59" s="363" t="s">
        <v>390</v>
      </c>
      <c r="C59" s="363" t="s">
        <v>59</v>
      </c>
      <c r="D59" s="363">
        <v>0</v>
      </c>
      <c r="E59" s="364">
        <v>0</v>
      </c>
      <c r="F59" s="363">
        <v>0</v>
      </c>
      <c r="G59" s="364">
        <v>0</v>
      </c>
      <c r="H59" s="363">
        <v>0</v>
      </c>
      <c r="I59" s="364">
        <v>0</v>
      </c>
      <c r="J59" s="363">
        <v>0</v>
      </c>
      <c r="K59" s="364">
        <v>0</v>
      </c>
      <c r="L59" s="363">
        <v>0</v>
      </c>
      <c r="M59" s="364">
        <v>0</v>
      </c>
      <c r="N59" s="363">
        <v>0</v>
      </c>
      <c r="O59" s="364">
        <v>0</v>
      </c>
      <c r="P59" s="363">
        <v>16</v>
      </c>
      <c r="Q59" s="364">
        <v>0.8</v>
      </c>
      <c r="R59" s="363">
        <v>20</v>
      </c>
      <c r="S59" s="364">
        <v>1</v>
      </c>
    </row>
    <row r="60" spans="1:19">
      <c r="A60" s="361"/>
      <c r="B60" s="363" t="s">
        <v>390</v>
      </c>
      <c r="C60" s="363" t="s">
        <v>128</v>
      </c>
      <c r="D60" s="363">
        <v>0</v>
      </c>
      <c r="E60" s="364">
        <v>0</v>
      </c>
      <c r="F60" s="363">
        <v>0</v>
      </c>
      <c r="G60" s="364">
        <v>0</v>
      </c>
      <c r="H60" s="363">
        <v>0</v>
      </c>
      <c r="I60" s="364">
        <v>0</v>
      </c>
      <c r="J60" s="363">
        <v>0</v>
      </c>
      <c r="K60" s="364">
        <v>0</v>
      </c>
      <c r="L60" s="363">
        <v>0</v>
      </c>
      <c r="M60" s="364">
        <v>0</v>
      </c>
      <c r="N60" s="363">
        <v>0</v>
      </c>
      <c r="O60" s="364">
        <v>0</v>
      </c>
      <c r="P60" s="363">
        <v>15</v>
      </c>
      <c r="Q60" s="364">
        <v>0.75</v>
      </c>
      <c r="R60" s="363">
        <v>20</v>
      </c>
      <c r="S60" s="364">
        <v>1</v>
      </c>
    </row>
    <row r="61" spans="1:19">
      <c r="A61" s="361"/>
      <c r="B61" s="363" t="s">
        <v>390</v>
      </c>
      <c r="C61" s="363" t="s">
        <v>44</v>
      </c>
      <c r="D61" s="363">
        <v>0</v>
      </c>
      <c r="E61" s="364">
        <v>0</v>
      </c>
      <c r="F61" s="363">
        <v>0</v>
      </c>
      <c r="G61" s="364">
        <v>0</v>
      </c>
      <c r="H61" s="363">
        <v>0</v>
      </c>
      <c r="I61" s="364">
        <v>0</v>
      </c>
      <c r="J61" s="363">
        <v>0</v>
      </c>
      <c r="K61" s="364">
        <v>0</v>
      </c>
      <c r="L61" s="363">
        <v>0</v>
      </c>
      <c r="M61" s="364">
        <v>0</v>
      </c>
      <c r="N61" s="363">
        <v>0</v>
      </c>
      <c r="O61" s="364">
        <v>0</v>
      </c>
      <c r="P61" s="363">
        <v>0</v>
      </c>
      <c r="Q61" s="364">
        <v>0</v>
      </c>
      <c r="R61" s="363">
        <v>0</v>
      </c>
      <c r="S61" s="364">
        <v>0</v>
      </c>
    </row>
    <row r="62" spans="1:19">
      <c r="A62" s="361"/>
      <c r="B62" s="363" t="s">
        <v>390</v>
      </c>
      <c r="C62" s="363" t="s">
        <v>114</v>
      </c>
      <c r="D62" s="363">
        <v>0</v>
      </c>
      <c r="E62" s="364">
        <v>0</v>
      </c>
      <c r="F62" s="363">
        <v>0</v>
      </c>
      <c r="G62" s="364">
        <v>0</v>
      </c>
      <c r="H62" s="363">
        <v>0</v>
      </c>
      <c r="I62" s="364">
        <v>0</v>
      </c>
      <c r="J62" s="363">
        <v>0</v>
      </c>
      <c r="K62" s="364">
        <v>0</v>
      </c>
      <c r="L62" s="363">
        <v>0</v>
      </c>
      <c r="M62" s="364">
        <v>0</v>
      </c>
      <c r="N62" s="363">
        <v>0</v>
      </c>
      <c r="O62" s="364">
        <v>0</v>
      </c>
      <c r="P62" s="363">
        <v>0</v>
      </c>
      <c r="Q62" s="364">
        <v>0</v>
      </c>
      <c r="R62" s="363">
        <v>0</v>
      </c>
      <c r="S62" s="364">
        <v>0</v>
      </c>
    </row>
    <row r="63" spans="1:19">
      <c r="A63" s="361"/>
      <c r="B63" s="363" t="s">
        <v>390</v>
      </c>
      <c r="C63" s="363" t="s">
        <v>306</v>
      </c>
      <c r="D63" s="363">
        <v>0</v>
      </c>
      <c r="E63" s="364">
        <v>0</v>
      </c>
      <c r="F63" s="363">
        <v>0</v>
      </c>
      <c r="G63" s="364">
        <v>0</v>
      </c>
      <c r="H63" s="363">
        <v>0</v>
      </c>
      <c r="I63" s="364">
        <v>0</v>
      </c>
      <c r="J63" s="363">
        <v>0</v>
      </c>
      <c r="K63" s="364">
        <v>0</v>
      </c>
      <c r="L63" s="363">
        <v>0</v>
      </c>
      <c r="M63" s="364">
        <v>0</v>
      </c>
      <c r="N63" s="363">
        <v>0</v>
      </c>
      <c r="O63" s="364">
        <v>0</v>
      </c>
      <c r="P63" s="363">
        <v>0</v>
      </c>
      <c r="Q63" s="364">
        <v>0</v>
      </c>
      <c r="R63" s="363">
        <v>4</v>
      </c>
      <c r="S63" s="364">
        <v>0.2</v>
      </c>
    </row>
    <row r="64" spans="1:19">
      <c r="A64" s="361"/>
      <c r="B64" s="363" t="s">
        <v>390</v>
      </c>
      <c r="C64" s="363" t="s">
        <v>97</v>
      </c>
      <c r="D64" s="363">
        <v>0</v>
      </c>
      <c r="E64" s="364">
        <v>0</v>
      </c>
      <c r="F64" s="363">
        <v>0</v>
      </c>
      <c r="G64" s="364">
        <v>0</v>
      </c>
      <c r="H64" s="363">
        <v>0</v>
      </c>
      <c r="I64" s="364">
        <v>0</v>
      </c>
      <c r="J64" s="363">
        <v>0</v>
      </c>
      <c r="K64" s="364">
        <v>0</v>
      </c>
      <c r="L64" s="363">
        <v>0</v>
      </c>
      <c r="M64" s="364">
        <v>0</v>
      </c>
      <c r="N64" s="363">
        <v>0</v>
      </c>
      <c r="O64" s="364">
        <v>0</v>
      </c>
      <c r="P64" s="363">
        <v>0</v>
      </c>
      <c r="Q64" s="364">
        <v>0</v>
      </c>
      <c r="R64" s="363">
        <v>0</v>
      </c>
      <c r="S64" s="364">
        <v>0</v>
      </c>
    </row>
    <row r="65" spans="1:19">
      <c r="A65" s="361"/>
      <c r="B65" s="363" t="s">
        <v>390</v>
      </c>
      <c r="C65" s="363" t="s">
        <v>118</v>
      </c>
      <c r="D65" s="363">
        <v>0</v>
      </c>
      <c r="E65" s="364">
        <v>0</v>
      </c>
      <c r="F65" s="363">
        <v>0</v>
      </c>
      <c r="G65" s="364">
        <v>0</v>
      </c>
      <c r="H65" s="363">
        <v>0</v>
      </c>
      <c r="I65" s="364">
        <v>0</v>
      </c>
      <c r="J65" s="363">
        <v>0</v>
      </c>
      <c r="K65" s="364">
        <v>0</v>
      </c>
      <c r="L65" s="363">
        <v>0</v>
      </c>
      <c r="M65" s="364">
        <v>0</v>
      </c>
      <c r="N65" s="363">
        <v>0</v>
      </c>
      <c r="O65" s="364">
        <v>0</v>
      </c>
      <c r="P65" s="363">
        <v>0</v>
      </c>
      <c r="Q65" s="364">
        <v>0</v>
      </c>
      <c r="R65" s="363">
        <v>0</v>
      </c>
      <c r="S65" s="364">
        <v>0</v>
      </c>
    </row>
    <row r="66" spans="1:19">
      <c r="A66" s="361"/>
      <c r="B66" s="365">
        <v>46082</v>
      </c>
      <c r="C66" s="363" t="s">
        <v>59</v>
      </c>
      <c r="D66" s="363">
        <v>0</v>
      </c>
      <c r="E66" s="364">
        <v>0</v>
      </c>
      <c r="F66" s="363">
        <v>0</v>
      </c>
      <c r="G66" s="364">
        <v>0</v>
      </c>
      <c r="H66" s="363">
        <v>0</v>
      </c>
      <c r="I66" s="364">
        <v>0</v>
      </c>
      <c r="J66" s="363">
        <v>0</v>
      </c>
      <c r="K66" s="364">
        <v>0</v>
      </c>
      <c r="L66" s="363">
        <v>0</v>
      </c>
      <c r="M66" s="364">
        <v>0</v>
      </c>
      <c r="N66" s="363">
        <v>0</v>
      </c>
      <c r="O66" s="364">
        <v>0</v>
      </c>
      <c r="P66" s="363">
        <v>0</v>
      </c>
      <c r="Q66" s="364">
        <v>0</v>
      </c>
      <c r="R66" s="363">
        <v>1</v>
      </c>
      <c r="S66" s="364">
        <v>0.33329999999999999</v>
      </c>
    </row>
    <row r="67" spans="1:19">
      <c r="A67" s="361"/>
      <c r="B67" s="365">
        <v>46082</v>
      </c>
      <c r="C67" s="363" t="s">
        <v>128</v>
      </c>
      <c r="D67" s="363">
        <v>0</v>
      </c>
      <c r="E67" s="364">
        <v>0</v>
      </c>
      <c r="F67" s="363">
        <v>0</v>
      </c>
      <c r="G67" s="364">
        <v>0</v>
      </c>
      <c r="H67" s="363">
        <v>0</v>
      </c>
      <c r="I67" s="364">
        <v>0</v>
      </c>
      <c r="J67" s="363">
        <v>0</v>
      </c>
      <c r="K67" s="364">
        <v>0</v>
      </c>
      <c r="L67" s="363">
        <v>0</v>
      </c>
      <c r="M67" s="364">
        <v>0</v>
      </c>
      <c r="N67" s="363">
        <v>0</v>
      </c>
      <c r="O67" s="364">
        <v>0</v>
      </c>
      <c r="P67" s="363">
        <v>0</v>
      </c>
      <c r="Q67" s="364">
        <v>0</v>
      </c>
      <c r="R67" s="363">
        <v>1</v>
      </c>
      <c r="S67" s="364">
        <v>0.33329999999999999</v>
      </c>
    </row>
    <row r="68" spans="1:19">
      <c r="A68" s="361"/>
      <c r="B68" s="365">
        <v>46082</v>
      </c>
      <c r="C68" s="363" t="s">
        <v>44</v>
      </c>
      <c r="D68" s="363">
        <v>0</v>
      </c>
      <c r="E68" s="364">
        <v>0</v>
      </c>
      <c r="F68" s="363">
        <v>0</v>
      </c>
      <c r="G68" s="364">
        <v>0</v>
      </c>
      <c r="H68" s="363">
        <v>0</v>
      </c>
      <c r="I68" s="364">
        <v>0</v>
      </c>
      <c r="J68" s="363">
        <v>0</v>
      </c>
      <c r="K68" s="364">
        <v>0</v>
      </c>
      <c r="L68" s="363">
        <v>0</v>
      </c>
      <c r="M68" s="364">
        <v>0</v>
      </c>
      <c r="N68" s="363">
        <v>0</v>
      </c>
      <c r="O68" s="364">
        <v>0</v>
      </c>
      <c r="P68" s="363">
        <v>0</v>
      </c>
      <c r="Q68" s="364">
        <v>0</v>
      </c>
      <c r="R68" s="363">
        <v>1</v>
      </c>
      <c r="S68" s="364">
        <v>0.33329999999999999</v>
      </c>
    </row>
    <row r="69" spans="1:19">
      <c r="A69" s="361"/>
      <c r="B69" s="365">
        <v>46082</v>
      </c>
      <c r="C69" s="363" t="s">
        <v>114</v>
      </c>
      <c r="D69" s="363">
        <v>0</v>
      </c>
      <c r="E69" s="364">
        <v>0</v>
      </c>
      <c r="F69" s="363">
        <v>0</v>
      </c>
      <c r="G69" s="364">
        <v>0</v>
      </c>
      <c r="H69" s="363">
        <v>0</v>
      </c>
      <c r="I69" s="364">
        <v>0</v>
      </c>
      <c r="J69" s="363">
        <v>0</v>
      </c>
      <c r="K69" s="364">
        <v>0</v>
      </c>
      <c r="L69" s="363">
        <v>0</v>
      </c>
      <c r="M69" s="364">
        <v>0</v>
      </c>
      <c r="N69" s="363">
        <v>0</v>
      </c>
      <c r="O69" s="364">
        <v>0</v>
      </c>
      <c r="P69" s="363">
        <v>0</v>
      </c>
      <c r="Q69" s="364">
        <v>0</v>
      </c>
      <c r="R69" s="363">
        <v>1</v>
      </c>
      <c r="S69" s="364">
        <v>0.33329999999999999</v>
      </c>
    </row>
    <row r="70" spans="1:19">
      <c r="A70" s="361"/>
      <c r="B70" s="365">
        <v>46082</v>
      </c>
      <c r="C70" s="363" t="s">
        <v>306</v>
      </c>
      <c r="D70" s="363">
        <v>0</v>
      </c>
      <c r="E70" s="364">
        <v>0</v>
      </c>
      <c r="F70" s="363">
        <v>0</v>
      </c>
      <c r="G70" s="364">
        <v>0</v>
      </c>
      <c r="H70" s="363">
        <v>0</v>
      </c>
      <c r="I70" s="364">
        <v>0</v>
      </c>
      <c r="J70" s="363">
        <v>0</v>
      </c>
      <c r="K70" s="364">
        <v>0</v>
      </c>
      <c r="L70" s="363">
        <v>0</v>
      </c>
      <c r="M70" s="364">
        <v>0</v>
      </c>
      <c r="N70" s="363">
        <v>0</v>
      </c>
      <c r="O70" s="364">
        <v>0</v>
      </c>
      <c r="P70" s="363">
        <v>0</v>
      </c>
      <c r="Q70" s="364">
        <v>0</v>
      </c>
      <c r="R70" s="363">
        <v>2</v>
      </c>
      <c r="S70" s="364">
        <v>0.66669999999999996</v>
      </c>
    </row>
    <row r="71" spans="1:19">
      <c r="A71" s="361"/>
      <c r="B71" s="365">
        <v>46082</v>
      </c>
      <c r="C71" s="363" t="s">
        <v>97</v>
      </c>
      <c r="D71" s="363">
        <v>0</v>
      </c>
      <c r="E71" s="364">
        <v>0</v>
      </c>
      <c r="F71" s="363">
        <v>0</v>
      </c>
      <c r="G71" s="364">
        <v>0</v>
      </c>
      <c r="H71" s="363">
        <v>0</v>
      </c>
      <c r="I71" s="364">
        <v>0</v>
      </c>
      <c r="J71" s="363">
        <v>0</v>
      </c>
      <c r="K71" s="364">
        <v>0</v>
      </c>
      <c r="L71" s="363">
        <v>0</v>
      </c>
      <c r="M71" s="364">
        <v>0</v>
      </c>
      <c r="N71" s="363">
        <v>0</v>
      </c>
      <c r="O71" s="364">
        <v>0</v>
      </c>
      <c r="P71" s="363">
        <v>0</v>
      </c>
      <c r="Q71" s="364">
        <v>0</v>
      </c>
      <c r="R71" s="363">
        <v>1</v>
      </c>
      <c r="S71" s="364">
        <v>0.33329999999999999</v>
      </c>
    </row>
    <row r="72" spans="1:19">
      <c r="A72" s="361"/>
      <c r="B72" s="365">
        <v>46082</v>
      </c>
      <c r="C72" s="363" t="s">
        <v>118</v>
      </c>
      <c r="D72" s="363">
        <v>0</v>
      </c>
      <c r="E72" s="364">
        <v>0</v>
      </c>
      <c r="F72" s="363">
        <v>0</v>
      </c>
      <c r="G72" s="364">
        <v>0</v>
      </c>
      <c r="H72" s="363">
        <v>0</v>
      </c>
      <c r="I72" s="364">
        <v>0</v>
      </c>
      <c r="J72" s="363">
        <v>0</v>
      </c>
      <c r="K72" s="364">
        <v>0</v>
      </c>
      <c r="L72" s="363">
        <v>0</v>
      </c>
      <c r="M72" s="364">
        <v>0</v>
      </c>
      <c r="N72" s="363">
        <v>0</v>
      </c>
      <c r="O72" s="364">
        <v>0</v>
      </c>
      <c r="P72" s="363">
        <v>0</v>
      </c>
      <c r="Q72" s="364">
        <v>0</v>
      </c>
      <c r="R72" s="363">
        <v>0</v>
      </c>
      <c r="S72" s="364">
        <v>0</v>
      </c>
    </row>
    <row r="73" spans="1:19">
      <c r="A73" s="361"/>
      <c r="B73" s="363" t="s">
        <v>392</v>
      </c>
      <c r="C73" s="363" t="s">
        <v>59</v>
      </c>
      <c r="D73" s="363">
        <v>0</v>
      </c>
      <c r="E73" s="364">
        <v>0</v>
      </c>
      <c r="F73" s="363">
        <v>0</v>
      </c>
      <c r="G73" s="364">
        <v>0</v>
      </c>
      <c r="H73" s="363">
        <v>0</v>
      </c>
      <c r="I73" s="364">
        <v>0</v>
      </c>
      <c r="J73" s="363">
        <v>0</v>
      </c>
      <c r="K73" s="364">
        <v>0</v>
      </c>
      <c r="L73" s="363">
        <v>0</v>
      </c>
      <c r="M73" s="364">
        <v>0</v>
      </c>
      <c r="N73" s="363">
        <v>0</v>
      </c>
      <c r="O73" s="364">
        <v>0</v>
      </c>
      <c r="P73" s="363">
        <v>0</v>
      </c>
      <c r="Q73" s="364">
        <v>0</v>
      </c>
      <c r="R73" s="363">
        <v>0</v>
      </c>
      <c r="S73" s="364">
        <v>0</v>
      </c>
    </row>
    <row r="74" spans="1:19">
      <c r="A74" s="361"/>
      <c r="B74" s="363" t="s">
        <v>392</v>
      </c>
      <c r="C74" s="363" t="s">
        <v>128</v>
      </c>
      <c r="D74" s="363">
        <v>0</v>
      </c>
      <c r="E74" s="364">
        <v>0</v>
      </c>
      <c r="F74" s="363">
        <v>0</v>
      </c>
      <c r="G74" s="364">
        <v>0</v>
      </c>
      <c r="H74" s="363">
        <v>0</v>
      </c>
      <c r="I74" s="364">
        <v>0</v>
      </c>
      <c r="J74" s="363">
        <v>0</v>
      </c>
      <c r="K74" s="364">
        <v>0</v>
      </c>
      <c r="L74" s="363">
        <v>0</v>
      </c>
      <c r="M74" s="364">
        <v>0</v>
      </c>
      <c r="N74" s="363">
        <v>0</v>
      </c>
      <c r="O74" s="364">
        <v>0</v>
      </c>
      <c r="P74" s="363">
        <v>0</v>
      </c>
      <c r="Q74" s="364">
        <v>0</v>
      </c>
      <c r="R74" s="363">
        <v>0</v>
      </c>
      <c r="S74" s="364">
        <v>0</v>
      </c>
    </row>
    <row r="75" spans="1:19">
      <c r="A75" s="361"/>
      <c r="B75" s="363" t="s">
        <v>392</v>
      </c>
      <c r="C75" s="363" t="s">
        <v>44</v>
      </c>
      <c r="D75" s="363">
        <v>0</v>
      </c>
      <c r="E75" s="364">
        <v>0</v>
      </c>
      <c r="F75" s="363">
        <v>0</v>
      </c>
      <c r="G75" s="364">
        <v>0</v>
      </c>
      <c r="H75" s="363">
        <v>0</v>
      </c>
      <c r="I75" s="364">
        <v>0</v>
      </c>
      <c r="J75" s="363">
        <v>0</v>
      </c>
      <c r="K75" s="364">
        <v>0</v>
      </c>
      <c r="L75" s="363">
        <v>0</v>
      </c>
      <c r="M75" s="364">
        <v>0</v>
      </c>
      <c r="N75" s="363">
        <v>0</v>
      </c>
      <c r="O75" s="364">
        <v>0</v>
      </c>
      <c r="P75" s="363">
        <v>0</v>
      </c>
      <c r="Q75" s="364">
        <v>0</v>
      </c>
      <c r="R75" s="363">
        <v>0</v>
      </c>
      <c r="S75" s="364">
        <v>0</v>
      </c>
    </row>
    <row r="76" spans="1:19">
      <c r="A76" s="361"/>
      <c r="B76" s="363" t="s">
        <v>392</v>
      </c>
      <c r="C76" s="363" t="s">
        <v>114</v>
      </c>
      <c r="D76" s="363">
        <v>0</v>
      </c>
      <c r="E76" s="364">
        <v>0</v>
      </c>
      <c r="F76" s="363">
        <v>0</v>
      </c>
      <c r="G76" s="364">
        <v>0</v>
      </c>
      <c r="H76" s="363">
        <v>0</v>
      </c>
      <c r="I76" s="364">
        <v>0</v>
      </c>
      <c r="J76" s="363">
        <v>0</v>
      </c>
      <c r="K76" s="364">
        <v>0</v>
      </c>
      <c r="L76" s="363">
        <v>0</v>
      </c>
      <c r="M76" s="364">
        <v>0</v>
      </c>
      <c r="N76" s="363">
        <v>0</v>
      </c>
      <c r="O76" s="364">
        <v>0</v>
      </c>
      <c r="P76" s="363">
        <v>0</v>
      </c>
      <c r="Q76" s="364">
        <v>0</v>
      </c>
      <c r="R76" s="363">
        <v>0</v>
      </c>
      <c r="S76" s="364">
        <v>0</v>
      </c>
    </row>
    <row r="77" spans="1:19">
      <c r="A77" s="361"/>
      <c r="B77" s="363" t="s">
        <v>392</v>
      </c>
      <c r="C77" s="363" t="s">
        <v>306</v>
      </c>
      <c r="D77" s="363">
        <v>0</v>
      </c>
      <c r="E77" s="364">
        <v>0</v>
      </c>
      <c r="F77" s="363">
        <v>0</v>
      </c>
      <c r="G77" s="364">
        <v>0</v>
      </c>
      <c r="H77" s="363">
        <v>0</v>
      </c>
      <c r="I77" s="364">
        <v>0</v>
      </c>
      <c r="J77" s="363">
        <v>0</v>
      </c>
      <c r="K77" s="364">
        <v>0</v>
      </c>
      <c r="L77" s="363">
        <v>0</v>
      </c>
      <c r="M77" s="364">
        <v>0</v>
      </c>
      <c r="N77" s="363">
        <v>0</v>
      </c>
      <c r="O77" s="364">
        <v>0</v>
      </c>
      <c r="P77" s="363">
        <v>0</v>
      </c>
      <c r="Q77" s="364">
        <v>0</v>
      </c>
      <c r="R77" s="363">
        <v>0</v>
      </c>
      <c r="S77" s="364">
        <v>0</v>
      </c>
    </row>
    <row r="78" spans="1:19">
      <c r="A78" s="361"/>
      <c r="B78" s="363" t="s">
        <v>392</v>
      </c>
      <c r="C78" s="363" t="s">
        <v>97</v>
      </c>
      <c r="D78" s="363">
        <v>0</v>
      </c>
      <c r="E78" s="364">
        <v>0</v>
      </c>
      <c r="F78" s="363">
        <v>0</v>
      </c>
      <c r="G78" s="364">
        <v>0</v>
      </c>
      <c r="H78" s="363">
        <v>0</v>
      </c>
      <c r="I78" s="364">
        <v>0</v>
      </c>
      <c r="J78" s="363">
        <v>0</v>
      </c>
      <c r="K78" s="364">
        <v>0</v>
      </c>
      <c r="L78" s="363">
        <v>0</v>
      </c>
      <c r="M78" s="364">
        <v>0</v>
      </c>
      <c r="N78" s="363">
        <v>0</v>
      </c>
      <c r="O78" s="364">
        <v>0</v>
      </c>
      <c r="P78" s="363">
        <v>0</v>
      </c>
      <c r="Q78" s="364">
        <v>0</v>
      </c>
      <c r="R78" s="363">
        <v>0</v>
      </c>
      <c r="S78" s="364">
        <v>0</v>
      </c>
    </row>
    <row r="79" spans="1:19">
      <c r="A79" s="361"/>
      <c r="B79" s="363" t="s">
        <v>392</v>
      </c>
      <c r="C79" s="363" t="s">
        <v>118</v>
      </c>
      <c r="D79" s="363">
        <v>0</v>
      </c>
      <c r="E79" s="364">
        <v>0</v>
      </c>
      <c r="F79" s="363">
        <v>0</v>
      </c>
      <c r="G79" s="364">
        <v>0</v>
      </c>
      <c r="H79" s="363">
        <v>0</v>
      </c>
      <c r="I79" s="364">
        <v>0</v>
      </c>
      <c r="J79" s="363">
        <v>0</v>
      </c>
      <c r="K79" s="364">
        <v>0</v>
      </c>
      <c r="L79" s="363">
        <v>0</v>
      </c>
      <c r="M79" s="364">
        <v>0</v>
      </c>
      <c r="N79" s="363">
        <v>0</v>
      </c>
      <c r="O79" s="364">
        <v>0</v>
      </c>
      <c r="P79" s="363">
        <v>0</v>
      </c>
      <c r="Q79" s="364">
        <v>0</v>
      </c>
      <c r="R79" s="363">
        <v>0</v>
      </c>
      <c r="S79" s="364">
        <v>0</v>
      </c>
    </row>
    <row r="80" spans="1:19">
      <c r="A80" s="361"/>
      <c r="B80" s="363" t="s">
        <v>1638</v>
      </c>
      <c r="C80" s="363" t="s">
        <v>59</v>
      </c>
      <c r="D80" s="363">
        <v>0</v>
      </c>
      <c r="E80" s="364">
        <v>0</v>
      </c>
      <c r="F80" s="363">
        <v>0</v>
      </c>
      <c r="G80" s="364">
        <v>0</v>
      </c>
      <c r="H80" s="363">
        <v>0</v>
      </c>
      <c r="I80" s="364">
        <v>0</v>
      </c>
      <c r="J80" s="363">
        <v>0</v>
      </c>
      <c r="K80" s="364">
        <v>0</v>
      </c>
      <c r="L80" s="363">
        <v>0</v>
      </c>
      <c r="M80" s="364">
        <v>0</v>
      </c>
      <c r="N80" s="363">
        <v>0</v>
      </c>
      <c r="O80" s="364">
        <v>0</v>
      </c>
      <c r="P80" s="363">
        <v>0</v>
      </c>
      <c r="Q80" s="364">
        <v>0</v>
      </c>
      <c r="R80" s="363">
        <v>0</v>
      </c>
      <c r="S80" s="364">
        <v>0</v>
      </c>
    </row>
    <row r="81" spans="1:19">
      <c r="A81" s="361"/>
      <c r="B81" s="363" t="s">
        <v>1638</v>
      </c>
      <c r="C81" s="363" t="s">
        <v>128</v>
      </c>
      <c r="D81" s="363">
        <v>0</v>
      </c>
      <c r="E81" s="364">
        <v>0</v>
      </c>
      <c r="F81" s="363">
        <v>0</v>
      </c>
      <c r="G81" s="364">
        <v>0</v>
      </c>
      <c r="H81" s="363">
        <v>0</v>
      </c>
      <c r="I81" s="364">
        <v>0</v>
      </c>
      <c r="J81" s="363">
        <v>0</v>
      </c>
      <c r="K81" s="364">
        <v>0</v>
      </c>
      <c r="L81" s="363">
        <v>0</v>
      </c>
      <c r="M81" s="364">
        <v>0</v>
      </c>
      <c r="N81" s="363">
        <v>0</v>
      </c>
      <c r="O81" s="364">
        <v>0</v>
      </c>
      <c r="P81" s="363">
        <v>0</v>
      </c>
      <c r="Q81" s="364">
        <v>0</v>
      </c>
      <c r="R81" s="363">
        <v>0</v>
      </c>
      <c r="S81" s="364">
        <v>0</v>
      </c>
    </row>
    <row r="82" spans="1:19">
      <c r="A82" s="361"/>
      <c r="B82" s="363" t="s">
        <v>1638</v>
      </c>
      <c r="C82" s="363" t="s">
        <v>44</v>
      </c>
      <c r="D82" s="363">
        <v>0</v>
      </c>
      <c r="E82" s="364">
        <v>0</v>
      </c>
      <c r="F82" s="363">
        <v>0</v>
      </c>
      <c r="G82" s="364">
        <v>0</v>
      </c>
      <c r="H82" s="363">
        <v>0</v>
      </c>
      <c r="I82" s="364">
        <v>0</v>
      </c>
      <c r="J82" s="363">
        <v>0</v>
      </c>
      <c r="K82" s="364">
        <v>0</v>
      </c>
      <c r="L82" s="363">
        <v>0</v>
      </c>
      <c r="M82" s="364">
        <v>0</v>
      </c>
      <c r="N82" s="363">
        <v>0</v>
      </c>
      <c r="O82" s="364">
        <v>0</v>
      </c>
      <c r="P82" s="363">
        <v>0</v>
      </c>
      <c r="Q82" s="364">
        <v>0</v>
      </c>
      <c r="R82" s="363">
        <v>0</v>
      </c>
      <c r="S82" s="364">
        <v>0</v>
      </c>
    </row>
    <row r="83" spans="1:19">
      <c r="A83" s="361"/>
      <c r="B83" s="363" t="s">
        <v>1638</v>
      </c>
      <c r="C83" s="363" t="s">
        <v>114</v>
      </c>
      <c r="D83" s="363">
        <v>0</v>
      </c>
      <c r="E83" s="364">
        <v>0</v>
      </c>
      <c r="F83" s="363">
        <v>0</v>
      </c>
      <c r="G83" s="364">
        <v>0</v>
      </c>
      <c r="H83" s="363">
        <v>0</v>
      </c>
      <c r="I83" s="364">
        <v>0</v>
      </c>
      <c r="J83" s="363">
        <v>0</v>
      </c>
      <c r="K83" s="364">
        <v>0</v>
      </c>
      <c r="L83" s="363">
        <v>0</v>
      </c>
      <c r="M83" s="364">
        <v>0</v>
      </c>
      <c r="N83" s="363">
        <v>0</v>
      </c>
      <c r="O83" s="364">
        <v>0</v>
      </c>
      <c r="P83" s="363">
        <v>0</v>
      </c>
      <c r="Q83" s="364">
        <v>0</v>
      </c>
      <c r="R83" s="363">
        <v>0</v>
      </c>
      <c r="S83" s="364">
        <v>0</v>
      </c>
    </row>
    <row r="84" spans="1:19">
      <c r="A84" s="361"/>
      <c r="B84" s="363" t="s">
        <v>1638</v>
      </c>
      <c r="C84" s="363" t="s">
        <v>306</v>
      </c>
      <c r="D84" s="363">
        <v>0</v>
      </c>
      <c r="E84" s="364">
        <v>0</v>
      </c>
      <c r="F84" s="363">
        <v>0</v>
      </c>
      <c r="G84" s="364">
        <v>0</v>
      </c>
      <c r="H84" s="363">
        <v>0</v>
      </c>
      <c r="I84" s="364">
        <v>0</v>
      </c>
      <c r="J84" s="363">
        <v>0</v>
      </c>
      <c r="K84" s="364">
        <v>0</v>
      </c>
      <c r="L84" s="363">
        <v>0</v>
      </c>
      <c r="M84" s="364">
        <v>0</v>
      </c>
      <c r="N84" s="363">
        <v>0</v>
      </c>
      <c r="O84" s="364">
        <v>0</v>
      </c>
      <c r="P84" s="363">
        <v>0</v>
      </c>
      <c r="Q84" s="364">
        <v>0</v>
      </c>
      <c r="R84" s="363">
        <v>0</v>
      </c>
      <c r="S84" s="364">
        <v>0</v>
      </c>
    </row>
    <row r="85" spans="1:19">
      <c r="A85" s="361"/>
      <c r="B85" s="363" t="s">
        <v>1638</v>
      </c>
      <c r="C85" s="363" t="s">
        <v>97</v>
      </c>
      <c r="D85" s="363">
        <v>0</v>
      </c>
      <c r="E85" s="364">
        <v>0</v>
      </c>
      <c r="F85" s="363">
        <v>0</v>
      </c>
      <c r="G85" s="364">
        <v>0</v>
      </c>
      <c r="H85" s="363">
        <v>0</v>
      </c>
      <c r="I85" s="364">
        <v>0</v>
      </c>
      <c r="J85" s="363">
        <v>0</v>
      </c>
      <c r="K85" s="364">
        <v>0</v>
      </c>
      <c r="L85" s="363">
        <v>0</v>
      </c>
      <c r="M85" s="364">
        <v>0</v>
      </c>
      <c r="N85" s="363">
        <v>0</v>
      </c>
      <c r="O85" s="364">
        <v>0</v>
      </c>
      <c r="P85" s="363">
        <v>0</v>
      </c>
      <c r="Q85" s="364">
        <v>0</v>
      </c>
      <c r="R85" s="363">
        <v>0</v>
      </c>
      <c r="S85" s="364">
        <v>0</v>
      </c>
    </row>
    <row r="86" spans="1:19">
      <c r="A86" s="361"/>
      <c r="B86" s="363" t="s">
        <v>1638</v>
      </c>
      <c r="C86" s="363" t="s">
        <v>118</v>
      </c>
      <c r="D86" s="363">
        <v>0</v>
      </c>
      <c r="E86" s="364">
        <v>0</v>
      </c>
      <c r="F86" s="363">
        <v>0</v>
      </c>
      <c r="G86" s="364">
        <v>0</v>
      </c>
      <c r="H86" s="363">
        <v>0</v>
      </c>
      <c r="I86" s="364">
        <v>0</v>
      </c>
      <c r="J86" s="363">
        <v>0</v>
      </c>
      <c r="K86" s="364">
        <v>0</v>
      </c>
      <c r="L86" s="363">
        <v>0</v>
      </c>
      <c r="M86" s="364">
        <v>0</v>
      </c>
      <c r="N86" s="363">
        <v>0</v>
      </c>
      <c r="O86" s="364">
        <v>0</v>
      </c>
      <c r="P86" s="363">
        <v>0</v>
      </c>
      <c r="Q86" s="364">
        <v>0</v>
      </c>
      <c r="R86" s="363">
        <v>0</v>
      </c>
      <c r="S86" s="364">
        <v>0</v>
      </c>
    </row>
    <row r="87" spans="1:19">
      <c r="A87" s="361"/>
      <c r="B87" s="363" t="s">
        <v>1642</v>
      </c>
      <c r="C87" s="363" t="s">
        <v>59</v>
      </c>
      <c r="D87" s="363">
        <v>0</v>
      </c>
      <c r="E87" s="364">
        <v>0</v>
      </c>
      <c r="F87" s="363">
        <v>0</v>
      </c>
      <c r="G87" s="364">
        <v>0</v>
      </c>
      <c r="H87" s="363">
        <v>0</v>
      </c>
      <c r="I87" s="364">
        <v>0</v>
      </c>
      <c r="J87" s="363">
        <v>0</v>
      </c>
      <c r="K87" s="364">
        <v>0</v>
      </c>
      <c r="L87" s="363">
        <v>0</v>
      </c>
      <c r="M87" s="364">
        <v>0</v>
      </c>
      <c r="N87" s="363">
        <v>0</v>
      </c>
      <c r="O87" s="364">
        <v>0</v>
      </c>
      <c r="P87" s="363">
        <v>0</v>
      </c>
      <c r="Q87" s="364">
        <v>0</v>
      </c>
      <c r="R87" s="363">
        <v>0</v>
      </c>
      <c r="S87" s="364">
        <v>0</v>
      </c>
    </row>
    <row r="88" spans="1:19">
      <c r="A88" s="361"/>
      <c r="B88" s="363" t="s">
        <v>1642</v>
      </c>
      <c r="C88" s="363" t="s">
        <v>128</v>
      </c>
      <c r="D88" s="363">
        <v>0</v>
      </c>
      <c r="E88" s="364">
        <v>0</v>
      </c>
      <c r="F88" s="363">
        <v>0</v>
      </c>
      <c r="G88" s="364">
        <v>0</v>
      </c>
      <c r="H88" s="363">
        <v>0</v>
      </c>
      <c r="I88" s="364">
        <v>0</v>
      </c>
      <c r="J88" s="363">
        <v>0</v>
      </c>
      <c r="K88" s="364">
        <v>0</v>
      </c>
      <c r="L88" s="363">
        <v>0</v>
      </c>
      <c r="M88" s="364">
        <v>0</v>
      </c>
      <c r="N88" s="363">
        <v>0</v>
      </c>
      <c r="O88" s="364">
        <v>0</v>
      </c>
      <c r="P88" s="363">
        <v>0</v>
      </c>
      <c r="Q88" s="364">
        <v>0</v>
      </c>
      <c r="R88" s="363">
        <v>0</v>
      </c>
      <c r="S88" s="364">
        <v>0</v>
      </c>
    </row>
    <row r="89" spans="1:19">
      <c r="A89" s="361"/>
      <c r="B89" s="363" t="s">
        <v>1642</v>
      </c>
      <c r="C89" s="363" t="s">
        <v>44</v>
      </c>
      <c r="D89" s="363">
        <v>0</v>
      </c>
      <c r="E89" s="364">
        <v>0</v>
      </c>
      <c r="F89" s="363">
        <v>0</v>
      </c>
      <c r="G89" s="364">
        <v>0</v>
      </c>
      <c r="H89" s="363">
        <v>0</v>
      </c>
      <c r="I89" s="364">
        <v>0</v>
      </c>
      <c r="J89" s="363">
        <v>0</v>
      </c>
      <c r="K89" s="364">
        <v>0</v>
      </c>
      <c r="L89" s="363">
        <v>0</v>
      </c>
      <c r="M89" s="364">
        <v>0</v>
      </c>
      <c r="N89" s="363">
        <v>0</v>
      </c>
      <c r="O89" s="364">
        <v>0</v>
      </c>
      <c r="P89" s="363">
        <v>0</v>
      </c>
      <c r="Q89" s="364">
        <v>0</v>
      </c>
      <c r="R89" s="363">
        <v>0</v>
      </c>
      <c r="S89" s="364">
        <v>0</v>
      </c>
    </row>
    <row r="90" spans="1:19">
      <c r="A90" s="361"/>
      <c r="B90" s="363" t="s">
        <v>1642</v>
      </c>
      <c r="C90" s="363" t="s">
        <v>114</v>
      </c>
      <c r="D90" s="363">
        <v>0</v>
      </c>
      <c r="E90" s="364">
        <v>0</v>
      </c>
      <c r="F90" s="363">
        <v>0</v>
      </c>
      <c r="G90" s="364">
        <v>0</v>
      </c>
      <c r="H90" s="363">
        <v>0</v>
      </c>
      <c r="I90" s="364">
        <v>0</v>
      </c>
      <c r="J90" s="363">
        <v>0</v>
      </c>
      <c r="K90" s="364">
        <v>0</v>
      </c>
      <c r="L90" s="363">
        <v>0</v>
      </c>
      <c r="M90" s="364">
        <v>0</v>
      </c>
      <c r="N90" s="363">
        <v>0</v>
      </c>
      <c r="O90" s="364">
        <v>0</v>
      </c>
      <c r="P90" s="363">
        <v>0</v>
      </c>
      <c r="Q90" s="364">
        <v>0</v>
      </c>
      <c r="R90" s="363">
        <v>0</v>
      </c>
      <c r="S90" s="364">
        <v>0</v>
      </c>
    </row>
    <row r="91" spans="1:19">
      <c r="A91" s="361"/>
      <c r="B91" s="363" t="s">
        <v>1642</v>
      </c>
      <c r="C91" s="363" t="s">
        <v>306</v>
      </c>
      <c r="D91" s="363">
        <v>0</v>
      </c>
      <c r="E91" s="364">
        <v>0</v>
      </c>
      <c r="F91" s="363">
        <v>0</v>
      </c>
      <c r="G91" s="364">
        <v>0</v>
      </c>
      <c r="H91" s="363">
        <v>0</v>
      </c>
      <c r="I91" s="364">
        <v>0</v>
      </c>
      <c r="J91" s="363">
        <v>0</v>
      </c>
      <c r="K91" s="364">
        <v>0</v>
      </c>
      <c r="L91" s="363">
        <v>0</v>
      </c>
      <c r="M91" s="364">
        <v>0</v>
      </c>
      <c r="N91" s="363">
        <v>0</v>
      </c>
      <c r="O91" s="364">
        <v>0</v>
      </c>
      <c r="P91" s="363">
        <v>0</v>
      </c>
      <c r="Q91" s="364">
        <v>0</v>
      </c>
      <c r="R91" s="363">
        <v>0</v>
      </c>
      <c r="S91" s="364">
        <v>0</v>
      </c>
    </row>
    <row r="92" spans="1:19">
      <c r="A92" s="361"/>
      <c r="B92" s="363" t="s">
        <v>1642</v>
      </c>
      <c r="C92" s="363" t="s">
        <v>97</v>
      </c>
      <c r="D92" s="363">
        <v>0</v>
      </c>
      <c r="E92" s="364">
        <v>0</v>
      </c>
      <c r="F92" s="363">
        <v>0</v>
      </c>
      <c r="G92" s="364">
        <v>0</v>
      </c>
      <c r="H92" s="363">
        <v>0</v>
      </c>
      <c r="I92" s="364">
        <v>0</v>
      </c>
      <c r="J92" s="363">
        <v>0</v>
      </c>
      <c r="K92" s="364">
        <v>0</v>
      </c>
      <c r="L92" s="363">
        <v>0</v>
      </c>
      <c r="M92" s="364">
        <v>0</v>
      </c>
      <c r="N92" s="363">
        <v>0</v>
      </c>
      <c r="O92" s="364">
        <v>0</v>
      </c>
      <c r="P92" s="363">
        <v>0</v>
      </c>
      <c r="Q92" s="364">
        <v>0</v>
      </c>
      <c r="R92" s="363">
        <v>0</v>
      </c>
      <c r="S92" s="364">
        <v>0</v>
      </c>
    </row>
    <row r="93" spans="1:19">
      <c r="A93" s="361"/>
      <c r="B93" s="363" t="s">
        <v>1642</v>
      </c>
      <c r="C93" s="363" t="s">
        <v>118</v>
      </c>
      <c r="D93" s="363">
        <v>0</v>
      </c>
      <c r="E93" s="364">
        <v>0</v>
      </c>
      <c r="F93" s="363">
        <v>0</v>
      </c>
      <c r="G93" s="364">
        <v>0</v>
      </c>
      <c r="H93" s="363">
        <v>0</v>
      </c>
      <c r="I93" s="364">
        <v>0</v>
      </c>
      <c r="J93" s="363">
        <v>0</v>
      </c>
      <c r="K93" s="364">
        <v>0</v>
      </c>
      <c r="L93" s="363">
        <v>0</v>
      </c>
      <c r="M93" s="364">
        <v>0</v>
      </c>
      <c r="N93" s="363">
        <v>0</v>
      </c>
      <c r="O93" s="364">
        <v>0</v>
      </c>
      <c r="P93" s="363">
        <v>0</v>
      </c>
      <c r="Q93" s="364">
        <v>0</v>
      </c>
      <c r="R93" s="363">
        <v>0</v>
      </c>
      <c r="S93" s="364">
        <v>0</v>
      </c>
    </row>
    <row r="94" spans="1:19">
      <c r="A94" s="361"/>
      <c r="B94" s="363" t="s">
        <v>1649</v>
      </c>
      <c r="C94" s="363" t="s">
        <v>59</v>
      </c>
      <c r="D94" s="363">
        <v>0</v>
      </c>
      <c r="E94" s="364">
        <v>0</v>
      </c>
      <c r="F94" s="363">
        <v>0</v>
      </c>
      <c r="G94" s="364">
        <v>0</v>
      </c>
      <c r="H94" s="363">
        <v>0</v>
      </c>
      <c r="I94" s="364">
        <v>0</v>
      </c>
      <c r="J94" s="363">
        <v>0</v>
      </c>
      <c r="K94" s="364">
        <v>0</v>
      </c>
      <c r="L94" s="363">
        <v>0</v>
      </c>
      <c r="M94" s="364">
        <v>0</v>
      </c>
      <c r="N94" s="363">
        <v>0</v>
      </c>
      <c r="O94" s="364">
        <v>0</v>
      </c>
      <c r="P94" s="363">
        <v>0</v>
      </c>
      <c r="Q94" s="364">
        <v>0</v>
      </c>
      <c r="R94" s="363">
        <v>0</v>
      </c>
      <c r="S94" s="364">
        <v>0</v>
      </c>
    </row>
    <row r="95" spans="1:19">
      <c r="A95" s="361"/>
      <c r="B95" s="363" t="s">
        <v>1649</v>
      </c>
      <c r="C95" s="363" t="s">
        <v>128</v>
      </c>
      <c r="D95" s="363">
        <v>0</v>
      </c>
      <c r="E95" s="364">
        <v>0</v>
      </c>
      <c r="F95" s="363">
        <v>0</v>
      </c>
      <c r="G95" s="364">
        <v>0</v>
      </c>
      <c r="H95" s="363">
        <v>0</v>
      </c>
      <c r="I95" s="364">
        <v>0</v>
      </c>
      <c r="J95" s="363">
        <v>0</v>
      </c>
      <c r="K95" s="364">
        <v>0</v>
      </c>
      <c r="L95" s="363">
        <v>0</v>
      </c>
      <c r="M95" s="364">
        <v>0</v>
      </c>
      <c r="N95" s="363">
        <v>0</v>
      </c>
      <c r="O95" s="364">
        <v>0</v>
      </c>
      <c r="P95" s="363">
        <v>0</v>
      </c>
      <c r="Q95" s="364">
        <v>0</v>
      </c>
      <c r="R95" s="363">
        <v>0</v>
      </c>
      <c r="S95" s="364">
        <v>0</v>
      </c>
    </row>
    <row r="96" spans="1:19">
      <c r="A96" s="361"/>
      <c r="B96" s="363" t="s">
        <v>1649</v>
      </c>
      <c r="C96" s="363" t="s">
        <v>44</v>
      </c>
      <c r="D96" s="363">
        <v>0</v>
      </c>
      <c r="E96" s="364">
        <v>0</v>
      </c>
      <c r="F96" s="363">
        <v>0</v>
      </c>
      <c r="G96" s="364">
        <v>0</v>
      </c>
      <c r="H96" s="363">
        <v>0</v>
      </c>
      <c r="I96" s="364">
        <v>0</v>
      </c>
      <c r="J96" s="363">
        <v>0</v>
      </c>
      <c r="K96" s="364">
        <v>0</v>
      </c>
      <c r="L96" s="363">
        <v>0</v>
      </c>
      <c r="M96" s="364">
        <v>0</v>
      </c>
      <c r="N96" s="363">
        <v>0</v>
      </c>
      <c r="O96" s="364">
        <v>0</v>
      </c>
      <c r="P96" s="363">
        <v>0</v>
      </c>
      <c r="Q96" s="364">
        <v>0</v>
      </c>
      <c r="R96" s="363">
        <v>0</v>
      </c>
      <c r="S96" s="364">
        <v>0</v>
      </c>
    </row>
    <row r="97" spans="1:19">
      <c r="A97" s="361"/>
      <c r="B97" s="363" t="s">
        <v>1649</v>
      </c>
      <c r="C97" s="363" t="s">
        <v>114</v>
      </c>
      <c r="D97" s="363">
        <v>0</v>
      </c>
      <c r="E97" s="364">
        <v>0</v>
      </c>
      <c r="F97" s="363">
        <v>0</v>
      </c>
      <c r="G97" s="364">
        <v>0</v>
      </c>
      <c r="H97" s="363">
        <v>0</v>
      </c>
      <c r="I97" s="364">
        <v>0</v>
      </c>
      <c r="J97" s="363">
        <v>0</v>
      </c>
      <c r="K97" s="364">
        <v>0</v>
      </c>
      <c r="L97" s="363">
        <v>0</v>
      </c>
      <c r="M97" s="364">
        <v>0</v>
      </c>
      <c r="N97" s="363">
        <v>0</v>
      </c>
      <c r="O97" s="364">
        <v>0</v>
      </c>
      <c r="P97" s="363">
        <v>0</v>
      </c>
      <c r="Q97" s="364">
        <v>0</v>
      </c>
      <c r="R97" s="363">
        <v>0</v>
      </c>
      <c r="S97" s="364">
        <v>0</v>
      </c>
    </row>
    <row r="98" spans="1:19">
      <c r="A98" s="361"/>
      <c r="B98" s="363" t="s">
        <v>1649</v>
      </c>
      <c r="C98" s="363" t="s">
        <v>306</v>
      </c>
      <c r="D98" s="363">
        <v>0</v>
      </c>
      <c r="E98" s="364">
        <v>0</v>
      </c>
      <c r="F98" s="363">
        <v>0</v>
      </c>
      <c r="G98" s="364">
        <v>0</v>
      </c>
      <c r="H98" s="363">
        <v>0</v>
      </c>
      <c r="I98" s="364">
        <v>0</v>
      </c>
      <c r="J98" s="363">
        <v>0</v>
      </c>
      <c r="K98" s="364">
        <v>0</v>
      </c>
      <c r="L98" s="363">
        <v>0</v>
      </c>
      <c r="M98" s="364">
        <v>0</v>
      </c>
      <c r="N98" s="363">
        <v>0</v>
      </c>
      <c r="O98" s="364">
        <v>0</v>
      </c>
      <c r="P98" s="363">
        <v>0</v>
      </c>
      <c r="Q98" s="364">
        <v>0</v>
      </c>
      <c r="R98" s="363">
        <v>0</v>
      </c>
      <c r="S98" s="364">
        <v>0</v>
      </c>
    </row>
    <row r="99" spans="1:19">
      <c r="A99" s="361"/>
      <c r="B99" s="363" t="s">
        <v>1649</v>
      </c>
      <c r="C99" s="363" t="s">
        <v>97</v>
      </c>
      <c r="D99" s="363">
        <v>0</v>
      </c>
      <c r="E99" s="364">
        <v>0</v>
      </c>
      <c r="F99" s="363">
        <v>0</v>
      </c>
      <c r="G99" s="364">
        <v>0</v>
      </c>
      <c r="H99" s="363">
        <v>0</v>
      </c>
      <c r="I99" s="364">
        <v>0</v>
      </c>
      <c r="J99" s="363">
        <v>0</v>
      </c>
      <c r="K99" s="364">
        <v>0</v>
      </c>
      <c r="L99" s="363">
        <v>0</v>
      </c>
      <c r="M99" s="364">
        <v>0</v>
      </c>
      <c r="N99" s="363">
        <v>0</v>
      </c>
      <c r="O99" s="364">
        <v>0</v>
      </c>
      <c r="P99" s="363">
        <v>0</v>
      </c>
      <c r="Q99" s="364">
        <v>0</v>
      </c>
      <c r="R99" s="363">
        <v>0</v>
      </c>
      <c r="S99" s="364">
        <v>0</v>
      </c>
    </row>
    <row r="100" spans="1:19">
      <c r="A100" s="361"/>
      <c r="B100" s="363" t="s">
        <v>1649</v>
      </c>
      <c r="C100" s="363" t="s">
        <v>118</v>
      </c>
      <c r="D100" s="363">
        <v>0</v>
      </c>
      <c r="E100" s="364">
        <v>0</v>
      </c>
      <c r="F100" s="363">
        <v>0</v>
      </c>
      <c r="G100" s="364">
        <v>0</v>
      </c>
      <c r="H100" s="363">
        <v>0</v>
      </c>
      <c r="I100" s="364">
        <v>0</v>
      </c>
      <c r="J100" s="363">
        <v>0</v>
      </c>
      <c r="K100" s="364">
        <v>0</v>
      </c>
      <c r="L100" s="363">
        <v>0</v>
      </c>
      <c r="M100" s="364">
        <v>0</v>
      </c>
      <c r="N100" s="363">
        <v>0</v>
      </c>
      <c r="O100" s="364">
        <v>0</v>
      </c>
      <c r="P100" s="363">
        <v>0</v>
      </c>
      <c r="Q100" s="364">
        <v>0</v>
      </c>
      <c r="R100" s="363">
        <v>0</v>
      </c>
      <c r="S100" s="364">
        <v>0</v>
      </c>
    </row>
  </sheetData>
  <phoneticPr fontId="9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1.GEO MAU</vt:lpstr>
      <vt:lpstr>2.信源分析</vt:lpstr>
      <vt:lpstr>3. GEO input tracking</vt:lpstr>
      <vt:lpstr>3.1.GEO Input table</vt:lpstr>
      <vt:lpstr>3.2. GEO Input detail（CN+NA）</vt:lpstr>
      <vt:lpstr>4. GEO output table</vt:lpstr>
      <vt:lpstr>5.GEO Search volumn-Gemi 3.0</vt:lpstr>
      <vt:lpstr>6. 语义范围（详细）</vt:lpstr>
      <vt:lpstr>backup-1 友好预料模版</vt:lpstr>
      <vt:lpstr>backup-2.SEO核心关键词</vt:lpstr>
      <vt:lpstr>语义范围</vt:lpstr>
      <vt:lpstr>'3.2. GEO Input detail（CN+NA）'!_FilterDatabase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Shi, Yujiao</dc:creator>
  <cp:lastModifiedBy>Shi, Yujiao</cp:lastModifiedBy>
  <dcterms:created xsi:type="dcterms:W3CDTF">2026-08-06T15:37:31Z</dcterms:created>
  <dcterms:modified xsi:type="dcterms:W3CDTF">2026-08-06T07:39:35Z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2026-08-06T07:39:06Z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e6d2c3e0-de83-45cd-a48c-b83730122de2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