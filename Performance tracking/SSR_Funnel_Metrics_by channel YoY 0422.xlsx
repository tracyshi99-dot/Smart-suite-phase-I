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A83805B-E93C-4EC0-BC2F-9CB20D73321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FY25-26" sheetId="1" r:id="rId1"/>
    <sheet name="FY24-25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6" i="1"/>
  <c r="U7" i="1"/>
  <c r="AO7" i="1" s="1"/>
  <c r="U8" i="1"/>
  <c r="U9" i="1"/>
  <c r="U10" i="1"/>
  <c r="U11" i="1"/>
  <c r="AO11" i="1" s="1"/>
  <c r="U12" i="1"/>
  <c r="AO12" i="1" s="1"/>
  <c r="U13" i="1"/>
  <c r="U14" i="1"/>
  <c r="U15" i="1"/>
  <c r="U16" i="1"/>
  <c r="U17" i="1"/>
  <c r="AO17" i="1" s="1"/>
  <c r="U18" i="1"/>
  <c r="AO18" i="1" s="1"/>
  <c r="U19" i="1"/>
  <c r="U20" i="1"/>
  <c r="U21" i="1"/>
  <c r="AO21" i="1" s="1"/>
  <c r="U22" i="1"/>
  <c r="U23" i="1"/>
  <c r="U24" i="1"/>
  <c r="AO24" i="1" s="1"/>
  <c r="U25" i="1"/>
  <c r="U26" i="1"/>
  <c r="U27" i="1"/>
  <c r="U28" i="1"/>
  <c r="U29" i="1"/>
  <c r="AO29" i="1" s="1"/>
  <c r="U30" i="1"/>
  <c r="AO30" i="1" s="1"/>
  <c r="U31" i="1"/>
  <c r="U32" i="1"/>
  <c r="U33" i="1"/>
  <c r="AO33" i="1" s="1"/>
  <c r="U34" i="1"/>
  <c r="U35" i="1"/>
  <c r="U36" i="1"/>
  <c r="AO36" i="1" s="1"/>
  <c r="U37" i="1"/>
  <c r="U38" i="1"/>
  <c r="U39" i="1"/>
  <c r="AO39" i="1" s="1"/>
  <c r="U40" i="1"/>
  <c r="U41" i="1"/>
  <c r="AO41" i="1" s="1"/>
  <c r="U42" i="1"/>
  <c r="U6" i="1"/>
  <c r="AO42" i="1" l="1"/>
  <c r="AO37" i="1"/>
  <c r="AO27" i="1"/>
  <c r="AO35" i="1"/>
  <c r="AO25" i="1"/>
  <c r="AO23" i="1"/>
  <c r="AO19" i="1"/>
  <c r="AO8" i="1"/>
  <c r="AO31" i="1"/>
  <c r="AO6" i="1"/>
  <c r="AO40" i="1"/>
  <c r="AO28" i="1"/>
  <c r="AO16" i="1"/>
  <c r="AO15" i="1"/>
  <c r="AO13" i="1"/>
  <c r="AO38" i="1"/>
  <c r="AO26" i="1"/>
  <c r="AO14" i="1"/>
  <c r="AO34" i="1"/>
  <c r="AO22" i="1"/>
  <c r="AO10" i="1"/>
  <c r="AO32" i="1"/>
  <c r="AO20" i="1"/>
  <c r="AO9" i="1"/>
</calcChain>
</file>

<file path=xl/sharedStrings.xml><?xml version="1.0" encoding="utf-8"?>
<sst xmlns="http://schemas.openxmlformats.org/spreadsheetml/2006/main" count="1920" uniqueCount="1177">
  <si>
    <t>YTD</t>
  </si>
  <si>
    <t>MONTHLY</t>
  </si>
  <si>
    <t>Dec 27, 2025</t>
  </si>
  <si>
    <t>Jan 31, 2025</t>
  </si>
  <si>
    <t>Feb 28, 2025</t>
  </si>
  <si>
    <t>Mar 31, 2025</t>
  </si>
  <si>
    <t>Apr 30, 2025</t>
  </si>
  <si>
    <t>May 31, 2025</t>
  </si>
  <si>
    <t>Jun 30, 2025</t>
  </si>
  <si>
    <t>Jul 31, 2025</t>
  </si>
  <si>
    <t>Aug 31, 2025</t>
  </si>
  <si>
    <t>Sep 30, 2025</t>
  </si>
  <si>
    <t>Oct 31, 2025</t>
  </si>
  <si>
    <t>Nov 30, 2025</t>
  </si>
  <si>
    <t>Channel Attributes</t>
  </si>
  <si>
    <t>Channel Category</t>
  </si>
  <si>
    <t>Campaign Channel Rollup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</si>
  <si>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</si>
  <si>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</si>
  <si>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</si>
  <si>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</si>
  <si>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</si>
  <si>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</si>
  <si>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</si>
  <si>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</si>
  <si>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</si>
  <si>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</si>
  <si>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</si>
  <si>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Organic</t>
  </si>
  <si>
    <t>CN Website</t>
  </si>
  <si>
    <t>Direct</t>
  </si>
  <si>
    <t>3,232</t>
  </si>
  <si>
    <t>66,314</t>
  </si>
  <si>
    <t>5,903</t>
  </si>
  <si>
    <t>7,580</t>
  </si>
  <si>
    <t>9,063</t>
  </si>
  <si>
    <t>8,284</t>
  </si>
  <si>
    <t>6,006</t>
  </si>
  <si>
    <t>4,209</t>
  </si>
  <si>
    <t>4,886</t>
  </si>
  <si>
    <t>5,530</t>
  </si>
  <si>
    <t>4,500</t>
  </si>
  <si>
    <t>3,353</t>
  </si>
  <si>
    <t>2,759</t>
  </si>
  <si>
    <t>9,663</t>
  </si>
  <si>
    <t>91,816</t>
  </si>
  <si>
    <t>6,876</t>
  </si>
  <si>
    <t>2,371</t>
  </si>
  <si>
    <t>6,731</t>
  </si>
  <si>
    <t>9,411</t>
  </si>
  <si>
    <t>10,221</t>
  </si>
  <si>
    <t>8,489</t>
  </si>
  <si>
    <t>8,568</t>
  </si>
  <si>
    <t>6,790</t>
  </si>
  <si>
    <t>6,168</t>
  </si>
  <si>
    <t>7,541</t>
  </si>
  <si>
    <t>8,959</t>
  </si>
  <si>
    <t>-66.6%</t>
  </si>
  <si>
    <t>-27.8%</t>
  </si>
  <si>
    <t>-14.2%</t>
  </si>
  <si>
    <t>219.7%</t>
  </si>
  <si>
    <t>34.6%</t>
  </si>
  <si>
    <t>-12.0%</t>
  </si>
  <si>
    <t>-41.2%</t>
  </si>
  <si>
    <t>-50.4%</t>
  </si>
  <si>
    <t>-43.0%</t>
  </si>
  <si>
    <t>-18.6%</t>
  </si>
  <si>
    <t>-27.1%</t>
  </si>
  <si>
    <t>-55.5%</t>
  </si>
  <si>
    <t>-69.2%</t>
  </si>
  <si>
    <t>GEO</t>
  </si>
  <si>
    <t>86</t>
  </si>
  <si>
    <t>616</t>
  </si>
  <si>
    <t>14</t>
  </si>
  <si>
    <t>13</t>
  </si>
  <si>
    <t>41</t>
  </si>
  <si>
    <t>31</t>
  </si>
  <si>
    <t>30</t>
  </si>
  <si>
    <t>50</t>
  </si>
  <si>
    <t>69</t>
  </si>
  <si>
    <t>75</t>
  </si>
  <si>
    <t>52</t>
  </si>
  <si>
    <t>6</t>
  </si>
  <si>
    <t>11</t>
  </si>
  <si>
    <t>20</t>
  </si>
  <si>
    <t>40</t>
  </si>
  <si>
    <t>1</t>
  </si>
  <si>
    <t>0</t>
  </si>
  <si>
    <t>3</t>
  </si>
  <si>
    <t>4</t>
  </si>
  <si>
    <t>5</t>
  </si>
  <si>
    <t>681.8%</t>
  </si>
  <si>
    <t>1440.0%</t>
  </si>
  <si>
    <t>1300.0%</t>
  </si>
  <si>
    <t>.%</t>
  </si>
  <si>
    <t>3000.0%</t>
  </si>
  <si>
    <t>2900.0%</t>
  </si>
  <si>
    <t>1566.7%</t>
  </si>
  <si>
    <t>2050.0%</t>
  </si>
  <si>
    <t>1625.0%</t>
  </si>
  <si>
    <t>1150.0%</t>
  </si>
  <si>
    <t>1280.0%</t>
  </si>
  <si>
    <t>1200.0%</t>
  </si>
  <si>
    <t>89</t>
  </si>
  <si>
    <t>16</t>
  </si>
  <si>
    <t>18</t>
  </si>
  <si>
    <t>189</t>
  </si>
  <si>
    <t>12</t>
  </si>
  <si>
    <t>103</t>
  </si>
  <si>
    <t>32</t>
  </si>
  <si>
    <t>45</t>
  </si>
  <si>
    <t>59</t>
  </si>
  <si>
    <t>29</t>
  </si>
  <si>
    <t>Retail</t>
  </si>
  <si>
    <t>82</t>
  </si>
  <si>
    <t>329</t>
  </si>
  <si>
    <t>6,255</t>
  </si>
  <si>
    <t>633</t>
  </si>
  <si>
    <t>641</t>
  </si>
  <si>
    <t>579</t>
  </si>
  <si>
    <t>351</t>
  </si>
  <si>
    <t>525</t>
  </si>
  <si>
    <t>655</t>
  </si>
  <si>
    <t>517</t>
  </si>
  <si>
    <t>549</t>
  </si>
  <si>
    <t>576</t>
  </si>
  <si>
    <t>429</t>
  </si>
  <si>
    <t>372</t>
  </si>
  <si>
    <t>1,057</t>
  </si>
  <si>
    <t>11,838</t>
  </si>
  <si>
    <t>1,724</t>
  </si>
  <si>
    <t>583</t>
  </si>
  <si>
    <t>1,126</t>
  </si>
  <si>
    <t>1,149</t>
  </si>
  <si>
    <t>960</t>
  </si>
  <si>
    <t>817</t>
  </si>
  <si>
    <t>1,172</t>
  </si>
  <si>
    <t>822</t>
  </si>
  <si>
    <t>480</t>
  </si>
  <si>
    <t>838</t>
  </si>
  <si>
    <t>1,089</t>
  </si>
  <si>
    <t>-66.4%</t>
  </si>
  <si>
    <t>-68.9%</t>
  </si>
  <si>
    <t>-62.1%</t>
  </si>
  <si>
    <t>-47.2%</t>
  </si>
  <si>
    <t>-63.3%</t>
  </si>
  <si>
    <t>9.9%</t>
  </si>
  <si>
    <t>-48.6%</t>
  </si>
  <si>
    <t>-69.5%</t>
  </si>
  <si>
    <t>-45.3%</t>
  </si>
  <si>
    <t>-19.8%</t>
  </si>
  <si>
    <t>-55.9%</t>
  </si>
  <si>
    <t>-33.2%</t>
  </si>
  <si>
    <t>20.0%</t>
  </si>
  <si>
    <t>-48.8%</t>
  </si>
  <si>
    <t>-65.9%</t>
  </si>
  <si>
    <t>SEO</t>
  </si>
  <si>
    <t>544</t>
  </si>
  <si>
    <t>10,225</t>
  </si>
  <si>
    <t>830</t>
  </si>
  <si>
    <t>827</t>
  </si>
  <si>
    <t>989</t>
  </si>
  <si>
    <t>637</t>
  </si>
  <si>
    <t>1,093</t>
  </si>
  <si>
    <t>1,047</t>
  </si>
  <si>
    <t>1,075</t>
  </si>
  <si>
    <t>926</t>
  </si>
  <si>
    <t>728</t>
  </si>
  <si>
    <t>772</t>
  </si>
  <si>
    <t>691</t>
  </si>
  <si>
    <t>853</t>
  </si>
  <si>
    <t>15,008</t>
  </si>
  <si>
    <t>1,245</t>
  </si>
  <si>
    <t>1,074</t>
  </si>
  <si>
    <t>1,699</t>
  </si>
  <si>
    <t>1,573</t>
  </si>
  <si>
    <t>1,232</t>
  </si>
  <si>
    <t>1,263</t>
  </si>
  <si>
    <t>1,954</t>
  </si>
  <si>
    <t>1,294</t>
  </si>
  <si>
    <t>929</t>
  </si>
  <si>
    <t>888</t>
  </si>
  <si>
    <t>-32.6%</t>
  </si>
  <si>
    <t>-36.2%</t>
  </si>
  <si>
    <t>-26.5%</t>
  </si>
  <si>
    <t>-31.9%</t>
  </si>
  <si>
    <t>-33.3%</t>
  </si>
  <si>
    <t>-23.0%</t>
  </si>
  <si>
    <t>-41.8%</t>
  </si>
  <si>
    <t>-59.5%</t>
  </si>
  <si>
    <t>-11.3%</t>
  </si>
  <si>
    <t>-17.1%</t>
  </si>
  <si>
    <t>-45.0%</t>
  </si>
  <si>
    <t>-28.4%</t>
  </si>
  <si>
    <t>-21.6%</t>
  </si>
  <si>
    <t>-22.0%</t>
  </si>
  <si>
    <t>-22.2%</t>
  </si>
  <si>
    <t>-34.7%</t>
  </si>
  <si>
    <t>Vertical Sites</t>
  </si>
  <si>
    <t>22</t>
  </si>
  <si>
    <t>176</t>
  </si>
  <si>
    <t>1,020</t>
  </si>
  <si>
    <t>55</t>
  </si>
  <si>
    <t>72</t>
  </si>
  <si>
    <t>102</t>
  </si>
  <si>
    <t>83</t>
  </si>
  <si>
    <t>94</t>
  </si>
  <si>
    <t>106</t>
  </si>
  <si>
    <t>114</t>
  </si>
  <si>
    <t>105</t>
  </si>
  <si>
    <t>99</t>
  </si>
  <si>
    <t>53</t>
  </si>
  <si>
    <t>318</t>
  </si>
  <si>
    <t>15</t>
  </si>
  <si>
    <t>49</t>
  </si>
  <si>
    <t>785</t>
  </si>
  <si>
    <t>66</t>
  </si>
  <si>
    <t>54</t>
  </si>
  <si>
    <t>173</t>
  </si>
  <si>
    <t>138</t>
  </si>
  <si>
    <t>51</t>
  </si>
  <si>
    <t>42</t>
  </si>
  <si>
    <t>44</t>
  </si>
  <si>
    <t>37</t>
  </si>
  <si>
    <t>48</t>
  </si>
  <si>
    <t>293</t>
  </si>
  <si>
    <t>67.3%</t>
  </si>
  <si>
    <t>29.9%</t>
  </si>
  <si>
    <t>-16.7%</t>
  </si>
  <si>
    <t>33.3%</t>
  </si>
  <si>
    <t>-41.1%</t>
  </si>
  <si>
    <t>-39.9%</t>
  </si>
  <si>
    <t>84.3%</t>
  </si>
  <si>
    <t>152.4%</t>
  </si>
  <si>
    <t>159.1%</t>
  </si>
  <si>
    <t>183.8%</t>
  </si>
  <si>
    <t>141.5%</t>
  </si>
  <si>
    <t>10.4%</t>
  </si>
  <si>
    <t>-2.4%</t>
  </si>
  <si>
    <t>-21.9%</t>
  </si>
  <si>
    <t>CN Website Subtotal</t>
  </si>
  <si>
    <t>4,578</t>
  </si>
  <si>
    <t>89,998</t>
  </si>
  <si>
    <t>7,528</t>
  </si>
  <si>
    <t>9,255</t>
  </si>
  <si>
    <t>11,720</t>
  </si>
  <si>
    <t>12,084</t>
  </si>
  <si>
    <t>8,328</t>
  </si>
  <si>
    <t>6,225</t>
  </si>
  <si>
    <t>6,694</t>
  </si>
  <si>
    <t>7,197</t>
  </si>
  <si>
    <t>6,167</t>
  </si>
  <si>
    <t>4,885</t>
  </si>
  <si>
    <t>4,144</t>
  </si>
  <si>
    <t>11,683</t>
  </si>
  <si>
    <t>120K</t>
  </si>
  <si>
    <t>10,078</t>
  </si>
  <si>
    <t>4,114</t>
  </si>
  <si>
    <t>9,774</t>
  </si>
  <si>
    <t>12,367</t>
  </si>
  <si>
    <t>12,527</t>
  </si>
  <si>
    <t>10,673</t>
  </si>
  <si>
    <t>11,809</t>
  </si>
  <si>
    <t>9,062</t>
  </si>
  <si>
    <t>7,709</t>
  </si>
  <si>
    <t>9,445</t>
  </si>
  <si>
    <t>11,011</t>
  </si>
  <si>
    <t>-60.8%</t>
  </si>
  <si>
    <t>-25.2%</t>
  </si>
  <si>
    <t>-25.3%</t>
  </si>
  <si>
    <t>125.0%</t>
  </si>
  <si>
    <t>19.9%</t>
  </si>
  <si>
    <t>-2.3%</t>
  </si>
  <si>
    <t>-33.5%</t>
  </si>
  <si>
    <t>-41.7%</t>
  </si>
  <si>
    <t>-43.3%</t>
  </si>
  <si>
    <t>-20.6%</t>
  </si>
  <si>
    <t>-20.0%</t>
  </si>
  <si>
    <t>-48.3%</t>
  </si>
  <si>
    <t>-62.4%</t>
  </si>
  <si>
    <t>18.9%</t>
  </si>
  <si>
    <t>-25.1%</t>
  </si>
  <si>
    <t>NA Website</t>
  </si>
  <si>
    <t>AMZ123</t>
  </si>
  <si>
    <t>1,071</t>
  </si>
  <si>
    <t>29,052</t>
  </si>
  <si>
    <t>2,245</t>
  </si>
  <si>
    <t>2,902</t>
  </si>
  <si>
    <t>4,020</t>
  </si>
  <si>
    <t>3,042</t>
  </si>
  <si>
    <t>2,921</t>
  </si>
  <si>
    <t>2,600</t>
  </si>
  <si>
    <t>2,485</t>
  </si>
  <si>
    <t>2,534</t>
  </si>
  <si>
    <t>2,141</t>
  </si>
  <si>
    <t>1,358</t>
  </si>
  <si>
    <t>1,381</t>
  </si>
  <si>
    <t>3,651</t>
  </si>
  <si>
    <t>48,463</t>
  </si>
  <si>
    <t>3,154</t>
  </si>
  <si>
    <t>1,302</t>
  </si>
  <si>
    <t>3,975</t>
  </si>
  <si>
    <t>4,645</t>
  </si>
  <si>
    <t>5,171</t>
  </si>
  <si>
    <t>5,266</t>
  </si>
  <si>
    <t>5,686</t>
  </si>
  <si>
    <t>4,338</t>
  </si>
  <si>
    <t>3,212</t>
  </si>
  <si>
    <t>4,024</t>
  </si>
  <si>
    <t>-70.7%</t>
  </si>
  <si>
    <t>-40.1%</t>
  </si>
  <si>
    <t>-28.8%</t>
  </si>
  <si>
    <t>122.9%</t>
  </si>
  <si>
    <t>1.1%</t>
  </si>
  <si>
    <t>-34.5%</t>
  </si>
  <si>
    <t>-43.5%</t>
  </si>
  <si>
    <t>-50.6%</t>
  </si>
  <si>
    <t>-56.3%</t>
  </si>
  <si>
    <t>-41.6%</t>
  </si>
  <si>
    <t>-33.4%</t>
  </si>
  <si>
    <t>-66.3%</t>
  </si>
  <si>
    <t>-65.7%</t>
  </si>
  <si>
    <t>3,699</t>
  </si>
  <si>
    <t>42,772</t>
  </si>
  <si>
    <t>1,445</t>
  </si>
  <si>
    <t>2,589</t>
  </si>
  <si>
    <t>3,587</t>
  </si>
  <si>
    <t>3,268</t>
  </si>
  <si>
    <t>3,286</t>
  </si>
  <si>
    <t>4,941</t>
  </si>
  <si>
    <t>3,142</t>
  </si>
  <si>
    <t>3,835</t>
  </si>
  <si>
    <t>4,873</t>
  </si>
  <si>
    <t>4,054</t>
  </si>
  <si>
    <t>3,834</t>
  </si>
  <si>
    <t>2,195</t>
  </si>
  <si>
    <t>30,562</t>
  </si>
  <si>
    <t>2,041</t>
  </si>
  <si>
    <t>1,244</t>
  </si>
  <si>
    <t>3,029</t>
  </si>
  <si>
    <t>2,662</t>
  </si>
  <si>
    <t>2,130</t>
  </si>
  <si>
    <t>2,200</t>
  </si>
  <si>
    <t>3,798</t>
  </si>
  <si>
    <t>3,250</t>
  </si>
  <si>
    <t>2,911</t>
  </si>
  <si>
    <t>2,845</t>
  </si>
  <si>
    <t>68.5%</t>
  </si>
  <si>
    <t>40.0%</t>
  </si>
  <si>
    <t>-29.2%</t>
  </si>
  <si>
    <t>108.1%</t>
  </si>
  <si>
    <t>18.4%</t>
  </si>
  <si>
    <t>22.8%</t>
  </si>
  <si>
    <t>46.4%</t>
  </si>
  <si>
    <t>132.0%</t>
  </si>
  <si>
    <t>42.8%</t>
  </si>
  <si>
    <t>1.0%</t>
  </si>
  <si>
    <t>49.9%</t>
  </si>
  <si>
    <t>39.3%</t>
  </si>
  <si>
    <t>34.8%</t>
  </si>
  <si>
    <t>28.1%</t>
  </si>
  <si>
    <t>60</t>
  </si>
  <si>
    <t>177</t>
  </si>
  <si>
    <t>38</t>
  </si>
  <si>
    <t>46</t>
  </si>
  <si>
    <t>56</t>
  </si>
  <si>
    <t>61</t>
  </si>
  <si>
    <t>131</t>
  </si>
  <si>
    <t>112</t>
  </si>
  <si>
    <t>19</t>
  </si>
  <si>
    <t>25</t>
  </si>
  <si>
    <t>28</t>
  </si>
  <si>
    <t>106.9%</t>
  </si>
  <si>
    <t>414.3%</t>
  </si>
  <si>
    <t>4700.0%</t>
  </si>
  <si>
    <t>5000.0%</t>
  </si>
  <si>
    <t>1433.3%</t>
  </si>
  <si>
    <t>733.3%</t>
  </si>
  <si>
    <t>173.7%</t>
  </si>
  <si>
    <t>124.0%</t>
  </si>
  <si>
    <t>117.9%</t>
  </si>
  <si>
    <t>10</t>
  </si>
  <si>
    <t>8</t>
  </si>
  <si>
    <t>9</t>
  </si>
  <si>
    <t>7</t>
  </si>
  <si>
    <t>34</t>
  </si>
  <si>
    <t>0.0%</t>
  </si>
  <si>
    <t>150.0%</t>
  </si>
  <si>
    <t>-57.2%</t>
  </si>
  <si>
    <t>-66.7%</t>
  </si>
  <si>
    <t>862</t>
  </si>
  <si>
    <t>19,419</t>
  </si>
  <si>
    <t>1,183</t>
  </si>
  <si>
    <t>2,139</t>
  </si>
  <si>
    <t>2,561</t>
  </si>
  <si>
    <t>1,641</t>
  </si>
  <si>
    <t>1,627</t>
  </si>
  <si>
    <t>1,768</t>
  </si>
  <si>
    <t>1,931</t>
  </si>
  <si>
    <t>1,677</t>
  </si>
  <si>
    <t>1,462</t>
  </si>
  <si>
    <t>1,335</t>
  </si>
  <si>
    <t>1,103</t>
  </si>
  <si>
    <t>1,693</t>
  </si>
  <si>
    <t>19,327</t>
  </si>
  <si>
    <t>687</t>
  </si>
  <si>
    <t>823</t>
  </si>
  <si>
    <t>1,847</t>
  </si>
  <si>
    <t>1,875</t>
  </si>
  <si>
    <t>1,972</t>
  </si>
  <si>
    <t>1,643</t>
  </si>
  <si>
    <t>2,003</t>
  </si>
  <si>
    <t>1,753</t>
  </si>
  <si>
    <t>1,501</t>
  </si>
  <si>
    <t>1,710</t>
  </si>
  <si>
    <t>1,807</t>
  </si>
  <si>
    <t>-49.1%</t>
  </si>
  <si>
    <t>-36.7%</t>
  </si>
  <si>
    <t>0.5%</t>
  </si>
  <si>
    <t>72.2%</t>
  </si>
  <si>
    <t>159.9%</t>
  </si>
  <si>
    <t>38.7%</t>
  </si>
  <si>
    <t>-12.5%</t>
  </si>
  <si>
    <t>-17.5%</t>
  </si>
  <si>
    <t>7.6%</t>
  </si>
  <si>
    <t>-3.6%</t>
  </si>
  <si>
    <t>-4.3%</t>
  </si>
  <si>
    <t>-2.6%</t>
  </si>
  <si>
    <t>-39.0%</t>
  </si>
  <si>
    <t>-8.3%</t>
  </si>
  <si>
    <t>SEM</t>
  </si>
  <si>
    <t>57</t>
  </si>
  <si>
    <t>65</t>
  </si>
  <si>
    <t>47</t>
  </si>
  <si>
    <t>36</t>
  </si>
  <si>
    <t>23</t>
  </si>
  <si>
    <t>157</t>
  </si>
  <si>
    <t>15.0%</t>
  </si>
  <si>
    <t>79</t>
  </si>
  <si>
    <t>295</t>
  </si>
  <si>
    <t>4,512</t>
  </si>
  <si>
    <t>299</t>
  </si>
  <si>
    <t>404</t>
  </si>
  <si>
    <t>454</t>
  </si>
  <si>
    <t>387</t>
  </si>
  <si>
    <t>400</t>
  </si>
  <si>
    <t>456</t>
  </si>
  <si>
    <t>392</t>
  </si>
  <si>
    <t>377</t>
  </si>
  <si>
    <t>353</t>
  </si>
  <si>
    <t>953</t>
  </si>
  <si>
    <t>3,368</t>
  </si>
  <si>
    <t>184</t>
  </si>
  <si>
    <t>180</t>
  </si>
  <si>
    <t>265</t>
  </si>
  <si>
    <t>249</t>
  </si>
  <si>
    <t>340</t>
  </si>
  <si>
    <t>275</t>
  </si>
  <si>
    <t>302</t>
  </si>
  <si>
    <t>264</t>
  </si>
  <si>
    <t>262</t>
  </si>
  <si>
    <t>338</t>
  </si>
  <si>
    <t>-16.4%</t>
  </si>
  <si>
    <t>34.0%</t>
  </si>
  <si>
    <t>62.5%</t>
  </si>
  <si>
    <t>124.4%</t>
  </si>
  <si>
    <t>71.3%</t>
  </si>
  <si>
    <t>17.7%</t>
  </si>
  <si>
    <t>13.8%</t>
  </si>
  <si>
    <t>45.5%</t>
  </si>
  <si>
    <t>29.2%</t>
  </si>
  <si>
    <t>32.5%</t>
  </si>
  <si>
    <t>48.5%</t>
  </si>
  <si>
    <t>21.4%</t>
  </si>
  <si>
    <t>11.5%</t>
  </si>
  <si>
    <t>Seller Central</t>
  </si>
  <si>
    <t>8,491</t>
  </si>
  <si>
    <t>137K</t>
  </si>
  <si>
    <t>7,247</t>
  </si>
  <si>
    <t>10,312</t>
  </si>
  <si>
    <t>14,710</t>
  </si>
  <si>
    <t>12,881</t>
  </si>
  <si>
    <t>12,646</t>
  </si>
  <si>
    <t>12,339</t>
  </si>
  <si>
    <t>13,670</t>
  </si>
  <si>
    <t>12,609</t>
  </si>
  <si>
    <t>13,038</t>
  </si>
  <si>
    <t>9,830</t>
  </si>
  <si>
    <t>8,507</t>
  </si>
  <si>
    <t>10,810</t>
  </si>
  <si>
    <t>138K</t>
  </si>
  <si>
    <t>8,879</t>
  </si>
  <si>
    <t>4,370</t>
  </si>
  <si>
    <t>10,133</t>
  </si>
  <si>
    <t>12,466</t>
  </si>
  <si>
    <t>12,992</t>
  </si>
  <si>
    <t>12,606</t>
  </si>
  <si>
    <t>16,508</t>
  </si>
  <si>
    <t>14,017</t>
  </si>
  <si>
    <t>10,426</t>
  </si>
  <si>
    <t>12,256</t>
  </si>
  <si>
    <t>12,166</t>
  </si>
  <si>
    <t>-21.5%</t>
  </si>
  <si>
    <t>-0.3%</t>
  </si>
  <si>
    <t>-18.4%</t>
  </si>
  <si>
    <t>136.0%</t>
  </si>
  <si>
    <t>45.2%</t>
  </si>
  <si>
    <t>3.3%</t>
  </si>
  <si>
    <t>-2.7%</t>
  </si>
  <si>
    <t>-2.1%</t>
  </si>
  <si>
    <t>-17.2%</t>
  </si>
  <si>
    <t>-10.1%</t>
  </si>
  <si>
    <t>25.1%</t>
  </si>
  <si>
    <t>-30.1%</t>
  </si>
  <si>
    <t>129</t>
  </si>
  <si>
    <t>3,659</t>
  </si>
  <si>
    <t>233</t>
  </si>
  <si>
    <t>585</t>
  </si>
  <si>
    <t>507</t>
  </si>
  <si>
    <t>325</t>
  </si>
  <si>
    <t>222</t>
  </si>
  <si>
    <t>376</t>
  </si>
  <si>
    <t>328</t>
  </si>
  <si>
    <t>380</t>
  </si>
  <si>
    <t>205</t>
  </si>
  <si>
    <t>251</t>
  </si>
  <si>
    <t>5,910</t>
  </si>
  <si>
    <t>851</t>
  </si>
  <si>
    <t>424</t>
  </si>
  <si>
    <t>999</t>
  </si>
  <si>
    <t>756</t>
  </si>
  <si>
    <t>453</t>
  </si>
  <si>
    <t>268</t>
  </si>
  <si>
    <t>393</t>
  </si>
  <si>
    <t>439</t>
  </si>
  <si>
    <t>383</t>
  </si>
  <si>
    <t>-38.1%</t>
  </si>
  <si>
    <t>-81.6%</t>
  </si>
  <si>
    <t>-45.1%</t>
  </si>
  <si>
    <t>-41.5%</t>
  </si>
  <si>
    <t>-32.9%</t>
  </si>
  <si>
    <t>-28.3%</t>
  </si>
  <si>
    <t>-3.1%</t>
  </si>
  <si>
    <t>-30.0%</t>
  </si>
  <si>
    <t>-50.7%</t>
  </si>
  <si>
    <t>-28.6%</t>
  </si>
  <si>
    <t>NA Website Subtotal</t>
  </si>
  <si>
    <t>14,666</t>
  </si>
  <si>
    <t>238K</t>
  </si>
  <si>
    <t>12,695</t>
  </si>
  <si>
    <t>18,722</t>
  </si>
  <si>
    <t>26,037</t>
  </si>
  <si>
    <t>21,714</t>
  </si>
  <si>
    <t>21,294</t>
  </si>
  <si>
    <t>22,385</t>
  </si>
  <si>
    <t>22,181</t>
  </si>
  <si>
    <t>21,499</t>
  </si>
  <si>
    <t>22,412</t>
  </si>
  <si>
    <t>17,212</t>
  </si>
  <si>
    <t>15,521</t>
  </si>
  <si>
    <t>19,035</t>
  </si>
  <si>
    <t>246K</t>
  </si>
  <si>
    <t>15,857</t>
  </si>
  <si>
    <t>8,388</t>
  </si>
  <si>
    <t>20,323</t>
  </si>
  <si>
    <t>22,706</t>
  </si>
  <si>
    <t>23,236</t>
  </si>
  <si>
    <t>22,256</t>
  </si>
  <si>
    <t>27,167</t>
  </si>
  <si>
    <t>24,677</t>
  </si>
  <si>
    <t>19,091</t>
  </si>
  <si>
    <t>21,535</t>
  </si>
  <si>
    <t>21,685</t>
  </si>
  <si>
    <t>-3.2%</t>
  </si>
  <si>
    <t>123.2%</t>
  </si>
  <si>
    <t>-4.4%</t>
  </si>
  <si>
    <t>-8.4%</t>
  </si>
  <si>
    <t>0.6%</t>
  </si>
  <si>
    <t>-12.9%</t>
  </si>
  <si>
    <t>17.4%</t>
  </si>
  <si>
    <t>-20.1%</t>
  </si>
  <si>
    <t>28.9%</t>
  </si>
  <si>
    <t>EU Website</t>
  </si>
  <si>
    <t>396</t>
  </si>
  <si>
    <t>1,351</t>
  </si>
  <si>
    <t>9,146</t>
  </si>
  <si>
    <t>695</t>
  </si>
  <si>
    <t>581</t>
  </si>
  <si>
    <t>780</t>
  </si>
  <si>
    <t>981</t>
  </si>
  <si>
    <t>986</t>
  </si>
  <si>
    <t>1,025</t>
  </si>
  <si>
    <t>992</t>
  </si>
  <si>
    <t>988</t>
  </si>
  <si>
    <t>677</t>
  </si>
  <si>
    <t>595</t>
  </si>
  <si>
    <t>360</t>
  </si>
  <si>
    <t>690</t>
  </si>
  <si>
    <t>1,339</t>
  </si>
  <si>
    <t>-49.9%</t>
  </si>
  <si>
    <t>-0.2%</t>
  </si>
  <si>
    <t>66.7%</t>
  </si>
  <si>
    <t>142.1%</t>
  </si>
  <si>
    <t>14.4%</t>
  </si>
  <si>
    <t>42.2%</t>
  </si>
  <si>
    <t>15.5%</t>
  </si>
  <si>
    <t>4.4%</t>
  </si>
  <si>
    <t>-10.8%</t>
  </si>
  <si>
    <t>15.3%</t>
  </si>
  <si>
    <t>-4.8%</t>
  </si>
  <si>
    <t>-25.8%</t>
  </si>
  <si>
    <t>-64.9%</t>
  </si>
  <si>
    <t>-0.9%</t>
  </si>
  <si>
    <t>902</t>
  </si>
  <si>
    <t>9,350</t>
  </si>
  <si>
    <t>309</t>
  </si>
  <si>
    <t>381</t>
  </si>
  <si>
    <t>553</t>
  </si>
  <si>
    <t>839</t>
  </si>
  <si>
    <t>1,008</t>
  </si>
  <si>
    <t>789</t>
  </si>
  <si>
    <t>665</t>
  </si>
  <si>
    <t>473</t>
  </si>
  <si>
    <t>16.2%</t>
  </si>
  <si>
    <t>24.5%</t>
  </si>
  <si>
    <t>-5.3%</t>
  </si>
  <si>
    <t>24.1%</t>
  </si>
  <si>
    <t>158.0%</t>
  </si>
  <si>
    <t>20.1%</t>
  </si>
  <si>
    <t>-22.6%</t>
  </si>
  <si>
    <t>22.0%</t>
  </si>
  <si>
    <t>17.6%</t>
  </si>
  <si>
    <t>9.2%</t>
  </si>
  <si>
    <t>2</t>
  </si>
  <si>
    <t>400.0%</t>
  </si>
  <si>
    <t>750.0%</t>
  </si>
  <si>
    <t>500.0%</t>
  </si>
  <si>
    <t>100.0%</t>
  </si>
  <si>
    <t>76</t>
  </si>
  <si>
    <t>197</t>
  </si>
  <si>
    <t>165</t>
  </si>
  <si>
    <t>33</t>
  </si>
  <si>
    <t>124</t>
  </si>
  <si>
    <t>91</t>
  </si>
  <si>
    <t>55.1%</t>
  </si>
  <si>
    <t>22.2%</t>
  </si>
  <si>
    <t>7.9%</t>
  </si>
  <si>
    <t>78</t>
  </si>
  <si>
    <t>1,967</t>
  </si>
  <si>
    <t>163</t>
  </si>
  <si>
    <t>90</t>
  </si>
  <si>
    <t>126</t>
  </si>
  <si>
    <t>270</t>
  </si>
  <si>
    <t>18.2%</t>
  </si>
  <si>
    <t>-54.0%</t>
  </si>
  <si>
    <t>15.7%</t>
  </si>
  <si>
    <t>-17.6%</t>
  </si>
  <si>
    <t>81.1%</t>
  </si>
  <si>
    <t>65.5%</t>
  </si>
  <si>
    <t>73.0%</t>
  </si>
  <si>
    <t>176.9%</t>
  </si>
  <si>
    <t>198.2%</t>
  </si>
  <si>
    <t>43.4%</t>
  </si>
  <si>
    <t>40.5%</t>
  </si>
  <si>
    <t>-68.2%</t>
  </si>
  <si>
    <t>-68.4%</t>
  </si>
  <si>
    <t>-58.1%</t>
  </si>
  <si>
    <t>35</t>
  </si>
  <si>
    <t>-50.0%</t>
  </si>
  <si>
    <t>41.8%</t>
  </si>
  <si>
    <t>37.5%</t>
  </si>
  <si>
    <t>350.0%</t>
  </si>
  <si>
    <t>83.3%</t>
  </si>
  <si>
    <t>-40.0%</t>
  </si>
  <si>
    <t>42.9%</t>
  </si>
  <si>
    <t>85.7%</t>
  </si>
  <si>
    <t>14.3%</t>
  </si>
  <si>
    <t>10.3%</t>
  </si>
  <si>
    <t>652</t>
  </si>
  <si>
    <t>74</t>
  </si>
  <si>
    <t>245</t>
  </si>
  <si>
    <t>12.5%</t>
  </si>
  <si>
    <t>-8.9%</t>
  </si>
  <si>
    <t>-14.7%</t>
  </si>
  <si>
    <t>59.0%</t>
  </si>
  <si>
    <t>205.0%</t>
  </si>
  <si>
    <t>11.9%</t>
  </si>
  <si>
    <t>96.2%</t>
  </si>
  <si>
    <t>146.7%</t>
  </si>
  <si>
    <t>200.0%</t>
  </si>
  <si>
    <t>171.4%</t>
  </si>
  <si>
    <t>122.2%</t>
  </si>
  <si>
    <t>15.4%</t>
  </si>
  <si>
    <t>-5.7%</t>
  </si>
  <si>
    <t>301</t>
  </si>
  <si>
    <t>1,146</t>
  </si>
  <si>
    <t>17,564</t>
  </si>
  <si>
    <t>967</t>
  </si>
  <si>
    <t>1,379</t>
  </si>
  <si>
    <t>1,960</t>
  </si>
  <si>
    <t>1,748</t>
  </si>
  <si>
    <t>1,811</t>
  </si>
  <si>
    <t>2,093</t>
  </si>
  <si>
    <t>1,781</t>
  </si>
  <si>
    <t>1,736</t>
  </si>
  <si>
    <t>1,160</t>
  </si>
  <si>
    <t>938</t>
  </si>
  <si>
    <t>12.3%</t>
  </si>
  <si>
    <t>24.8%</t>
  </si>
  <si>
    <t>-2.0%</t>
  </si>
  <si>
    <t>104.4%</t>
  </si>
  <si>
    <t>16.5%</t>
  </si>
  <si>
    <t>15.8%</t>
  </si>
  <si>
    <t>40.6%</t>
  </si>
  <si>
    <t>27.8%</t>
  </si>
  <si>
    <t>0.7%</t>
  </si>
  <si>
    <t>76.6%</t>
  </si>
  <si>
    <t>707</t>
  </si>
  <si>
    <t>71</t>
  </si>
  <si>
    <t>-68.3%</t>
  </si>
  <si>
    <t>-28.1%</t>
  </si>
  <si>
    <t>-55.8%</t>
  </si>
  <si>
    <t>43.8%</t>
  </si>
  <si>
    <t>-23.3%</t>
  </si>
  <si>
    <t>26.5%</t>
  </si>
  <si>
    <t>-46.1%</t>
  </si>
  <si>
    <t>-43.7%</t>
  </si>
  <si>
    <t>-10.0%</t>
  </si>
  <si>
    <t>-11.8%</t>
  </si>
  <si>
    <t>-10.7%</t>
  </si>
  <si>
    <t>-62.8%</t>
  </si>
  <si>
    <t>EU Website Subtotal</t>
  </si>
  <si>
    <t>2,728</t>
  </si>
  <si>
    <t>41,446</t>
  </si>
  <si>
    <t>2,061</t>
  </si>
  <si>
    <t>2,363</t>
  </si>
  <si>
    <t>3,214</t>
  </si>
  <si>
    <t>4,391</t>
  </si>
  <si>
    <t>4,033</t>
  </si>
  <si>
    <t>4,731</t>
  </si>
  <si>
    <t>4,413</t>
  </si>
  <si>
    <t>4,297</t>
  </si>
  <si>
    <t>3,807</t>
  </si>
  <si>
    <t>2,917</t>
  </si>
  <si>
    <t>2,260</t>
  </si>
  <si>
    <t>16.1%</t>
  </si>
  <si>
    <t>3.8%</t>
  </si>
  <si>
    <t>20.2%</t>
  </si>
  <si>
    <t>28.3%</t>
  </si>
  <si>
    <t>51.3%</t>
  </si>
  <si>
    <t>28.2%</t>
  </si>
  <si>
    <t>-1.8%</t>
  </si>
  <si>
    <t>JP Website</t>
  </si>
  <si>
    <t>17</t>
  </si>
  <si>
    <t>266.7%</t>
  </si>
  <si>
    <t>68.1%</t>
  </si>
  <si>
    <t>-100.0%</t>
  </si>
  <si>
    <t>225.0%</t>
  </si>
  <si>
    <t>183.3%</t>
  </si>
  <si>
    <t>2,448</t>
  </si>
  <si>
    <t>134</t>
  </si>
  <si>
    <t>727</t>
  </si>
  <si>
    <t>259</t>
  </si>
  <si>
    <t>191</t>
  </si>
  <si>
    <t>269</t>
  </si>
  <si>
    <t>198.8%</t>
  </si>
  <si>
    <t>-86.5%</t>
  </si>
  <si>
    <t>-56.2%</t>
  </si>
  <si>
    <t>-83.4%</t>
  </si>
  <si>
    <t>-78.4%</t>
  </si>
  <si>
    <t>-64.5%</t>
  </si>
  <si>
    <t>60.1%</t>
  </si>
  <si>
    <t>-85.8%</t>
  </si>
  <si>
    <t>-92.4%</t>
  </si>
  <si>
    <t>-60.1%</t>
  </si>
  <si>
    <t>-49.8%</t>
  </si>
  <si>
    <t>25.7%</t>
  </si>
  <si>
    <t>-37.8%</t>
  </si>
  <si>
    <t>776</t>
  </si>
  <si>
    <t>123</t>
  </si>
  <si>
    <t>15.6%</t>
  </si>
  <si>
    <t>23.3%</t>
  </si>
  <si>
    <t>134.3%</t>
  </si>
  <si>
    <t>132.1%</t>
  </si>
  <si>
    <t>127.8%</t>
  </si>
  <si>
    <t>66.1%</t>
  </si>
  <si>
    <t>-15.4%</t>
  </si>
  <si>
    <t>-23.8%</t>
  </si>
  <si>
    <t>-58.3%</t>
  </si>
  <si>
    <t>-4.6%</t>
  </si>
  <si>
    <t>142</t>
  </si>
  <si>
    <t>-86.7%</t>
  </si>
  <si>
    <t>86.8%</t>
  </si>
  <si>
    <t>450.0%</t>
  </si>
  <si>
    <t>2100.0%</t>
  </si>
  <si>
    <t>366.7%</t>
  </si>
  <si>
    <t>1000.0%</t>
  </si>
  <si>
    <t>300.0%</t>
  </si>
  <si>
    <t>-42.9%</t>
  </si>
  <si>
    <t>-46.2%</t>
  </si>
  <si>
    <t>164</t>
  </si>
  <si>
    <t>36.4%</t>
  </si>
  <si>
    <t>120.0%</t>
  </si>
  <si>
    <t>531</t>
  </si>
  <si>
    <t>6,946</t>
  </si>
  <si>
    <t>169</t>
  </si>
  <si>
    <t>321</t>
  </si>
  <si>
    <t>401</t>
  </si>
  <si>
    <t>578</t>
  </si>
  <si>
    <t>948</t>
  </si>
  <si>
    <t>843</t>
  </si>
  <si>
    <t>759</t>
  </si>
  <si>
    <t>552</t>
  </si>
  <si>
    <t>373</t>
  </si>
  <si>
    <t>80.0%</t>
  </si>
  <si>
    <t>279.6%</t>
  </si>
  <si>
    <t>344.7%</t>
  </si>
  <si>
    <t>1359.1%</t>
  </si>
  <si>
    <t>536.5%</t>
  </si>
  <si>
    <t>1091.8%</t>
  </si>
  <si>
    <t>612.7%</t>
  </si>
  <si>
    <t>556.8%</t>
  </si>
  <si>
    <t>838.6%</t>
  </si>
  <si>
    <t>458.3%</t>
  </si>
  <si>
    <t>328.8%</t>
  </si>
  <si>
    <t>65.8%</t>
  </si>
  <si>
    <t>-6.3%</t>
  </si>
  <si>
    <t>43</t>
  </si>
  <si>
    <t>-32.7%</t>
  </si>
  <si>
    <t>550.0%</t>
  </si>
  <si>
    <t>JP Website Subtotal</t>
  </si>
  <si>
    <t>840</t>
  </si>
  <si>
    <t>11,090</t>
  </si>
  <si>
    <t>280</t>
  </si>
  <si>
    <t>529</t>
  </si>
  <si>
    <t>698</t>
  </si>
  <si>
    <t>1,090</t>
  </si>
  <si>
    <t>1,097</t>
  </si>
  <si>
    <t>1,252</t>
  </si>
  <si>
    <t>1,058</t>
  </si>
  <si>
    <t>1,150</t>
  </si>
  <si>
    <t>937</t>
  </si>
  <si>
    <t>662</t>
  </si>
  <si>
    <t>79.5%</t>
  </si>
  <si>
    <t>23.5%</t>
  </si>
  <si>
    <t>-34.1%</t>
  </si>
  <si>
    <t>79.9%</t>
  </si>
  <si>
    <t>-29.9%</t>
  </si>
  <si>
    <t>8.6%</t>
  </si>
  <si>
    <t>50.7%</t>
  </si>
  <si>
    <t>136.2%</t>
  </si>
  <si>
    <t>62.2%</t>
  </si>
  <si>
    <t>22.3%</t>
  </si>
  <si>
    <t>-10.3%</t>
  </si>
  <si>
    <t>-12.1%</t>
  </si>
  <si>
    <t>640</t>
  </si>
  <si>
    <t>179</t>
  </si>
  <si>
    <t>625</t>
  </si>
  <si>
    <t>-86.4%</t>
  </si>
  <si>
    <t>70</t>
  </si>
  <si>
    <t>Organic Subtotal</t>
  </si>
  <si>
    <t>23,443</t>
  </si>
  <si>
    <t>390K</t>
  </si>
  <si>
    <t>23,228</t>
  </si>
  <si>
    <t>31,574</t>
  </si>
  <si>
    <t>42,555</t>
  </si>
  <si>
    <t>40,107</t>
  </si>
  <si>
    <t>35,814</t>
  </si>
  <si>
    <t>35,785</t>
  </si>
  <si>
    <t>35,336</t>
  </si>
  <si>
    <t>34,781</t>
  </si>
  <si>
    <t>34,191</t>
  </si>
  <si>
    <t>26,541</t>
  </si>
  <si>
    <t>23,064</t>
  </si>
  <si>
    <t>34,536</t>
  </si>
  <si>
    <t>418K</t>
  </si>
  <si>
    <t>28,836</t>
  </si>
  <si>
    <t>14,366</t>
  </si>
  <si>
    <t>34,688</t>
  </si>
  <si>
    <t>40,205</t>
  </si>
  <si>
    <t>40,126</t>
  </si>
  <si>
    <t>37,100</t>
  </si>
  <si>
    <t>44,102</t>
  </si>
  <si>
    <t>39,571</t>
  </si>
  <si>
    <t>31,340</t>
  </si>
  <si>
    <t>35,702</t>
  </si>
  <si>
    <t>37,064</t>
  </si>
  <si>
    <t>-32.1%</t>
  </si>
  <si>
    <t>-6.7%</t>
  </si>
  <si>
    <t>-19.5%</t>
  </si>
  <si>
    <t>119.8%</t>
  </si>
  <si>
    <t>22.7%</t>
  </si>
  <si>
    <t>-19.9%</t>
  </si>
  <si>
    <t>9.1%</t>
  </si>
  <si>
    <t>-25.7%</t>
  </si>
  <si>
    <t>Paid</t>
  </si>
  <si>
    <t>6,402</t>
  </si>
  <si>
    <t>135K</t>
  </si>
  <si>
    <t>6,237</t>
  </si>
  <si>
    <t>7,929</t>
  </si>
  <si>
    <t>14,020</t>
  </si>
  <si>
    <t>13,461</t>
  </si>
  <si>
    <t>13,227</t>
  </si>
  <si>
    <t>11,625</t>
  </si>
  <si>
    <t>15,044</t>
  </si>
  <si>
    <t>17,230</t>
  </si>
  <si>
    <t>13,306</t>
  </si>
  <si>
    <t>8,478</t>
  </si>
  <si>
    <t>6,748</t>
  </si>
  <si>
    <t>13,403</t>
  </si>
  <si>
    <t>7,612</t>
  </si>
  <si>
    <t>2,405</t>
  </si>
  <si>
    <t>10,476</t>
  </si>
  <si>
    <t>13,053</t>
  </si>
  <si>
    <t>13,351</t>
  </si>
  <si>
    <t>13,633</t>
  </si>
  <si>
    <t>15,589</t>
  </si>
  <si>
    <t>11,958</t>
  </si>
  <si>
    <t>9,720</t>
  </si>
  <si>
    <t>12,568</t>
  </si>
  <si>
    <t>-52.2%</t>
  </si>
  <si>
    <t>-18.1%</t>
  </si>
  <si>
    <t>229.7%</t>
  </si>
  <si>
    <t>33.8%</t>
  </si>
  <si>
    <t>3.1%</t>
  </si>
  <si>
    <t>-3.5%</t>
  </si>
  <si>
    <t>44.1%</t>
  </si>
  <si>
    <t>36.9%</t>
  </si>
  <si>
    <t>3,658</t>
  </si>
  <si>
    <t>59,141</t>
  </si>
  <si>
    <t>1,877</t>
  </si>
  <si>
    <t>6,129</t>
  </si>
  <si>
    <t>4,978</t>
  </si>
  <si>
    <t>6,233</t>
  </si>
  <si>
    <t>6,449</t>
  </si>
  <si>
    <t>6,738</t>
  </si>
  <si>
    <t>6,733</t>
  </si>
  <si>
    <t>5,453</t>
  </si>
  <si>
    <t>3,290</t>
  </si>
  <si>
    <t>3,196</t>
  </si>
  <si>
    <t>3,037</t>
  </si>
  <si>
    <t>53,185</t>
  </si>
  <si>
    <t>4,422</t>
  </si>
  <si>
    <t>3,338</t>
  </si>
  <si>
    <t>6,085</t>
  </si>
  <si>
    <t>6,014</t>
  </si>
  <si>
    <t>5,592</t>
  </si>
  <si>
    <t>4,836</t>
  </si>
  <si>
    <t>4,851</t>
  </si>
  <si>
    <t>4,340</t>
  </si>
  <si>
    <t>3,463</t>
  </si>
  <si>
    <t>3,666</t>
  </si>
  <si>
    <t>3,466</t>
  </si>
  <si>
    <t>20.4%</t>
  </si>
  <si>
    <t>11.2%</t>
  </si>
  <si>
    <t>-57.6%</t>
  </si>
  <si>
    <t>33.4%</t>
  </si>
  <si>
    <t>38.9%</t>
  </si>
  <si>
    <t>57.5%</t>
  </si>
  <si>
    <t>-7.8%</t>
  </si>
  <si>
    <t>10,060</t>
  </si>
  <si>
    <t>194K</t>
  </si>
  <si>
    <t>8,114</t>
  </si>
  <si>
    <t>12,073</t>
  </si>
  <si>
    <t>20,149</t>
  </si>
  <si>
    <t>18,439</t>
  </si>
  <si>
    <t>19,460</t>
  </si>
  <si>
    <t>18,074</t>
  </si>
  <si>
    <t>21,782</t>
  </si>
  <si>
    <t>23,963</t>
  </si>
  <si>
    <t>18,760</t>
  </si>
  <si>
    <t>11,768</t>
  </si>
  <si>
    <t>9,945</t>
  </si>
  <si>
    <t>16,440</t>
  </si>
  <si>
    <t>191K</t>
  </si>
  <si>
    <t>12,034</t>
  </si>
  <si>
    <t>5,743</t>
  </si>
  <si>
    <t>16,561</t>
  </si>
  <si>
    <t>19,067</t>
  </si>
  <si>
    <t>18,943</t>
  </si>
  <si>
    <t>18,469</t>
  </si>
  <si>
    <t>20,440</t>
  </si>
  <si>
    <t>16,298</t>
  </si>
  <si>
    <t>13,183</t>
  </si>
  <si>
    <t>16,234</t>
  </si>
  <si>
    <t>17,136</t>
  </si>
  <si>
    <t>-38.8%</t>
  </si>
  <si>
    <t>1.7%</t>
  </si>
  <si>
    <t>110.2%</t>
  </si>
  <si>
    <t>21.7%</t>
  </si>
  <si>
    <t>-3.3%</t>
  </si>
  <si>
    <t>2.7%</t>
  </si>
  <si>
    <t>6.6%</t>
  </si>
  <si>
    <t>47.0%</t>
  </si>
  <si>
    <t>42.3%</t>
  </si>
  <si>
    <t>-27.5%</t>
  </si>
  <si>
    <t>-42.0%</t>
  </si>
  <si>
    <t>490</t>
  </si>
  <si>
    <t>63.9%</t>
  </si>
  <si>
    <t>Paid Subtotal</t>
  </si>
  <si>
    <t>13,444</t>
  </si>
  <si>
    <t>231K</t>
  </si>
  <si>
    <t>9,721</t>
  </si>
  <si>
    <t>13,530</t>
  </si>
  <si>
    <t>23,956</t>
  </si>
  <si>
    <t>22,677</t>
  </si>
  <si>
    <t>24,112</t>
  </si>
  <si>
    <t>20,001</t>
  </si>
  <si>
    <t>24,513</t>
  </si>
  <si>
    <t>27,330</t>
  </si>
  <si>
    <t>22,160</t>
  </si>
  <si>
    <t>15,152</t>
  </si>
  <si>
    <t>13,322</t>
  </si>
  <si>
    <t>-28.7%</t>
  </si>
  <si>
    <t>-25.5%</t>
  </si>
  <si>
    <t>125.8%</t>
  </si>
  <si>
    <t>35.2%</t>
  </si>
  <si>
    <t>5.4%</t>
  </si>
  <si>
    <t>13.6%</t>
  </si>
  <si>
    <t>4.0%</t>
  </si>
  <si>
    <t>52.6%</t>
  </si>
  <si>
    <t>61.8%</t>
  </si>
  <si>
    <t>-8.7%</t>
  </si>
  <si>
    <t>-29.4%</t>
  </si>
  <si>
    <t>Reg Start Subtotal</t>
  </si>
  <si>
    <t>36,887</t>
  </si>
  <si>
    <t>621K</t>
  </si>
  <si>
    <t>32,949</t>
  </si>
  <si>
    <t>45,104</t>
  </si>
  <si>
    <t>66,511</t>
  </si>
  <si>
    <t>62,784</t>
  </si>
  <si>
    <t>59,926</t>
  </si>
  <si>
    <t>55,786</t>
  </si>
  <si>
    <t>59,849</t>
  </si>
  <si>
    <t>62,111</t>
  </si>
  <si>
    <t>56,351</t>
  </si>
  <si>
    <t>41,693</t>
  </si>
  <si>
    <t>36,386</t>
  </si>
  <si>
    <t>-26.2%</t>
  </si>
  <si>
    <t>-30.9%</t>
  </si>
  <si>
    <t>-1.1%</t>
  </si>
  <si>
    <t>-21.3%</t>
  </si>
  <si>
    <t>121.6%</t>
  </si>
  <si>
    <t>26.9%</t>
  </si>
  <si>
    <t>-11.6%</t>
  </si>
  <si>
    <t>8.0%</t>
  </si>
  <si>
    <t>-20.3%</t>
  </si>
  <si>
    <t>-35.0%</t>
  </si>
  <si>
    <t>-18.7%</t>
  </si>
  <si>
    <t>27.3%</t>
  </si>
  <si>
    <t>-10.4%</t>
  </si>
  <si>
    <t>-27.0%</t>
  </si>
  <si>
    <t>-45.2%</t>
  </si>
  <si>
    <t>43.6%</t>
  </si>
  <si>
    <t>-53.1%</t>
  </si>
  <si>
    <t>-15.2%</t>
  </si>
  <si>
    <t>-7.9%</t>
  </si>
  <si>
    <t>15.9%</t>
  </si>
  <si>
    <t>47.2%</t>
  </si>
  <si>
    <t>1,277</t>
  </si>
  <si>
    <t>30.6%</t>
  </si>
  <si>
    <t>18.1%</t>
  </si>
  <si>
    <t>-21.8%</t>
  </si>
  <si>
    <t>14.0%</t>
  </si>
  <si>
    <t>81</t>
  </si>
  <si>
    <t>64</t>
  </si>
  <si>
    <t>-80.4%</t>
  </si>
  <si>
    <t>168.4%</t>
  </si>
  <si>
    <t>30.0%</t>
  </si>
  <si>
    <t>14.6%</t>
  </si>
  <si>
    <t>2,477</t>
  </si>
  <si>
    <t>-31.2%</t>
  </si>
  <si>
    <t>36.5%</t>
  </si>
  <si>
    <t>Jan 31, 2026</t>
  </si>
  <si>
    <t>Feb 28, 2026</t>
  </si>
  <si>
    <t>Mar 31, 2026</t>
  </si>
  <si>
    <t>4,352</t>
  </si>
  <si>
    <t>1,746</t>
  </si>
  <si>
    <t>4,963</t>
  </si>
  <si>
    <t>-77.0%</t>
  </si>
  <si>
    <t>407.7%</t>
  </si>
  <si>
    <t>336.6%</t>
  </si>
  <si>
    <t>-72.5%</t>
  </si>
  <si>
    <t>765</t>
  </si>
  <si>
    <t>347</t>
  </si>
  <si>
    <t>705</t>
  </si>
  <si>
    <t>-58.0%</t>
  </si>
  <si>
    <t>25.5%</t>
  </si>
  <si>
    <t>-30.4%</t>
  </si>
  <si>
    <t>5,875</t>
  </si>
  <si>
    <t>2,552</t>
  </si>
  <si>
    <t>6,808</t>
  </si>
  <si>
    <t>-72.4%</t>
  </si>
  <si>
    <t>-41.9%</t>
  </si>
  <si>
    <t>1,332</t>
  </si>
  <si>
    <t>-40.7%</t>
  </si>
  <si>
    <t>-78.5%</t>
  </si>
  <si>
    <t>3,878</t>
  </si>
  <si>
    <t>1,809</t>
  </si>
  <si>
    <t>63.7%</t>
  </si>
  <si>
    <t>928</t>
  </si>
  <si>
    <t>551</t>
  </si>
  <si>
    <t>1,322</t>
  </si>
  <si>
    <t>-74.3%</t>
  </si>
  <si>
    <t>520</t>
  </si>
  <si>
    <t>9,462</t>
  </si>
  <si>
    <t>4,306</t>
  </si>
  <si>
    <t>11,456</t>
  </si>
  <si>
    <t>-58.2%</t>
  </si>
  <si>
    <t>-22.1%</t>
  </si>
  <si>
    <t>16,406</t>
  </si>
  <si>
    <t>7,745</t>
  </si>
  <si>
    <t>20,834</t>
  </si>
  <si>
    <t>29.3%</t>
  </si>
  <si>
    <t>-58.6%</t>
  </si>
  <si>
    <t>261</t>
  </si>
  <si>
    <t>-55.1%</t>
  </si>
  <si>
    <t>763</t>
  </si>
  <si>
    <t>450</t>
  </si>
  <si>
    <t>1,125</t>
  </si>
  <si>
    <t>146.9%</t>
  </si>
  <si>
    <t>103.1%</t>
  </si>
  <si>
    <t>-74.7%</t>
  </si>
  <si>
    <t>752</t>
  </si>
  <si>
    <t>1,678</t>
  </si>
  <si>
    <t>62.9%</t>
  </si>
  <si>
    <t>-56.5%</t>
  </si>
  <si>
    <t>-66.1%</t>
  </si>
  <si>
    <t>2,949</t>
  </si>
  <si>
    <t>1,662</t>
  </si>
  <si>
    <t>3,729</t>
  </si>
  <si>
    <t>43.1%</t>
  </si>
  <si>
    <t>-61.5%</t>
  </si>
  <si>
    <t>322</t>
  </si>
  <si>
    <t>600.0%</t>
  </si>
  <si>
    <t>101.5%</t>
  </si>
  <si>
    <t>-44.6%</t>
  </si>
  <si>
    <t>-81.8%</t>
  </si>
  <si>
    <t>-92.9%</t>
  </si>
  <si>
    <t>487.5%</t>
  </si>
  <si>
    <t>93.3%</t>
  </si>
  <si>
    <t>699</t>
  </si>
  <si>
    <t>313.6%</t>
  </si>
  <si>
    <t>1,144</t>
  </si>
  <si>
    <t>308.6%</t>
  </si>
  <si>
    <t>-10.6%</t>
  </si>
  <si>
    <t>27,623</t>
  </si>
  <si>
    <t>13,086</t>
  </si>
  <si>
    <t>33,378</t>
  </si>
  <si>
    <t>-58.5%</t>
  </si>
  <si>
    <t>6,005</t>
  </si>
  <si>
    <t>4,993</t>
  </si>
  <si>
    <t>-3.7%</t>
  </si>
  <si>
    <t>-75.3%</t>
  </si>
  <si>
    <t>-64.4%</t>
  </si>
  <si>
    <t>3,107</t>
  </si>
  <si>
    <t>5,936</t>
  </si>
  <si>
    <t>-40.3%</t>
  </si>
  <si>
    <t>9,112</t>
  </si>
  <si>
    <t>4,437</t>
  </si>
  <si>
    <t>10,930</t>
  </si>
  <si>
    <t>-45.8%</t>
  </si>
  <si>
    <t>12,638</t>
  </si>
  <si>
    <t>6,221</t>
  </si>
  <si>
    <t>15,156</t>
  </si>
  <si>
    <t>40,261</t>
  </si>
  <si>
    <t>19,307</t>
  </si>
  <si>
    <t>48,534</t>
  </si>
  <si>
    <t>FY25</t>
    <phoneticPr fontId="1" type="noConversion"/>
  </si>
  <si>
    <t>M12</t>
    <phoneticPr fontId="1" type="noConversion"/>
  </si>
  <si>
    <t>YoY</t>
    <phoneticPr fontId="1" type="noConversion"/>
  </si>
  <si>
    <t>YTD</t>
    <phoneticPr fontId="1" type="noConversion"/>
  </si>
  <si>
    <t>DeepSeek R1 launch marked peak AI adoption</t>
  </si>
  <si>
    <t>Upgraded to R1-0528 model, adopted by rivals like Baidu.</t>
  </si>
  <si>
    <t>DeepSeek (V3.1) and Doubao release new models</t>
    <phoneticPr fontId="1" type="noConversion"/>
  </si>
  <si>
    <t>CNGS GEO efforts initiated</t>
    <phoneticPr fontId="1" type="noConversion"/>
  </si>
  <si>
    <t>Reg Start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</si>
</sst>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%"/>
    <numFmt numFmtId="177" formatCode="_ * #,##0_ ;_ * \-#,##0_ ;_ * &quot;-&quot;??_ ;_ @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Aptos"/>
      <family val="2"/>
    </font>
    <font>
      <b/>
      <sz val="9"/>
      <color theme="0"/>
      <name val="Aptos"/>
      <family val="2"/>
    </font>
    <font>
      <b/>
      <sz val="9"/>
      <color rgb="FFFFFFFF"/>
      <name val="Aptos"/>
      <family val="2"/>
    </font>
    <font>
      <b/>
      <sz val="9"/>
      <color rgb="FF000000"/>
      <name val="Aptos"/>
      <family val="2"/>
    </font>
    <font>
      <sz val="9"/>
      <color rgb="FF000000"/>
      <name val="Aptos"/>
      <family val="2"/>
    </font>
    <font>
      <sz val="11"/>
      <color theme="1"/>
      <name val="宋体"/>
      <family val="2"/>
      <scheme val="minor"/>
    </font>
    <font>
      <sz val="9"/>
      <color theme="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/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indexed="64"/>
      </left>
      <right style="thin">
        <color indexed="64"/>
      </right>
      <top style="thin">
        <color rgb="FFD4D4D4"/>
      </top>
      <bottom style="thin">
        <color rgb="FFD4D4D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4D4D4"/>
      </left>
      <right/>
      <top/>
      <bottom style="thin">
        <color rgb="FFD4D4D4"/>
      </bottom>
      <diagonal/>
    </border>
    <border>
      <left/>
      <right/>
      <top/>
      <bottom style="thin">
        <color rgb="FFD4D4D4"/>
      </bottom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 style="thin">
        <color indexed="64"/>
      </left>
      <right style="thin">
        <color indexed="64"/>
      </right>
      <top/>
      <bottom style="thin">
        <color rgb="FFD4D4D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2" fillId="0" borderId="0" xfId="0" applyFont="1"/>
    <xf numFmtId="0" fontId="4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/>
    <xf numFmtId="0" fontId="6" fillId="0" borderId="1" xfId="0" applyFont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176" fontId="6" fillId="4" borderId="1" xfId="2" applyNumberFormat="1" applyFont="1" applyFill="1" applyBorder="1" applyAlignment="1">
      <alignment horizontal="right" vertical="center" wrapText="1"/>
    </xf>
    <xf numFmtId="176" fontId="6" fillId="3" borderId="1" xfId="2" applyNumberFormat="1" applyFont="1" applyFill="1" applyBorder="1" applyAlignment="1">
      <alignment horizontal="right" vertical="center" wrapText="1"/>
    </xf>
    <xf numFmtId="176" fontId="5" fillId="4" borderId="1" xfId="2" applyNumberFormat="1" applyFont="1" applyFill="1" applyBorder="1" applyAlignment="1">
      <alignment horizontal="right" vertical="center" wrapText="1"/>
    </xf>
    <xf numFmtId="177" fontId="6" fillId="4" borderId="1" xfId="1" applyNumberFormat="1" applyFont="1" applyFill="1" applyBorder="1" applyAlignment="1">
      <alignment horizontal="right" vertical="center" wrapText="1"/>
    </xf>
    <xf numFmtId="176" fontId="6" fillId="7" borderId="1" xfId="2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0" fontId="3" fillId="5" borderId="15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15" fontId="4" fillId="2" borderId="1" xfId="0" applyNumberFormat="1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2" fillId="5" borderId="0" xfId="0" applyFont="1" applyFill="1"/>
    <xf numFmtId="0" fontId="8" fillId="5" borderId="0" xfId="0" applyFont="1" applyFill="1"/>
    <xf numFmtId="0" fontId="3" fillId="5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1"/>
  <sheetViews>
    <sheetView tabSelected="1" workbookViewId="0">
      <pane xSplit="3" topLeftCell="D1" activePane="topRight" state="frozen"/>
      <selection pane="topRight" activeCell="U52" sqref="U52"/>
    </sheetView>
  </sheetViews>
  <sheetFormatPr defaultColWidth="8.54296875" defaultRowHeight="12" outlineLevelRow="1" x14ac:dyDescent="0.3"/>
  <cols>
    <col min="1" max="16" width="8.54296875" style="1"/>
    <col min="17" max="17" width="0.453125" style="1" customWidth="1"/>
    <col min="18" max="20" width="8.54296875" style="1"/>
    <col min="21" max="21" width="8.36328125" style="1" customWidth="1"/>
    <col min="22" max="22" width="8.90625" style="1" hidden="1" customWidth="1"/>
    <col min="23" max="23" width="3.7265625" style="1" customWidth="1"/>
    <col min="24" max="36" width="8.54296875" style="1"/>
    <col min="37" max="37" width="0.453125" style="1" customWidth="1"/>
    <col min="38" max="16384" width="8.54296875" style="1"/>
  </cols>
  <sheetData>
    <row r="1" spans="1:41" ht="70" customHeight="1" x14ac:dyDescent="0.3">
      <c r="X1" s="13"/>
      <c r="Y1" s="14" t="s">
        <v>1172</v>
      </c>
      <c r="Z1" s="15"/>
      <c r="AA1" s="15"/>
      <c r="AB1" s="15"/>
      <c r="AC1" s="14" t="s">
        <v>1173</v>
      </c>
      <c r="AD1" s="15"/>
      <c r="AE1" s="15"/>
      <c r="AF1" s="14" t="s">
        <v>1174</v>
      </c>
      <c r="AG1" s="15"/>
      <c r="AH1" s="15"/>
      <c r="AI1" s="14" t="s">
        <v>1175</v>
      </c>
      <c r="AJ1" s="13"/>
      <c r="AK1" s="13"/>
      <c r="AL1" s="13"/>
      <c r="AM1" s="13"/>
      <c r="AN1" s="13"/>
      <c r="AO1" s="13"/>
    </row>
    <row r="2" spans="1:41" ht="19" customHeight="1" x14ac:dyDescent="0.3">
      <c r="A2" s="43"/>
      <c r="B2" s="43"/>
      <c r="C2" s="43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X2" s="36" t="s">
        <v>1170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</row>
    <row r="3" spans="1:41" ht="27" customHeight="1" x14ac:dyDescent="0.3">
      <c r="A3" s="43"/>
      <c r="B3" s="44" t="s">
        <v>1176</v>
      </c>
      <c r="C3" s="43"/>
      <c r="D3" s="29" t="s">
        <v>1168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  <c r="P3" s="3" t="s">
        <v>0</v>
      </c>
      <c r="R3" s="28" t="s">
        <v>1</v>
      </c>
      <c r="S3" s="28"/>
      <c r="T3" s="28"/>
      <c r="U3" s="3" t="s">
        <v>1171</v>
      </c>
      <c r="V3" s="4" t="s">
        <v>1171</v>
      </c>
      <c r="X3" s="32" t="s">
        <v>1168</v>
      </c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4"/>
      <c r="AJ3" s="19" t="s">
        <v>0</v>
      </c>
      <c r="AL3" s="35" t="s">
        <v>1</v>
      </c>
      <c r="AM3" s="35"/>
      <c r="AN3" s="32"/>
      <c r="AO3" s="20" t="s">
        <v>1171</v>
      </c>
    </row>
    <row r="4" spans="1:41" ht="27" customHeight="1" x14ac:dyDescent="0.3">
      <c r="A4" s="43"/>
      <c r="B4" s="43"/>
      <c r="C4" s="43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2</v>
      </c>
      <c r="P4" s="3" t="s">
        <v>2</v>
      </c>
      <c r="R4" s="3" t="s">
        <v>1073</v>
      </c>
      <c r="S4" s="3" t="s">
        <v>1074</v>
      </c>
      <c r="T4" s="3" t="s">
        <v>1075</v>
      </c>
      <c r="U4" s="3" t="s">
        <v>1075</v>
      </c>
      <c r="V4" s="12">
        <v>45747</v>
      </c>
      <c r="X4" s="3" t="s">
        <v>3</v>
      </c>
      <c r="Y4" s="3" t="s">
        <v>4</v>
      </c>
      <c r="Z4" s="3" t="s">
        <v>5</v>
      </c>
      <c r="AA4" s="3" t="s">
        <v>6</v>
      </c>
      <c r="AB4" s="3" t="s">
        <v>7</v>
      </c>
      <c r="AC4" s="3" t="s">
        <v>8</v>
      </c>
      <c r="AD4" s="3" t="s">
        <v>9</v>
      </c>
      <c r="AE4" s="3" t="s">
        <v>10</v>
      </c>
      <c r="AF4" s="3" t="s">
        <v>11</v>
      </c>
      <c r="AG4" s="3" t="s">
        <v>12</v>
      </c>
      <c r="AH4" s="3" t="s">
        <v>13</v>
      </c>
      <c r="AI4" s="3" t="s">
        <v>2</v>
      </c>
      <c r="AJ4" s="3" t="s">
        <v>2</v>
      </c>
      <c r="AL4" s="3" t="s">
        <v>1073</v>
      </c>
      <c r="AM4" s="3" t="s">
        <v>1074</v>
      </c>
      <c r="AN4" s="2" t="s">
        <v>1075</v>
      </c>
      <c r="AO4" s="17" t="s">
        <v>1075</v>
      </c>
    </row>
    <row r="5" spans="1:41" ht="27" customHeight="1" x14ac:dyDescent="0.3">
      <c r="A5" s="5" t="s">
        <v>14</v>
      </c>
      <c r="B5" s="5" t="s">
        <v>15</v>
      </c>
      <c r="C5" s="5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1169</v>
      </c>
      <c r="P5" s="3" t="s">
        <v>0</v>
      </c>
      <c r="R5" s="3" t="s">
        <v>17</v>
      </c>
      <c r="S5" s="3" t="s">
        <v>18</v>
      </c>
      <c r="T5" s="3" t="s">
        <v>19</v>
      </c>
      <c r="U5" s="4" t="s">
        <v>1171</v>
      </c>
      <c r="V5" s="4"/>
      <c r="X5" s="3" t="s">
        <v>17</v>
      </c>
      <c r="Y5" s="3" t="s">
        <v>18</v>
      </c>
      <c r="Z5" s="3" t="s">
        <v>19</v>
      </c>
      <c r="AA5" s="3" t="s">
        <v>20</v>
      </c>
      <c r="AB5" s="3" t="s">
        <v>21</v>
      </c>
      <c r="AC5" s="3" t="s">
        <v>22</v>
      </c>
      <c r="AD5" s="3" t="s">
        <v>23</v>
      </c>
      <c r="AE5" s="3" t="s">
        <v>24</v>
      </c>
      <c r="AF5" s="3" t="s">
        <v>25</v>
      </c>
      <c r="AG5" s="3" t="s">
        <v>26</v>
      </c>
      <c r="AH5" s="3" t="s">
        <v>27</v>
      </c>
      <c r="AI5" s="3" t="s">
        <v>1169</v>
      </c>
      <c r="AJ5" s="3" t="s">
        <v>0</v>
      </c>
      <c r="AL5" s="3" t="s">
        <v>17</v>
      </c>
      <c r="AM5" s="3" t="s">
        <v>18</v>
      </c>
      <c r="AN5" s="2" t="s">
        <v>19</v>
      </c>
      <c r="AO5" s="18"/>
    </row>
    <row r="6" spans="1:41" ht="25" customHeight="1" x14ac:dyDescent="0.3">
      <c r="A6" s="26" t="s">
        <v>28</v>
      </c>
      <c r="B6" s="26" t="s">
        <v>29</v>
      </c>
      <c r="C6" s="6" t="s">
        <v>30</v>
      </c>
      <c r="D6" s="7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7" t="s">
        <v>38</v>
      </c>
      <c r="J6" s="7" t="s">
        <v>39</v>
      </c>
      <c r="K6" s="7" t="s">
        <v>40</v>
      </c>
      <c r="L6" s="7" t="s">
        <v>41</v>
      </c>
      <c r="M6" s="7" t="s">
        <v>42</v>
      </c>
      <c r="N6" s="7" t="s">
        <v>43</v>
      </c>
      <c r="O6" s="7" t="s">
        <v>31</v>
      </c>
      <c r="P6" s="7" t="s">
        <v>32</v>
      </c>
      <c r="R6" s="7" t="s">
        <v>1076</v>
      </c>
      <c r="S6" s="7" t="s">
        <v>1077</v>
      </c>
      <c r="T6" s="7" t="s">
        <v>1078</v>
      </c>
      <c r="U6" s="24">
        <f>R6+S6+T6</f>
        <v>11061</v>
      </c>
      <c r="V6" s="8">
        <f>D6+E6+F6</f>
        <v>22546</v>
      </c>
      <c r="X6" s="7" t="s">
        <v>59</v>
      </c>
      <c r="Y6" s="16" t="s">
        <v>60</v>
      </c>
      <c r="Z6" s="7" t="s">
        <v>61</v>
      </c>
      <c r="AA6" s="7" t="s">
        <v>62</v>
      </c>
      <c r="AB6" s="7" t="s">
        <v>63</v>
      </c>
      <c r="AC6" s="7" t="s">
        <v>64</v>
      </c>
      <c r="AD6" s="7" t="s">
        <v>65</v>
      </c>
      <c r="AE6" s="7" t="s">
        <v>66</v>
      </c>
      <c r="AF6" s="7" t="s">
        <v>67</v>
      </c>
      <c r="AG6" s="7" t="s">
        <v>68</v>
      </c>
      <c r="AH6" s="7" t="s">
        <v>69</v>
      </c>
      <c r="AI6" s="7" t="s">
        <v>57</v>
      </c>
      <c r="AJ6" s="7" t="s">
        <v>58</v>
      </c>
      <c r="AL6" s="7" t="s">
        <v>1038</v>
      </c>
      <c r="AM6" s="7" t="s">
        <v>1079</v>
      </c>
      <c r="AN6" s="7" t="s">
        <v>1052</v>
      </c>
      <c r="AO6" s="21">
        <f>U6/V6-1</f>
        <v>-0.50940299831455693</v>
      </c>
    </row>
    <row r="7" spans="1:41" ht="25" customHeight="1" x14ac:dyDescent="0.3">
      <c r="A7" s="26"/>
      <c r="B7" s="26"/>
      <c r="C7" s="6" t="s">
        <v>70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J7" s="9" t="s">
        <v>71</v>
      </c>
      <c r="K7" s="9" t="s">
        <v>79</v>
      </c>
      <c r="L7" s="9" t="s">
        <v>80</v>
      </c>
      <c r="M7" s="9" t="s">
        <v>79</v>
      </c>
      <c r="N7" s="9" t="s">
        <v>81</v>
      </c>
      <c r="O7" s="9" t="s">
        <v>71</v>
      </c>
      <c r="P7" s="9" t="s">
        <v>72</v>
      </c>
      <c r="R7" s="9" t="s">
        <v>643</v>
      </c>
      <c r="S7" s="9" t="s">
        <v>216</v>
      </c>
      <c r="T7" s="9" t="s">
        <v>856</v>
      </c>
      <c r="U7" s="24">
        <f t="shared" ref="U7:U42" si="0">R7+S7+T7</f>
        <v>336</v>
      </c>
      <c r="V7" s="8">
        <f t="shared" ref="V7:V42" si="1">D7+E7+F7</f>
        <v>68</v>
      </c>
      <c r="X7" s="9" t="s">
        <v>93</v>
      </c>
      <c r="Y7" s="9" t="s">
        <v>94</v>
      </c>
      <c r="Z7" s="9" t="s">
        <v>94</v>
      </c>
      <c r="AA7" s="9" t="s">
        <v>95</v>
      </c>
      <c r="AB7" s="9" t="s">
        <v>96</v>
      </c>
      <c r="AC7" s="9" t="s">
        <v>97</v>
      </c>
      <c r="AD7" s="9" t="s">
        <v>98</v>
      </c>
      <c r="AE7" s="9" t="s">
        <v>99</v>
      </c>
      <c r="AF7" s="9" t="s">
        <v>100</v>
      </c>
      <c r="AG7" s="9" t="s">
        <v>101</v>
      </c>
      <c r="AH7" s="9" t="s">
        <v>102</v>
      </c>
      <c r="AI7" s="9" t="s">
        <v>91</v>
      </c>
      <c r="AJ7" s="9" t="s">
        <v>92</v>
      </c>
      <c r="AL7" s="9" t="s">
        <v>829</v>
      </c>
      <c r="AM7" s="9" t="s">
        <v>1080</v>
      </c>
      <c r="AN7" s="9" t="s">
        <v>1081</v>
      </c>
      <c r="AO7" s="25">
        <f t="shared" ref="AO7:AO42" si="2">U7/V7-1</f>
        <v>3.9411764705882355</v>
      </c>
    </row>
    <row r="8" spans="1:41" ht="25" customHeight="1" x14ac:dyDescent="0.3">
      <c r="A8" s="26"/>
      <c r="B8" s="26"/>
      <c r="C8" s="6" t="s">
        <v>113</v>
      </c>
      <c r="D8" s="9" t="s">
        <v>117</v>
      </c>
      <c r="E8" s="9" t="s">
        <v>118</v>
      </c>
      <c r="F8" s="9" t="s">
        <v>119</v>
      </c>
      <c r="G8" s="9" t="s">
        <v>120</v>
      </c>
      <c r="H8" s="9" t="s">
        <v>121</v>
      </c>
      <c r="I8" s="9" t="s">
        <v>122</v>
      </c>
      <c r="J8" s="9" t="s">
        <v>123</v>
      </c>
      <c r="K8" s="9" t="s">
        <v>124</v>
      </c>
      <c r="L8" s="9" t="s">
        <v>125</v>
      </c>
      <c r="M8" s="9" t="s">
        <v>126</v>
      </c>
      <c r="N8" s="9" t="s">
        <v>127</v>
      </c>
      <c r="O8" s="9" t="s">
        <v>115</v>
      </c>
      <c r="P8" s="9" t="s">
        <v>116</v>
      </c>
      <c r="R8" s="9" t="s">
        <v>764</v>
      </c>
      <c r="S8" s="9" t="s">
        <v>200</v>
      </c>
      <c r="T8" s="9" t="s">
        <v>445</v>
      </c>
      <c r="U8" s="24">
        <f t="shared" si="0"/>
        <v>845</v>
      </c>
      <c r="V8" s="8">
        <f t="shared" si="1"/>
        <v>1853</v>
      </c>
      <c r="X8" s="9" t="s">
        <v>145</v>
      </c>
      <c r="Y8" s="9" t="s">
        <v>146</v>
      </c>
      <c r="Z8" s="9" t="s">
        <v>147</v>
      </c>
      <c r="AA8" s="9" t="s">
        <v>148</v>
      </c>
      <c r="AB8" s="9" t="s">
        <v>149</v>
      </c>
      <c r="AC8" s="9" t="s">
        <v>150</v>
      </c>
      <c r="AD8" s="9" t="s">
        <v>151</v>
      </c>
      <c r="AE8" s="9" t="s">
        <v>152</v>
      </c>
      <c r="AF8" s="9" t="s">
        <v>153</v>
      </c>
      <c r="AG8" s="9" t="s">
        <v>154</v>
      </c>
      <c r="AH8" s="9" t="s">
        <v>155</v>
      </c>
      <c r="AI8" s="9" t="s">
        <v>142</v>
      </c>
      <c r="AJ8" s="9" t="s">
        <v>144</v>
      </c>
      <c r="AL8" s="9" t="s">
        <v>955</v>
      </c>
      <c r="AM8" s="9" t="s">
        <v>1082</v>
      </c>
      <c r="AN8" s="9" t="s">
        <v>1071</v>
      </c>
      <c r="AO8" s="22">
        <f t="shared" si="2"/>
        <v>-0.54398273070696168</v>
      </c>
    </row>
    <row r="9" spans="1:41" ht="25" customHeight="1" x14ac:dyDescent="0.3">
      <c r="A9" s="26"/>
      <c r="B9" s="26"/>
      <c r="C9" s="6" t="s">
        <v>156</v>
      </c>
      <c r="D9" s="7" t="s">
        <v>159</v>
      </c>
      <c r="E9" s="7" t="s">
        <v>160</v>
      </c>
      <c r="F9" s="7" t="s">
        <v>161</v>
      </c>
      <c r="G9" s="7" t="s">
        <v>162</v>
      </c>
      <c r="H9" s="7" t="s">
        <v>163</v>
      </c>
      <c r="I9" s="7" t="s">
        <v>164</v>
      </c>
      <c r="J9" s="7" t="s">
        <v>165</v>
      </c>
      <c r="K9" s="7" t="s">
        <v>166</v>
      </c>
      <c r="L9" s="7" t="s">
        <v>167</v>
      </c>
      <c r="M9" s="7" t="s">
        <v>168</v>
      </c>
      <c r="N9" s="7" t="s">
        <v>169</v>
      </c>
      <c r="O9" s="7" t="s">
        <v>157</v>
      </c>
      <c r="P9" s="7" t="s">
        <v>158</v>
      </c>
      <c r="R9" s="7" t="s">
        <v>1083</v>
      </c>
      <c r="S9" s="7" t="s">
        <v>1084</v>
      </c>
      <c r="T9" s="7" t="s">
        <v>1085</v>
      </c>
      <c r="U9" s="24">
        <f t="shared" si="0"/>
        <v>1817</v>
      </c>
      <c r="V9" s="8">
        <f t="shared" si="1"/>
        <v>2646</v>
      </c>
      <c r="X9" s="7" t="s">
        <v>186</v>
      </c>
      <c r="Y9" s="7" t="s">
        <v>187</v>
      </c>
      <c r="Z9" s="7" t="s">
        <v>188</v>
      </c>
      <c r="AA9" s="7" t="s">
        <v>189</v>
      </c>
      <c r="AB9" s="7" t="s">
        <v>190</v>
      </c>
      <c r="AC9" s="7" t="s">
        <v>191</v>
      </c>
      <c r="AD9" s="7" t="s">
        <v>192</v>
      </c>
      <c r="AE9" s="7" t="s">
        <v>193</v>
      </c>
      <c r="AF9" s="7" t="s">
        <v>194</v>
      </c>
      <c r="AG9" s="7" t="s">
        <v>195</v>
      </c>
      <c r="AH9" s="7" t="s">
        <v>196</v>
      </c>
      <c r="AI9" s="7" t="s">
        <v>183</v>
      </c>
      <c r="AJ9" s="7" t="s">
        <v>185</v>
      </c>
      <c r="AL9" s="7" t="s">
        <v>959</v>
      </c>
      <c r="AM9" s="7" t="s">
        <v>1086</v>
      </c>
      <c r="AN9" s="7" t="s">
        <v>1013</v>
      </c>
      <c r="AO9" s="21">
        <f t="shared" si="2"/>
        <v>-0.31330309901738473</v>
      </c>
    </row>
    <row r="10" spans="1:41" ht="25" customHeight="1" x14ac:dyDescent="0.3">
      <c r="A10" s="26"/>
      <c r="B10" s="26"/>
      <c r="C10" s="6" t="s">
        <v>198</v>
      </c>
      <c r="D10" s="9" t="s">
        <v>202</v>
      </c>
      <c r="E10" s="9" t="s">
        <v>203</v>
      </c>
      <c r="F10" s="9" t="s">
        <v>204</v>
      </c>
      <c r="G10" s="9" t="s">
        <v>205</v>
      </c>
      <c r="H10" s="9" t="s">
        <v>206</v>
      </c>
      <c r="I10" s="9" t="s">
        <v>207</v>
      </c>
      <c r="J10" s="9" t="s">
        <v>208</v>
      </c>
      <c r="K10" s="9" t="s">
        <v>209</v>
      </c>
      <c r="L10" s="9" t="s">
        <v>210</v>
      </c>
      <c r="M10" s="9" t="s">
        <v>211</v>
      </c>
      <c r="N10" s="9" t="s">
        <v>75</v>
      </c>
      <c r="O10" s="9" t="s">
        <v>114</v>
      </c>
      <c r="P10" s="9" t="s">
        <v>201</v>
      </c>
      <c r="R10" s="9" t="s">
        <v>79</v>
      </c>
      <c r="S10" s="9" t="s">
        <v>223</v>
      </c>
      <c r="T10" s="9" t="s">
        <v>718</v>
      </c>
      <c r="U10" s="24">
        <f t="shared" si="0"/>
        <v>177</v>
      </c>
      <c r="V10" s="8">
        <f t="shared" si="1"/>
        <v>229</v>
      </c>
      <c r="X10" s="9" t="s">
        <v>228</v>
      </c>
      <c r="Y10" s="9" t="s">
        <v>229</v>
      </c>
      <c r="Z10" s="9" t="s">
        <v>230</v>
      </c>
      <c r="AA10" s="9" t="s">
        <v>231</v>
      </c>
      <c r="AB10" s="9" t="s">
        <v>232</v>
      </c>
      <c r="AC10" s="9" t="s">
        <v>233</v>
      </c>
      <c r="AD10" s="9" t="s">
        <v>234</v>
      </c>
      <c r="AE10" s="9" t="s">
        <v>235</v>
      </c>
      <c r="AF10" s="9" t="s">
        <v>236</v>
      </c>
      <c r="AG10" s="9" t="s">
        <v>237</v>
      </c>
      <c r="AH10" s="9" t="s">
        <v>238</v>
      </c>
      <c r="AI10" s="9" t="s">
        <v>226</v>
      </c>
      <c r="AJ10" s="9" t="s">
        <v>227</v>
      </c>
      <c r="AL10" s="9" t="s">
        <v>1087</v>
      </c>
      <c r="AM10" s="9" t="s">
        <v>147</v>
      </c>
      <c r="AN10" s="9" t="s">
        <v>1088</v>
      </c>
      <c r="AO10" s="22">
        <f t="shared" si="2"/>
        <v>-0.22707423580786024</v>
      </c>
    </row>
    <row r="11" spans="1:41" ht="25" customHeight="1" x14ac:dyDescent="0.3">
      <c r="A11" s="26"/>
      <c r="B11" s="26"/>
      <c r="C11" s="10" t="s">
        <v>240</v>
      </c>
      <c r="D11" s="11" t="s">
        <v>243</v>
      </c>
      <c r="E11" s="11" t="s">
        <v>244</v>
      </c>
      <c r="F11" s="11" t="s">
        <v>245</v>
      </c>
      <c r="G11" s="11" t="s">
        <v>246</v>
      </c>
      <c r="H11" s="11" t="s">
        <v>247</v>
      </c>
      <c r="I11" s="11" t="s">
        <v>248</v>
      </c>
      <c r="J11" s="11" t="s">
        <v>249</v>
      </c>
      <c r="K11" s="11" t="s">
        <v>250</v>
      </c>
      <c r="L11" s="11" t="s">
        <v>251</v>
      </c>
      <c r="M11" s="11" t="s">
        <v>252</v>
      </c>
      <c r="N11" s="11" t="s">
        <v>253</v>
      </c>
      <c r="O11" s="11" t="s">
        <v>241</v>
      </c>
      <c r="P11" s="11" t="s">
        <v>242</v>
      </c>
      <c r="R11" s="11" t="s">
        <v>1089</v>
      </c>
      <c r="S11" s="11" t="s">
        <v>1090</v>
      </c>
      <c r="T11" s="11" t="s">
        <v>1091</v>
      </c>
      <c r="U11" s="24">
        <f t="shared" si="0"/>
        <v>15235</v>
      </c>
      <c r="V11" s="8">
        <f t="shared" si="1"/>
        <v>28503</v>
      </c>
      <c r="X11" s="11" t="s">
        <v>269</v>
      </c>
      <c r="Y11" s="11" t="s">
        <v>270</v>
      </c>
      <c r="Z11" s="11" t="s">
        <v>271</v>
      </c>
      <c r="AA11" s="11" t="s">
        <v>272</v>
      </c>
      <c r="AB11" s="11" t="s">
        <v>273</v>
      </c>
      <c r="AC11" s="11" t="s">
        <v>274</v>
      </c>
      <c r="AD11" s="11" t="s">
        <v>275</v>
      </c>
      <c r="AE11" s="11" t="s">
        <v>276</v>
      </c>
      <c r="AF11" s="11" t="s">
        <v>277</v>
      </c>
      <c r="AG11" s="11" t="s">
        <v>278</v>
      </c>
      <c r="AH11" s="11" t="s">
        <v>279</v>
      </c>
      <c r="AI11" s="11" t="s">
        <v>267</v>
      </c>
      <c r="AJ11" s="11" t="s">
        <v>268</v>
      </c>
      <c r="AL11" s="11" t="s">
        <v>239</v>
      </c>
      <c r="AM11" s="11" t="s">
        <v>1092</v>
      </c>
      <c r="AN11" s="11" t="s">
        <v>1093</v>
      </c>
      <c r="AO11" s="23">
        <f t="shared" si="2"/>
        <v>-0.4654948601901554</v>
      </c>
    </row>
    <row r="12" spans="1:41" ht="25" customHeight="1" x14ac:dyDescent="0.3">
      <c r="A12" s="26"/>
      <c r="B12" s="26" t="s">
        <v>282</v>
      </c>
      <c r="C12" s="6" t="s">
        <v>283</v>
      </c>
      <c r="D12" s="9" t="s">
        <v>286</v>
      </c>
      <c r="E12" s="9" t="s">
        <v>287</v>
      </c>
      <c r="F12" s="9" t="s">
        <v>288</v>
      </c>
      <c r="G12" s="9" t="s">
        <v>289</v>
      </c>
      <c r="H12" s="9" t="s">
        <v>290</v>
      </c>
      <c r="I12" s="9" t="s">
        <v>291</v>
      </c>
      <c r="J12" s="9" t="s">
        <v>292</v>
      </c>
      <c r="K12" s="9" t="s">
        <v>293</v>
      </c>
      <c r="L12" s="9" t="s">
        <v>294</v>
      </c>
      <c r="M12" s="9" t="s">
        <v>295</v>
      </c>
      <c r="N12" s="9" t="s">
        <v>296</v>
      </c>
      <c r="O12" s="9" t="s">
        <v>284</v>
      </c>
      <c r="P12" s="9" t="s">
        <v>285</v>
      </c>
      <c r="R12" s="9" t="s">
        <v>1094</v>
      </c>
      <c r="S12" s="9" t="s">
        <v>857</v>
      </c>
      <c r="T12" s="9" t="s">
        <v>584</v>
      </c>
      <c r="U12" s="24">
        <f t="shared" si="0"/>
        <v>3308</v>
      </c>
      <c r="V12" s="8">
        <f t="shared" si="1"/>
        <v>9167</v>
      </c>
      <c r="X12" s="9" t="s">
        <v>311</v>
      </c>
      <c r="Y12" s="9" t="s">
        <v>312</v>
      </c>
      <c r="Z12" s="9" t="s">
        <v>313</v>
      </c>
      <c r="AA12" s="9" t="s">
        <v>314</v>
      </c>
      <c r="AB12" s="9" t="s">
        <v>315</v>
      </c>
      <c r="AC12" s="9" t="s">
        <v>316</v>
      </c>
      <c r="AD12" s="9" t="s">
        <v>317</v>
      </c>
      <c r="AE12" s="9" t="s">
        <v>318</v>
      </c>
      <c r="AF12" s="9" t="s">
        <v>319</v>
      </c>
      <c r="AG12" s="9" t="s">
        <v>320</v>
      </c>
      <c r="AH12" s="9" t="s">
        <v>321</v>
      </c>
      <c r="AI12" s="9" t="s">
        <v>309</v>
      </c>
      <c r="AJ12" s="9" t="s">
        <v>310</v>
      </c>
      <c r="AL12" s="9" t="s">
        <v>1095</v>
      </c>
      <c r="AM12" s="9" t="s">
        <v>1096</v>
      </c>
      <c r="AN12" s="9" t="s">
        <v>141</v>
      </c>
      <c r="AO12" s="22">
        <f t="shared" si="2"/>
        <v>-0.63914039489473118</v>
      </c>
    </row>
    <row r="13" spans="1:41" ht="25" customHeight="1" x14ac:dyDescent="0.3">
      <c r="A13" s="26"/>
      <c r="B13" s="26"/>
      <c r="C13" s="6" t="s">
        <v>30</v>
      </c>
      <c r="D13" s="7" t="s">
        <v>324</v>
      </c>
      <c r="E13" s="7" t="s">
        <v>325</v>
      </c>
      <c r="F13" s="7" t="s">
        <v>326</v>
      </c>
      <c r="G13" s="7" t="s">
        <v>327</v>
      </c>
      <c r="H13" s="7" t="s">
        <v>328</v>
      </c>
      <c r="I13" s="7" t="s">
        <v>329</v>
      </c>
      <c r="J13" s="7" t="s">
        <v>330</v>
      </c>
      <c r="K13" s="7" t="s">
        <v>331</v>
      </c>
      <c r="L13" s="7" t="s">
        <v>332</v>
      </c>
      <c r="M13" s="7" t="s">
        <v>333</v>
      </c>
      <c r="N13" s="7" t="s">
        <v>334</v>
      </c>
      <c r="O13" s="7" t="s">
        <v>322</v>
      </c>
      <c r="P13" s="7" t="s">
        <v>323</v>
      </c>
      <c r="R13" s="7" t="s">
        <v>1097</v>
      </c>
      <c r="S13" s="7" t="s">
        <v>1098</v>
      </c>
      <c r="T13" s="7" t="s">
        <v>1089</v>
      </c>
      <c r="U13" s="24">
        <f t="shared" si="0"/>
        <v>11562</v>
      </c>
      <c r="V13" s="8">
        <f t="shared" si="1"/>
        <v>7621</v>
      </c>
      <c r="X13" s="7" t="s">
        <v>349</v>
      </c>
      <c r="Y13" s="7" t="s">
        <v>350</v>
      </c>
      <c r="Z13" s="7" t="s">
        <v>351</v>
      </c>
      <c r="AA13" s="7" t="s">
        <v>352</v>
      </c>
      <c r="AB13" s="7" t="s">
        <v>353</v>
      </c>
      <c r="AC13" s="7" t="s">
        <v>354</v>
      </c>
      <c r="AD13" s="7" t="s">
        <v>355</v>
      </c>
      <c r="AE13" s="7" t="s">
        <v>356</v>
      </c>
      <c r="AF13" s="7" t="s">
        <v>357</v>
      </c>
      <c r="AG13" s="7" t="s">
        <v>358</v>
      </c>
      <c r="AH13" s="7" t="s">
        <v>359</v>
      </c>
      <c r="AI13" s="7" t="s">
        <v>347</v>
      </c>
      <c r="AJ13" s="7" t="s">
        <v>348</v>
      </c>
      <c r="AL13" s="7" t="s">
        <v>1067</v>
      </c>
      <c r="AM13" s="7" t="s">
        <v>513</v>
      </c>
      <c r="AN13" s="7" t="s">
        <v>1099</v>
      </c>
      <c r="AO13" s="25">
        <f t="shared" si="2"/>
        <v>0.5171237370423829</v>
      </c>
    </row>
    <row r="14" spans="1:41" ht="25" customHeight="1" x14ac:dyDescent="0.3">
      <c r="A14" s="26"/>
      <c r="B14" s="26"/>
      <c r="C14" s="6" t="s">
        <v>70</v>
      </c>
      <c r="D14" s="9" t="s">
        <v>363</v>
      </c>
      <c r="E14" s="9" t="s">
        <v>224</v>
      </c>
      <c r="F14" s="9" t="s">
        <v>110</v>
      </c>
      <c r="G14" s="9" t="s">
        <v>76</v>
      </c>
      <c r="H14" s="9" t="s">
        <v>223</v>
      </c>
      <c r="I14" s="9" t="s">
        <v>220</v>
      </c>
      <c r="J14" s="9" t="s">
        <v>364</v>
      </c>
      <c r="K14" s="9" t="s">
        <v>78</v>
      </c>
      <c r="L14" s="9" t="s">
        <v>81</v>
      </c>
      <c r="M14" s="9" t="s">
        <v>365</v>
      </c>
      <c r="N14" s="9" t="s">
        <v>366</v>
      </c>
      <c r="O14" s="9" t="s">
        <v>361</v>
      </c>
      <c r="P14" s="9" t="s">
        <v>125</v>
      </c>
      <c r="R14" s="9" t="s">
        <v>638</v>
      </c>
      <c r="S14" s="9" t="s">
        <v>827</v>
      </c>
      <c r="T14" s="9" t="s">
        <v>1064</v>
      </c>
      <c r="U14" s="24">
        <f t="shared" si="0"/>
        <v>200</v>
      </c>
      <c r="V14" s="8">
        <f t="shared" si="1"/>
        <v>131</v>
      </c>
      <c r="X14" s="9" t="s">
        <v>94</v>
      </c>
      <c r="Y14" s="9" t="s">
        <v>374</v>
      </c>
      <c r="Z14" s="9" t="s">
        <v>94</v>
      </c>
      <c r="AA14" s="9" t="s">
        <v>94</v>
      </c>
      <c r="AB14" s="9" t="s">
        <v>94</v>
      </c>
      <c r="AC14" s="9" t="s">
        <v>375</v>
      </c>
      <c r="AD14" s="9" t="s">
        <v>376</v>
      </c>
      <c r="AE14" s="9" t="s">
        <v>377</v>
      </c>
      <c r="AF14" s="9" t="s">
        <v>378</v>
      </c>
      <c r="AG14" s="9" t="s">
        <v>379</v>
      </c>
      <c r="AH14" s="9" t="s">
        <v>380</v>
      </c>
      <c r="AI14" s="9" t="s">
        <v>372</v>
      </c>
      <c r="AJ14" s="9" t="s">
        <v>373</v>
      </c>
      <c r="AL14" s="9" t="s">
        <v>637</v>
      </c>
      <c r="AM14" s="9" t="s">
        <v>1050</v>
      </c>
      <c r="AN14" s="9" t="s">
        <v>814</v>
      </c>
      <c r="AO14" s="25">
        <f t="shared" si="2"/>
        <v>0.5267175572519085</v>
      </c>
    </row>
    <row r="15" spans="1:41" ht="25" customHeight="1" x14ac:dyDescent="0.3">
      <c r="A15" s="26"/>
      <c r="B15" s="26"/>
      <c r="C15" s="6" t="s">
        <v>113</v>
      </c>
      <c r="D15" s="9" t="s">
        <v>392</v>
      </c>
      <c r="E15" s="9" t="s">
        <v>393</v>
      </c>
      <c r="F15" s="9" t="s">
        <v>394</v>
      </c>
      <c r="G15" s="9" t="s">
        <v>395</v>
      </c>
      <c r="H15" s="9" t="s">
        <v>396</v>
      </c>
      <c r="I15" s="9" t="s">
        <v>397</v>
      </c>
      <c r="J15" s="9" t="s">
        <v>398</v>
      </c>
      <c r="K15" s="9" t="s">
        <v>399</v>
      </c>
      <c r="L15" s="9" t="s">
        <v>400</v>
      </c>
      <c r="M15" s="9" t="s">
        <v>401</v>
      </c>
      <c r="N15" s="9" t="s">
        <v>402</v>
      </c>
      <c r="O15" s="9" t="s">
        <v>390</v>
      </c>
      <c r="P15" s="9" t="s">
        <v>391</v>
      </c>
      <c r="R15" s="9" t="s">
        <v>1100</v>
      </c>
      <c r="S15" s="9" t="s">
        <v>1101</v>
      </c>
      <c r="T15" s="9" t="s">
        <v>1102</v>
      </c>
      <c r="U15" s="24">
        <f t="shared" si="0"/>
        <v>2801</v>
      </c>
      <c r="V15" s="8">
        <f t="shared" si="1"/>
        <v>5883</v>
      </c>
      <c r="X15" s="9" t="s">
        <v>419</v>
      </c>
      <c r="Y15" s="9" t="s">
        <v>420</v>
      </c>
      <c r="Z15" s="9" t="s">
        <v>421</v>
      </c>
      <c r="AA15" s="9" t="s">
        <v>422</v>
      </c>
      <c r="AB15" s="9" t="s">
        <v>423</v>
      </c>
      <c r="AC15" s="9" t="s">
        <v>424</v>
      </c>
      <c r="AD15" s="9" t="s">
        <v>425</v>
      </c>
      <c r="AE15" s="9" t="s">
        <v>426</v>
      </c>
      <c r="AF15" s="9" t="s">
        <v>427</v>
      </c>
      <c r="AG15" s="9" t="s">
        <v>239</v>
      </c>
      <c r="AH15" s="9" t="s">
        <v>428</v>
      </c>
      <c r="AI15" s="9" t="s">
        <v>416</v>
      </c>
      <c r="AJ15" s="9" t="s">
        <v>418</v>
      </c>
      <c r="AL15" s="9" t="s">
        <v>194</v>
      </c>
      <c r="AM15" s="9" t="s">
        <v>1103</v>
      </c>
      <c r="AN15" s="9" t="s">
        <v>278</v>
      </c>
      <c r="AO15" s="22">
        <f t="shared" si="2"/>
        <v>-0.52388237293897677</v>
      </c>
    </row>
    <row r="16" spans="1:41" ht="25" customHeight="1" x14ac:dyDescent="0.3">
      <c r="A16" s="26"/>
      <c r="B16" s="26"/>
      <c r="C16" s="6" t="s">
        <v>156</v>
      </c>
      <c r="D16" s="9" t="s">
        <v>441</v>
      </c>
      <c r="E16" s="9" t="s">
        <v>442</v>
      </c>
      <c r="F16" s="9" t="s">
        <v>443</v>
      </c>
      <c r="G16" s="9" t="s">
        <v>225</v>
      </c>
      <c r="H16" s="9" t="s">
        <v>444</v>
      </c>
      <c r="I16" s="9" t="s">
        <v>445</v>
      </c>
      <c r="J16" s="9" t="s">
        <v>446</v>
      </c>
      <c r="K16" s="9" t="s">
        <v>445</v>
      </c>
      <c r="L16" s="9" t="s">
        <v>447</v>
      </c>
      <c r="M16" s="9" t="s">
        <v>212</v>
      </c>
      <c r="N16" s="9" t="s">
        <v>448</v>
      </c>
      <c r="O16" s="9" t="s">
        <v>439</v>
      </c>
      <c r="P16" s="9" t="s">
        <v>440</v>
      </c>
      <c r="R16" s="9" t="s">
        <v>997</v>
      </c>
      <c r="S16" s="9" t="s">
        <v>694</v>
      </c>
      <c r="T16" s="9" t="s">
        <v>1104</v>
      </c>
      <c r="U16" s="24">
        <f t="shared" si="0"/>
        <v>1311</v>
      </c>
      <c r="V16" s="8">
        <f t="shared" si="1"/>
        <v>1157</v>
      </c>
      <c r="X16" s="9" t="s">
        <v>464</v>
      </c>
      <c r="Y16" s="9" t="s">
        <v>465</v>
      </c>
      <c r="Z16" s="9" t="s">
        <v>466</v>
      </c>
      <c r="AA16" s="9" t="s">
        <v>467</v>
      </c>
      <c r="AB16" s="9" t="s">
        <v>468</v>
      </c>
      <c r="AC16" s="9" t="s">
        <v>469</v>
      </c>
      <c r="AD16" s="9" t="s">
        <v>470</v>
      </c>
      <c r="AE16" s="9" t="s">
        <v>471</v>
      </c>
      <c r="AF16" s="9" t="s">
        <v>472</v>
      </c>
      <c r="AG16" s="9" t="s">
        <v>473</v>
      </c>
      <c r="AH16" s="9" t="s">
        <v>474</v>
      </c>
      <c r="AI16" s="9" t="s">
        <v>462</v>
      </c>
      <c r="AJ16" s="9" t="s">
        <v>463</v>
      </c>
      <c r="AL16" s="9" t="s">
        <v>998</v>
      </c>
      <c r="AM16" s="9" t="s">
        <v>1014</v>
      </c>
      <c r="AN16" s="9" t="s">
        <v>1063</v>
      </c>
      <c r="AO16" s="22">
        <f t="shared" si="2"/>
        <v>0.13310285220397589</v>
      </c>
    </row>
    <row r="17" spans="1:41" ht="25" customHeight="1" x14ac:dyDescent="0.3">
      <c r="A17" s="26"/>
      <c r="B17" s="26"/>
      <c r="C17" s="6" t="s">
        <v>475</v>
      </c>
      <c r="D17" s="7" t="s">
        <v>478</v>
      </c>
      <c r="E17" s="7" t="s">
        <v>479</v>
      </c>
      <c r="F17" s="7" t="s">
        <v>480</v>
      </c>
      <c r="G17" s="7" t="s">
        <v>481</v>
      </c>
      <c r="H17" s="7" t="s">
        <v>482</v>
      </c>
      <c r="I17" s="7" t="s">
        <v>483</v>
      </c>
      <c r="J17" s="7" t="s">
        <v>484</v>
      </c>
      <c r="K17" s="7" t="s">
        <v>485</v>
      </c>
      <c r="L17" s="7" t="s">
        <v>486</v>
      </c>
      <c r="M17" s="7" t="s">
        <v>487</v>
      </c>
      <c r="N17" s="7" t="s">
        <v>488</v>
      </c>
      <c r="O17" s="7" t="s">
        <v>476</v>
      </c>
      <c r="P17" s="7" t="s">
        <v>477</v>
      </c>
      <c r="R17" s="7" t="s">
        <v>1105</v>
      </c>
      <c r="S17" s="7" t="s">
        <v>1106</v>
      </c>
      <c r="T17" s="7" t="s">
        <v>1107</v>
      </c>
      <c r="U17" s="24">
        <f t="shared" si="0"/>
        <v>25224</v>
      </c>
      <c r="V17" s="8">
        <f t="shared" si="1"/>
        <v>32269</v>
      </c>
      <c r="X17" s="7" t="s">
        <v>504</v>
      </c>
      <c r="Y17" s="7" t="s">
        <v>505</v>
      </c>
      <c r="Z17" s="7" t="s">
        <v>506</v>
      </c>
      <c r="AA17" s="7" t="s">
        <v>507</v>
      </c>
      <c r="AB17" s="7" t="s">
        <v>508</v>
      </c>
      <c r="AC17" s="7" t="s">
        <v>509</v>
      </c>
      <c r="AD17" s="7" t="s">
        <v>510</v>
      </c>
      <c r="AE17" s="7" t="s">
        <v>511</v>
      </c>
      <c r="AF17" s="7" t="s">
        <v>512</v>
      </c>
      <c r="AG17" s="7" t="s">
        <v>150</v>
      </c>
      <c r="AH17" s="7" t="s">
        <v>513</v>
      </c>
      <c r="AI17" s="7" t="s">
        <v>502</v>
      </c>
      <c r="AJ17" s="7" t="s">
        <v>503</v>
      </c>
      <c r="AL17" s="7" t="s">
        <v>1060</v>
      </c>
      <c r="AM17" s="7" t="s">
        <v>1108</v>
      </c>
      <c r="AN17" s="7" t="s">
        <v>1109</v>
      </c>
      <c r="AO17" s="21">
        <f t="shared" si="2"/>
        <v>-0.21832098918466636</v>
      </c>
    </row>
    <row r="18" spans="1:41" ht="25" customHeight="1" x14ac:dyDescent="0.3">
      <c r="A18" s="26"/>
      <c r="B18" s="26"/>
      <c r="C18" s="6" t="s">
        <v>198</v>
      </c>
      <c r="D18" s="9" t="s">
        <v>436</v>
      </c>
      <c r="E18" s="9" t="s">
        <v>516</v>
      </c>
      <c r="F18" s="9" t="s">
        <v>517</v>
      </c>
      <c r="G18" s="9" t="s">
        <v>518</v>
      </c>
      <c r="H18" s="9" t="s">
        <v>519</v>
      </c>
      <c r="I18" s="9" t="s">
        <v>520</v>
      </c>
      <c r="J18" s="9" t="s">
        <v>521</v>
      </c>
      <c r="K18" s="9" t="s">
        <v>522</v>
      </c>
      <c r="L18" s="9" t="s">
        <v>523</v>
      </c>
      <c r="M18" s="9" t="s">
        <v>524</v>
      </c>
      <c r="N18" s="9" t="s">
        <v>106</v>
      </c>
      <c r="O18" s="9" t="s">
        <v>514</v>
      </c>
      <c r="P18" s="9" t="s">
        <v>515</v>
      </c>
      <c r="R18" s="9" t="s">
        <v>453</v>
      </c>
      <c r="S18" s="9" t="s">
        <v>1065</v>
      </c>
      <c r="T18" s="9" t="s">
        <v>651</v>
      </c>
      <c r="U18" s="24">
        <f t="shared" si="0"/>
        <v>370</v>
      </c>
      <c r="V18" s="8">
        <f t="shared" si="1"/>
        <v>975</v>
      </c>
      <c r="X18" s="9" t="s">
        <v>537</v>
      </c>
      <c r="Y18" s="9" t="s">
        <v>538</v>
      </c>
      <c r="Z18" s="9" t="s">
        <v>539</v>
      </c>
      <c r="AA18" s="9" t="s">
        <v>540</v>
      </c>
      <c r="AB18" s="9" t="s">
        <v>541</v>
      </c>
      <c r="AC18" s="9" t="s">
        <v>510</v>
      </c>
      <c r="AD18" s="9" t="s">
        <v>426</v>
      </c>
      <c r="AE18" s="9" t="s">
        <v>269</v>
      </c>
      <c r="AF18" s="9" t="s">
        <v>542</v>
      </c>
      <c r="AG18" s="9" t="s">
        <v>543</v>
      </c>
      <c r="AH18" s="9" t="s">
        <v>544</v>
      </c>
      <c r="AI18" s="9" t="s">
        <v>147</v>
      </c>
      <c r="AJ18" s="9" t="s">
        <v>536</v>
      </c>
      <c r="AL18" s="9" t="s">
        <v>1069</v>
      </c>
      <c r="AM18" s="9" t="s">
        <v>1082</v>
      </c>
      <c r="AN18" s="9" t="s">
        <v>769</v>
      </c>
      <c r="AO18" s="22">
        <f t="shared" si="2"/>
        <v>-0.62051282051282053</v>
      </c>
    </row>
    <row r="19" spans="1:41" ht="25" customHeight="1" x14ac:dyDescent="0.3">
      <c r="A19" s="26"/>
      <c r="B19" s="26"/>
      <c r="C19" s="10" t="s">
        <v>546</v>
      </c>
      <c r="D19" s="11" t="s">
        <v>549</v>
      </c>
      <c r="E19" s="11" t="s">
        <v>550</v>
      </c>
      <c r="F19" s="11" t="s">
        <v>551</v>
      </c>
      <c r="G19" s="11" t="s">
        <v>552</v>
      </c>
      <c r="H19" s="11" t="s">
        <v>553</v>
      </c>
      <c r="I19" s="11" t="s">
        <v>554</v>
      </c>
      <c r="J19" s="11" t="s">
        <v>555</v>
      </c>
      <c r="K19" s="11" t="s">
        <v>556</v>
      </c>
      <c r="L19" s="11" t="s">
        <v>557</v>
      </c>
      <c r="M19" s="11" t="s">
        <v>558</v>
      </c>
      <c r="N19" s="11" t="s">
        <v>559</v>
      </c>
      <c r="O19" s="11" t="s">
        <v>547</v>
      </c>
      <c r="P19" s="11" t="s">
        <v>548</v>
      </c>
      <c r="R19" s="11" t="s">
        <v>1110</v>
      </c>
      <c r="S19" s="11" t="s">
        <v>1111</v>
      </c>
      <c r="T19" s="11" t="s">
        <v>1112</v>
      </c>
      <c r="U19" s="24">
        <f t="shared" si="0"/>
        <v>44985</v>
      </c>
      <c r="V19" s="8">
        <f t="shared" si="1"/>
        <v>57454</v>
      </c>
      <c r="X19" s="11" t="s">
        <v>277</v>
      </c>
      <c r="Y19" s="11" t="s">
        <v>574</v>
      </c>
      <c r="Z19" s="11" t="s">
        <v>360</v>
      </c>
      <c r="AA19" s="11" t="s">
        <v>575</v>
      </c>
      <c r="AB19" s="11" t="s">
        <v>576</v>
      </c>
      <c r="AC19" s="11" t="s">
        <v>577</v>
      </c>
      <c r="AD19" s="11" t="s">
        <v>504</v>
      </c>
      <c r="AE19" s="11" t="s">
        <v>578</v>
      </c>
      <c r="AF19" s="11" t="s">
        <v>579</v>
      </c>
      <c r="AG19" s="11" t="s">
        <v>580</v>
      </c>
      <c r="AH19" s="11" t="s">
        <v>193</v>
      </c>
      <c r="AI19" s="11" t="s">
        <v>187</v>
      </c>
      <c r="AJ19" s="11" t="s">
        <v>573</v>
      </c>
      <c r="AL19" s="11" t="s">
        <v>1113</v>
      </c>
      <c r="AM19" s="11" t="s">
        <v>1114</v>
      </c>
      <c r="AN19" s="11" t="s">
        <v>277</v>
      </c>
      <c r="AO19" s="23">
        <f t="shared" si="2"/>
        <v>-0.21702579454868243</v>
      </c>
    </row>
    <row r="20" spans="1:41" ht="25" hidden="1" customHeight="1" outlineLevel="1" x14ac:dyDescent="0.3">
      <c r="A20" s="26"/>
      <c r="B20" s="26" t="s">
        <v>582</v>
      </c>
      <c r="C20" s="6" t="s">
        <v>283</v>
      </c>
      <c r="D20" s="9" t="s">
        <v>586</v>
      </c>
      <c r="E20" s="9" t="s">
        <v>587</v>
      </c>
      <c r="F20" s="9" t="s">
        <v>588</v>
      </c>
      <c r="G20" s="9" t="s">
        <v>589</v>
      </c>
      <c r="H20" s="9" t="s">
        <v>590</v>
      </c>
      <c r="I20" s="9" t="s">
        <v>591</v>
      </c>
      <c r="J20" s="9" t="s">
        <v>592</v>
      </c>
      <c r="K20" s="9" t="s">
        <v>593</v>
      </c>
      <c r="L20" s="9" t="s">
        <v>594</v>
      </c>
      <c r="M20" s="9" t="s">
        <v>595</v>
      </c>
      <c r="N20" s="9" t="s">
        <v>596</v>
      </c>
      <c r="O20" s="9" t="s">
        <v>583</v>
      </c>
      <c r="P20" s="9" t="s">
        <v>585</v>
      </c>
      <c r="R20" s="9" t="s">
        <v>855</v>
      </c>
      <c r="S20" s="9" t="s">
        <v>1115</v>
      </c>
      <c r="T20" s="9" t="s">
        <v>1104</v>
      </c>
      <c r="U20" s="24">
        <f t="shared" si="0"/>
        <v>1421</v>
      </c>
      <c r="V20" s="8">
        <f t="shared" si="1"/>
        <v>2056</v>
      </c>
      <c r="X20" s="9" t="s">
        <v>601</v>
      </c>
      <c r="Y20" s="9" t="s">
        <v>602</v>
      </c>
      <c r="Z20" s="9" t="s">
        <v>603</v>
      </c>
      <c r="AA20" s="9" t="s">
        <v>604</v>
      </c>
      <c r="AB20" s="9" t="s">
        <v>605</v>
      </c>
      <c r="AC20" s="9" t="s">
        <v>606</v>
      </c>
      <c r="AD20" s="9" t="s">
        <v>607</v>
      </c>
      <c r="AE20" s="9" t="s">
        <v>608</v>
      </c>
      <c r="AF20" s="9" t="s">
        <v>609</v>
      </c>
      <c r="AG20" s="9" t="s">
        <v>610</v>
      </c>
      <c r="AH20" s="9" t="s">
        <v>611</v>
      </c>
      <c r="AI20" s="9" t="s">
        <v>599</v>
      </c>
      <c r="AJ20" s="9" t="s">
        <v>600</v>
      </c>
      <c r="AL20" s="9" t="s">
        <v>1056</v>
      </c>
      <c r="AM20" s="9" t="s">
        <v>1116</v>
      </c>
      <c r="AN20" s="9" t="s">
        <v>186</v>
      </c>
      <c r="AO20" s="22">
        <f t="shared" si="2"/>
        <v>-0.30885214007782102</v>
      </c>
    </row>
    <row r="21" spans="1:41" ht="25" hidden="1" customHeight="1" outlineLevel="1" x14ac:dyDescent="0.3">
      <c r="A21" s="26"/>
      <c r="B21" s="26"/>
      <c r="C21" s="6" t="s">
        <v>30</v>
      </c>
      <c r="D21" s="7" t="s">
        <v>615</v>
      </c>
      <c r="E21" s="7" t="s">
        <v>616</v>
      </c>
      <c r="F21" s="7" t="s">
        <v>617</v>
      </c>
      <c r="G21" s="7" t="s">
        <v>618</v>
      </c>
      <c r="H21" s="7" t="s">
        <v>597</v>
      </c>
      <c r="I21" s="7" t="s">
        <v>598</v>
      </c>
      <c r="J21" s="7" t="s">
        <v>159</v>
      </c>
      <c r="K21" s="7" t="s">
        <v>590</v>
      </c>
      <c r="L21" s="7" t="s">
        <v>619</v>
      </c>
      <c r="M21" s="7" t="s">
        <v>620</v>
      </c>
      <c r="N21" s="7" t="s">
        <v>621</v>
      </c>
      <c r="O21" s="7" t="s">
        <v>613</v>
      </c>
      <c r="P21" s="7" t="s">
        <v>614</v>
      </c>
      <c r="R21" s="7" t="s">
        <v>1117</v>
      </c>
      <c r="S21" s="7" t="s">
        <v>1118</v>
      </c>
      <c r="T21" s="7" t="s">
        <v>1119</v>
      </c>
      <c r="U21" s="24">
        <f t="shared" si="0"/>
        <v>2338</v>
      </c>
      <c r="V21" s="8">
        <f t="shared" si="1"/>
        <v>1243</v>
      </c>
      <c r="X21" s="7" t="s">
        <v>197</v>
      </c>
      <c r="Y21" s="7" t="s">
        <v>624</v>
      </c>
      <c r="Z21" s="7" t="s">
        <v>152</v>
      </c>
      <c r="AA21" s="7" t="s">
        <v>625</v>
      </c>
      <c r="AB21" s="7" t="s">
        <v>626</v>
      </c>
      <c r="AC21" s="7" t="s">
        <v>627</v>
      </c>
      <c r="AD21" s="7" t="s">
        <v>628</v>
      </c>
      <c r="AE21" s="7" t="s">
        <v>629</v>
      </c>
      <c r="AF21" s="7" t="s">
        <v>630</v>
      </c>
      <c r="AG21" s="7" t="s">
        <v>631</v>
      </c>
      <c r="AH21" s="7" t="s">
        <v>632</v>
      </c>
      <c r="AI21" s="7" t="s">
        <v>465</v>
      </c>
      <c r="AJ21" s="7" t="s">
        <v>623</v>
      </c>
      <c r="AL21" s="7" t="s">
        <v>1120</v>
      </c>
      <c r="AM21" s="7" t="s">
        <v>1061</v>
      </c>
      <c r="AN21" s="7" t="s">
        <v>1121</v>
      </c>
      <c r="AO21" s="21">
        <f t="shared" si="2"/>
        <v>0.88093322606596947</v>
      </c>
    </row>
    <row r="22" spans="1:41" ht="25" hidden="1" customHeight="1" outlineLevel="1" x14ac:dyDescent="0.3">
      <c r="A22" s="26"/>
      <c r="B22" s="26"/>
      <c r="C22" s="6" t="s">
        <v>70</v>
      </c>
      <c r="D22" s="9" t="s">
        <v>87</v>
      </c>
      <c r="E22" s="9" t="s">
        <v>88</v>
      </c>
      <c r="F22" s="9" t="s">
        <v>87</v>
      </c>
      <c r="G22" s="9" t="s">
        <v>86</v>
      </c>
      <c r="H22" s="9" t="s">
        <v>90</v>
      </c>
      <c r="I22" s="9" t="s">
        <v>89</v>
      </c>
      <c r="J22" s="9" t="s">
        <v>86</v>
      </c>
      <c r="K22" s="9" t="s">
        <v>633</v>
      </c>
      <c r="L22" s="9" t="s">
        <v>88</v>
      </c>
      <c r="M22" s="9" t="s">
        <v>82</v>
      </c>
      <c r="N22" s="9" t="s">
        <v>89</v>
      </c>
      <c r="O22" s="9" t="s">
        <v>90</v>
      </c>
      <c r="P22" s="9" t="s">
        <v>385</v>
      </c>
      <c r="R22" s="9" t="s">
        <v>82</v>
      </c>
      <c r="S22" s="9" t="s">
        <v>82</v>
      </c>
      <c r="T22" s="9" t="s">
        <v>82</v>
      </c>
      <c r="U22" s="24">
        <f t="shared" si="0"/>
        <v>18</v>
      </c>
      <c r="V22" s="8">
        <f t="shared" si="1"/>
        <v>3</v>
      </c>
      <c r="X22" s="9" t="s">
        <v>94</v>
      </c>
      <c r="Y22" s="9" t="s">
        <v>94</v>
      </c>
      <c r="Z22" s="9" t="s">
        <v>94</v>
      </c>
      <c r="AA22" s="9" t="s">
        <v>94</v>
      </c>
      <c r="AB22" s="9" t="s">
        <v>94</v>
      </c>
      <c r="AC22" s="9" t="s">
        <v>94</v>
      </c>
      <c r="AD22" s="9" t="s">
        <v>94</v>
      </c>
      <c r="AE22" s="9" t="s">
        <v>94</v>
      </c>
      <c r="AF22" s="9" t="s">
        <v>94</v>
      </c>
      <c r="AG22" s="9" t="s">
        <v>636</v>
      </c>
      <c r="AH22" s="9" t="s">
        <v>637</v>
      </c>
      <c r="AI22" s="9" t="s">
        <v>634</v>
      </c>
      <c r="AJ22" s="9" t="s">
        <v>635</v>
      </c>
      <c r="AL22" s="9" t="s">
        <v>94</v>
      </c>
      <c r="AM22" s="9" t="s">
        <v>637</v>
      </c>
      <c r="AN22" s="9" t="s">
        <v>94</v>
      </c>
      <c r="AO22" s="22">
        <f t="shared" si="2"/>
        <v>5</v>
      </c>
    </row>
    <row r="23" spans="1:41" ht="25" hidden="1" customHeight="1" outlineLevel="1" x14ac:dyDescent="0.3">
      <c r="A23" s="26"/>
      <c r="B23" s="26"/>
      <c r="C23" s="6" t="s">
        <v>113</v>
      </c>
      <c r="D23" s="9" t="s">
        <v>108</v>
      </c>
      <c r="E23" s="9" t="s">
        <v>649</v>
      </c>
      <c r="F23" s="9" t="s">
        <v>639</v>
      </c>
      <c r="G23" s="9" t="s">
        <v>218</v>
      </c>
      <c r="H23" s="9" t="s">
        <v>441</v>
      </c>
      <c r="I23" s="9" t="s">
        <v>519</v>
      </c>
      <c r="J23" s="9" t="s">
        <v>524</v>
      </c>
      <c r="K23" s="9" t="s">
        <v>362</v>
      </c>
      <c r="L23" s="9" t="s">
        <v>71</v>
      </c>
      <c r="M23" s="9" t="s">
        <v>643</v>
      </c>
      <c r="N23" s="9" t="s">
        <v>432</v>
      </c>
      <c r="O23" s="9" t="s">
        <v>647</v>
      </c>
      <c r="P23" s="9" t="s">
        <v>648</v>
      </c>
      <c r="R23" s="9" t="s">
        <v>859</v>
      </c>
      <c r="S23" s="9" t="s">
        <v>75</v>
      </c>
      <c r="T23" s="9" t="s">
        <v>80</v>
      </c>
      <c r="U23" s="24">
        <f t="shared" si="0"/>
        <v>186</v>
      </c>
      <c r="V23" s="8">
        <f t="shared" si="1"/>
        <v>463</v>
      </c>
      <c r="X23" s="9" t="s">
        <v>656</v>
      </c>
      <c r="Y23" s="9" t="s">
        <v>657</v>
      </c>
      <c r="Z23" s="9" t="s">
        <v>658</v>
      </c>
      <c r="AA23" s="9" t="s">
        <v>659</v>
      </c>
      <c r="AB23" s="9" t="s">
        <v>660</v>
      </c>
      <c r="AC23" s="9" t="s">
        <v>661</v>
      </c>
      <c r="AD23" s="9" t="s">
        <v>662</v>
      </c>
      <c r="AE23" s="9" t="s">
        <v>663</v>
      </c>
      <c r="AF23" s="9" t="s">
        <v>664</v>
      </c>
      <c r="AG23" s="9" t="s">
        <v>665</v>
      </c>
      <c r="AH23" s="9" t="s">
        <v>666</v>
      </c>
      <c r="AI23" s="9" t="s">
        <v>653</v>
      </c>
      <c r="AJ23" s="9" t="s">
        <v>655</v>
      </c>
      <c r="AL23" s="9" t="s">
        <v>828</v>
      </c>
      <c r="AM23" s="9" t="s">
        <v>1122</v>
      </c>
      <c r="AN23" s="9" t="s">
        <v>143</v>
      </c>
      <c r="AO23" s="22">
        <f t="shared" si="2"/>
        <v>-0.59827213822894176</v>
      </c>
    </row>
    <row r="24" spans="1:41" ht="25" hidden="1" customHeight="1" outlineLevel="1" x14ac:dyDescent="0.3">
      <c r="A24" s="26"/>
      <c r="B24" s="26"/>
      <c r="C24" s="6" t="s">
        <v>430</v>
      </c>
      <c r="D24" s="7" t="s">
        <v>83</v>
      </c>
      <c r="E24" s="7" t="s">
        <v>105</v>
      </c>
      <c r="F24" s="7" t="s">
        <v>384</v>
      </c>
      <c r="G24" s="7" t="s">
        <v>73</v>
      </c>
      <c r="H24" s="7" t="s">
        <v>83</v>
      </c>
      <c r="I24" s="7" t="s">
        <v>381</v>
      </c>
      <c r="J24" s="7" t="s">
        <v>383</v>
      </c>
      <c r="K24" s="7" t="s">
        <v>381</v>
      </c>
      <c r="L24" s="7" t="s">
        <v>74</v>
      </c>
      <c r="M24" s="7" t="s">
        <v>381</v>
      </c>
      <c r="N24" s="7" t="s">
        <v>382</v>
      </c>
      <c r="O24" s="7" t="s">
        <v>384</v>
      </c>
      <c r="P24" s="7" t="s">
        <v>514</v>
      </c>
      <c r="R24" s="7" t="s">
        <v>73</v>
      </c>
      <c r="S24" s="7" t="s">
        <v>82</v>
      </c>
      <c r="T24" s="7" t="s">
        <v>369</v>
      </c>
      <c r="U24" s="24">
        <f t="shared" si="0"/>
        <v>39</v>
      </c>
      <c r="V24" s="8">
        <f t="shared" si="1"/>
        <v>36</v>
      </c>
      <c r="X24" s="7" t="s">
        <v>670</v>
      </c>
      <c r="Y24" s="7" t="s">
        <v>671</v>
      </c>
      <c r="Z24" s="7" t="s">
        <v>274</v>
      </c>
      <c r="AA24" s="7" t="s">
        <v>637</v>
      </c>
      <c r="AB24" s="7" t="s">
        <v>672</v>
      </c>
      <c r="AC24" s="7" t="s">
        <v>637</v>
      </c>
      <c r="AD24" s="7" t="s">
        <v>673</v>
      </c>
      <c r="AE24" s="7" t="s">
        <v>674</v>
      </c>
      <c r="AF24" s="7" t="s">
        <v>675</v>
      </c>
      <c r="AG24" s="7" t="s">
        <v>387</v>
      </c>
      <c r="AH24" s="7" t="s">
        <v>676</v>
      </c>
      <c r="AI24" s="7" t="s">
        <v>196</v>
      </c>
      <c r="AJ24" s="7" t="s">
        <v>669</v>
      </c>
      <c r="AL24" s="7" t="s">
        <v>1049</v>
      </c>
      <c r="AM24" s="7" t="s">
        <v>389</v>
      </c>
      <c r="AN24" s="7" t="s">
        <v>690</v>
      </c>
      <c r="AO24" s="21">
        <f t="shared" si="2"/>
        <v>8.3333333333333259E-2</v>
      </c>
    </row>
    <row r="25" spans="1:41" ht="25" hidden="1" customHeight="1" outlineLevel="1" x14ac:dyDescent="0.3">
      <c r="A25" s="26"/>
      <c r="B25" s="26"/>
      <c r="C25" s="6" t="s">
        <v>156</v>
      </c>
      <c r="D25" s="9" t="s">
        <v>434</v>
      </c>
      <c r="E25" s="9" t="s">
        <v>366</v>
      </c>
      <c r="F25" s="9" t="s">
        <v>216</v>
      </c>
      <c r="G25" s="9" t="s">
        <v>204</v>
      </c>
      <c r="H25" s="9" t="s">
        <v>679</v>
      </c>
      <c r="I25" s="9" t="s">
        <v>79</v>
      </c>
      <c r="J25" s="9" t="s">
        <v>431</v>
      </c>
      <c r="K25" s="9" t="s">
        <v>85</v>
      </c>
      <c r="L25" s="9" t="s">
        <v>77</v>
      </c>
      <c r="M25" s="9" t="s">
        <v>641</v>
      </c>
      <c r="N25" s="9" t="s">
        <v>434</v>
      </c>
      <c r="O25" s="9" t="s">
        <v>75</v>
      </c>
      <c r="P25" s="9" t="s">
        <v>678</v>
      </c>
      <c r="R25" s="9" t="s">
        <v>364</v>
      </c>
      <c r="S25" s="9" t="s">
        <v>667</v>
      </c>
      <c r="T25" s="9" t="s">
        <v>365</v>
      </c>
      <c r="U25" s="24">
        <f t="shared" si="0"/>
        <v>137</v>
      </c>
      <c r="V25" s="8">
        <f t="shared" si="1"/>
        <v>163</v>
      </c>
      <c r="X25" s="9" t="s">
        <v>681</v>
      </c>
      <c r="Y25" s="9" t="s">
        <v>685</v>
      </c>
      <c r="Z25" s="9" t="s">
        <v>686</v>
      </c>
      <c r="AA25" s="9" t="s">
        <v>687</v>
      </c>
      <c r="AB25" s="9" t="s">
        <v>688</v>
      </c>
      <c r="AC25" s="9" t="s">
        <v>689</v>
      </c>
      <c r="AD25" s="9" t="s">
        <v>690</v>
      </c>
      <c r="AE25" s="9" t="s">
        <v>691</v>
      </c>
      <c r="AF25" s="9" t="s">
        <v>692</v>
      </c>
      <c r="AG25" s="9" t="s">
        <v>693</v>
      </c>
      <c r="AH25" s="9" t="s">
        <v>184</v>
      </c>
      <c r="AI25" s="9" t="s">
        <v>682</v>
      </c>
      <c r="AJ25" s="9" t="s">
        <v>684</v>
      </c>
      <c r="AL25" s="9" t="s">
        <v>714</v>
      </c>
      <c r="AM25" s="9" t="s">
        <v>274</v>
      </c>
      <c r="AN25" s="9" t="s">
        <v>1055</v>
      </c>
      <c r="AO25" s="22">
        <f t="shared" si="2"/>
        <v>-0.1595092024539877</v>
      </c>
    </row>
    <row r="26" spans="1:41" ht="25" hidden="1" customHeight="1" outlineLevel="1" x14ac:dyDescent="0.3">
      <c r="A26" s="26"/>
      <c r="B26" s="26"/>
      <c r="C26" s="6" t="s">
        <v>475</v>
      </c>
      <c r="D26" s="7" t="s">
        <v>215</v>
      </c>
      <c r="E26" s="7" t="s">
        <v>697</v>
      </c>
      <c r="F26" s="7" t="s">
        <v>698</v>
      </c>
      <c r="G26" s="7" t="s">
        <v>699</v>
      </c>
      <c r="H26" s="7" t="s">
        <v>700</v>
      </c>
      <c r="I26" s="7" t="s">
        <v>701</v>
      </c>
      <c r="J26" s="7" t="s">
        <v>702</v>
      </c>
      <c r="K26" s="7" t="s">
        <v>703</v>
      </c>
      <c r="L26" s="7" t="s">
        <v>704</v>
      </c>
      <c r="M26" s="7" t="s">
        <v>705</v>
      </c>
      <c r="N26" s="7" t="s">
        <v>706</v>
      </c>
      <c r="O26" s="7" t="s">
        <v>695</v>
      </c>
      <c r="P26" s="7" t="s">
        <v>696</v>
      </c>
      <c r="R26" s="7" t="s">
        <v>1059</v>
      </c>
      <c r="S26" s="7" t="s">
        <v>1123</v>
      </c>
      <c r="T26" s="7" t="s">
        <v>1124</v>
      </c>
      <c r="U26" s="24">
        <f t="shared" si="0"/>
        <v>3707</v>
      </c>
      <c r="V26" s="8">
        <f t="shared" si="1"/>
        <v>3131</v>
      </c>
      <c r="X26" s="7" t="s">
        <v>709</v>
      </c>
      <c r="Y26" s="7" t="s">
        <v>710</v>
      </c>
      <c r="Z26" s="7" t="s">
        <v>711</v>
      </c>
      <c r="AA26" s="7" t="s">
        <v>712</v>
      </c>
      <c r="AB26" s="7" t="s">
        <v>470</v>
      </c>
      <c r="AC26" s="7" t="s">
        <v>713</v>
      </c>
      <c r="AD26" s="7" t="s">
        <v>714</v>
      </c>
      <c r="AE26" s="7" t="s">
        <v>715</v>
      </c>
      <c r="AF26" s="7" t="s">
        <v>716</v>
      </c>
      <c r="AG26" s="7" t="s">
        <v>608</v>
      </c>
      <c r="AH26" s="7" t="s">
        <v>693</v>
      </c>
      <c r="AI26" s="7" t="s">
        <v>470</v>
      </c>
      <c r="AJ26" s="7" t="s">
        <v>708</v>
      </c>
      <c r="AL26" s="7" t="s">
        <v>1125</v>
      </c>
      <c r="AM26" s="7" t="s">
        <v>1062</v>
      </c>
      <c r="AN26" s="7" t="s">
        <v>989</v>
      </c>
      <c r="AO26" s="21">
        <f t="shared" si="2"/>
        <v>0.18396678377515174</v>
      </c>
    </row>
    <row r="27" spans="1:41" ht="25" hidden="1" customHeight="1" outlineLevel="1" x14ac:dyDescent="0.3">
      <c r="A27" s="26"/>
      <c r="B27" s="26"/>
      <c r="C27" s="6" t="s">
        <v>198</v>
      </c>
      <c r="D27" s="9" t="s">
        <v>364</v>
      </c>
      <c r="E27" s="9" t="s">
        <v>364</v>
      </c>
      <c r="F27" s="9" t="s">
        <v>365</v>
      </c>
      <c r="G27" s="9" t="s">
        <v>642</v>
      </c>
      <c r="H27" s="9" t="s">
        <v>202</v>
      </c>
      <c r="I27" s="9" t="s">
        <v>214</v>
      </c>
      <c r="J27" s="9" t="s">
        <v>650</v>
      </c>
      <c r="K27" s="9" t="s">
        <v>209</v>
      </c>
      <c r="L27" s="9" t="s">
        <v>78</v>
      </c>
      <c r="M27" s="9" t="s">
        <v>667</v>
      </c>
      <c r="N27" s="9" t="s">
        <v>112</v>
      </c>
      <c r="O27" s="9" t="s">
        <v>84</v>
      </c>
      <c r="P27" s="9" t="s">
        <v>717</v>
      </c>
      <c r="R27" s="9" t="s">
        <v>84</v>
      </c>
      <c r="S27" s="9" t="s">
        <v>383</v>
      </c>
      <c r="T27" s="9" t="s">
        <v>369</v>
      </c>
      <c r="U27" s="24">
        <f t="shared" si="0"/>
        <v>48</v>
      </c>
      <c r="V27" s="8">
        <f t="shared" si="1"/>
        <v>148</v>
      </c>
      <c r="X27" s="9" t="s">
        <v>721</v>
      </c>
      <c r="Y27" s="9" t="s">
        <v>722</v>
      </c>
      <c r="Z27" s="9" t="s">
        <v>723</v>
      </c>
      <c r="AA27" s="9" t="s">
        <v>724</v>
      </c>
      <c r="AB27" s="9" t="s">
        <v>725</v>
      </c>
      <c r="AC27" s="9" t="s">
        <v>726</v>
      </c>
      <c r="AD27" s="9" t="s">
        <v>727</v>
      </c>
      <c r="AE27" s="9" t="s">
        <v>728</v>
      </c>
      <c r="AF27" s="9" t="s">
        <v>729</v>
      </c>
      <c r="AG27" s="9" t="s">
        <v>544</v>
      </c>
      <c r="AH27" s="9" t="s">
        <v>730</v>
      </c>
      <c r="AI27" s="9" t="s">
        <v>719</v>
      </c>
      <c r="AJ27" s="9" t="s">
        <v>720</v>
      </c>
      <c r="AL27" s="9" t="s">
        <v>1126</v>
      </c>
      <c r="AM27" s="9" t="s">
        <v>1066</v>
      </c>
      <c r="AN27" s="9" t="s">
        <v>1127</v>
      </c>
      <c r="AO27" s="22">
        <f t="shared" si="2"/>
        <v>-0.67567567567567566</v>
      </c>
    </row>
    <row r="28" spans="1:41" ht="25" hidden="1" customHeight="1" outlineLevel="1" x14ac:dyDescent="0.3">
      <c r="A28" s="26"/>
      <c r="B28" s="26"/>
      <c r="C28" s="10" t="s">
        <v>731</v>
      </c>
      <c r="D28" s="11" t="s">
        <v>734</v>
      </c>
      <c r="E28" s="11" t="s">
        <v>735</v>
      </c>
      <c r="F28" s="11" t="s">
        <v>736</v>
      </c>
      <c r="G28" s="11" t="s">
        <v>737</v>
      </c>
      <c r="H28" s="11" t="s">
        <v>738</v>
      </c>
      <c r="I28" s="11" t="s">
        <v>739</v>
      </c>
      <c r="J28" s="11" t="s">
        <v>740</v>
      </c>
      <c r="K28" s="11" t="s">
        <v>741</v>
      </c>
      <c r="L28" s="11" t="s">
        <v>742</v>
      </c>
      <c r="M28" s="11" t="s">
        <v>743</v>
      </c>
      <c r="N28" s="11" t="s">
        <v>744</v>
      </c>
      <c r="O28" s="11" t="s">
        <v>732</v>
      </c>
      <c r="P28" s="11" t="s">
        <v>733</v>
      </c>
      <c r="R28" s="11" t="s">
        <v>1128</v>
      </c>
      <c r="S28" s="11" t="s">
        <v>1129</v>
      </c>
      <c r="T28" s="11" t="s">
        <v>1130</v>
      </c>
      <c r="U28" s="24">
        <f t="shared" si="0"/>
        <v>8340</v>
      </c>
      <c r="V28" s="8">
        <f t="shared" si="1"/>
        <v>7638</v>
      </c>
      <c r="X28" s="11" t="s">
        <v>600</v>
      </c>
      <c r="Y28" s="11" t="s">
        <v>672</v>
      </c>
      <c r="Z28" s="11" t="s">
        <v>746</v>
      </c>
      <c r="AA28" s="11" t="s">
        <v>747</v>
      </c>
      <c r="AB28" s="11" t="s">
        <v>748</v>
      </c>
      <c r="AC28" s="11" t="s">
        <v>749</v>
      </c>
      <c r="AD28" s="11" t="s">
        <v>437</v>
      </c>
      <c r="AE28" s="11" t="s">
        <v>418</v>
      </c>
      <c r="AF28" s="11" t="s">
        <v>750</v>
      </c>
      <c r="AG28" s="11" t="s">
        <v>751</v>
      </c>
      <c r="AH28" s="11" t="s">
        <v>281</v>
      </c>
      <c r="AI28" s="11" t="s">
        <v>745</v>
      </c>
      <c r="AJ28" s="11" t="s">
        <v>655</v>
      </c>
      <c r="AL28" s="11" t="s">
        <v>1131</v>
      </c>
      <c r="AM28" s="11" t="s">
        <v>1023</v>
      </c>
      <c r="AN28" s="11" t="s">
        <v>1057</v>
      </c>
      <c r="AO28" s="23">
        <f t="shared" si="2"/>
        <v>9.1908876669285045E-2</v>
      </c>
    </row>
    <row r="29" spans="1:41" ht="25" hidden="1" customHeight="1" outlineLevel="1" collapsed="1" x14ac:dyDescent="0.3">
      <c r="A29" s="26"/>
      <c r="B29" s="26" t="s">
        <v>752</v>
      </c>
      <c r="C29" s="6" t="s">
        <v>283</v>
      </c>
      <c r="D29" s="9" t="s">
        <v>87</v>
      </c>
      <c r="E29" s="9" t="s">
        <v>74</v>
      </c>
      <c r="F29" s="9" t="s">
        <v>90</v>
      </c>
      <c r="G29" s="9" t="s">
        <v>88</v>
      </c>
      <c r="H29" s="9" t="s">
        <v>86</v>
      </c>
      <c r="I29" s="9" t="s">
        <v>633</v>
      </c>
      <c r="J29" s="9" t="s">
        <v>633</v>
      </c>
      <c r="K29" s="9" t="s">
        <v>86</v>
      </c>
      <c r="L29" s="9" t="s">
        <v>83</v>
      </c>
      <c r="M29" s="9" t="s">
        <v>74</v>
      </c>
      <c r="N29" s="9" t="s">
        <v>753</v>
      </c>
      <c r="O29" s="9" t="s">
        <v>83</v>
      </c>
      <c r="P29" s="9" t="s">
        <v>438</v>
      </c>
      <c r="R29" s="9" t="s">
        <v>83</v>
      </c>
      <c r="S29" s="9" t="s">
        <v>90</v>
      </c>
      <c r="T29" s="9" t="s">
        <v>82</v>
      </c>
      <c r="U29" s="24">
        <f t="shared" si="0"/>
        <v>22</v>
      </c>
      <c r="V29" s="8">
        <f t="shared" si="1"/>
        <v>18</v>
      </c>
      <c r="X29" s="9" t="s">
        <v>756</v>
      </c>
      <c r="Y29" s="9" t="s">
        <v>757</v>
      </c>
      <c r="Z29" s="9" t="s">
        <v>387</v>
      </c>
      <c r="AA29" s="9" t="s">
        <v>388</v>
      </c>
      <c r="AB29" s="9" t="s">
        <v>94</v>
      </c>
      <c r="AC29" s="9" t="s">
        <v>94</v>
      </c>
      <c r="AD29" s="9" t="s">
        <v>186</v>
      </c>
      <c r="AE29" s="9" t="s">
        <v>386</v>
      </c>
      <c r="AF29" s="9" t="s">
        <v>429</v>
      </c>
      <c r="AG29" s="9" t="s">
        <v>464</v>
      </c>
      <c r="AH29" s="9" t="s">
        <v>758</v>
      </c>
      <c r="AI29" s="9" t="s">
        <v>754</v>
      </c>
      <c r="AJ29" s="9" t="s">
        <v>755</v>
      </c>
      <c r="AL29" s="9" t="s">
        <v>94</v>
      </c>
      <c r="AM29" s="9" t="s">
        <v>1132</v>
      </c>
      <c r="AN29" s="9" t="s">
        <v>153</v>
      </c>
      <c r="AO29" s="22">
        <f t="shared" si="2"/>
        <v>0.22222222222222232</v>
      </c>
    </row>
    <row r="30" spans="1:41" ht="25" hidden="1" customHeight="1" outlineLevel="1" x14ac:dyDescent="0.3">
      <c r="A30" s="26"/>
      <c r="B30" s="26"/>
      <c r="C30" s="6" t="s">
        <v>30</v>
      </c>
      <c r="D30" s="7" t="s">
        <v>364</v>
      </c>
      <c r="E30" s="7" t="s">
        <v>103</v>
      </c>
      <c r="F30" s="7" t="s">
        <v>760</v>
      </c>
      <c r="G30" s="7" t="s">
        <v>640</v>
      </c>
      <c r="H30" s="7" t="s">
        <v>362</v>
      </c>
      <c r="I30" s="7" t="s">
        <v>761</v>
      </c>
      <c r="J30" s="7" t="s">
        <v>114</v>
      </c>
      <c r="K30" s="7" t="s">
        <v>111</v>
      </c>
      <c r="L30" s="7" t="s">
        <v>762</v>
      </c>
      <c r="M30" s="7" t="s">
        <v>532</v>
      </c>
      <c r="N30" s="7" t="s">
        <v>763</v>
      </c>
      <c r="O30" s="7" t="s">
        <v>680</v>
      </c>
      <c r="P30" s="7" t="s">
        <v>759</v>
      </c>
      <c r="R30" s="7" t="s">
        <v>1133</v>
      </c>
      <c r="S30" s="7" t="s">
        <v>367</v>
      </c>
      <c r="T30" s="7" t="s">
        <v>652</v>
      </c>
      <c r="U30" s="24">
        <f t="shared" si="0"/>
        <v>723</v>
      </c>
      <c r="V30" s="8">
        <f t="shared" si="1"/>
        <v>269</v>
      </c>
      <c r="X30" s="7" t="s">
        <v>766</v>
      </c>
      <c r="Y30" s="7" t="s">
        <v>767</v>
      </c>
      <c r="Z30" s="7" t="s">
        <v>768</v>
      </c>
      <c r="AA30" s="7" t="s">
        <v>769</v>
      </c>
      <c r="AB30" s="7" t="s">
        <v>770</v>
      </c>
      <c r="AC30" s="7" t="s">
        <v>771</v>
      </c>
      <c r="AD30" s="7" t="s">
        <v>772</v>
      </c>
      <c r="AE30" s="7" t="s">
        <v>773</v>
      </c>
      <c r="AF30" s="7" t="s">
        <v>774</v>
      </c>
      <c r="AG30" s="7" t="s">
        <v>775</v>
      </c>
      <c r="AH30" s="7" t="s">
        <v>776</v>
      </c>
      <c r="AI30" s="7" t="s">
        <v>765</v>
      </c>
      <c r="AJ30" s="7" t="s">
        <v>666</v>
      </c>
      <c r="AL30" s="7" t="s">
        <v>1134</v>
      </c>
      <c r="AM30" s="7" t="s">
        <v>1058</v>
      </c>
      <c r="AN30" s="7" t="s">
        <v>1135</v>
      </c>
      <c r="AO30" s="21">
        <f t="shared" si="2"/>
        <v>1.6877323420074348</v>
      </c>
    </row>
    <row r="31" spans="1:41" ht="25" hidden="1" customHeight="1" outlineLevel="1" x14ac:dyDescent="0.3">
      <c r="A31" s="26"/>
      <c r="B31" s="26"/>
      <c r="C31" s="6" t="s">
        <v>70</v>
      </c>
      <c r="D31" s="9" t="s">
        <v>87</v>
      </c>
      <c r="E31" s="9" t="s">
        <v>87</v>
      </c>
      <c r="F31" s="9" t="s">
        <v>87</v>
      </c>
      <c r="G31" s="9" t="s">
        <v>87</v>
      </c>
      <c r="H31" s="9" t="s">
        <v>633</v>
      </c>
      <c r="I31" s="9" t="s">
        <v>633</v>
      </c>
      <c r="J31" s="9" t="s">
        <v>633</v>
      </c>
      <c r="K31" s="9" t="s">
        <v>90</v>
      </c>
      <c r="L31" s="9" t="s">
        <v>633</v>
      </c>
      <c r="M31" s="9" t="s">
        <v>90</v>
      </c>
      <c r="N31" s="9" t="s">
        <v>87</v>
      </c>
      <c r="O31" s="9" t="s">
        <v>633</v>
      </c>
      <c r="P31" s="9" t="s">
        <v>84</v>
      </c>
      <c r="R31" s="9" t="s">
        <v>86</v>
      </c>
      <c r="S31" s="9" t="s">
        <v>633</v>
      </c>
      <c r="T31" s="9" t="s">
        <v>89</v>
      </c>
      <c r="U31" s="24">
        <f t="shared" si="0"/>
        <v>7</v>
      </c>
      <c r="V31" s="8">
        <f t="shared" si="1"/>
        <v>0</v>
      </c>
      <c r="X31" s="9" t="s">
        <v>94</v>
      </c>
      <c r="Y31" s="9" t="s">
        <v>94</v>
      </c>
      <c r="Z31" s="9" t="s">
        <v>94</v>
      </c>
      <c r="AA31" s="9" t="s">
        <v>94</v>
      </c>
      <c r="AB31" s="9" t="s">
        <v>94</v>
      </c>
      <c r="AC31" s="9" t="s">
        <v>94</v>
      </c>
      <c r="AD31" s="9" t="s">
        <v>94</v>
      </c>
      <c r="AE31" s="9" t="s">
        <v>94</v>
      </c>
      <c r="AF31" s="9" t="s">
        <v>94</v>
      </c>
      <c r="AG31" s="9" t="s">
        <v>94</v>
      </c>
      <c r="AH31" s="9" t="s">
        <v>94</v>
      </c>
      <c r="AI31" s="9" t="s">
        <v>94</v>
      </c>
      <c r="AJ31" s="9" t="s">
        <v>94</v>
      </c>
      <c r="AL31" s="9" t="s">
        <v>94</v>
      </c>
      <c r="AM31" s="9" t="s">
        <v>94</v>
      </c>
      <c r="AN31" s="9" t="s">
        <v>94</v>
      </c>
      <c r="AO31" s="22" t="e">
        <f t="shared" si="2"/>
        <v>#DIV/0!</v>
      </c>
    </row>
    <row r="32" spans="1:41" ht="25" hidden="1" customHeight="1" outlineLevel="1" x14ac:dyDescent="0.3">
      <c r="A32" s="26"/>
      <c r="B32" s="26"/>
      <c r="C32" s="6" t="s">
        <v>113</v>
      </c>
      <c r="D32" s="9" t="s">
        <v>109</v>
      </c>
      <c r="E32" s="9" t="s">
        <v>214</v>
      </c>
      <c r="F32" s="9" t="s">
        <v>679</v>
      </c>
      <c r="G32" s="9" t="s">
        <v>114</v>
      </c>
      <c r="H32" s="9" t="s">
        <v>779</v>
      </c>
      <c r="I32" s="9" t="s">
        <v>114</v>
      </c>
      <c r="J32" s="9" t="s">
        <v>108</v>
      </c>
      <c r="K32" s="9" t="s">
        <v>202</v>
      </c>
      <c r="L32" s="9" t="s">
        <v>224</v>
      </c>
      <c r="M32" s="9" t="s">
        <v>202</v>
      </c>
      <c r="N32" s="9" t="s">
        <v>221</v>
      </c>
      <c r="O32" s="9" t="s">
        <v>370</v>
      </c>
      <c r="P32" s="9" t="s">
        <v>778</v>
      </c>
      <c r="R32" s="9" t="s">
        <v>110</v>
      </c>
      <c r="S32" s="9" t="s">
        <v>435</v>
      </c>
      <c r="T32" s="9" t="s">
        <v>75</v>
      </c>
      <c r="U32" s="24">
        <f t="shared" si="0"/>
        <v>109</v>
      </c>
      <c r="V32" s="8">
        <f t="shared" si="1"/>
        <v>155</v>
      </c>
      <c r="X32" s="9" t="s">
        <v>386</v>
      </c>
      <c r="Y32" s="9" t="s">
        <v>581</v>
      </c>
      <c r="Z32" s="9" t="s">
        <v>781</v>
      </c>
      <c r="AA32" s="9" t="s">
        <v>782</v>
      </c>
      <c r="AB32" s="9" t="s">
        <v>783</v>
      </c>
      <c r="AC32" s="9" t="s">
        <v>784</v>
      </c>
      <c r="AD32" s="9" t="s">
        <v>785</v>
      </c>
      <c r="AE32" s="9" t="s">
        <v>786</v>
      </c>
      <c r="AF32" s="9" t="s">
        <v>787</v>
      </c>
      <c r="AG32" s="9" t="s">
        <v>788</v>
      </c>
      <c r="AH32" s="9" t="s">
        <v>789</v>
      </c>
      <c r="AI32" s="9" t="s">
        <v>668</v>
      </c>
      <c r="AJ32" s="9" t="s">
        <v>780</v>
      </c>
      <c r="AL32" s="9" t="s">
        <v>713</v>
      </c>
      <c r="AM32" s="9" t="s">
        <v>1054</v>
      </c>
      <c r="AN32" s="9" t="s">
        <v>1136</v>
      </c>
      <c r="AO32" s="22">
        <f t="shared" si="2"/>
        <v>-0.29677419354838708</v>
      </c>
    </row>
    <row r="33" spans="1:41" ht="25" hidden="1" customHeight="1" outlineLevel="1" x14ac:dyDescent="0.3">
      <c r="A33" s="26"/>
      <c r="B33" s="26"/>
      <c r="C33" s="6" t="s">
        <v>430</v>
      </c>
      <c r="D33" s="7" t="s">
        <v>83</v>
      </c>
      <c r="E33" s="7" t="s">
        <v>199</v>
      </c>
      <c r="F33" s="7" t="s">
        <v>371</v>
      </c>
      <c r="G33" s="7" t="s">
        <v>74</v>
      </c>
      <c r="H33" s="7" t="s">
        <v>83</v>
      </c>
      <c r="I33" s="7" t="s">
        <v>104</v>
      </c>
      <c r="J33" s="7" t="s">
        <v>107</v>
      </c>
      <c r="K33" s="7" t="s">
        <v>382</v>
      </c>
      <c r="L33" s="7" t="s">
        <v>89</v>
      </c>
      <c r="M33" s="7" t="s">
        <v>90</v>
      </c>
      <c r="N33" s="7" t="s">
        <v>384</v>
      </c>
      <c r="O33" s="7" t="s">
        <v>633</v>
      </c>
      <c r="P33" s="7" t="s">
        <v>790</v>
      </c>
      <c r="R33" s="7" t="s">
        <v>633</v>
      </c>
      <c r="S33" s="7" t="s">
        <v>88</v>
      </c>
      <c r="T33" s="7" t="s">
        <v>633</v>
      </c>
      <c r="U33" s="24">
        <f t="shared" si="0"/>
        <v>7</v>
      </c>
      <c r="V33" s="8">
        <f t="shared" si="1"/>
        <v>61</v>
      </c>
      <c r="X33" s="7" t="s">
        <v>793</v>
      </c>
      <c r="Y33" s="7" t="s">
        <v>794</v>
      </c>
      <c r="Z33" s="7" t="s">
        <v>795</v>
      </c>
      <c r="AA33" s="7" t="s">
        <v>757</v>
      </c>
      <c r="AB33" s="7" t="s">
        <v>796</v>
      </c>
      <c r="AC33" s="7" t="s">
        <v>797</v>
      </c>
      <c r="AD33" s="7" t="s">
        <v>797</v>
      </c>
      <c r="AE33" s="7" t="s">
        <v>798</v>
      </c>
      <c r="AF33" s="7" t="s">
        <v>186</v>
      </c>
      <c r="AG33" s="7" t="s">
        <v>545</v>
      </c>
      <c r="AH33" s="7" t="s">
        <v>799</v>
      </c>
      <c r="AI33" s="7" t="s">
        <v>791</v>
      </c>
      <c r="AJ33" s="7" t="s">
        <v>792</v>
      </c>
      <c r="AL33" s="7" t="s">
        <v>1137</v>
      </c>
      <c r="AM33" s="7" t="s">
        <v>858</v>
      </c>
      <c r="AN33" s="7" t="s">
        <v>1138</v>
      </c>
      <c r="AO33" s="21">
        <f t="shared" si="2"/>
        <v>-0.88524590163934425</v>
      </c>
    </row>
    <row r="34" spans="1:41" ht="25" hidden="1" customHeight="1" outlineLevel="1" x14ac:dyDescent="0.3">
      <c r="A34" s="26"/>
      <c r="B34" s="26"/>
      <c r="C34" s="6" t="s">
        <v>156</v>
      </c>
      <c r="D34" s="9" t="s">
        <v>384</v>
      </c>
      <c r="E34" s="9" t="s">
        <v>213</v>
      </c>
      <c r="F34" s="9" t="s">
        <v>213</v>
      </c>
      <c r="G34" s="9" t="s">
        <v>381</v>
      </c>
      <c r="H34" s="9" t="s">
        <v>105</v>
      </c>
      <c r="I34" s="9" t="s">
        <v>83</v>
      </c>
      <c r="J34" s="9" t="s">
        <v>213</v>
      </c>
      <c r="K34" s="9" t="s">
        <v>199</v>
      </c>
      <c r="L34" s="9" t="s">
        <v>73</v>
      </c>
      <c r="M34" s="9" t="s">
        <v>382</v>
      </c>
      <c r="N34" s="9" t="s">
        <v>74</v>
      </c>
      <c r="O34" s="9" t="s">
        <v>213</v>
      </c>
      <c r="P34" s="9" t="s">
        <v>800</v>
      </c>
      <c r="R34" s="9" t="s">
        <v>433</v>
      </c>
      <c r="S34" s="9" t="s">
        <v>641</v>
      </c>
      <c r="T34" s="9" t="s">
        <v>112</v>
      </c>
      <c r="U34" s="24">
        <f t="shared" si="0"/>
        <v>109</v>
      </c>
      <c r="V34" s="8">
        <f t="shared" si="1"/>
        <v>37</v>
      </c>
      <c r="X34" s="9" t="s">
        <v>422</v>
      </c>
      <c r="Y34" s="9" t="s">
        <v>801</v>
      </c>
      <c r="Z34" s="9" t="s">
        <v>228</v>
      </c>
      <c r="AA34" s="9" t="s">
        <v>788</v>
      </c>
      <c r="AB34" s="9" t="s">
        <v>386</v>
      </c>
      <c r="AC34" s="9" t="s">
        <v>786</v>
      </c>
      <c r="AD34" s="9" t="s">
        <v>386</v>
      </c>
      <c r="AE34" s="9" t="s">
        <v>802</v>
      </c>
      <c r="AF34" s="9" t="s">
        <v>637</v>
      </c>
      <c r="AG34" s="9" t="s">
        <v>277</v>
      </c>
      <c r="AH34" s="9" t="s">
        <v>386</v>
      </c>
      <c r="AI34" s="9" t="s">
        <v>689</v>
      </c>
      <c r="AJ34" s="9" t="s">
        <v>646</v>
      </c>
      <c r="AL34" s="9" t="s">
        <v>1139</v>
      </c>
      <c r="AM34" s="9" t="s">
        <v>802</v>
      </c>
      <c r="AN34" s="9" t="s">
        <v>1140</v>
      </c>
      <c r="AO34" s="22">
        <f t="shared" si="2"/>
        <v>1.9459459459459461</v>
      </c>
    </row>
    <row r="35" spans="1:41" ht="25" hidden="1" customHeight="1" outlineLevel="1" x14ac:dyDescent="0.3">
      <c r="A35" s="26"/>
      <c r="B35" s="26"/>
      <c r="C35" s="6" t="s">
        <v>475</v>
      </c>
      <c r="D35" s="7" t="s">
        <v>805</v>
      </c>
      <c r="E35" s="7" t="s">
        <v>806</v>
      </c>
      <c r="F35" s="7" t="s">
        <v>807</v>
      </c>
      <c r="G35" s="7" t="s">
        <v>761</v>
      </c>
      <c r="H35" s="7" t="s">
        <v>761</v>
      </c>
      <c r="I35" s="7" t="s">
        <v>808</v>
      </c>
      <c r="J35" s="7" t="s">
        <v>809</v>
      </c>
      <c r="K35" s="7" t="s">
        <v>810</v>
      </c>
      <c r="L35" s="7" t="s">
        <v>811</v>
      </c>
      <c r="M35" s="7" t="s">
        <v>812</v>
      </c>
      <c r="N35" s="7" t="s">
        <v>813</v>
      </c>
      <c r="O35" s="7" t="s">
        <v>803</v>
      </c>
      <c r="P35" s="7" t="s">
        <v>804</v>
      </c>
      <c r="R35" s="7" t="s">
        <v>1141</v>
      </c>
      <c r="S35" s="7" t="s">
        <v>1115</v>
      </c>
      <c r="T35" s="7" t="s">
        <v>125</v>
      </c>
      <c r="U35" s="24">
        <f t="shared" si="0"/>
        <v>1536</v>
      </c>
      <c r="V35" s="8">
        <f t="shared" si="1"/>
        <v>891</v>
      </c>
      <c r="X35" s="7" t="s">
        <v>816</v>
      </c>
      <c r="Y35" s="7" t="s">
        <v>817</v>
      </c>
      <c r="Z35" s="7" t="s">
        <v>818</v>
      </c>
      <c r="AA35" s="7" t="s">
        <v>819</v>
      </c>
      <c r="AB35" s="7" t="s">
        <v>820</v>
      </c>
      <c r="AC35" s="7" t="s">
        <v>821</v>
      </c>
      <c r="AD35" s="7" t="s">
        <v>822</v>
      </c>
      <c r="AE35" s="7" t="s">
        <v>823</v>
      </c>
      <c r="AF35" s="7" t="s">
        <v>824</v>
      </c>
      <c r="AG35" s="7" t="s">
        <v>825</v>
      </c>
      <c r="AH35" s="7" t="s">
        <v>826</v>
      </c>
      <c r="AI35" s="7" t="s">
        <v>814</v>
      </c>
      <c r="AJ35" s="7" t="s">
        <v>815</v>
      </c>
      <c r="AL35" s="7" t="s">
        <v>1142</v>
      </c>
      <c r="AM35" s="7" t="s">
        <v>1048</v>
      </c>
      <c r="AN35" s="7" t="s">
        <v>1053</v>
      </c>
      <c r="AO35" s="21">
        <f t="shared" si="2"/>
        <v>0.72390572390572383</v>
      </c>
    </row>
    <row r="36" spans="1:41" ht="25" hidden="1" customHeight="1" outlineLevel="1" x14ac:dyDescent="0.3">
      <c r="A36" s="26"/>
      <c r="B36" s="26"/>
      <c r="C36" s="10" t="s">
        <v>830</v>
      </c>
      <c r="D36" s="11" t="s">
        <v>833</v>
      </c>
      <c r="E36" s="11" t="s">
        <v>834</v>
      </c>
      <c r="F36" s="11" t="s">
        <v>835</v>
      </c>
      <c r="G36" s="11" t="s">
        <v>836</v>
      </c>
      <c r="H36" s="11" t="s">
        <v>837</v>
      </c>
      <c r="I36" s="11" t="s">
        <v>400</v>
      </c>
      <c r="J36" s="11" t="s">
        <v>838</v>
      </c>
      <c r="K36" s="11" t="s">
        <v>839</v>
      </c>
      <c r="L36" s="11" t="s">
        <v>840</v>
      </c>
      <c r="M36" s="11" t="s">
        <v>841</v>
      </c>
      <c r="N36" s="11" t="s">
        <v>842</v>
      </c>
      <c r="O36" s="11" t="s">
        <v>831</v>
      </c>
      <c r="P36" s="11" t="s">
        <v>832</v>
      </c>
      <c r="R36" s="11" t="s">
        <v>1143</v>
      </c>
      <c r="S36" s="11" t="s">
        <v>622</v>
      </c>
      <c r="T36" s="11" t="s">
        <v>450</v>
      </c>
      <c r="U36" s="24">
        <f t="shared" si="0"/>
        <v>2570</v>
      </c>
      <c r="V36" s="8">
        <f t="shared" si="1"/>
        <v>1507</v>
      </c>
      <c r="X36" s="11" t="s">
        <v>845</v>
      </c>
      <c r="Y36" s="11" t="s">
        <v>846</v>
      </c>
      <c r="Z36" s="11" t="s">
        <v>847</v>
      </c>
      <c r="AA36" s="11" t="s">
        <v>848</v>
      </c>
      <c r="AB36" s="11" t="s">
        <v>849</v>
      </c>
      <c r="AC36" s="11" t="s">
        <v>850</v>
      </c>
      <c r="AD36" s="11" t="s">
        <v>851</v>
      </c>
      <c r="AE36" s="11" t="s">
        <v>507</v>
      </c>
      <c r="AF36" s="11" t="s">
        <v>852</v>
      </c>
      <c r="AG36" s="11" t="s">
        <v>853</v>
      </c>
      <c r="AH36" s="11" t="s">
        <v>418</v>
      </c>
      <c r="AI36" s="11" t="s">
        <v>843</v>
      </c>
      <c r="AJ36" s="11" t="s">
        <v>844</v>
      </c>
      <c r="AL36" s="11" t="s">
        <v>1144</v>
      </c>
      <c r="AM36" s="11" t="s">
        <v>1145</v>
      </c>
      <c r="AN36" s="11" t="s">
        <v>1072</v>
      </c>
      <c r="AO36" s="23">
        <f t="shared" si="2"/>
        <v>0.70537491705374911</v>
      </c>
    </row>
    <row r="37" spans="1:41" ht="25" customHeight="1" collapsed="1" x14ac:dyDescent="0.3">
      <c r="A37" s="26"/>
      <c r="B37" s="27" t="s">
        <v>860</v>
      </c>
      <c r="C37" s="27"/>
      <c r="D37" s="11" t="s">
        <v>863</v>
      </c>
      <c r="E37" s="11" t="s">
        <v>864</v>
      </c>
      <c r="F37" s="11" t="s">
        <v>865</v>
      </c>
      <c r="G37" s="11" t="s">
        <v>866</v>
      </c>
      <c r="H37" s="11" t="s">
        <v>867</v>
      </c>
      <c r="I37" s="11" t="s">
        <v>868</v>
      </c>
      <c r="J37" s="11" t="s">
        <v>869</v>
      </c>
      <c r="K37" s="11" t="s">
        <v>870</v>
      </c>
      <c r="L37" s="11" t="s">
        <v>871</v>
      </c>
      <c r="M37" s="11" t="s">
        <v>872</v>
      </c>
      <c r="N37" s="11" t="s">
        <v>873</v>
      </c>
      <c r="O37" s="11" t="s">
        <v>861</v>
      </c>
      <c r="P37" s="11" t="s">
        <v>862</v>
      </c>
      <c r="R37" s="11" t="s">
        <v>1146</v>
      </c>
      <c r="S37" s="11" t="s">
        <v>1147</v>
      </c>
      <c r="T37" s="11" t="s">
        <v>1148</v>
      </c>
      <c r="U37" s="24">
        <f t="shared" si="0"/>
        <v>74087</v>
      </c>
      <c r="V37" s="8">
        <f t="shared" si="1"/>
        <v>97357</v>
      </c>
      <c r="X37" s="11" t="s">
        <v>889</v>
      </c>
      <c r="Y37" s="11" t="s">
        <v>890</v>
      </c>
      <c r="Z37" s="11" t="s">
        <v>891</v>
      </c>
      <c r="AA37" s="11" t="s">
        <v>503</v>
      </c>
      <c r="AB37" s="11" t="s">
        <v>607</v>
      </c>
      <c r="AC37" s="11" t="s">
        <v>425</v>
      </c>
      <c r="AD37" s="11" t="s">
        <v>892</v>
      </c>
      <c r="AE37" s="11" t="s">
        <v>854</v>
      </c>
      <c r="AF37" s="11" t="s">
        <v>893</v>
      </c>
      <c r="AG37" s="11" t="s">
        <v>894</v>
      </c>
      <c r="AH37" s="11" t="s">
        <v>777</v>
      </c>
      <c r="AI37" s="11" t="s">
        <v>887</v>
      </c>
      <c r="AJ37" s="11" t="s">
        <v>888</v>
      </c>
      <c r="AL37" s="11" t="s">
        <v>280</v>
      </c>
      <c r="AM37" s="11" t="s">
        <v>1149</v>
      </c>
      <c r="AN37" s="11" t="s">
        <v>194</v>
      </c>
      <c r="AO37" s="23">
        <f t="shared" si="2"/>
        <v>-0.23901722526372016</v>
      </c>
    </row>
    <row r="38" spans="1:41" ht="25" customHeight="1" x14ac:dyDescent="0.3">
      <c r="A38" s="26" t="s">
        <v>895</v>
      </c>
      <c r="B38" s="26" t="s">
        <v>29</v>
      </c>
      <c r="C38" s="6" t="s">
        <v>283</v>
      </c>
      <c r="D38" s="7" t="s">
        <v>898</v>
      </c>
      <c r="E38" s="7" t="s">
        <v>899</v>
      </c>
      <c r="F38" s="7" t="s">
        <v>900</v>
      </c>
      <c r="G38" s="7" t="s">
        <v>901</v>
      </c>
      <c r="H38" s="7" t="s">
        <v>902</v>
      </c>
      <c r="I38" s="7" t="s">
        <v>903</v>
      </c>
      <c r="J38" s="7" t="s">
        <v>904</v>
      </c>
      <c r="K38" s="7" t="s">
        <v>905</v>
      </c>
      <c r="L38" s="7" t="s">
        <v>906</v>
      </c>
      <c r="M38" s="7" t="s">
        <v>907</v>
      </c>
      <c r="N38" s="7" t="s">
        <v>908</v>
      </c>
      <c r="O38" s="7" t="s">
        <v>896</v>
      </c>
      <c r="P38" s="7" t="s">
        <v>897</v>
      </c>
      <c r="R38" s="7" t="s">
        <v>1150</v>
      </c>
      <c r="S38" s="7" t="s">
        <v>699</v>
      </c>
      <c r="T38" s="7" t="s">
        <v>1151</v>
      </c>
      <c r="U38" s="24">
        <f t="shared" si="0"/>
        <v>12958</v>
      </c>
      <c r="V38" s="8">
        <f t="shared" si="1"/>
        <v>28186</v>
      </c>
      <c r="X38" s="7" t="s">
        <v>921</v>
      </c>
      <c r="Y38" s="7" t="s">
        <v>922</v>
      </c>
      <c r="Z38" s="7" t="s">
        <v>923</v>
      </c>
      <c r="AA38" s="7" t="s">
        <v>924</v>
      </c>
      <c r="AB38" s="7" t="s">
        <v>612</v>
      </c>
      <c r="AC38" s="7" t="s">
        <v>683</v>
      </c>
      <c r="AD38" s="7" t="s">
        <v>925</v>
      </c>
      <c r="AE38" s="7" t="s">
        <v>926</v>
      </c>
      <c r="AF38" s="7" t="s">
        <v>927</v>
      </c>
      <c r="AG38" s="7" t="s">
        <v>182</v>
      </c>
      <c r="AH38" s="7" t="s">
        <v>316</v>
      </c>
      <c r="AI38" s="7" t="s">
        <v>920</v>
      </c>
      <c r="AJ38" s="7" t="s">
        <v>709</v>
      </c>
      <c r="AL38" s="7" t="s">
        <v>1152</v>
      </c>
      <c r="AM38" s="7" t="s">
        <v>1153</v>
      </c>
      <c r="AN38" s="7" t="s">
        <v>1154</v>
      </c>
      <c r="AO38" s="21">
        <f t="shared" si="2"/>
        <v>-0.54026821826438653</v>
      </c>
    </row>
    <row r="39" spans="1:41" ht="25" customHeight="1" x14ac:dyDescent="0.3">
      <c r="A39" s="26"/>
      <c r="B39" s="26"/>
      <c r="C39" s="6" t="s">
        <v>430</v>
      </c>
      <c r="D39" s="7" t="s">
        <v>930</v>
      </c>
      <c r="E39" s="7" t="s">
        <v>253</v>
      </c>
      <c r="F39" s="7" t="s">
        <v>931</v>
      </c>
      <c r="G39" s="7" t="s">
        <v>932</v>
      </c>
      <c r="H39" s="7" t="s">
        <v>933</v>
      </c>
      <c r="I39" s="7" t="s">
        <v>934</v>
      </c>
      <c r="J39" s="7" t="s">
        <v>935</v>
      </c>
      <c r="K39" s="7" t="s">
        <v>936</v>
      </c>
      <c r="L39" s="7" t="s">
        <v>937</v>
      </c>
      <c r="M39" s="7" t="s">
        <v>938</v>
      </c>
      <c r="N39" s="7" t="s">
        <v>939</v>
      </c>
      <c r="O39" s="7" t="s">
        <v>928</v>
      </c>
      <c r="P39" s="7" t="s">
        <v>929</v>
      </c>
      <c r="R39" s="7" t="s">
        <v>1155</v>
      </c>
      <c r="S39" s="7" t="s">
        <v>1070</v>
      </c>
      <c r="T39" s="7" t="s">
        <v>1156</v>
      </c>
      <c r="U39" s="24">
        <f t="shared" si="0"/>
        <v>11520</v>
      </c>
      <c r="V39" s="8">
        <f t="shared" si="1"/>
        <v>12150</v>
      </c>
      <c r="X39" s="7" t="s">
        <v>955</v>
      </c>
      <c r="Y39" s="7" t="s">
        <v>626</v>
      </c>
      <c r="Z39" s="7" t="s">
        <v>715</v>
      </c>
      <c r="AA39" s="7" t="s">
        <v>510</v>
      </c>
      <c r="AB39" s="7" t="s">
        <v>474</v>
      </c>
      <c r="AC39" s="7" t="s">
        <v>956</v>
      </c>
      <c r="AD39" s="7" t="s">
        <v>957</v>
      </c>
      <c r="AE39" s="7" t="s">
        <v>644</v>
      </c>
      <c r="AF39" s="7" t="s">
        <v>958</v>
      </c>
      <c r="AG39" s="7" t="s">
        <v>853</v>
      </c>
      <c r="AH39" s="7" t="s">
        <v>959</v>
      </c>
      <c r="AI39" s="7" t="s">
        <v>953</v>
      </c>
      <c r="AJ39" s="7" t="s">
        <v>954</v>
      </c>
      <c r="AL39" s="7" t="s">
        <v>658</v>
      </c>
      <c r="AM39" s="7" t="s">
        <v>1157</v>
      </c>
      <c r="AN39" s="7" t="s">
        <v>542</v>
      </c>
      <c r="AO39" s="21">
        <f t="shared" si="2"/>
        <v>-5.1851851851851816E-2</v>
      </c>
    </row>
    <row r="40" spans="1:41" ht="25" customHeight="1" x14ac:dyDescent="0.3">
      <c r="A40" s="26"/>
      <c r="B40" s="26"/>
      <c r="C40" s="10" t="s">
        <v>240</v>
      </c>
      <c r="D40" s="11" t="s">
        <v>962</v>
      </c>
      <c r="E40" s="11" t="s">
        <v>963</v>
      </c>
      <c r="F40" s="11" t="s">
        <v>964</v>
      </c>
      <c r="G40" s="11" t="s">
        <v>965</v>
      </c>
      <c r="H40" s="11" t="s">
        <v>966</v>
      </c>
      <c r="I40" s="11" t="s">
        <v>967</v>
      </c>
      <c r="J40" s="11" t="s">
        <v>968</v>
      </c>
      <c r="K40" s="11" t="s">
        <v>969</v>
      </c>
      <c r="L40" s="11" t="s">
        <v>970</v>
      </c>
      <c r="M40" s="11" t="s">
        <v>971</v>
      </c>
      <c r="N40" s="11" t="s">
        <v>972</v>
      </c>
      <c r="O40" s="11" t="s">
        <v>960</v>
      </c>
      <c r="P40" s="11" t="s">
        <v>961</v>
      </c>
      <c r="R40" s="11" t="s">
        <v>1158</v>
      </c>
      <c r="S40" s="11" t="s">
        <v>1159</v>
      </c>
      <c r="T40" s="11" t="s">
        <v>1160</v>
      </c>
      <c r="U40" s="24">
        <f t="shared" si="0"/>
        <v>24479</v>
      </c>
      <c r="V40" s="8">
        <f t="shared" si="1"/>
        <v>40336</v>
      </c>
      <c r="X40" s="11" t="s">
        <v>182</v>
      </c>
      <c r="Y40" s="11" t="s">
        <v>988</v>
      </c>
      <c r="Z40" s="11" t="s">
        <v>989</v>
      </c>
      <c r="AA40" s="11" t="s">
        <v>990</v>
      </c>
      <c r="AB40" s="11" t="s">
        <v>991</v>
      </c>
      <c r="AC40" s="11" t="s">
        <v>509</v>
      </c>
      <c r="AD40" s="11" t="s">
        <v>992</v>
      </c>
      <c r="AE40" s="11" t="s">
        <v>993</v>
      </c>
      <c r="AF40" s="11" t="s">
        <v>994</v>
      </c>
      <c r="AG40" s="11" t="s">
        <v>995</v>
      </c>
      <c r="AH40" s="11" t="s">
        <v>996</v>
      </c>
      <c r="AI40" s="11" t="s">
        <v>986</v>
      </c>
      <c r="AJ40" s="11" t="s">
        <v>987</v>
      </c>
      <c r="AL40" s="11" t="s">
        <v>707</v>
      </c>
      <c r="AM40" s="11" t="s">
        <v>145</v>
      </c>
      <c r="AN40" s="11" t="s">
        <v>1161</v>
      </c>
      <c r="AO40" s="23">
        <f t="shared" si="2"/>
        <v>-0.39312276874256247</v>
      </c>
    </row>
    <row r="41" spans="1:41" ht="25" customHeight="1" x14ac:dyDescent="0.3">
      <c r="A41" s="26"/>
      <c r="B41" s="27" t="s">
        <v>999</v>
      </c>
      <c r="C41" s="27"/>
      <c r="D41" s="11" t="s">
        <v>1002</v>
      </c>
      <c r="E41" s="11" t="s">
        <v>1003</v>
      </c>
      <c r="F41" s="11" t="s">
        <v>1004</v>
      </c>
      <c r="G41" s="11" t="s">
        <v>1005</v>
      </c>
      <c r="H41" s="11" t="s">
        <v>1006</v>
      </c>
      <c r="I41" s="11" t="s">
        <v>1007</v>
      </c>
      <c r="J41" s="11" t="s">
        <v>1008</v>
      </c>
      <c r="K41" s="11" t="s">
        <v>1009</v>
      </c>
      <c r="L41" s="11" t="s">
        <v>1010</v>
      </c>
      <c r="M41" s="11" t="s">
        <v>1011</v>
      </c>
      <c r="N41" s="11" t="s">
        <v>1012</v>
      </c>
      <c r="O41" s="11" t="s">
        <v>1000</v>
      </c>
      <c r="P41" s="11" t="s">
        <v>1001</v>
      </c>
      <c r="R41" s="11" t="s">
        <v>1162</v>
      </c>
      <c r="S41" s="11" t="s">
        <v>1163</v>
      </c>
      <c r="T41" s="11" t="s">
        <v>1164</v>
      </c>
      <c r="U41" s="24">
        <f t="shared" si="0"/>
        <v>34015</v>
      </c>
      <c r="V41" s="8">
        <f t="shared" si="1"/>
        <v>47207</v>
      </c>
      <c r="X41" s="11" t="s">
        <v>1014</v>
      </c>
      <c r="Y41" s="11" t="s">
        <v>1015</v>
      </c>
      <c r="Z41" s="11" t="s">
        <v>1016</v>
      </c>
      <c r="AA41" s="11" t="s">
        <v>1017</v>
      </c>
      <c r="AB41" s="11" t="s">
        <v>1018</v>
      </c>
      <c r="AC41" s="11" t="s">
        <v>925</v>
      </c>
      <c r="AD41" s="11" t="s">
        <v>1019</v>
      </c>
      <c r="AE41" s="11" t="s">
        <v>1020</v>
      </c>
      <c r="AF41" s="11" t="s">
        <v>1021</v>
      </c>
      <c r="AG41" s="11" t="s">
        <v>1022</v>
      </c>
      <c r="AH41" s="11" t="s">
        <v>1023</v>
      </c>
      <c r="AI41" s="11" t="s">
        <v>1013</v>
      </c>
      <c r="AJ41" s="11" t="s">
        <v>677</v>
      </c>
      <c r="AL41" s="11" t="s">
        <v>1068</v>
      </c>
      <c r="AM41" s="11" t="s">
        <v>654</v>
      </c>
      <c r="AN41" s="11" t="s">
        <v>417</v>
      </c>
      <c r="AO41" s="23">
        <f t="shared" si="2"/>
        <v>-0.2794500815557015</v>
      </c>
    </row>
    <row r="42" spans="1:41" ht="25" customHeight="1" x14ac:dyDescent="0.3">
      <c r="A42" s="27" t="s">
        <v>1024</v>
      </c>
      <c r="B42" s="27"/>
      <c r="C42" s="27"/>
      <c r="D42" s="11" t="s">
        <v>1027</v>
      </c>
      <c r="E42" s="11" t="s">
        <v>1028</v>
      </c>
      <c r="F42" s="11" t="s">
        <v>1029</v>
      </c>
      <c r="G42" s="11" t="s">
        <v>1030</v>
      </c>
      <c r="H42" s="11" t="s">
        <v>1031</v>
      </c>
      <c r="I42" s="11" t="s">
        <v>1032</v>
      </c>
      <c r="J42" s="11" t="s">
        <v>1033</v>
      </c>
      <c r="K42" s="11" t="s">
        <v>1034</v>
      </c>
      <c r="L42" s="11" t="s">
        <v>1035</v>
      </c>
      <c r="M42" s="11" t="s">
        <v>1036</v>
      </c>
      <c r="N42" s="11" t="s">
        <v>1037</v>
      </c>
      <c r="O42" s="11" t="s">
        <v>1025</v>
      </c>
      <c r="P42" s="11" t="s">
        <v>1026</v>
      </c>
      <c r="R42" s="11" t="s">
        <v>1165</v>
      </c>
      <c r="S42" s="11" t="s">
        <v>1166</v>
      </c>
      <c r="T42" s="11" t="s">
        <v>1167</v>
      </c>
      <c r="U42" s="24">
        <f t="shared" si="0"/>
        <v>108102</v>
      </c>
      <c r="V42" s="8">
        <f t="shared" si="1"/>
        <v>144564</v>
      </c>
      <c r="X42" s="11" t="s">
        <v>1041</v>
      </c>
      <c r="Y42" s="11" t="s">
        <v>1042</v>
      </c>
      <c r="Z42" s="11" t="s">
        <v>1043</v>
      </c>
      <c r="AA42" s="11" t="s">
        <v>987</v>
      </c>
      <c r="AB42" s="11" t="s">
        <v>272</v>
      </c>
      <c r="AC42" s="11" t="s">
        <v>925</v>
      </c>
      <c r="AD42" s="11" t="s">
        <v>1044</v>
      </c>
      <c r="AE42" s="11" t="s">
        <v>1045</v>
      </c>
      <c r="AF42" s="11" t="s">
        <v>512</v>
      </c>
      <c r="AG42" s="11" t="s">
        <v>1046</v>
      </c>
      <c r="AH42" s="11" t="s">
        <v>1047</v>
      </c>
      <c r="AI42" s="11" t="s">
        <v>1039</v>
      </c>
      <c r="AJ42" s="11" t="s">
        <v>1040</v>
      </c>
      <c r="AL42" s="11" t="s">
        <v>645</v>
      </c>
      <c r="AM42" s="11" t="s">
        <v>388</v>
      </c>
      <c r="AN42" s="11" t="s">
        <v>1051</v>
      </c>
      <c r="AO42" s="23">
        <f t="shared" si="2"/>
        <v>-0.25222046982651281</v>
      </c>
    </row>
    <row r="49" spans="1:16" x14ac:dyDescent="0.3">
      <c r="A49" s="43"/>
      <c r="B49" s="43"/>
      <c r="C49" s="43"/>
      <c r="D49" s="29" t="s">
        <v>1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1"/>
      <c r="P49" s="3" t="s">
        <v>0</v>
      </c>
    </row>
    <row r="50" spans="1:16" x14ac:dyDescent="0.3">
      <c r="A50" s="43"/>
      <c r="B50" s="45" t="s">
        <v>1176</v>
      </c>
      <c r="C50" s="43"/>
      <c r="D50" s="40">
        <v>45322</v>
      </c>
      <c r="E50" s="40">
        <v>45350</v>
      </c>
      <c r="F50" s="40">
        <v>45382</v>
      </c>
      <c r="G50" s="40">
        <v>45412</v>
      </c>
      <c r="H50" s="40">
        <v>45443</v>
      </c>
      <c r="I50" s="40">
        <v>45473</v>
      </c>
      <c r="J50" s="40">
        <v>45504</v>
      </c>
      <c r="K50" s="40">
        <v>45535</v>
      </c>
      <c r="L50" s="40">
        <v>45565</v>
      </c>
      <c r="M50" s="40">
        <v>45596</v>
      </c>
      <c r="N50" s="40">
        <v>45626</v>
      </c>
      <c r="O50" s="40">
        <v>45653</v>
      </c>
      <c r="P50" s="40">
        <v>45653</v>
      </c>
    </row>
    <row r="51" spans="1:16" ht="36" x14ac:dyDescent="0.3">
      <c r="A51" s="5" t="s">
        <v>14</v>
      </c>
      <c r="B51" s="5" t="s">
        <v>15</v>
      </c>
      <c r="C51" s="5" t="s">
        <v>16</v>
      </c>
      <c r="D51" s="3" t="s">
        <v>17</v>
      </c>
      <c r="E51" s="3" t="s">
        <v>18</v>
      </c>
      <c r="F51" s="3" t="s">
        <v>19</v>
      </c>
      <c r="G51" s="3" t="s">
        <v>20</v>
      </c>
      <c r="H51" s="3" t="s">
        <v>21</v>
      </c>
      <c r="I51" s="3" t="s">
        <v>22</v>
      </c>
      <c r="J51" s="3" t="s">
        <v>23</v>
      </c>
      <c r="K51" s="3" t="s">
        <v>24</v>
      </c>
      <c r="L51" s="3" t="s">
        <v>25</v>
      </c>
      <c r="M51" s="3" t="s">
        <v>26</v>
      </c>
      <c r="N51" s="3" t="s">
        <v>27</v>
      </c>
      <c r="O51" s="3" t="s">
        <v>1169</v>
      </c>
      <c r="P51" s="3" t="s">
        <v>0</v>
      </c>
    </row>
    <row r="52" spans="1:16" ht="20.5" customHeight="1" x14ac:dyDescent="0.3">
      <c r="A52" s="26" t="s">
        <v>28</v>
      </c>
      <c r="B52" s="26" t="s">
        <v>29</v>
      </c>
      <c r="C52" s="41" t="s">
        <v>30</v>
      </c>
      <c r="D52" s="9" t="s">
        <v>46</v>
      </c>
      <c r="E52" s="9" t="s">
        <v>47</v>
      </c>
      <c r="F52" s="9" t="s">
        <v>48</v>
      </c>
      <c r="G52" s="9" t="s">
        <v>49</v>
      </c>
      <c r="H52" s="9" t="s">
        <v>50</v>
      </c>
      <c r="I52" s="9" t="s">
        <v>51</v>
      </c>
      <c r="J52" s="9" t="s">
        <v>52</v>
      </c>
      <c r="K52" s="9" t="s">
        <v>53</v>
      </c>
      <c r="L52" s="9" t="s">
        <v>54</v>
      </c>
      <c r="M52" s="9" t="s">
        <v>55</v>
      </c>
      <c r="N52" s="9" t="s">
        <v>56</v>
      </c>
      <c r="O52" s="9" t="s">
        <v>44</v>
      </c>
      <c r="P52" s="9" t="s">
        <v>45</v>
      </c>
    </row>
    <row r="53" spans="1:16" ht="20.5" customHeight="1" x14ac:dyDescent="0.3">
      <c r="A53" s="26"/>
      <c r="B53" s="26"/>
      <c r="C53" s="41" t="s">
        <v>70</v>
      </c>
      <c r="D53" s="7" t="s">
        <v>86</v>
      </c>
      <c r="E53" s="7" t="s">
        <v>87</v>
      </c>
      <c r="F53" s="7" t="s">
        <v>87</v>
      </c>
      <c r="G53" s="7" t="s">
        <v>86</v>
      </c>
      <c r="H53" s="7" t="s">
        <v>86</v>
      </c>
      <c r="I53" s="7" t="s">
        <v>88</v>
      </c>
      <c r="J53" s="7" t="s">
        <v>89</v>
      </c>
      <c r="K53" s="7" t="s">
        <v>89</v>
      </c>
      <c r="L53" s="7" t="s">
        <v>82</v>
      </c>
      <c r="M53" s="7" t="s">
        <v>90</v>
      </c>
      <c r="N53" s="7" t="s">
        <v>89</v>
      </c>
      <c r="O53" s="7" t="s">
        <v>83</v>
      </c>
      <c r="P53" s="7" t="s">
        <v>85</v>
      </c>
    </row>
    <row r="54" spans="1:16" ht="20.5" customHeight="1" x14ac:dyDescent="0.3">
      <c r="A54" s="26"/>
      <c r="B54" s="26"/>
      <c r="C54" s="41" t="s">
        <v>113</v>
      </c>
      <c r="D54" s="7" t="s">
        <v>130</v>
      </c>
      <c r="E54" s="7" t="s">
        <v>131</v>
      </c>
      <c r="F54" s="7" t="s">
        <v>132</v>
      </c>
      <c r="G54" s="7" t="s">
        <v>133</v>
      </c>
      <c r="H54" s="7" t="s">
        <v>134</v>
      </c>
      <c r="I54" s="7" t="s">
        <v>135</v>
      </c>
      <c r="J54" s="7" t="s">
        <v>136</v>
      </c>
      <c r="K54" s="7" t="s">
        <v>137</v>
      </c>
      <c r="L54" s="7" t="s">
        <v>138</v>
      </c>
      <c r="M54" s="7" t="s">
        <v>139</v>
      </c>
      <c r="N54" s="7" t="s">
        <v>140</v>
      </c>
      <c r="O54" s="7" t="s">
        <v>128</v>
      </c>
      <c r="P54" s="7" t="s">
        <v>129</v>
      </c>
    </row>
    <row r="55" spans="1:16" ht="20.5" customHeight="1" x14ac:dyDescent="0.3">
      <c r="A55" s="26"/>
      <c r="B55" s="26"/>
      <c r="C55" s="41" t="s">
        <v>156</v>
      </c>
      <c r="D55" s="9" t="s">
        <v>172</v>
      </c>
      <c r="E55" s="9" t="s">
        <v>173</v>
      </c>
      <c r="F55" s="9" t="s">
        <v>174</v>
      </c>
      <c r="G55" s="9" t="s">
        <v>175</v>
      </c>
      <c r="H55" s="9" t="s">
        <v>176</v>
      </c>
      <c r="I55" s="9" t="s">
        <v>177</v>
      </c>
      <c r="J55" s="9" t="s">
        <v>178</v>
      </c>
      <c r="K55" s="9" t="s">
        <v>179</v>
      </c>
      <c r="L55" s="9" t="s">
        <v>180</v>
      </c>
      <c r="M55" s="9" t="s">
        <v>161</v>
      </c>
      <c r="N55" s="9" t="s">
        <v>181</v>
      </c>
      <c r="O55" s="9" t="s">
        <v>170</v>
      </c>
      <c r="P55" s="9" t="s">
        <v>171</v>
      </c>
    </row>
    <row r="56" spans="1:16" ht="26.5" customHeight="1" x14ac:dyDescent="0.3">
      <c r="A56" s="26"/>
      <c r="B56" s="26"/>
      <c r="C56" s="41" t="s">
        <v>198</v>
      </c>
      <c r="D56" s="7" t="s">
        <v>216</v>
      </c>
      <c r="E56" s="7" t="s">
        <v>217</v>
      </c>
      <c r="F56" s="7" t="s">
        <v>218</v>
      </c>
      <c r="G56" s="7" t="s">
        <v>219</v>
      </c>
      <c r="H56" s="7" t="s">
        <v>220</v>
      </c>
      <c r="I56" s="7" t="s">
        <v>221</v>
      </c>
      <c r="J56" s="7" t="s">
        <v>222</v>
      </c>
      <c r="K56" s="7" t="s">
        <v>223</v>
      </c>
      <c r="L56" s="7" t="s">
        <v>75</v>
      </c>
      <c r="M56" s="7" t="s">
        <v>224</v>
      </c>
      <c r="N56" s="7" t="s">
        <v>221</v>
      </c>
      <c r="O56" s="7" t="s">
        <v>214</v>
      </c>
      <c r="P56" s="7" t="s">
        <v>215</v>
      </c>
    </row>
    <row r="57" spans="1:16" ht="26" customHeight="1" x14ac:dyDescent="0.3">
      <c r="A57" s="26"/>
      <c r="B57" s="26"/>
      <c r="C57" s="42" t="s">
        <v>240</v>
      </c>
      <c r="D57" s="11" t="s">
        <v>256</v>
      </c>
      <c r="E57" s="11" t="s">
        <v>257</v>
      </c>
      <c r="F57" s="11" t="s">
        <v>258</v>
      </c>
      <c r="G57" s="11" t="s">
        <v>259</v>
      </c>
      <c r="H57" s="11" t="s">
        <v>260</v>
      </c>
      <c r="I57" s="11" t="s">
        <v>261</v>
      </c>
      <c r="J57" s="11" t="s">
        <v>262</v>
      </c>
      <c r="K57" s="11" t="s">
        <v>263</v>
      </c>
      <c r="L57" s="11" t="s">
        <v>264</v>
      </c>
      <c r="M57" s="11" t="s">
        <v>265</v>
      </c>
      <c r="N57" s="11" t="s">
        <v>266</v>
      </c>
      <c r="O57" s="11" t="s">
        <v>254</v>
      </c>
      <c r="P57" s="11" t="s">
        <v>255</v>
      </c>
    </row>
    <row r="58" spans="1:16" ht="20.5" customHeight="1" x14ac:dyDescent="0.3">
      <c r="A58" s="26"/>
      <c r="B58" s="26" t="s">
        <v>282</v>
      </c>
      <c r="C58" s="41" t="s">
        <v>283</v>
      </c>
      <c r="D58" s="7" t="s">
        <v>299</v>
      </c>
      <c r="E58" s="7" t="s">
        <v>300</v>
      </c>
      <c r="F58" s="7" t="s">
        <v>301</v>
      </c>
      <c r="G58" s="7" t="s">
        <v>302</v>
      </c>
      <c r="H58" s="7" t="s">
        <v>303</v>
      </c>
      <c r="I58" s="7" t="s">
        <v>304</v>
      </c>
      <c r="J58" s="7" t="s">
        <v>305</v>
      </c>
      <c r="K58" s="7" t="s">
        <v>306</v>
      </c>
      <c r="L58" s="7" t="s">
        <v>307</v>
      </c>
      <c r="M58" s="7" t="s">
        <v>308</v>
      </c>
      <c r="N58" s="7" t="s">
        <v>308</v>
      </c>
      <c r="O58" s="7" t="s">
        <v>297</v>
      </c>
      <c r="P58" s="7" t="s">
        <v>298</v>
      </c>
    </row>
    <row r="59" spans="1:16" ht="20.5" customHeight="1" x14ac:dyDescent="0.3">
      <c r="A59" s="26"/>
      <c r="B59" s="26"/>
      <c r="C59" s="41" t="s">
        <v>30</v>
      </c>
      <c r="D59" s="9" t="s">
        <v>337</v>
      </c>
      <c r="E59" s="9" t="s">
        <v>338</v>
      </c>
      <c r="F59" s="9" t="s">
        <v>339</v>
      </c>
      <c r="G59" s="9" t="s">
        <v>340</v>
      </c>
      <c r="H59" s="9" t="s">
        <v>286</v>
      </c>
      <c r="I59" s="9" t="s">
        <v>341</v>
      </c>
      <c r="J59" s="9" t="s">
        <v>342</v>
      </c>
      <c r="K59" s="9" t="s">
        <v>343</v>
      </c>
      <c r="L59" s="9" t="s">
        <v>344</v>
      </c>
      <c r="M59" s="9" t="s">
        <v>345</v>
      </c>
      <c r="N59" s="9" t="s">
        <v>346</v>
      </c>
      <c r="O59" s="9" t="s">
        <v>335</v>
      </c>
      <c r="P59" s="9" t="s">
        <v>336</v>
      </c>
    </row>
    <row r="60" spans="1:16" ht="20.5" customHeight="1" x14ac:dyDescent="0.3">
      <c r="A60" s="26"/>
      <c r="B60" s="26"/>
      <c r="C60" s="41" t="s">
        <v>70</v>
      </c>
      <c r="D60" s="7" t="s">
        <v>87</v>
      </c>
      <c r="E60" s="7" t="s">
        <v>86</v>
      </c>
      <c r="F60" s="7" t="s">
        <v>87</v>
      </c>
      <c r="G60" s="7" t="s">
        <v>87</v>
      </c>
      <c r="H60" s="7" t="s">
        <v>87</v>
      </c>
      <c r="I60" s="7" t="s">
        <v>86</v>
      </c>
      <c r="J60" s="7" t="s">
        <v>88</v>
      </c>
      <c r="K60" s="7" t="s">
        <v>82</v>
      </c>
      <c r="L60" s="7" t="s">
        <v>369</v>
      </c>
      <c r="M60" s="7" t="s">
        <v>370</v>
      </c>
      <c r="N60" s="7" t="s">
        <v>371</v>
      </c>
      <c r="O60" s="7" t="s">
        <v>112</v>
      </c>
      <c r="P60" s="7" t="s">
        <v>368</v>
      </c>
    </row>
    <row r="61" spans="1:16" ht="20.5" customHeight="1" x14ac:dyDescent="0.3">
      <c r="A61" s="26"/>
      <c r="B61" s="26"/>
      <c r="C61" s="41" t="s">
        <v>113</v>
      </c>
      <c r="D61" s="7" t="s">
        <v>405</v>
      </c>
      <c r="E61" s="7" t="s">
        <v>406</v>
      </c>
      <c r="F61" s="7" t="s">
        <v>407</v>
      </c>
      <c r="G61" s="7" t="s">
        <v>408</v>
      </c>
      <c r="H61" s="7" t="s">
        <v>409</v>
      </c>
      <c r="I61" s="7" t="s">
        <v>410</v>
      </c>
      <c r="J61" s="7" t="s">
        <v>411</v>
      </c>
      <c r="K61" s="7" t="s">
        <v>412</v>
      </c>
      <c r="L61" s="7" t="s">
        <v>413</v>
      </c>
      <c r="M61" s="7" t="s">
        <v>414</v>
      </c>
      <c r="N61" s="7" t="s">
        <v>415</v>
      </c>
      <c r="O61" s="7" t="s">
        <v>403</v>
      </c>
      <c r="P61" s="7" t="s">
        <v>404</v>
      </c>
    </row>
    <row r="62" spans="1:16" ht="20.5" customHeight="1" x14ac:dyDescent="0.3">
      <c r="A62" s="26"/>
      <c r="B62" s="26"/>
      <c r="C62" s="41" t="s">
        <v>156</v>
      </c>
      <c r="D62" s="7" t="s">
        <v>452</v>
      </c>
      <c r="E62" s="7" t="s">
        <v>453</v>
      </c>
      <c r="F62" s="7" t="s">
        <v>454</v>
      </c>
      <c r="G62" s="7" t="s">
        <v>455</v>
      </c>
      <c r="H62" s="7" t="s">
        <v>456</v>
      </c>
      <c r="I62" s="7" t="s">
        <v>457</v>
      </c>
      <c r="J62" s="7" t="s">
        <v>449</v>
      </c>
      <c r="K62" s="7" t="s">
        <v>458</v>
      </c>
      <c r="L62" s="7" t="s">
        <v>459</v>
      </c>
      <c r="M62" s="7" t="s">
        <v>460</v>
      </c>
      <c r="N62" s="7" t="s">
        <v>461</v>
      </c>
      <c r="O62" s="7" t="s">
        <v>449</v>
      </c>
      <c r="P62" s="7" t="s">
        <v>451</v>
      </c>
    </row>
    <row r="63" spans="1:16" ht="31" customHeight="1" x14ac:dyDescent="0.3">
      <c r="A63" s="26"/>
      <c r="B63" s="26"/>
      <c r="C63" s="41" t="s">
        <v>475</v>
      </c>
      <c r="D63" s="9" t="s">
        <v>491</v>
      </c>
      <c r="E63" s="9" t="s">
        <v>492</v>
      </c>
      <c r="F63" s="9" t="s">
        <v>493</v>
      </c>
      <c r="G63" s="9" t="s">
        <v>494</v>
      </c>
      <c r="H63" s="9" t="s">
        <v>495</v>
      </c>
      <c r="I63" s="9" t="s">
        <v>496</v>
      </c>
      <c r="J63" s="9" t="s">
        <v>497</v>
      </c>
      <c r="K63" s="9" t="s">
        <v>498</v>
      </c>
      <c r="L63" s="9" t="s">
        <v>499</v>
      </c>
      <c r="M63" s="9" t="s">
        <v>500</v>
      </c>
      <c r="N63" s="9" t="s">
        <v>501</v>
      </c>
      <c r="O63" s="9" t="s">
        <v>489</v>
      </c>
      <c r="P63" s="9" t="s">
        <v>490</v>
      </c>
    </row>
    <row r="64" spans="1:16" ht="29.5" customHeight="1" x14ac:dyDescent="0.3">
      <c r="A64" s="26"/>
      <c r="B64" s="26"/>
      <c r="C64" s="41" t="s">
        <v>198</v>
      </c>
      <c r="D64" s="7" t="s">
        <v>527</v>
      </c>
      <c r="E64" s="7" t="s">
        <v>528</v>
      </c>
      <c r="F64" s="7" t="s">
        <v>529</v>
      </c>
      <c r="G64" s="7" t="s">
        <v>530</v>
      </c>
      <c r="H64" s="7" t="s">
        <v>531</v>
      </c>
      <c r="I64" s="7" t="s">
        <v>532</v>
      </c>
      <c r="J64" s="7" t="s">
        <v>533</v>
      </c>
      <c r="K64" s="7" t="s">
        <v>534</v>
      </c>
      <c r="L64" s="7" t="s">
        <v>447</v>
      </c>
      <c r="M64" s="7" t="s">
        <v>225</v>
      </c>
      <c r="N64" s="7" t="s">
        <v>535</v>
      </c>
      <c r="O64" s="7" t="s">
        <v>525</v>
      </c>
      <c r="P64" s="7" t="s">
        <v>526</v>
      </c>
    </row>
    <row r="65" spans="1:16" ht="40.5" customHeight="1" x14ac:dyDescent="0.3">
      <c r="A65" s="26"/>
      <c r="B65" s="26"/>
      <c r="C65" s="10" t="s">
        <v>546</v>
      </c>
      <c r="D65" s="11" t="s">
        <v>562</v>
      </c>
      <c r="E65" s="11" t="s">
        <v>563</v>
      </c>
      <c r="F65" s="11" t="s">
        <v>564</v>
      </c>
      <c r="G65" s="11" t="s">
        <v>565</v>
      </c>
      <c r="H65" s="11" t="s">
        <v>566</v>
      </c>
      <c r="I65" s="11" t="s">
        <v>567</v>
      </c>
      <c r="J65" s="11" t="s">
        <v>568</v>
      </c>
      <c r="K65" s="11" t="s">
        <v>569</v>
      </c>
      <c r="L65" s="11" t="s">
        <v>570</v>
      </c>
      <c r="M65" s="11" t="s">
        <v>571</v>
      </c>
      <c r="N65" s="11" t="s">
        <v>572</v>
      </c>
      <c r="O65" s="11" t="s">
        <v>560</v>
      </c>
      <c r="P65" s="11" t="s">
        <v>561</v>
      </c>
    </row>
    <row r="66" spans="1:16" ht="20.5" customHeight="1" x14ac:dyDescent="0.3">
      <c r="A66" s="26"/>
      <c r="B66" s="27" t="s">
        <v>860</v>
      </c>
      <c r="C66" s="27"/>
      <c r="D66" s="11" t="s">
        <v>876</v>
      </c>
      <c r="E66" s="11" t="s">
        <v>877</v>
      </c>
      <c r="F66" s="11" t="s">
        <v>878</v>
      </c>
      <c r="G66" s="11" t="s">
        <v>879</v>
      </c>
      <c r="H66" s="11" t="s">
        <v>880</v>
      </c>
      <c r="I66" s="11" t="s">
        <v>881</v>
      </c>
      <c r="J66" s="11" t="s">
        <v>882</v>
      </c>
      <c r="K66" s="11" t="s">
        <v>883</v>
      </c>
      <c r="L66" s="11" t="s">
        <v>884</v>
      </c>
      <c r="M66" s="11" t="s">
        <v>885</v>
      </c>
      <c r="N66" s="11" t="s">
        <v>886</v>
      </c>
      <c r="O66" s="11" t="s">
        <v>874</v>
      </c>
      <c r="P66" s="11" t="s">
        <v>875</v>
      </c>
    </row>
    <row r="67" spans="1:16" ht="20.5" customHeight="1" x14ac:dyDescent="0.3">
      <c r="A67" s="26" t="s">
        <v>895</v>
      </c>
      <c r="B67" s="26" t="s">
        <v>29</v>
      </c>
      <c r="C67" s="6" t="s">
        <v>283</v>
      </c>
      <c r="D67" s="9" t="s">
        <v>910</v>
      </c>
      <c r="E67" s="9" t="s">
        <v>911</v>
      </c>
      <c r="F67" s="9" t="s">
        <v>912</v>
      </c>
      <c r="G67" s="9" t="s">
        <v>913</v>
      </c>
      <c r="H67" s="9" t="s">
        <v>914</v>
      </c>
      <c r="I67" s="9" t="s">
        <v>915</v>
      </c>
      <c r="J67" s="9" t="s">
        <v>916</v>
      </c>
      <c r="K67" s="9" t="s">
        <v>917</v>
      </c>
      <c r="L67" s="9" t="s">
        <v>918</v>
      </c>
      <c r="M67" s="9" t="s">
        <v>919</v>
      </c>
      <c r="N67" s="9" t="s">
        <v>484</v>
      </c>
      <c r="O67" s="9" t="s">
        <v>909</v>
      </c>
      <c r="P67" s="9" t="s">
        <v>477</v>
      </c>
    </row>
    <row r="68" spans="1:16" ht="20.5" customHeight="1" x14ac:dyDescent="0.3">
      <c r="A68" s="26"/>
      <c r="B68" s="26"/>
      <c r="C68" s="6" t="s">
        <v>430</v>
      </c>
      <c r="D68" s="9" t="s">
        <v>942</v>
      </c>
      <c r="E68" s="9" t="s">
        <v>943</v>
      </c>
      <c r="F68" s="9" t="s">
        <v>944</v>
      </c>
      <c r="G68" s="9" t="s">
        <v>945</v>
      </c>
      <c r="H68" s="9" t="s">
        <v>946</v>
      </c>
      <c r="I68" s="9" t="s">
        <v>947</v>
      </c>
      <c r="J68" s="9" t="s">
        <v>948</v>
      </c>
      <c r="K68" s="9" t="s">
        <v>949</v>
      </c>
      <c r="L68" s="9" t="s">
        <v>950</v>
      </c>
      <c r="M68" s="9" t="s">
        <v>951</v>
      </c>
      <c r="N68" s="9" t="s">
        <v>952</v>
      </c>
      <c r="O68" s="9" t="s">
        <v>940</v>
      </c>
      <c r="P68" s="9" t="s">
        <v>941</v>
      </c>
    </row>
    <row r="69" spans="1:16" ht="44" customHeight="1" x14ac:dyDescent="0.3">
      <c r="A69" s="26"/>
      <c r="B69" s="26"/>
      <c r="C69" s="10" t="s">
        <v>240</v>
      </c>
      <c r="D69" s="11" t="s">
        <v>975</v>
      </c>
      <c r="E69" s="11" t="s">
        <v>976</v>
      </c>
      <c r="F69" s="11" t="s">
        <v>977</v>
      </c>
      <c r="G69" s="11" t="s">
        <v>978</v>
      </c>
      <c r="H69" s="11" t="s">
        <v>979</v>
      </c>
      <c r="I69" s="11" t="s">
        <v>980</v>
      </c>
      <c r="J69" s="11" t="s">
        <v>981</v>
      </c>
      <c r="K69" s="11" t="s">
        <v>982</v>
      </c>
      <c r="L69" s="11" t="s">
        <v>983</v>
      </c>
      <c r="M69" s="11" t="s">
        <v>984</v>
      </c>
      <c r="N69" s="11" t="s">
        <v>985</v>
      </c>
      <c r="O69" s="11" t="s">
        <v>973</v>
      </c>
      <c r="P69" s="11" t="s">
        <v>974</v>
      </c>
    </row>
    <row r="70" spans="1:16" ht="20.5" customHeight="1" x14ac:dyDescent="0.3">
      <c r="A70" s="26"/>
      <c r="B70" s="27" t="s">
        <v>999</v>
      </c>
      <c r="C70" s="27"/>
      <c r="D70" s="11" t="s">
        <v>1002</v>
      </c>
      <c r="E70" s="11" t="s">
        <v>1003</v>
      </c>
      <c r="F70" s="11" t="s">
        <v>1004</v>
      </c>
      <c r="G70" s="11" t="s">
        <v>1005</v>
      </c>
      <c r="H70" s="11" t="s">
        <v>1006</v>
      </c>
      <c r="I70" s="11" t="s">
        <v>1007</v>
      </c>
      <c r="J70" s="11" t="s">
        <v>1008</v>
      </c>
      <c r="K70" s="11" t="s">
        <v>1009</v>
      </c>
      <c r="L70" s="11" t="s">
        <v>1010</v>
      </c>
      <c r="M70" s="11" t="s">
        <v>1011</v>
      </c>
      <c r="N70" s="11" t="s">
        <v>1012</v>
      </c>
      <c r="O70" s="11" t="s">
        <v>1000</v>
      </c>
      <c r="P70" s="11" t="s">
        <v>1001</v>
      </c>
    </row>
    <row r="71" spans="1:16" ht="20.5" customHeight="1" x14ac:dyDescent="0.3">
      <c r="A71" s="27" t="s">
        <v>1024</v>
      </c>
      <c r="B71" s="27"/>
      <c r="C71" s="27"/>
      <c r="D71" s="11" t="s">
        <v>1027</v>
      </c>
      <c r="E71" s="11" t="s">
        <v>1028</v>
      </c>
      <c r="F71" s="11" t="s">
        <v>1029</v>
      </c>
      <c r="G71" s="11" t="s">
        <v>1030</v>
      </c>
      <c r="H71" s="11" t="s">
        <v>1031</v>
      </c>
      <c r="I71" s="11" t="s">
        <v>1032</v>
      </c>
      <c r="J71" s="11" t="s">
        <v>1033</v>
      </c>
      <c r="K71" s="11" t="s">
        <v>1034</v>
      </c>
      <c r="L71" s="11" t="s">
        <v>1035</v>
      </c>
      <c r="M71" s="11" t="s">
        <v>1036</v>
      </c>
      <c r="N71" s="11" t="s">
        <v>1037</v>
      </c>
      <c r="O71" s="11" t="s">
        <v>1025</v>
      </c>
      <c r="P71" s="11" t="s">
        <v>1026</v>
      </c>
    </row>
  </sheetData>
  <mergeCells count="25">
    <mergeCell ref="A67:A70"/>
    <mergeCell ref="B67:B69"/>
    <mergeCell ref="B70:C70"/>
    <mergeCell ref="A71:C71"/>
    <mergeCell ref="D49:O49"/>
    <mergeCell ref="A52:A66"/>
    <mergeCell ref="B52:B57"/>
    <mergeCell ref="B58:B65"/>
    <mergeCell ref="B66:C66"/>
    <mergeCell ref="R3:T3"/>
    <mergeCell ref="D3:O3"/>
    <mergeCell ref="X3:AI3"/>
    <mergeCell ref="AL3:AN3"/>
    <mergeCell ref="X2:AO2"/>
    <mergeCell ref="D2:U2"/>
    <mergeCell ref="A42:C42"/>
    <mergeCell ref="B37:C37"/>
    <mergeCell ref="A38:A41"/>
    <mergeCell ref="B38:B40"/>
    <mergeCell ref="B41:C41"/>
    <mergeCell ref="B29:B36"/>
    <mergeCell ref="A6:A37"/>
    <mergeCell ref="B6:B11"/>
    <mergeCell ref="B12:B19"/>
    <mergeCell ref="B20:B28"/>
  </mergeCells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61AD-D564-42B6-9BEE-F30D2D843369}">
  <dimension ref="A5:P27"/>
  <sheetViews>
    <sheetView workbookViewId="0">
      <selection activeCell="A4" sqref="A4:P27"/>
    </sheetView>
  </sheetViews>
  <sheetFormatPr defaultRowHeight="12" x14ac:dyDescent="0.3"/>
  <cols>
    <col min="1" max="2" width="16.54296875" style="1" customWidth="1"/>
    <col min="3" max="3" width="35" style="1" bestFit="1" customWidth="1"/>
    <col min="4" max="16" width="12.54296875" style="1" customWidth="1"/>
    <col min="17" max="17" width="10.90625" style="1" customWidth="1"/>
    <col min="18" max="16384" width="8.7265625" style="1"/>
  </cols>
  <sheetData>
    <row r="5" spans="1:16" ht="27" customHeight="1" x14ac:dyDescent="0.3">
      <c r="D5" s="29" t="s">
        <v>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1"/>
      <c r="P5" s="3" t="s">
        <v>0</v>
      </c>
    </row>
    <row r="6" spans="1:16" ht="27" customHeight="1" x14ac:dyDescent="0.3">
      <c r="D6" s="40">
        <v>45322</v>
      </c>
      <c r="E6" s="40">
        <v>45350</v>
      </c>
      <c r="F6" s="40">
        <v>45382</v>
      </c>
      <c r="G6" s="40">
        <v>45412</v>
      </c>
      <c r="H6" s="40">
        <v>45443</v>
      </c>
      <c r="I6" s="40">
        <v>45473</v>
      </c>
      <c r="J6" s="40">
        <v>45504</v>
      </c>
      <c r="K6" s="40">
        <v>45535</v>
      </c>
      <c r="L6" s="40">
        <v>45565</v>
      </c>
      <c r="M6" s="40">
        <v>45596</v>
      </c>
      <c r="N6" s="40">
        <v>45626</v>
      </c>
      <c r="O6" s="40">
        <v>45653</v>
      </c>
      <c r="P6" s="40">
        <v>45653</v>
      </c>
    </row>
    <row r="7" spans="1:16" ht="27" customHeight="1" x14ac:dyDescent="0.3">
      <c r="A7" s="5" t="s">
        <v>14</v>
      </c>
      <c r="B7" s="5" t="s">
        <v>15</v>
      </c>
      <c r="C7" s="5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24</v>
      </c>
      <c r="L7" s="3" t="s">
        <v>25</v>
      </c>
      <c r="M7" s="3" t="s">
        <v>26</v>
      </c>
      <c r="N7" s="3" t="s">
        <v>27</v>
      </c>
      <c r="O7" s="3" t="s">
        <v>1169</v>
      </c>
      <c r="P7" s="3" t="s">
        <v>0</v>
      </c>
    </row>
    <row r="8" spans="1:16" ht="25" customHeight="1" x14ac:dyDescent="0.3">
      <c r="A8" s="26" t="s">
        <v>28</v>
      </c>
      <c r="B8" s="26" t="s">
        <v>29</v>
      </c>
      <c r="C8" s="41" t="s">
        <v>30</v>
      </c>
      <c r="D8" s="9" t="s">
        <v>46</v>
      </c>
      <c r="E8" s="9" t="s">
        <v>47</v>
      </c>
      <c r="F8" s="9" t="s">
        <v>48</v>
      </c>
      <c r="G8" s="9" t="s">
        <v>49</v>
      </c>
      <c r="H8" s="9" t="s">
        <v>50</v>
      </c>
      <c r="I8" s="9" t="s">
        <v>51</v>
      </c>
      <c r="J8" s="9" t="s">
        <v>52</v>
      </c>
      <c r="K8" s="9" t="s">
        <v>53</v>
      </c>
      <c r="L8" s="9" t="s">
        <v>54</v>
      </c>
      <c r="M8" s="9" t="s">
        <v>55</v>
      </c>
      <c r="N8" s="9" t="s">
        <v>56</v>
      </c>
      <c r="O8" s="9" t="s">
        <v>44</v>
      </c>
      <c r="P8" s="9" t="s">
        <v>45</v>
      </c>
    </row>
    <row r="9" spans="1:16" ht="25" customHeight="1" x14ac:dyDescent="0.3">
      <c r="A9" s="26"/>
      <c r="B9" s="26"/>
      <c r="C9" s="41" t="s">
        <v>70</v>
      </c>
      <c r="D9" s="7" t="s">
        <v>86</v>
      </c>
      <c r="E9" s="7" t="s">
        <v>87</v>
      </c>
      <c r="F9" s="7" t="s">
        <v>87</v>
      </c>
      <c r="G9" s="7" t="s">
        <v>86</v>
      </c>
      <c r="H9" s="7" t="s">
        <v>86</v>
      </c>
      <c r="I9" s="7" t="s">
        <v>88</v>
      </c>
      <c r="J9" s="7" t="s">
        <v>89</v>
      </c>
      <c r="K9" s="7" t="s">
        <v>89</v>
      </c>
      <c r="L9" s="7" t="s">
        <v>82</v>
      </c>
      <c r="M9" s="7" t="s">
        <v>90</v>
      </c>
      <c r="N9" s="7" t="s">
        <v>89</v>
      </c>
      <c r="O9" s="7" t="s">
        <v>83</v>
      </c>
      <c r="P9" s="7" t="s">
        <v>85</v>
      </c>
    </row>
    <row r="10" spans="1:16" ht="25" customHeight="1" x14ac:dyDescent="0.3">
      <c r="A10" s="26"/>
      <c r="B10" s="26"/>
      <c r="C10" s="41" t="s">
        <v>113</v>
      </c>
      <c r="D10" s="7" t="s">
        <v>130</v>
      </c>
      <c r="E10" s="7" t="s">
        <v>131</v>
      </c>
      <c r="F10" s="7" t="s">
        <v>132</v>
      </c>
      <c r="G10" s="7" t="s">
        <v>133</v>
      </c>
      <c r="H10" s="7" t="s">
        <v>134</v>
      </c>
      <c r="I10" s="7" t="s">
        <v>135</v>
      </c>
      <c r="J10" s="7" t="s">
        <v>136</v>
      </c>
      <c r="K10" s="7" t="s">
        <v>137</v>
      </c>
      <c r="L10" s="7" t="s">
        <v>138</v>
      </c>
      <c r="M10" s="7" t="s">
        <v>139</v>
      </c>
      <c r="N10" s="7" t="s">
        <v>140</v>
      </c>
      <c r="O10" s="7" t="s">
        <v>128</v>
      </c>
      <c r="P10" s="7" t="s">
        <v>129</v>
      </c>
    </row>
    <row r="11" spans="1:16" ht="25" customHeight="1" x14ac:dyDescent="0.3">
      <c r="A11" s="26"/>
      <c r="B11" s="26"/>
      <c r="C11" s="41" t="s">
        <v>156</v>
      </c>
      <c r="D11" s="9" t="s">
        <v>172</v>
      </c>
      <c r="E11" s="9" t="s">
        <v>173</v>
      </c>
      <c r="F11" s="9" t="s">
        <v>174</v>
      </c>
      <c r="G11" s="9" t="s">
        <v>175</v>
      </c>
      <c r="H11" s="9" t="s">
        <v>176</v>
      </c>
      <c r="I11" s="9" t="s">
        <v>177</v>
      </c>
      <c r="J11" s="9" t="s">
        <v>178</v>
      </c>
      <c r="K11" s="9" t="s">
        <v>179</v>
      </c>
      <c r="L11" s="9" t="s">
        <v>180</v>
      </c>
      <c r="M11" s="9" t="s">
        <v>161</v>
      </c>
      <c r="N11" s="9" t="s">
        <v>181</v>
      </c>
      <c r="O11" s="9" t="s">
        <v>170</v>
      </c>
      <c r="P11" s="9" t="s">
        <v>171</v>
      </c>
    </row>
    <row r="12" spans="1:16" ht="25" customHeight="1" x14ac:dyDescent="0.3">
      <c r="A12" s="26"/>
      <c r="B12" s="26"/>
      <c r="C12" s="41" t="s">
        <v>198</v>
      </c>
      <c r="D12" s="7" t="s">
        <v>216</v>
      </c>
      <c r="E12" s="7" t="s">
        <v>217</v>
      </c>
      <c r="F12" s="7" t="s">
        <v>218</v>
      </c>
      <c r="G12" s="7" t="s">
        <v>219</v>
      </c>
      <c r="H12" s="7" t="s">
        <v>220</v>
      </c>
      <c r="I12" s="7" t="s">
        <v>221</v>
      </c>
      <c r="J12" s="7" t="s">
        <v>222</v>
      </c>
      <c r="K12" s="7" t="s">
        <v>223</v>
      </c>
      <c r="L12" s="7" t="s">
        <v>75</v>
      </c>
      <c r="M12" s="7" t="s">
        <v>224</v>
      </c>
      <c r="N12" s="7" t="s">
        <v>221</v>
      </c>
      <c r="O12" s="7" t="s">
        <v>214</v>
      </c>
      <c r="P12" s="7" t="s">
        <v>215</v>
      </c>
    </row>
    <row r="13" spans="1:16" ht="25" customHeight="1" x14ac:dyDescent="0.3">
      <c r="A13" s="26"/>
      <c r="B13" s="26"/>
      <c r="C13" s="42" t="s">
        <v>240</v>
      </c>
      <c r="D13" s="11" t="s">
        <v>256</v>
      </c>
      <c r="E13" s="11" t="s">
        <v>257</v>
      </c>
      <c r="F13" s="11" t="s">
        <v>258</v>
      </c>
      <c r="G13" s="11" t="s">
        <v>259</v>
      </c>
      <c r="H13" s="11" t="s">
        <v>260</v>
      </c>
      <c r="I13" s="11" t="s">
        <v>261</v>
      </c>
      <c r="J13" s="11" t="s">
        <v>262</v>
      </c>
      <c r="K13" s="11" t="s">
        <v>263</v>
      </c>
      <c r="L13" s="11" t="s">
        <v>264</v>
      </c>
      <c r="M13" s="11" t="s">
        <v>265</v>
      </c>
      <c r="N13" s="11" t="s">
        <v>266</v>
      </c>
      <c r="O13" s="11" t="s">
        <v>254</v>
      </c>
      <c r="P13" s="11" t="s">
        <v>255</v>
      </c>
    </row>
    <row r="14" spans="1:16" ht="25" customHeight="1" x14ac:dyDescent="0.3">
      <c r="A14" s="26"/>
      <c r="B14" s="26" t="s">
        <v>282</v>
      </c>
      <c r="C14" s="41" t="s">
        <v>283</v>
      </c>
      <c r="D14" s="7" t="s">
        <v>299</v>
      </c>
      <c r="E14" s="7" t="s">
        <v>300</v>
      </c>
      <c r="F14" s="7" t="s">
        <v>301</v>
      </c>
      <c r="G14" s="7" t="s">
        <v>302</v>
      </c>
      <c r="H14" s="7" t="s">
        <v>303</v>
      </c>
      <c r="I14" s="7" t="s">
        <v>304</v>
      </c>
      <c r="J14" s="7" t="s">
        <v>305</v>
      </c>
      <c r="K14" s="7" t="s">
        <v>306</v>
      </c>
      <c r="L14" s="7" t="s">
        <v>307</v>
      </c>
      <c r="M14" s="7" t="s">
        <v>308</v>
      </c>
      <c r="N14" s="7" t="s">
        <v>308</v>
      </c>
      <c r="O14" s="7" t="s">
        <v>297</v>
      </c>
      <c r="P14" s="7" t="s">
        <v>298</v>
      </c>
    </row>
    <row r="15" spans="1:16" ht="25" customHeight="1" x14ac:dyDescent="0.3">
      <c r="A15" s="26"/>
      <c r="B15" s="26"/>
      <c r="C15" s="41" t="s">
        <v>30</v>
      </c>
      <c r="D15" s="9" t="s">
        <v>337</v>
      </c>
      <c r="E15" s="9" t="s">
        <v>338</v>
      </c>
      <c r="F15" s="9" t="s">
        <v>339</v>
      </c>
      <c r="G15" s="9" t="s">
        <v>340</v>
      </c>
      <c r="H15" s="9" t="s">
        <v>286</v>
      </c>
      <c r="I15" s="9" t="s">
        <v>341</v>
      </c>
      <c r="J15" s="9" t="s">
        <v>342</v>
      </c>
      <c r="K15" s="9" t="s">
        <v>343</v>
      </c>
      <c r="L15" s="9" t="s">
        <v>344</v>
      </c>
      <c r="M15" s="9" t="s">
        <v>345</v>
      </c>
      <c r="N15" s="9" t="s">
        <v>346</v>
      </c>
      <c r="O15" s="9" t="s">
        <v>335</v>
      </c>
      <c r="P15" s="9" t="s">
        <v>336</v>
      </c>
    </row>
    <row r="16" spans="1:16" ht="25" customHeight="1" x14ac:dyDescent="0.3">
      <c r="A16" s="26"/>
      <c r="B16" s="26"/>
      <c r="C16" s="41" t="s">
        <v>70</v>
      </c>
      <c r="D16" s="7" t="s">
        <v>87</v>
      </c>
      <c r="E16" s="7" t="s">
        <v>86</v>
      </c>
      <c r="F16" s="7" t="s">
        <v>87</v>
      </c>
      <c r="G16" s="7" t="s">
        <v>87</v>
      </c>
      <c r="H16" s="7" t="s">
        <v>87</v>
      </c>
      <c r="I16" s="7" t="s">
        <v>86</v>
      </c>
      <c r="J16" s="7" t="s">
        <v>88</v>
      </c>
      <c r="K16" s="7" t="s">
        <v>82</v>
      </c>
      <c r="L16" s="7" t="s">
        <v>369</v>
      </c>
      <c r="M16" s="7" t="s">
        <v>370</v>
      </c>
      <c r="N16" s="7" t="s">
        <v>371</v>
      </c>
      <c r="O16" s="7" t="s">
        <v>112</v>
      </c>
      <c r="P16" s="7" t="s">
        <v>368</v>
      </c>
    </row>
    <row r="17" spans="1:16" ht="25" customHeight="1" x14ac:dyDescent="0.3">
      <c r="A17" s="26"/>
      <c r="B17" s="26"/>
      <c r="C17" s="41" t="s">
        <v>113</v>
      </c>
      <c r="D17" s="7" t="s">
        <v>405</v>
      </c>
      <c r="E17" s="7" t="s">
        <v>406</v>
      </c>
      <c r="F17" s="7" t="s">
        <v>407</v>
      </c>
      <c r="G17" s="7" t="s">
        <v>408</v>
      </c>
      <c r="H17" s="7" t="s">
        <v>409</v>
      </c>
      <c r="I17" s="7" t="s">
        <v>410</v>
      </c>
      <c r="J17" s="7" t="s">
        <v>411</v>
      </c>
      <c r="K17" s="7" t="s">
        <v>412</v>
      </c>
      <c r="L17" s="7" t="s">
        <v>413</v>
      </c>
      <c r="M17" s="7" t="s">
        <v>414</v>
      </c>
      <c r="N17" s="7" t="s">
        <v>415</v>
      </c>
      <c r="O17" s="7" t="s">
        <v>403</v>
      </c>
      <c r="P17" s="7" t="s">
        <v>404</v>
      </c>
    </row>
    <row r="18" spans="1:16" ht="25" customHeight="1" x14ac:dyDescent="0.3">
      <c r="A18" s="26"/>
      <c r="B18" s="26"/>
      <c r="C18" s="41" t="s">
        <v>156</v>
      </c>
      <c r="D18" s="7" t="s">
        <v>452</v>
      </c>
      <c r="E18" s="7" t="s">
        <v>453</v>
      </c>
      <c r="F18" s="7" t="s">
        <v>454</v>
      </c>
      <c r="G18" s="7" t="s">
        <v>455</v>
      </c>
      <c r="H18" s="7" t="s">
        <v>456</v>
      </c>
      <c r="I18" s="7" t="s">
        <v>457</v>
      </c>
      <c r="J18" s="7" t="s">
        <v>449</v>
      </c>
      <c r="K18" s="7" t="s">
        <v>458</v>
      </c>
      <c r="L18" s="7" t="s">
        <v>459</v>
      </c>
      <c r="M18" s="7" t="s">
        <v>460</v>
      </c>
      <c r="N18" s="7" t="s">
        <v>461</v>
      </c>
      <c r="O18" s="7" t="s">
        <v>449</v>
      </c>
      <c r="P18" s="7" t="s">
        <v>451</v>
      </c>
    </row>
    <row r="19" spans="1:16" ht="25" customHeight="1" x14ac:dyDescent="0.3">
      <c r="A19" s="26"/>
      <c r="B19" s="26"/>
      <c r="C19" s="41" t="s">
        <v>475</v>
      </c>
      <c r="D19" s="9" t="s">
        <v>491</v>
      </c>
      <c r="E19" s="9" t="s">
        <v>492</v>
      </c>
      <c r="F19" s="9" t="s">
        <v>493</v>
      </c>
      <c r="G19" s="9" t="s">
        <v>494</v>
      </c>
      <c r="H19" s="9" t="s">
        <v>495</v>
      </c>
      <c r="I19" s="9" t="s">
        <v>496</v>
      </c>
      <c r="J19" s="9" t="s">
        <v>497</v>
      </c>
      <c r="K19" s="9" t="s">
        <v>498</v>
      </c>
      <c r="L19" s="9" t="s">
        <v>499</v>
      </c>
      <c r="M19" s="9" t="s">
        <v>500</v>
      </c>
      <c r="N19" s="9" t="s">
        <v>501</v>
      </c>
      <c r="O19" s="9" t="s">
        <v>489</v>
      </c>
      <c r="P19" s="9" t="s">
        <v>490</v>
      </c>
    </row>
    <row r="20" spans="1:16" ht="25" customHeight="1" x14ac:dyDescent="0.3">
      <c r="A20" s="26"/>
      <c r="B20" s="26"/>
      <c r="C20" s="41" t="s">
        <v>198</v>
      </c>
      <c r="D20" s="7" t="s">
        <v>527</v>
      </c>
      <c r="E20" s="7" t="s">
        <v>528</v>
      </c>
      <c r="F20" s="7" t="s">
        <v>529</v>
      </c>
      <c r="G20" s="7" t="s">
        <v>530</v>
      </c>
      <c r="H20" s="7" t="s">
        <v>531</v>
      </c>
      <c r="I20" s="7" t="s">
        <v>532</v>
      </c>
      <c r="J20" s="7" t="s">
        <v>533</v>
      </c>
      <c r="K20" s="7" t="s">
        <v>534</v>
      </c>
      <c r="L20" s="7" t="s">
        <v>447</v>
      </c>
      <c r="M20" s="7" t="s">
        <v>225</v>
      </c>
      <c r="N20" s="7" t="s">
        <v>535</v>
      </c>
      <c r="O20" s="7" t="s">
        <v>525</v>
      </c>
      <c r="P20" s="7" t="s">
        <v>526</v>
      </c>
    </row>
    <row r="21" spans="1:16" ht="25" customHeight="1" x14ac:dyDescent="0.3">
      <c r="A21" s="26"/>
      <c r="B21" s="26"/>
      <c r="C21" s="10" t="s">
        <v>546</v>
      </c>
      <c r="D21" s="11" t="s">
        <v>562</v>
      </c>
      <c r="E21" s="11" t="s">
        <v>563</v>
      </c>
      <c r="F21" s="11" t="s">
        <v>564</v>
      </c>
      <c r="G21" s="11" t="s">
        <v>565</v>
      </c>
      <c r="H21" s="11" t="s">
        <v>566</v>
      </c>
      <c r="I21" s="11" t="s">
        <v>567</v>
      </c>
      <c r="J21" s="11" t="s">
        <v>568</v>
      </c>
      <c r="K21" s="11" t="s">
        <v>569</v>
      </c>
      <c r="L21" s="11" t="s">
        <v>570</v>
      </c>
      <c r="M21" s="11" t="s">
        <v>571</v>
      </c>
      <c r="N21" s="11" t="s">
        <v>572</v>
      </c>
      <c r="O21" s="11" t="s">
        <v>560</v>
      </c>
      <c r="P21" s="11" t="s">
        <v>561</v>
      </c>
    </row>
    <row r="22" spans="1:16" ht="25" customHeight="1" x14ac:dyDescent="0.3">
      <c r="A22" s="26"/>
      <c r="B22" s="27" t="s">
        <v>860</v>
      </c>
      <c r="C22" s="27"/>
      <c r="D22" s="11" t="s">
        <v>876</v>
      </c>
      <c r="E22" s="11" t="s">
        <v>877</v>
      </c>
      <c r="F22" s="11" t="s">
        <v>878</v>
      </c>
      <c r="G22" s="11" t="s">
        <v>879</v>
      </c>
      <c r="H22" s="11" t="s">
        <v>880</v>
      </c>
      <c r="I22" s="11" t="s">
        <v>881</v>
      </c>
      <c r="J22" s="11" t="s">
        <v>882</v>
      </c>
      <c r="K22" s="11" t="s">
        <v>883</v>
      </c>
      <c r="L22" s="11" t="s">
        <v>884</v>
      </c>
      <c r="M22" s="11" t="s">
        <v>885</v>
      </c>
      <c r="N22" s="11" t="s">
        <v>886</v>
      </c>
      <c r="O22" s="11" t="s">
        <v>874</v>
      </c>
      <c r="P22" s="11" t="s">
        <v>875</v>
      </c>
    </row>
    <row r="23" spans="1:16" ht="25" customHeight="1" x14ac:dyDescent="0.3">
      <c r="A23" s="26" t="s">
        <v>895</v>
      </c>
      <c r="B23" s="26" t="s">
        <v>29</v>
      </c>
      <c r="C23" s="6" t="s">
        <v>283</v>
      </c>
      <c r="D23" s="9" t="s">
        <v>910</v>
      </c>
      <c r="E23" s="9" t="s">
        <v>911</v>
      </c>
      <c r="F23" s="9" t="s">
        <v>912</v>
      </c>
      <c r="G23" s="9" t="s">
        <v>913</v>
      </c>
      <c r="H23" s="9" t="s">
        <v>914</v>
      </c>
      <c r="I23" s="9" t="s">
        <v>915</v>
      </c>
      <c r="J23" s="9" t="s">
        <v>916</v>
      </c>
      <c r="K23" s="9" t="s">
        <v>917</v>
      </c>
      <c r="L23" s="9" t="s">
        <v>918</v>
      </c>
      <c r="M23" s="9" t="s">
        <v>919</v>
      </c>
      <c r="N23" s="9" t="s">
        <v>484</v>
      </c>
      <c r="O23" s="9" t="s">
        <v>909</v>
      </c>
      <c r="P23" s="9" t="s">
        <v>477</v>
      </c>
    </row>
    <row r="24" spans="1:16" ht="25" customHeight="1" x14ac:dyDescent="0.3">
      <c r="A24" s="26"/>
      <c r="B24" s="26"/>
      <c r="C24" s="6" t="s">
        <v>430</v>
      </c>
      <c r="D24" s="9" t="s">
        <v>942</v>
      </c>
      <c r="E24" s="9" t="s">
        <v>943</v>
      </c>
      <c r="F24" s="9" t="s">
        <v>944</v>
      </c>
      <c r="G24" s="9" t="s">
        <v>945</v>
      </c>
      <c r="H24" s="9" t="s">
        <v>946</v>
      </c>
      <c r="I24" s="9" t="s">
        <v>947</v>
      </c>
      <c r="J24" s="9" t="s">
        <v>948</v>
      </c>
      <c r="K24" s="9" t="s">
        <v>949</v>
      </c>
      <c r="L24" s="9" t="s">
        <v>950</v>
      </c>
      <c r="M24" s="9" t="s">
        <v>951</v>
      </c>
      <c r="N24" s="9" t="s">
        <v>952</v>
      </c>
      <c r="O24" s="9" t="s">
        <v>940</v>
      </c>
      <c r="P24" s="9" t="s">
        <v>941</v>
      </c>
    </row>
    <row r="25" spans="1:16" ht="25" customHeight="1" x14ac:dyDescent="0.3">
      <c r="A25" s="26"/>
      <c r="B25" s="26"/>
      <c r="C25" s="10" t="s">
        <v>240</v>
      </c>
      <c r="D25" s="11" t="s">
        <v>975</v>
      </c>
      <c r="E25" s="11" t="s">
        <v>976</v>
      </c>
      <c r="F25" s="11" t="s">
        <v>977</v>
      </c>
      <c r="G25" s="11" t="s">
        <v>978</v>
      </c>
      <c r="H25" s="11" t="s">
        <v>979</v>
      </c>
      <c r="I25" s="11" t="s">
        <v>980</v>
      </c>
      <c r="J25" s="11" t="s">
        <v>981</v>
      </c>
      <c r="K25" s="11" t="s">
        <v>982</v>
      </c>
      <c r="L25" s="11" t="s">
        <v>983</v>
      </c>
      <c r="M25" s="11" t="s">
        <v>984</v>
      </c>
      <c r="N25" s="11" t="s">
        <v>985</v>
      </c>
      <c r="O25" s="11" t="s">
        <v>973</v>
      </c>
      <c r="P25" s="11" t="s">
        <v>974</v>
      </c>
    </row>
    <row r="26" spans="1:16" ht="25" customHeight="1" x14ac:dyDescent="0.3">
      <c r="A26" s="26"/>
      <c r="B26" s="27" t="s">
        <v>999</v>
      </c>
      <c r="C26" s="27"/>
      <c r="D26" s="11" t="s">
        <v>1002</v>
      </c>
      <c r="E26" s="11" t="s">
        <v>1003</v>
      </c>
      <c r="F26" s="11" t="s">
        <v>1004</v>
      </c>
      <c r="G26" s="11" t="s">
        <v>1005</v>
      </c>
      <c r="H26" s="11" t="s">
        <v>1006</v>
      </c>
      <c r="I26" s="11" t="s">
        <v>1007</v>
      </c>
      <c r="J26" s="11" t="s">
        <v>1008</v>
      </c>
      <c r="K26" s="11" t="s">
        <v>1009</v>
      </c>
      <c r="L26" s="11" t="s">
        <v>1010</v>
      </c>
      <c r="M26" s="11" t="s">
        <v>1011</v>
      </c>
      <c r="N26" s="11" t="s">
        <v>1012</v>
      </c>
      <c r="O26" s="11" t="s">
        <v>1000</v>
      </c>
      <c r="P26" s="11" t="s">
        <v>1001</v>
      </c>
    </row>
    <row r="27" spans="1:16" ht="25" customHeight="1" x14ac:dyDescent="0.3">
      <c r="A27" s="27" t="s">
        <v>1024</v>
      </c>
      <c r="B27" s="27"/>
      <c r="C27" s="27"/>
      <c r="D27" s="11" t="s">
        <v>1027</v>
      </c>
      <c r="E27" s="11" t="s">
        <v>1028</v>
      </c>
      <c r="F27" s="11" t="s">
        <v>1029</v>
      </c>
      <c r="G27" s="11" t="s">
        <v>1030</v>
      </c>
      <c r="H27" s="11" t="s">
        <v>1031</v>
      </c>
      <c r="I27" s="11" t="s">
        <v>1032</v>
      </c>
      <c r="J27" s="11" t="s">
        <v>1033</v>
      </c>
      <c r="K27" s="11" t="s">
        <v>1034</v>
      </c>
      <c r="L27" s="11" t="s">
        <v>1035</v>
      </c>
      <c r="M27" s="11" t="s">
        <v>1036</v>
      </c>
      <c r="N27" s="11" t="s">
        <v>1037</v>
      </c>
      <c r="O27" s="11" t="s">
        <v>1025</v>
      </c>
      <c r="P27" s="11" t="s">
        <v>1026</v>
      </c>
    </row>
  </sheetData>
  <mergeCells count="9">
    <mergeCell ref="D5:O5"/>
    <mergeCell ref="B26:C26"/>
    <mergeCell ref="A27:C27"/>
    <mergeCell ref="B22:C22"/>
    <mergeCell ref="A23:A26"/>
    <mergeCell ref="B23:B25"/>
    <mergeCell ref="A8:A22"/>
    <mergeCell ref="B8:B13"/>
    <mergeCell ref="B14:B21"/>
  </mergeCells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FY25-26</vt:lpstr>
      <vt:lpstr>FY24-25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2026-04-22T03:45:26Z</dcterms:created>
  <dcterms:modified xsi:type="dcterms:W3CDTF">2026-04-22T05:10:32Z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2026-04-22T04:19:31Z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0f807da3-7fab-4405-a001-954f5d9a5fe8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