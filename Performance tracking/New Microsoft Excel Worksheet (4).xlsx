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13_ncr:1_{9E5F0CC7-D627-4055-8561-545BCD3529C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</calcChain>
</file>

<file path=xl/sharedStrings.xml><?xml version="1.0" encoding="utf-8"?>
<sst xmlns="http://schemas.openxmlformats.org/spreadsheetml/2006/main" count="112" uniqueCount="32">
  <si>
    <r>
      <t xml:space="preserve">这是最新数据的每日大盘 </t>
    </r>
    <r>
      <rPr>
        <b/>
        <sz val="11"/>
        <color theme="1"/>
        <rFont val="等线"/>
        <charset val="134"/>
        <scheme val="minor"/>
      </rPr>
      <t>Reg Start</t>
    </r>
    <r>
      <rPr>
        <sz val="11"/>
        <color theme="1"/>
        <rFont val="等线"/>
        <family val="2"/>
        <scheme val="minor"/>
      </rPr>
      <t xml:space="preserve"> 及 </t>
    </r>
    <r>
      <rPr>
        <b/>
        <sz val="11"/>
        <color theme="1"/>
        <rFont val="等线"/>
        <charset val="134"/>
        <scheme val="minor"/>
      </rPr>
      <t>WoW</t>
    </r>
    <r>
      <rPr>
        <sz val="11"/>
        <color theme="1"/>
        <rFont val="等线"/>
        <family val="2"/>
        <scheme val="minor"/>
      </rPr>
      <t xml:space="preserve"> 表格：</t>
    </r>
  </si>
  <si>
    <t>日期</t>
  </si>
  <si>
    <t>星期</t>
  </si>
  <si>
    <t>Reg Start</t>
  </si>
  <si>
    <t>上周同日</t>
  </si>
  <si>
    <t>WoW 差值</t>
  </si>
  <si>
    <t>WoW%</t>
  </si>
  <si>
    <t>周日</t>
  </si>
  <si>
    <t>-</t>
  </si>
  <si>
    <t>周一</t>
  </si>
  <si>
    <t>周二</t>
  </si>
  <si>
    <t>周三</t>
  </si>
  <si>
    <t>周四</t>
  </si>
  <si>
    <t>周五</t>
  </si>
  <si>
    <t>周六</t>
  </si>
  <si>
    <t>渠道</t>
  </si>
  <si>
    <t>本期</t>
  </si>
  <si>
    <t>上周</t>
  </si>
  <si>
    <t>差值</t>
  </si>
  <si>
    <t>占总跌幅</t>
  </si>
  <si>
    <t>AMZ123</t>
  </si>
  <si>
    <t>SEM</t>
  </si>
  <si>
    <t>GEO</t>
  </si>
  <si>
    <t>—</t>
  </si>
  <si>
    <t>Retail</t>
  </si>
  <si>
    <t>Vertical Sites</t>
  </si>
  <si>
    <t>SEO</t>
  </si>
  <si>
    <t>增长</t>
  </si>
  <si>
    <t>Other</t>
  </si>
  <si>
    <t>合计</t>
  </si>
  <si>
    <t>CN Direct</t>
    <phoneticPr fontId="3" type="noConversion"/>
  </si>
  <si>
    <t>Wk27 三天合计（6/30-7/2）vs 上周同期按渠道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</si>
</sst>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58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58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9" fontId="5" fillId="0" borderId="1" xfId="0" applyNumberFormat="1" applyFont="1" applyBorder="1" applyAlignment="1">
      <alignment horizontal="right" vertical="center" wrapText="1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H24"/>
  <sheetViews>
    <sheetView topLeftCell="A16" workbookViewId="0">
      <selection activeCell="C5" sqref="C5:H24"/>
    </sheetView>
  </sheetViews>
  <sheetFormatPr defaultRowHeight="14" x14ac:dyDescent="0.3"/>
  <cols>
    <col min="5" max="5" width="10.6640625" customWidth="1"/>
    <col min="7" max="7" width="12.9140625" customWidth="1"/>
  </cols>
  <sheetData>
    <row r="5" spans="3:8" x14ac:dyDescent="0.3">
      <c r="C5" t="s">
        <v>0</v>
      </c>
    </row>
    <row r="7" spans="3:8" ht="28" x14ac:dyDescent="0.3">
      <c r="C7" s="1" t="s">
        <v>1</v>
      </c>
      <c r="D7" s="1" t="s">
        <v>2</v>
      </c>
      <c r="E7" s="2" t="s">
        <v>3</v>
      </c>
      <c r="F7" s="2" t="s">
        <v>4</v>
      </c>
      <c r="G7" s="2" t="s">
        <v>5</v>
      </c>
      <c r="H7" s="2" t="s">
        <v>6</v>
      </c>
    </row>
    <row r="8" spans="3:8" x14ac:dyDescent="0.3">
      <c r="C8" s="3">
        <v>46187</v>
      </c>
      <c r="D8" s="4" t="s">
        <v>7</v>
      </c>
      <c r="E8" s="5">
        <v>430</v>
      </c>
      <c r="F8" s="5" t="s">
        <v>8</v>
      </c>
      <c r="G8" s="5" t="s">
        <v>8</v>
      </c>
      <c r="H8" s="5" t="s">
        <v>8</v>
      </c>
    </row>
    <row r="9" spans="3:8" x14ac:dyDescent="0.3">
      <c r="C9" s="3">
        <v>46188</v>
      </c>
      <c r="D9" s="4" t="s">
        <v>9</v>
      </c>
      <c r="E9" s="5">
        <v>848</v>
      </c>
      <c r="F9" s="5" t="s">
        <v>8</v>
      </c>
      <c r="G9" s="5" t="s">
        <v>8</v>
      </c>
      <c r="H9" s="5" t="s">
        <v>8</v>
      </c>
    </row>
    <row r="10" spans="3:8" x14ac:dyDescent="0.3">
      <c r="C10" s="3">
        <v>46189</v>
      </c>
      <c r="D10" s="4" t="s">
        <v>10</v>
      </c>
      <c r="E10" s="5">
        <v>891</v>
      </c>
      <c r="F10" s="5" t="s">
        <v>8</v>
      </c>
      <c r="G10" s="5" t="s">
        <v>8</v>
      </c>
      <c r="H10" s="5" t="s">
        <v>8</v>
      </c>
    </row>
    <row r="11" spans="3:8" x14ac:dyDescent="0.3">
      <c r="C11" s="3">
        <v>46190</v>
      </c>
      <c r="D11" s="4" t="s">
        <v>11</v>
      </c>
      <c r="E11" s="5">
        <v>854</v>
      </c>
      <c r="F11" s="5" t="s">
        <v>8</v>
      </c>
      <c r="G11" s="5" t="s">
        <v>8</v>
      </c>
      <c r="H11" s="5" t="s">
        <v>8</v>
      </c>
    </row>
    <row r="12" spans="3:8" x14ac:dyDescent="0.3">
      <c r="C12" s="3">
        <v>46191</v>
      </c>
      <c r="D12" s="4" t="s">
        <v>12</v>
      </c>
      <c r="E12" s="5">
        <v>844</v>
      </c>
      <c r="F12" s="5" t="s">
        <v>8</v>
      </c>
      <c r="G12" s="5" t="s">
        <v>8</v>
      </c>
      <c r="H12" s="5" t="s">
        <v>8</v>
      </c>
    </row>
    <row r="13" spans="3:8" x14ac:dyDescent="0.3">
      <c r="C13" s="3">
        <v>46192</v>
      </c>
      <c r="D13" s="4" t="s">
        <v>13</v>
      </c>
      <c r="E13" s="5">
        <v>283</v>
      </c>
      <c r="F13" s="5" t="s">
        <v>8</v>
      </c>
      <c r="G13" s="5" t="s">
        <v>8</v>
      </c>
      <c r="H13" s="5" t="s">
        <v>8</v>
      </c>
    </row>
    <row r="14" spans="3:8" x14ac:dyDescent="0.3">
      <c r="C14" s="3">
        <v>46193</v>
      </c>
      <c r="D14" s="4" t="s">
        <v>14</v>
      </c>
      <c r="E14" s="5">
        <v>318</v>
      </c>
      <c r="F14" s="5" t="s">
        <v>8</v>
      </c>
      <c r="G14" s="5" t="s">
        <v>8</v>
      </c>
      <c r="H14" s="5" t="s">
        <v>8</v>
      </c>
    </row>
    <row r="15" spans="3:8" x14ac:dyDescent="0.3">
      <c r="C15" s="3">
        <v>46194</v>
      </c>
      <c r="D15" s="4" t="s">
        <v>7</v>
      </c>
      <c r="E15" s="5">
        <v>351</v>
      </c>
      <c r="F15" s="5">
        <v>430</v>
      </c>
      <c r="G15" s="5">
        <v>-79</v>
      </c>
      <c r="H15" s="6">
        <v>-0.184</v>
      </c>
    </row>
    <row r="16" spans="3:8" x14ac:dyDescent="0.3">
      <c r="C16" s="3">
        <v>46195</v>
      </c>
      <c r="D16" s="4" t="s">
        <v>9</v>
      </c>
      <c r="E16" s="5">
        <v>863</v>
      </c>
      <c r="F16" s="5">
        <v>848</v>
      </c>
      <c r="G16" s="5">
        <v>15</v>
      </c>
      <c r="H16" s="6">
        <v>1.7999999999999999E-2</v>
      </c>
    </row>
    <row r="17" spans="3:8" x14ac:dyDescent="0.3">
      <c r="C17" s="3">
        <v>46196</v>
      </c>
      <c r="D17" s="4" t="s">
        <v>10</v>
      </c>
      <c r="E17" s="5">
        <v>954</v>
      </c>
      <c r="F17" s="5">
        <v>891</v>
      </c>
      <c r="G17" s="5">
        <v>63</v>
      </c>
      <c r="H17" s="6">
        <v>7.0999999999999994E-2</v>
      </c>
    </row>
    <row r="18" spans="3:8" x14ac:dyDescent="0.3">
      <c r="C18" s="3">
        <v>46197</v>
      </c>
      <c r="D18" s="4" t="s">
        <v>11</v>
      </c>
      <c r="E18" s="5">
        <v>972</v>
      </c>
      <c r="F18" s="5">
        <v>854</v>
      </c>
      <c r="G18" s="5">
        <v>118</v>
      </c>
      <c r="H18" s="6">
        <v>0.13800000000000001</v>
      </c>
    </row>
    <row r="19" spans="3:8" x14ac:dyDescent="0.3">
      <c r="C19" s="3">
        <v>46198</v>
      </c>
      <c r="D19" s="4" t="s">
        <v>12</v>
      </c>
      <c r="E19" s="5">
        <v>961</v>
      </c>
      <c r="F19" s="5">
        <v>844</v>
      </c>
      <c r="G19" s="5">
        <v>117</v>
      </c>
      <c r="H19" s="6">
        <v>0.13900000000000001</v>
      </c>
    </row>
    <row r="20" spans="3:8" x14ac:dyDescent="0.3">
      <c r="C20" s="3">
        <v>46199</v>
      </c>
      <c r="D20" s="4" t="s">
        <v>13</v>
      </c>
      <c r="E20" s="5">
        <v>892</v>
      </c>
      <c r="F20" s="5">
        <v>283</v>
      </c>
      <c r="G20" s="5">
        <v>609</v>
      </c>
      <c r="H20" s="6">
        <v>2.1520000000000001</v>
      </c>
    </row>
    <row r="21" spans="3:8" x14ac:dyDescent="0.3">
      <c r="C21" s="3">
        <v>46200</v>
      </c>
      <c r="D21" s="4" t="s">
        <v>14</v>
      </c>
      <c r="E21" s="5">
        <v>767</v>
      </c>
      <c r="F21" s="5">
        <v>318</v>
      </c>
      <c r="G21" s="5">
        <v>449</v>
      </c>
      <c r="H21" s="6">
        <v>1.4119999999999999</v>
      </c>
    </row>
    <row r="22" spans="3:8" x14ac:dyDescent="0.3">
      <c r="C22" s="3">
        <v>46201</v>
      </c>
      <c r="D22" s="4" t="s">
        <v>7</v>
      </c>
      <c r="E22" s="5">
        <v>514</v>
      </c>
      <c r="F22" s="5">
        <v>351</v>
      </c>
      <c r="G22" s="5">
        <v>163</v>
      </c>
      <c r="H22" s="6">
        <v>0.46400000000000002</v>
      </c>
    </row>
    <row r="23" spans="3:8" x14ac:dyDescent="0.3">
      <c r="C23" s="7">
        <v>46202</v>
      </c>
      <c r="D23" s="4" t="s">
        <v>9</v>
      </c>
      <c r="E23" s="2">
        <v>880</v>
      </c>
      <c r="F23" s="5">
        <v>863</v>
      </c>
      <c r="G23" s="2">
        <v>17</v>
      </c>
      <c r="H23" s="8">
        <v>0.02</v>
      </c>
    </row>
    <row r="24" spans="3:8" x14ac:dyDescent="0.3">
      <c r="C24" s="7">
        <v>46203</v>
      </c>
      <c r="D24" s="4" t="s">
        <v>10</v>
      </c>
      <c r="E24" s="9">
        <v>148</v>
      </c>
      <c r="F24" s="10">
        <v>954</v>
      </c>
      <c r="G24" s="9">
        <v>-806</v>
      </c>
      <c r="H24" s="11">
        <v>-0.84499999999999997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4710-7F7F-4B7E-B1DB-5AE9B81F42F6}">
  <dimension ref="D5:I24"/>
  <sheetViews>
    <sheetView topLeftCell="A5" workbookViewId="0">
      <selection activeCell="K20" sqref="K20"/>
    </sheetView>
  </sheetViews>
  <sheetFormatPr defaultRowHeight="14" x14ac:dyDescent="0.3"/>
  <cols>
    <col min="8" max="8" width="10.83203125" customWidth="1"/>
  </cols>
  <sheetData>
    <row r="5" spans="4:9" ht="28" x14ac:dyDescent="0.3">
      <c r="D5" s="1" t="s">
        <v>1</v>
      </c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</row>
    <row r="6" spans="4:9" x14ac:dyDescent="0.3">
      <c r="D6" s="3">
        <v>46187</v>
      </c>
      <c r="E6" s="4" t="s">
        <v>7</v>
      </c>
      <c r="F6" s="5">
        <v>430</v>
      </c>
      <c r="G6" s="5" t="s">
        <v>8</v>
      </c>
      <c r="H6" s="5" t="s">
        <v>8</v>
      </c>
      <c r="I6" s="5" t="s">
        <v>8</v>
      </c>
    </row>
    <row r="7" spans="4:9" x14ac:dyDescent="0.3">
      <c r="D7" s="3">
        <v>46188</v>
      </c>
      <c r="E7" s="4" t="s">
        <v>9</v>
      </c>
      <c r="F7" s="5">
        <v>848</v>
      </c>
      <c r="G7" s="5" t="s">
        <v>8</v>
      </c>
      <c r="H7" s="5" t="s">
        <v>8</v>
      </c>
      <c r="I7" s="5" t="s">
        <v>8</v>
      </c>
    </row>
    <row r="8" spans="4:9" x14ac:dyDescent="0.3">
      <c r="D8" s="3">
        <v>46189</v>
      </c>
      <c r="E8" s="4" t="s">
        <v>10</v>
      </c>
      <c r="F8" s="5">
        <v>891</v>
      </c>
      <c r="G8" s="5" t="s">
        <v>8</v>
      </c>
      <c r="H8" s="5" t="s">
        <v>8</v>
      </c>
      <c r="I8" s="5" t="s">
        <v>8</v>
      </c>
    </row>
    <row r="9" spans="4:9" x14ac:dyDescent="0.3">
      <c r="D9" s="3">
        <v>46190</v>
      </c>
      <c r="E9" s="4" t="s">
        <v>11</v>
      </c>
      <c r="F9" s="5">
        <v>854</v>
      </c>
      <c r="G9" s="5" t="s">
        <v>8</v>
      </c>
      <c r="H9" s="5" t="s">
        <v>8</v>
      </c>
      <c r="I9" s="5" t="s">
        <v>8</v>
      </c>
    </row>
    <row r="10" spans="4:9" x14ac:dyDescent="0.3">
      <c r="D10" s="3">
        <v>46191</v>
      </c>
      <c r="E10" s="4" t="s">
        <v>12</v>
      </c>
      <c r="F10" s="5">
        <v>844</v>
      </c>
      <c r="G10" s="5" t="s">
        <v>8</v>
      </c>
      <c r="H10" s="5" t="s">
        <v>8</v>
      </c>
      <c r="I10" s="5" t="s">
        <v>8</v>
      </c>
    </row>
    <row r="11" spans="4:9" x14ac:dyDescent="0.3">
      <c r="D11" s="3">
        <v>46192</v>
      </c>
      <c r="E11" s="4" t="s">
        <v>13</v>
      </c>
      <c r="F11" s="5">
        <v>285</v>
      </c>
      <c r="G11" s="5" t="s">
        <v>8</v>
      </c>
      <c r="H11" s="5" t="s">
        <v>8</v>
      </c>
      <c r="I11" s="5" t="s">
        <v>8</v>
      </c>
    </row>
    <row r="12" spans="4:9" x14ac:dyDescent="0.3">
      <c r="D12" s="3">
        <v>46193</v>
      </c>
      <c r="E12" s="4" t="s">
        <v>14</v>
      </c>
      <c r="F12" s="5">
        <v>318</v>
      </c>
      <c r="G12" s="5" t="s">
        <v>8</v>
      </c>
      <c r="H12" s="5" t="s">
        <v>8</v>
      </c>
      <c r="I12" s="5" t="s">
        <v>8</v>
      </c>
    </row>
    <row r="13" spans="4:9" x14ac:dyDescent="0.3">
      <c r="D13" s="3">
        <v>46194</v>
      </c>
      <c r="E13" s="4" t="s">
        <v>7</v>
      </c>
      <c r="F13" s="5">
        <v>351</v>
      </c>
      <c r="G13" s="5">
        <v>430</v>
      </c>
      <c r="H13" s="5">
        <v>-79</v>
      </c>
      <c r="I13" s="6">
        <v>-0.184</v>
      </c>
    </row>
    <row r="14" spans="4:9" x14ac:dyDescent="0.3">
      <c r="D14" s="3">
        <v>46195</v>
      </c>
      <c r="E14" s="4" t="s">
        <v>9</v>
      </c>
      <c r="F14" s="5">
        <v>863</v>
      </c>
      <c r="G14" s="5">
        <v>848</v>
      </c>
      <c r="H14" s="5">
        <v>15</v>
      </c>
      <c r="I14" s="6">
        <v>1.7999999999999999E-2</v>
      </c>
    </row>
    <row r="15" spans="4:9" x14ac:dyDescent="0.3">
      <c r="D15" s="3">
        <v>46196</v>
      </c>
      <c r="E15" s="4" t="s">
        <v>10</v>
      </c>
      <c r="F15" s="5">
        <v>954</v>
      </c>
      <c r="G15" s="5">
        <v>891</v>
      </c>
      <c r="H15" s="5">
        <v>63</v>
      </c>
      <c r="I15" s="6">
        <v>7.0999999999999994E-2</v>
      </c>
    </row>
    <row r="16" spans="4:9" x14ac:dyDescent="0.3">
      <c r="D16" s="3">
        <v>46197</v>
      </c>
      <c r="E16" s="4" t="s">
        <v>11</v>
      </c>
      <c r="F16" s="5">
        <v>972</v>
      </c>
      <c r="G16" s="5">
        <v>854</v>
      </c>
      <c r="H16" s="5">
        <v>118</v>
      </c>
      <c r="I16" s="6">
        <v>0.13800000000000001</v>
      </c>
    </row>
    <row r="17" spans="4:9" x14ac:dyDescent="0.3">
      <c r="D17" s="3">
        <v>46198</v>
      </c>
      <c r="E17" s="4" t="s">
        <v>12</v>
      </c>
      <c r="F17" s="5">
        <v>962</v>
      </c>
      <c r="G17" s="5">
        <v>844</v>
      </c>
      <c r="H17" s="5">
        <v>118</v>
      </c>
      <c r="I17" s="6">
        <v>0.14000000000000001</v>
      </c>
    </row>
    <row r="18" spans="4:9" x14ac:dyDescent="0.3">
      <c r="D18" s="3">
        <v>46199</v>
      </c>
      <c r="E18" s="4" t="s">
        <v>13</v>
      </c>
      <c r="F18" s="5">
        <v>892</v>
      </c>
      <c r="G18" s="5">
        <v>285</v>
      </c>
      <c r="H18" s="5">
        <v>607</v>
      </c>
      <c r="I18" s="6">
        <v>2.13</v>
      </c>
    </row>
    <row r="19" spans="4:9" x14ac:dyDescent="0.3">
      <c r="D19" s="3">
        <v>46200</v>
      </c>
      <c r="E19" s="4" t="s">
        <v>14</v>
      </c>
      <c r="F19" s="5">
        <v>767</v>
      </c>
      <c r="G19" s="5">
        <v>318</v>
      </c>
      <c r="H19" s="5">
        <v>449</v>
      </c>
      <c r="I19" s="6">
        <v>1.4119999999999999</v>
      </c>
    </row>
    <row r="20" spans="4:9" x14ac:dyDescent="0.3">
      <c r="D20" s="3">
        <v>46201</v>
      </c>
      <c r="E20" s="4" t="s">
        <v>7</v>
      </c>
      <c r="F20" s="5">
        <v>512</v>
      </c>
      <c r="G20" s="5">
        <v>351</v>
      </c>
      <c r="H20" s="5">
        <v>161</v>
      </c>
      <c r="I20" s="6">
        <v>0.45900000000000002</v>
      </c>
    </row>
    <row r="21" spans="4:9" x14ac:dyDescent="0.3">
      <c r="D21" s="3">
        <v>46202</v>
      </c>
      <c r="E21" s="4" t="s">
        <v>9</v>
      </c>
      <c r="F21" s="5">
        <v>880</v>
      </c>
      <c r="G21" s="5">
        <v>863</v>
      </c>
      <c r="H21" s="5">
        <v>17</v>
      </c>
      <c r="I21" s="6">
        <v>0.02</v>
      </c>
    </row>
    <row r="22" spans="4:9" x14ac:dyDescent="0.3">
      <c r="D22" s="7">
        <v>46203</v>
      </c>
      <c r="E22" s="4" t="s">
        <v>10</v>
      </c>
      <c r="F22" s="2">
        <v>843</v>
      </c>
      <c r="G22" s="5">
        <v>954</v>
      </c>
      <c r="H22" s="2">
        <v>-111</v>
      </c>
      <c r="I22" s="8">
        <v>-0.11600000000000001</v>
      </c>
    </row>
    <row r="23" spans="4:9" x14ac:dyDescent="0.3">
      <c r="D23" s="7">
        <v>46204</v>
      </c>
      <c r="E23" s="4" t="s">
        <v>11</v>
      </c>
      <c r="F23" s="2">
        <v>919</v>
      </c>
      <c r="G23" s="5">
        <v>972</v>
      </c>
      <c r="H23" s="2">
        <v>-53</v>
      </c>
      <c r="I23" s="8">
        <v>-5.5E-2</v>
      </c>
    </row>
    <row r="24" spans="4:9" x14ac:dyDescent="0.3">
      <c r="D24" s="7">
        <v>46205</v>
      </c>
      <c r="E24" s="4" t="s">
        <v>12</v>
      </c>
      <c r="F24" s="2">
        <v>881</v>
      </c>
      <c r="G24" s="5">
        <v>962</v>
      </c>
      <c r="H24" s="2">
        <v>-81</v>
      </c>
      <c r="I24" s="8">
        <v>-8.4000000000000005E-2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AF99-5B71-4985-81A1-6EA3142F3DE7}">
  <dimension ref="C3:I14"/>
  <sheetViews>
    <sheetView tabSelected="1" workbookViewId="0">
      <selection activeCell="J10" sqref="J10"/>
    </sheetView>
  </sheetViews>
  <sheetFormatPr defaultRowHeight="14" x14ac:dyDescent="0.3"/>
  <cols>
    <col min="3" max="3" width="14.5" customWidth="1"/>
    <col min="8" max="8" width="11.6640625" customWidth="1"/>
  </cols>
  <sheetData>
    <row r="3" spans="3:9" ht="22.5" x14ac:dyDescent="0.3">
      <c r="C3" s="12" t="s">
        <v>31</v>
      </c>
    </row>
    <row r="5" spans="3:9" x14ac:dyDescent="0.3">
      <c r="C5" s="13" t="s">
        <v>15</v>
      </c>
      <c r="D5" s="14" t="s">
        <v>16</v>
      </c>
      <c r="E5" s="14" t="s">
        <v>17</v>
      </c>
      <c r="F5" s="14" t="s">
        <v>18</v>
      </c>
      <c r="G5" s="14" t="s">
        <v>6</v>
      </c>
      <c r="H5" s="14" t="s">
        <v>19</v>
      </c>
    </row>
    <row r="6" spans="3:9" x14ac:dyDescent="0.3">
      <c r="C6" s="15" t="s">
        <v>20</v>
      </c>
      <c r="D6" s="16">
        <v>1031</v>
      </c>
      <c r="E6" s="16">
        <v>1160</v>
      </c>
      <c r="F6" s="14">
        <v>-129</v>
      </c>
      <c r="G6" s="17">
        <v>-0.11</v>
      </c>
      <c r="H6" s="17">
        <v>0.53</v>
      </c>
    </row>
    <row r="7" spans="3:9" x14ac:dyDescent="0.3">
      <c r="C7" s="15" t="s">
        <v>30</v>
      </c>
      <c r="D7" s="5">
        <v>920</v>
      </c>
      <c r="E7" s="16">
        <v>1046</v>
      </c>
      <c r="F7" s="14">
        <v>-126</v>
      </c>
      <c r="G7" s="17">
        <v>-0.12</v>
      </c>
      <c r="H7" s="17">
        <v>0.51</v>
      </c>
    </row>
    <row r="8" spans="3:9" x14ac:dyDescent="0.3">
      <c r="C8" s="4" t="s">
        <v>21</v>
      </c>
      <c r="D8" s="5">
        <v>515</v>
      </c>
      <c r="E8" s="5">
        <v>536</v>
      </c>
      <c r="F8" s="5">
        <v>-21</v>
      </c>
      <c r="G8" s="17">
        <v>-0.04</v>
      </c>
      <c r="H8" s="17">
        <v>0.09</v>
      </c>
    </row>
    <row r="9" spans="3:9" x14ac:dyDescent="0.3">
      <c r="C9" s="4" t="s">
        <v>22</v>
      </c>
      <c r="D9" s="5">
        <v>20</v>
      </c>
      <c r="E9" s="5">
        <v>22</v>
      </c>
      <c r="F9" s="5">
        <v>-2</v>
      </c>
      <c r="G9" s="17">
        <v>-0.09</v>
      </c>
      <c r="H9" s="5" t="s">
        <v>23</v>
      </c>
    </row>
    <row r="10" spans="3:9" x14ac:dyDescent="0.3">
      <c r="C10" s="4" t="s">
        <v>24</v>
      </c>
      <c r="D10" s="5">
        <v>12</v>
      </c>
      <c r="E10" s="5">
        <v>13</v>
      </c>
      <c r="F10" s="5">
        <v>-1</v>
      </c>
      <c r="G10" s="17">
        <v>-0.08</v>
      </c>
      <c r="H10" s="5" t="s">
        <v>23</v>
      </c>
    </row>
    <row r="11" spans="3:9" ht="14.5" customHeight="1" x14ac:dyDescent="0.3">
      <c r="C11" s="4" t="s">
        <v>25</v>
      </c>
      <c r="D11" s="5">
        <v>8</v>
      </c>
      <c r="E11" s="5">
        <v>8</v>
      </c>
      <c r="F11" s="5">
        <v>0</v>
      </c>
      <c r="G11" s="17">
        <v>0</v>
      </c>
      <c r="H11" s="5" t="s">
        <v>23</v>
      </c>
    </row>
    <row r="12" spans="3:9" x14ac:dyDescent="0.3">
      <c r="C12" s="4" t="s">
        <v>26</v>
      </c>
      <c r="D12" s="5">
        <v>72</v>
      </c>
      <c r="E12" s="5">
        <v>64</v>
      </c>
      <c r="F12" s="14">
        <v>8</v>
      </c>
      <c r="G12" s="17">
        <v>0.12</v>
      </c>
      <c r="H12" s="5" t="s">
        <v>27</v>
      </c>
    </row>
    <row r="13" spans="3:9" x14ac:dyDescent="0.3">
      <c r="C13" s="4" t="s">
        <v>28</v>
      </c>
      <c r="D13" s="5">
        <v>65</v>
      </c>
      <c r="E13" s="5">
        <v>39</v>
      </c>
      <c r="F13" s="14">
        <v>26</v>
      </c>
      <c r="G13" s="17">
        <v>0.67</v>
      </c>
      <c r="H13" s="5" t="s">
        <v>27</v>
      </c>
    </row>
    <row r="14" spans="3:9" x14ac:dyDescent="0.3">
      <c r="C14" s="15" t="s">
        <v>29</v>
      </c>
      <c r="D14" s="16">
        <v>2643</v>
      </c>
      <c r="E14" s="16">
        <v>2888</v>
      </c>
      <c r="F14" s="14">
        <v>-245</v>
      </c>
      <c r="G14" s="18">
        <v>-0.08</v>
      </c>
      <c r="H14" s="5"/>
      <c r="I14" s="19">
        <f>D14/E14-1</f>
        <v>-8.4833795013850466E-2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>Shi, Yujiao</cp:lastModifiedBy>
  <dcterms:created xsi:type="dcterms:W3CDTF">2015-06-05T18:17:20Z</dcterms:created>
  <dcterms:modified xsi:type="dcterms:W3CDTF">2026-07-06T10:34:50Z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2026-07-06T10:34:49Z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14de0f1c-b5c5-45f1-a5e0-5f2a9d22e3a5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